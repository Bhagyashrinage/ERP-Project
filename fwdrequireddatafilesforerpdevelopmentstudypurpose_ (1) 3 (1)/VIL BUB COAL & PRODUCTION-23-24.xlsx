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530"/>
  </bookViews>
  <sheets>
    <sheet name="COAL DETAILS" sheetId="1" r:id="rId1"/>
    <sheet name="summary" sheetId="2" r:id="rId2"/>
    <sheet name="Party wise Production" sheetId="4" r:id="rId3"/>
    <sheet name="Sheet1" sheetId="5" r:id="rId4"/>
    <sheet name="PRODUCTIVITY ANALYSIS 2022-23" sheetId="3" r:id="rId5"/>
  </sheets>
  <definedNames>
    <definedName name="_xlnm._FilterDatabase" localSheetId="0" hidden="1">'COAL DETAILS'!#REF!</definedName>
    <definedName name="_xlnm._FilterDatabase" localSheetId="4" hidden="1">'PRODUCTIVITY ANALYSIS 2022-23'!#REF!</definedName>
    <definedName name="_xlnm.Print_Area" localSheetId="0">'COAL DETAILS'!$A$146:$X$180</definedName>
    <definedName name="_xlnm.Print_Area" localSheetId="2">'Party wise Production'!$A$1:$S$84</definedName>
    <definedName name="_xlnm.Print_Area" localSheetId="4">'PRODUCTIVITY ANALYSIS 2022-23'!$B$384:$F$448</definedName>
    <definedName name="_xlnm.Print_Area" localSheetId="3">Sheet1!$A$1:$C$10</definedName>
    <definedName name="_xlnm.Print_Area" localSheetId="1">summary!$A$1:$O$15</definedName>
  </definedNames>
  <calcPr calcId="124519"/>
</workbook>
</file>

<file path=xl/calcChain.xml><?xml version="1.0" encoding="utf-8"?>
<calcChain xmlns="http://schemas.openxmlformats.org/spreadsheetml/2006/main">
  <c r="E11" i="2"/>
  <c r="X359" i="1"/>
  <c r="V359"/>
  <c r="S359"/>
  <c r="P359"/>
  <c r="M359"/>
  <c r="X358"/>
  <c r="V358"/>
  <c r="S358"/>
  <c r="P358"/>
  <c r="M358"/>
  <c r="X357"/>
  <c r="V357"/>
  <c r="S357"/>
  <c r="P357"/>
  <c r="M357"/>
  <c r="X356"/>
  <c r="V356"/>
  <c r="S356"/>
  <c r="P356"/>
  <c r="M356"/>
  <c r="X355"/>
  <c r="V355"/>
  <c r="S355"/>
  <c r="P355"/>
  <c r="M355"/>
  <c r="X354"/>
  <c r="V354"/>
  <c r="S354"/>
  <c r="P354"/>
  <c r="M354"/>
  <c r="X353"/>
  <c r="V353"/>
  <c r="S353"/>
  <c r="P353"/>
  <c r="M353"/>
  <c r="X352"/>
  <c r="V352"/>
  <c r="S352"/>
  <c r="P352"/>
  <c r="M352"/>
  <c r="X351"/>
  <c r="V351"/>
  <c r="S351"/>
  <c r="P351"/>
  <c r="M351"/>
  <c r="X350"/>
  <c r="V350"/>
  <c r="S350"/>
  <c r="P350"/>
  <c r="M350"/>
  <c r="X349"/>
  <c r="V349"/>
  <c r="S349"/>
  <c r="P349"/>
  <c r="M349"/>
  <c r="X348"/>
  <c r="V348"/>
  <c r="S348"/>
  <c r="P348"/>
  <c r="M348"/>
  <c r="X347"/>
  <c r="V347"/>
  <c r="S347"/>
  <c r="P347"/>
  <c r="M347"/>
  <c r="X346"/>
  <c r="V346"/>
  <c r="S346"/>
  <c r="P346"/>
  <c r="M346"/>
  <c r="X344"/>
  <c r="V344"/>
  <c r="S344"/>
  <c r="P344"/>
  <c r="M344"/>
  <c r="X343"/>
  <c r="V343"/>
  <c r="S343"/>
  <c r="P343"/>
  <c r="M343"/>
  <c r="X342"/>
  <c r="V342"/>
  <c r="S342"/>
  <c r="P342"/>
  <c r="M342"/>
  <c r="X341"/>
  <c r="V341"/>
  <c r="S341"/>
  <c r="P341"/>
  <c r="M341"/>
  <c r="X340"/>
  <c r="V340"/>
  <c r="S340"/>
  <c r="P340"/>
  <c r="M340"/>
  <c r="X339"/>
  <c r="V339"/>
  <c r="S339"/>
  <c r="P339"/>
  <c r="M339"/>
  <c r="X337"/>
  <c r="V337"/>
  <c r="S337"/>
  <c r="P337"/>
  <c r="M337"/>
  <c r="X336"/>
  <c r="V336"/>
  <c r="S336"/>
  <c r="P336"/>
  <c r="M336"/>
  <c r="X335"/>
  <c r="V335"/>
  <c r="S335"/>
  <c r="P335"/>
  <c r="M335"/>
  <c r="X334"/>
  <c r="V334"/>
  <c r="S334"/>
  <c r="P334"/>
  <c r="M334"/>
  <c r="X333"/>
  <c r="V333"/>
  <c r="S333"/>
  <c r="P333"/>
  <c r="M333"/>
  <c r="X332"/>
  <c r="V332"/>
  <c r="S332"/>
  <c r="P332"/>
  <c r="M332"/>
  <c r="X330"/>
  <c r="V330"/>
  <c r="S330"/>
  <c r="P330"/>
  <c r="M330"/>
  <c r="W360"/>
  <c r="W362" s="1"/>
  <c r="N12" i="2" s="1"/>
  <c r="T360" i="1"/>
  <c r="T362" s="1"/>
  <c r="R360"/>
  <c r="Q360"/>
  <c r="Q362" s="1"/>
  <c r="L360"/>
  <c r="K360"/>
  <c r="K362" s="1"/>
  <c r="K368" s="1"/>
  <c r="J360"/>
  <c r="J362" s="1"/>
  <c r="G360"/>
  <c r="G362" s="1"/>
  <c r="G368" s="1"/>
  <c r="U360"/>
  <c r="X329"/>
  <c r="V329"/>
  <c r="S329"/>
  <c r="P329"/>
  <c r="M329"/>
  <c r="L324"/>
  <c r="K324"/>
  <c r="G324"/>
  <c r="U294"/>
  <c r="C12" i="2" l="1"/>
  <c r="M360" i="1"/>
  <c r="M362" s="1"/>
  <c r="F12" i="2" s="1"/>
  <c r="X360" i="1"/>
  <c r="O12" i="2" s="1"/>
  <c r="P360" i="1"/>
  <c r="P362" s="1"/>
  <c r="I12" i="2" s="1"/>
  <c r="S360" i="1"/>
  <c r="U362"/>
  <c r="V360"/>
  <c r="X362"/>
  <c r="N360"/>
  <c r="L362"/>
  <c r="E12" i="2" s="1"/>
  <c r="R362" i="1"/>
  <c r="X323"/>
  <c r="V323"/>
  <c r="S323"/>
  <c r="P323"/>
  <c r="N323"/>
  <c r="O323" s="1"/>
  <c r="M323"/>
  <c r="X318"/>
  <c r="V318"/>
  <c r="S318"/>
  <c r="P318"/>
  <c r="N318"/>
  <c r="O318" s="1"/>
  <c r="M318"/>
  <c r="X317"/>
  <c r="V317"/>
  <c r="S317"/>
  <c r="P317"/>
  <c r="N317"/>
  <c r="O317" s="1"/>
  <c r="M317"/>
  <c r="X316"/>
  <c r="V316"/>
  <c r="S316"/>
  <c r="P316"/>
  <c r="O316"/>
  <c r="N316"/>
  <c r="M316"/>
  <c r="X315"/>
  <c r="V315"/>
  <c r="S315"/>
  <c r="P315"/>
  <c r="N315"/>
  <c r="O315" s="1"/>
  <c r="M315"/>
  <c r="X314"/>
  <c r="V314"/>
  <c r="S314"/>
  <c r="P314"/>
  <c r="N314"/>
  <c r="O314" s="1"/>
  <c r="M314"/>
  <c r="X313"/>
  <c r="V313"/>
  <c r="S313"/>
  <c r="P313"/>
  <c r="N313"/>
  <c r="O313" s="1"/>
  <c r="M313"/>
  <c r="X311"/>
  <c r="V311"/>
  <c r="S311"/>
  <c r="P311"/>
  <c r="N311"/>
  <c r="O311" s="1"/>
  <c r="M311"/>
  <c r="X310"/>
  <c r="V310"/>
  <c r="S310"/>
  <c r="P310"/>
  <c r="N310"/>
  <c r="O310" s="1"/>
  <c r="M310"/>
  <c r="X309"/>
  <c r="V309"/>
  <c r="S309"/>
  <c r="P309"/>
  <c r="N309"/>
  <c r="O309" s="1"/>
  <c r="M309"/>
  <c r="X308"/>
  <c r="V308"/>
  <c r="S308"/>
  <c r="P308"/>
  <c r="N308"/>
  <c r="O308" s="1"/>
  <c r="M308"/>
  <c r="X307"/>
  <c r="V307"/>
  <c r="S307"/>
  <c r="P307"/>
  <c r="N307"/>
  <c r="O307" s="1"/>
  <c r="M307"/>
  <c r="X306"/>
  <c r="V306"/>
  <c r="S306"/>
  <c r="P306"/>
  <c r="N306"/>
  <c r="O306" s="1"/>
  <c r="M306"/>
  <c r="X304"/>
  <c r="V304"/>
  <c r="S304"/>
  <c r="P304"/>
  <c r="N304"/>
  <c r="O304" s="1"/>
  <c r="M304"/>
  <c r="X303"/>
  <c r="V303"/>
  <c r="S303"/>
  <c r="P303"/>
  <c r="N303"/>
  <c r="O303" s="1"/>
  <c r="M303"/>
  <c r="X302"/>
  <c r="V302"/>
  <c r="S302"/>
  <c r="P302"/>
  <c r="N302"/>
  <c r="O302" s="1"/>
  <c r="M302"/>
  <c r="X301"/>
  <c r="V301"/>
  <c r="S301"/>
  <c r="P301"/>
  <c r="N301"/>
  <c r="O301" s="1"/>
  <c r="M301"/>
  <c r="X300"/>
  <c r="V300"/>
  <c r="S300"/>
  <c r="P300"/>
  <c r="N300"/>
  <c r="O300" s="1"/>
  <c r="M300"/>
  <c r="X299"/>
  <c r="V299"/>
  <c r="S299"/>
  <c r="P299"/>
  <c r="N299"/>
  <c r="O299" s="1"/>
  <c r="M299"/>
  <c r="X297"/>
  <c r="V297"/>
  <c r="S297"/>
  <c r="P297"/>
  <c r="N297"/>
  <c r="O297" s="1"/>
  <c r="M297"/>
  <c r="X296"/>
  <c r="V296"/>
  <c r="S296"/>
  <c r="P296"/>
  <c r="N296"/>
  <c r="O296" s="1"/>
  <c r="M296"/>
  <c r="X295"/>
  <c r="V295"/>
  <c r="S295"/>
  <c r="P295"/>
  <c r="N295"/>
  <c r="O295" s="1"/>
  <c r="M295"/>
  <c r="X293"/>
  <c r="V293"/>
  <c r="S293"/>
  <c r="P293"/>
  <c r="M293"/>
  <c r="U324"/>
  <c r="U326" s="1"/>
  <c r="L11" i="2" s="1"/>
  <c r="T324" i="1"/>
  <c r="T326" s="1"/>
  <c r="R324"/>
  <c r="R326" s="1"/>
  <c r="J11" i="2" s="1"/>
  <c r="Q324" i="1"/>
  <c r="Q326" s="1"/>
  <c r="L326"/>
  <c r="K326"/>
  <c r="J324"/>
  <c r="J326" s="1"/>
  <c r="G326"/>
  <c r="C11" i="2" s="1"/>
  <c r="W324" i="1"/>
  <c r="X294"/>
  <c r="V294"/>
  <c r="S294"/>
  <c r="P294"/>
  <c r="N294"/>
  <c r="M294"/>
  <c r="V281"/>
  <c r="V282"/>
  <c r="G288"/>
  <c r="G290" s="1"/>
  <c r="W271"/>
  <c r="S262"/>
  <c r="X286"/>
  <c r="V286"/>
  <c r="S286"/>
  <c r="P286"/>
  <c r="O286"/>
  <c r="N286"/>
  <c r="M286"/>
  <c r="X284"/>
  <c r="V284"/>
  <c r="S284"/>
  <c r="P284"/>
  <c r="N284"/>
  <c r="O284" s="1"/>
  <c r="M284"/>
  <c r="X283"/>
  <c r="V283"/>
  <c r="S283"/>
  <c r="P283"/>
  <c r="N283"/>
  <c r="O283" s="1"/>
  <c r="M283"/>
  <c r="X282"/>
  <c r="S282"/>
  <c r="P282"/>
  <c r="O282"/>
  <c r="N282"/>
  <c r="M282"/>
  <c r="X281"/>
  <c r="S281"/>
  <c r="P281"/>
  <c r="N281"/>
  <c r="O281" s="1"/>
  <c r="M281"/>
  <c r="X280"/>
  <c r="V280"/>
  <c r="S280"/>
  <c r="P280"/>
  <c r="N280"/>
  <c r="O280" s="1"/>
  <c r="M280"/>
  <c r="X279"/>
  <c r="V279"/>
  <c r="S279"/>
  <c r="P279"/>
  <c r="N279"/>
  <c r="O279" s="1"/>
  <c r="M279"/>
  <c r="X277"/>
  <c r="V277"/>
  <c r="S277"/>
  <c r="P277"/>
  <c r="N277"/>
  <c r="O277" s="1"/>
  <c r="M277"/>
  <c r="X276"/>
  <c r="V276"/>
  <c r="S276"/>
  <c r="P276"/>
  <c r="N276"/>
  <c r="O276" s="1"/>
  <c r="M276"/>
  <c r="X275"/>
  <c r="V275"/>
  <c r="S275"/>
  <c r="P275"/>
  <c r="N275"/>
  <c r="O275" s="1"/>
  <c r="M275"/>
  <c r="X274"/>
  <c r="V274"/>
  <c r="S274"/>
  <c r="P274"/>
  <c r="O274"/>
  <c r="N274"/>
  <c r="M274"/>
  <c r="X273"/>
  <c r="V273"/>
  <c r="S273"/>
  <c r="P273"/>
  <c r="N273"/>
  <c r="O273" s="1"/>
  <c r="M273"/>
  <c r="X272"/>
  <c r="V272"/>
  <c r="S272"/>
  <c r="P272"/>
  <c r="N272"/>
  <c r="O272" s="1"/>
  <c r="M272"/>
  <c r="X271"/>
  <c r="V271"/>
  <c r="S271"/>
  <c r="P271"/>
  <c r="N271"/>
  <c r="O271" s="1"/>
  <c r="M271"/>
  <c r="X267"/>
  <c r="V267"/>
  <c r="S267"/>
  <c r="P267"/>
  <c r="N267"/>
  <c r="O267" s="1"/>
  <c r="M267"/>
  <c r="X266"/>
  <c r="V266"/>
  <c r="S266"/>
  <c r="P266"/>
  <c r="N266"/>
  <c r="O266" s="1"/>
  <c r="M266"/>
  <c r="X265"/>
  <c r="V265"/>
  <c r="S265"/>
  <c r="P265"/>
  <c r="N265"/>
  <c r="O265" s="1"/>
  <c r="M265"/>
  <c r="X263"/>
  <c r="V263"/>
  <c r="S263"/>
  <c r="P263"/>
  <c r="N263"/>
  <c r="O263" s="1"/>
  <c r="M263"/>
  <c r="X262"/>
  <c r="V262"/>
  <c r="P262"/>
  <c r="N262"/>
  <c r="O262" s="1"/>
  <c r="M262"/>
  <c r="X261"/>
  <c r="V261"/>
  <c r="S261"/>
  <c r="P261"/>
  <c r="N261"/>
  <c r="O261" s="1"/>
  <c r="M261"/>
  <c r="X260"/>
  <c r="V260"/>
  <c r="S260"/>
  <c r="P260"/>
  <c r="O260"/>
  <c r="N260"/>
  <c r="M260"/>
  <c r="W288"/>
  <c r="W290" s="1"/>
  <c r="N10" i="2" s="1"/>
  <c r="U288" i="1"/>
  <c r="U290" s="1"/>
  <c r="L10" i="2" s="1"/>
  <c r="T288" i="1"/>
  <c r="T290" s="1"/>
  <c r="R288"/>
  <c r="R290" s="1"/>
  <c r="J10" i="2" s="1"/>
  <c r="Q288" i="1"/>
  <c r="Q290" s="1"/>
  <c r="L288"/>
  <c r="L290" s="1"/>
  <c r="E10" i="2" s="1"/>
  <c r="K288" i="1"/>
  <c r="K290" s="1"/>
  <c r="J288"/>
  <c r="J290" s="1"/>
  <c r="X259"/>
  <c r="V259"/>
  <c r="S259"/>
  <c r="P259"/>
  <c r="O259"/>
  <c r="N259"/>
  <c r="M259"/>
  <c r="X258"/>
  <c r="V258"/>
  <c r="S258"/>
  <c r="P258"/>
  <c r="N258"/>
  <c r="O258" s="1"/>
  <c r="M258"/>
  <c r="N9" i="2"/>
  <c r="I9"/>
  <c r="D554" i="3"/>
  <c r="M8" i="2"/>
  <c r="M7"/>
  <c r="M227" i="1"/>
  <c r="V362" l="1"/>
  <c r="M12" i="2" s="1"/>
  <c r="L12"/>
  <c r="S362" i="1"/>
  <c r="K12" i="2" s="1"/>
  <c r="J12"/>
  <c r="O360" i="1"/>
  <c r="O362" s="1"/>
  <c r="N362"/>
  <c r="N324"/>
  <c r="N326" s="1"/>
  <c r="O294"/>
  <c r="W326"/>
  <c r="X324"/>
  <c r="O324"/>
  <c r="O326" s="1"/>
  <c r="S326"/>
  <c r="V326"/>
  <c r="M11" i="2" s="1"/>
  <c r="P324" i="1"/>
  <c r="P326" s="1"/>
  <c r="I11" i="2" s="1"/>
  <c r="V324" i="1"/>
  <c r="M324"/>
  <c r="M326" s="1"/>
  <c r="F11" i="2" s="1"/>
  <c r="S324" i="1"/>
  <c r="C10" i="2"/>
  <c r="N288" i="1"/>
  <c r="O288" s="1"/>
  <c r="O290" s="1"/>
  <c r="S290"/>
  <c r="K10" i="2" s="1"/>
  <c r="V290" i="1"/>
  <c r="M10" i="2" s="1"/>
  <c r="N290" i="1"/>
  <c r="X290"/>
  <c r="O10" i="2" s="1"/>
  <c r="P288" i="1"/>
  <c r="P290" s="1"/>
  <c r="I10" i="2" s="1"/>
  <c r="V288" i="1"/>
  <c r="X288"/>
  <c r="M288"/>
  <c r="M290" s="1"/>
  <c r="F10" i="2" s="1"/>
  <c r="S288" i="1"/>
  <c r="J641" i="3"/>
  <c r="F641"/>
  <c r="L641" s="1"/>
  <c r="F639"/>
  <c r="L639" s="1"/>
  <c r="J637"/>
  <c r="F637"/>
  <c r="L637" s="1"/>
  <c r="F635"/>
  <c r="L635" s="1"/>
  <c r="F633"/>
  <c r="L633" s="1"/>
  <c r="L631"/>
  <c r="F631"/>
  <c r="J631" s="1"/>
  <c r="J629"/>
  <c r="F629"/>
  <c r="L629" s="1"/>
  <c r="F627"/>
  <c r="L627" s="1"/>
  <c r="J625"/>
  <c r="F625"/>
  <c r="L625" s="1"/>
  <c r="F623"/>
  <c r="J623" s="1"/>
  <c r="J621"/>
  <c r="F621"/>
  <c r="L621" s="1"/>
  <c r="F619"/>
  <c r="L619" s="1"/>
  <c r="J617"/>
  <c r="F617"/>
  <c r="L617" s="1"/>
  <c r="F615"/>
  <c r="J615" s="1"/>
  <c r="F613"/>
  <c r="L613" s="1"/>
  <c r="F611"/>
  <c r="L611" s="1"/>
  <c r="J609"/>
  <c r="F609"/>
  <c r="L609" s="1"/>
  <c r="F607"/>
  <c r="L607" s="1"/>
  <c r="F605"/>
  <c r="L605" s="1"/>
  <c r="F603"/>
  <c r="J601"/>
  <c r="F601"/>
  <c r="L601" s="1"/>
  <c r="F599"/>
  <c r="J599" s="1"/>
  <c r="F597"/>
  <c r="L597" s="1"/>
  <c r="F595"/>
  <c r="L595" s="1"/>
  <c r="J593"/>
  <c r="F593"/>
  <c r="L593" s="1"/>
  <c r="F591"/>
  <c r="J591" s="1"/>
  <c r="F589"/>
  <c r="L589" s="1"/>
  <c r="F587"/>
  <c r="J587" s="1"/>
  <c r="K645"/>
  <c r="I645"/>
  <c r="F554" s="1"/>
  <c r="H645"/>
  <c r="G645"/>
  <c r="E645"/>
  <c r="J643"/>
  <c r="F643"/>
  <c r="L643" s="1"/>
  <c r="F585"/>
  <c r="L585" s="1"/>
  <c r="F583"/>
  <c r="J583" s="1"/>
  <c r="C556"/>
  <c r="D556"/>
  <c r="D576" s="1"/>
  <c r="X251" i="1"/>
  <c r="V251"/>
  <c r="S251"/>
  <c r="P251"/>
  <c r="N251"/>
  <c r="O251" s="1"/>
  <c r="M251"/>
  <c r="X250"/>
  <c r="V250"/>
  <c r="S250"/>
  <c r="P250"/>
  <c r="O250"/>
  <c r="N250"/>
  <c r="M250"/>
  <c r="X249"/>
  <c r="V249"/>
  <c r="S249"/>
  <c r="P249"/>
  <c r="N249"/>
  <c r="O249" s="1"/>
  <c r="M249"/>
  <c r="X248"/>
  <c r="V248"/>
  <c r="S248"/>
  <c r="P248"/>
  <c r="O248"/>
  <c r="N248"/>
  <c r="M248"/>
  <c r="X247"/>
  <c r="V247"/>
  <c r="S247"/>
  <c r="P247"/>
  <c r="N247"/>
  <c r="O247" s="1"/>
  <c r="M247"/>
  <c r="X246"/>
  <c r="V246"/>
  <c r="S246"/>
  <c r="P246"/>
  <c r="N246"/>
  <c r="O246" s="1"/>
  <c r="M246"/>
  <c r="X237"/>
  <c r="V237"/>
  <c r="S237"/>
  <c r="P237"/>
  <c r="N237"/>
  <c r="O237" s="1"/>
  <c r="M237"/>
  <c r="X236"/>
  <c r="V236"/>
  <c r="S236"/>
  <c r="P236"/>
  <c r="N236"/>
  <c r="O236" s="1"/>
  <c r="M236"/>
  <c r="X235"/>
  <c r="V235"/>
  <c r="S235"/>
  <c r="P235"/>
  <c r="N235"/>
  <c r="O235" s="1"/>
  <c r="M235"/>
  <c r="X234"/>
  <c r="V234"/>
  <c r="S234"/>
  <c r="P234"/>
  <c r="O234"/>
  <c r="N234"/>
  <c r="M234"/>
  <c r="X233"/>
  <c r="V233"/>
  <c r="S233"/>
  <c r="P233"/>
  <c r="N233"/>
  <c r="O233" s="1"/>
  <c r="M233"/>
  <c r="X232"/>
  <c r="V232"/>
  <c r="S232"/>
  <c r="P232"/>
  <c r="O232"/>
  <c r="N232"/>
  <c r="M232"/>
  <c r="X230"/>
  <c r="V230"/>
  <c r="S230"/>
  <c r="P230"/>
  <c r="N230"/>
  <c r="O230" s="1"/>
  <c r="M230"/>
  <c r="X229"/>
  <c r="V229"/>
  <c r="S229"/>
  <c r="P229"/>
  <c r="N229"/>
  <c r="O229" s="1"/>
  <c r="M229"/>
  <c r="X228"/>
  <c r="V228"/>
  <c r="S228"/>
  <c r="P228"/>
  <c r="N228"/>
  <c r="O228" s="1"/>
  <c r="M228"/>
  <c r="X227"/>
  <c r="V227"/>
  <c r="S227"/>
  <c r="P227"/>
  <c r="N227"/>
  <c r="O227" s="1"/>
  <c r="X226"/>
  <c r="V226"/>
  <c r="S226"/>
  <c r="P226"/>
  <c r="O226"/>
  <c r="N226"/>
  <c r="M226"/>
  <c r="X225"/>
  <c r="V225"/>
  <c r="S225"/>
  <c r="P225"/>
  <c r="N225"/>
  <c r="O225" s="1"/>
  <c r="M225"/>
  <c r="X224"/>
  <c r="V224"/>
  <c r="S224"/>
  <c r="P224"/>
  <c r="O224"/>
  <c r="N224"/>
  <c r="M224"/>
  <c r="X223"/>
  <c r="V223"/>
  <c r="S223"/>
  <c r="P223"/>
  <c r="N223"/>
  <c r="O223" s="1"/>
  <c r="M223"/>
  <c r="W252"/>
  <c r="W254" s="1"/>
  <c r="U252"/>
  <c r="U254" s="1"/>
  <c r="L9" i="2" s="1"/>
  <c r="T252" i="1"/>
  <c r="T254" s="1"/>
  <c r="R252"/>
  <c r="Q252"/>
  <c r="Q254" s="1"/>
  <c r="L252"/>
  <c r="K252"/>
  <c r="K254" s="1"/>
  <c r="J252"/>
  <c r="J254" s="1"/>
  <c r="G252"/>
  <c r="G254" s="1"/>
  <c r="C9" i="2" s="1"/>
  <c r="X222" i="1"/>
  <c r="V222"/>
  <c r="S222"/>
  <c r="P222"/>
  <c r="N222"/>
  <c r="O222" s="1"/>
  <c r="M222"/>
  <c r="X221"/>
  <c r="V221"/>
  <c r="S221"/>
  <c r="P221"/>
  <c r="O221"/>
  <c r="N221"/>
  <c r="M221"/>
  <c r="D477" i="3"/>
  <c r="D455"/>
  <c r="X326" i="1" l="1"/>
  <c r="O11" i="2" s="1"/>
  <c r="N11"/>
  <c r="K11"/>
  <c r="J633" i="3"/>
  <c r="J613"/>
  <c r="J605"/>
  <c r="J597"/>
  <c r="J589"/>
  <c r="D577"/>
  <c r="L587"/>
  <c r="L591"/>
  <c r="L599"/>
  <c r="L615"/>
  <c r="L623"/>
  <c r="J595"/>
  <c r="J607"/>
  <c r="J611"/>
  <c r="J619"/>
  <c r="J627"/>
  <c r="J635"/>
  <c r="J639"/>
  <c r="F645"/>
  <c r="J645" s="1"/>
  <c r="T554"/>
  <c r="F576" s="1"/>
  <c r="F556"/>
  <c r="L583"/>
  <c r="J585"/>
  <c r="P252" i="1"/>
  <c r="P254" s="1"/>
  <c r="S252"/>
  <c r="M252"/>
  <c r="M254" s="1"/>
  <c r="F9" i="2" s="1"/>
  <c r="V252" i="1"/>
  <c r="X252"/>
  <c r="V254"/>
  <c r="M9" i="2" s="1"/>
  <c r="X254" i="1"/>
  <c r="O9" i="2" s="1"/>
  <c r="N252" i="1"/>
  <c r="L254"/>
  <c r="E9" i="2" s="1"/>
  <c r="R254" i="1"/>
  <c r="X195"/>
  <c r="S254" l="1"/>
  <c r="K9" i="2" s="1"/>
  <c r="J9"/>
  <c r="L645" i="3"/>
  <c r="O252" i="1"/>
  <c r="O254" s="1"/>
  <c r="N254"/>
  <c r="J496" i="3"/>
  <c r="F496"/>
  <c r="L496" s="1"/>
  <c r="R39" i="4" l="1"/>
  <c r="Q39"/>
  <c r="G42"/>
  <c r="H42"/>
  <c r="B76"/>
  <c r="B74"/>
  <c r="J544" i="3"/>
  <c r="F544"/>
  <c r="L544" s="1"/>
  <c r="E546"/>
  <c r="G546"/>
  <c r="H546"/>
  <c r="I546"/>
  <c r="K546"/>
  <c r="J542"/>
  <c r="F542"/>
  <c r="L542" s="1"/>
  <c r="J540"/>
  <c r="F540"/>
  <c r="L540" s="1"/>
  <c r="J538"/>
  <c r="F538"/>
  <c r="L538" s="1"/>
  <c r="F536"/>
  <c r="J536" s="1"/>
  <c r="J534"/>
  <c r="F534"/>
  <c r="L534" s="1"/>
  <c r="J532"/>
  <c r="F532"/>
  <c r="L532" s="1"/>
  <c r="J530"/>
  <c r="F530"/>
  <c r="L530" s="1"/>
  <c r="F528"/>
  <c r="L528" s="1"/>
  <c r="F526"/>
  <c r="L526" s="1"/>
  <c r="F520"/>
  <c r="L520" s="1"/>
  <c r="J518"/>
  <c r="F518"/>
  <c r="L518" s="1"/>
  <c r="J514"/>
  <c r="F514"/>
  <c r="L514" s="1"/>
  <c r="J510"/>
  <c r="F510"/>
  <c r="L510" s="1"/>
  <c r="F506"/>
  <c r="J506" s="1"/>
  <c r="F504"/>
  <c r="L504" s="1"/>
  <c r="F502"/>
  <c r="L502" s="1"/>
  <c r="F500"/>
  <c r="L500" s="1"/>
  <c r="J498"/>
  <c r="F498"/>
  <c r="L498" s="1"/>
  <c r="F492"/>
  <c r="L492" s="1"/>
  <c r="J490"/>
  <c r="F490"/>
  <c r="L490" s="1"/>
  <c r="F488"/>
  <c r="L488" s="1"/>
  <c r="F486"/>
  <c r="L486" s="1"/>
  <c r="J484"/>
  <c r="F484"/>
  <c r="C457"/>
  <c r="D457"/>
  <c r="X215" i="1"/>
  <c r="V215"/>
  <c r="S215"/>
  <c r="P215"/>
  <c r="N215"/>
  <c r="O215" s="1"/>
  <c r="M215"/>
  <c r="X214"/>
  <c r="V214"/>
  <c r="S214"/>
  <c r="P214"/>
  <c r="O214"/>
  <c r="N214"/>
  <c r="M214"/>
  <c r="X213"/>
  <c r="V213"/>
  <c r="S213"/>
  <c r="P213"/>
  <c r="N213"/>
  <c r="O213" s="1"/>
  <c r="M213"/>
  <c r="X212"/>
  <c r="V212"/>
  <c r="S212"/>
  <c r="P212"/>
  <c r="O212"/>
  <c r="N212"/>
  <c r="M212"/>
  <c r="X211"/>
  <c r="V211"/>
  <c r="S211"/>
  <c r="P211"/>
  <c r="N211"/>
  <c r="O211" s="1"/>
  <c r="M211"/>
  <c r="X210"/>
  <c r="V210"/>
  <c r="S210"/>
  <c r="P210"/>
  <c r="O210"/>
  <c r="N210"/>
  <c r="M210"/>
  <c r="X207"/>
  <c r="V207"/>
  <c r="S207"/>
  <c r="P207"/>
  <c r="N207"/>
  <c r="O207" s="1"/>
  <c r="M207"/>
  <c r="X206"/>
  <c r="V206"/>
  <c r="S206"/>
  <c r="P206"/>
  <c r="N206"/>
  <c r="O206" s="1"/>
  <c r="M206"/>
  <c r="X203"/>
  <c r="V203"/>
  <c r="S203"/>
  <c r="P203"/>
  <c r="N203"/>
  <c r="O203" s="1"/>
  <c r="M203"/>
  <c r="X202"/>
  <c r="V202"/>
  <c r="S202"/>
  <c r="P202"/>
  <c r="N202"/>
  <c r="O202" s="1"/>
  <c r="M202"/>
  <c r="X200"/>
  <c r="V200"/>
  <c r="S200"/>
  <c r="P200"/>
  <c r="N200"/>
  <c r="O200" s="1"/>
  <c r="M200"/>
  <c r="X198"/>
  <c r="V198"/>
  <c r="S198"/>
  <c r="P198"/>
  <c r="N198"/>
  <c r="O198" s="1"/>
  <c r="M198"/>
  <c r="X196"/>
  <c r="V196"/>
  <c r="S196"/>
  <c r="P196"/>
  <c r="O196"/>
  <c r="N196"/>
  <c r="M196"/>
  <c r="V195"/>
  <c r="S195"/>
  <c r="P195"/>
  <c r="N195"/>
  <c r="O195" s="1"/>
  <c r="M195"/>
  <c r="X194"/>
  <c r="V194"/>
  <c r="S194"/>
  <c r="P194"/>
  <c r="N194"/>
  <c r="O194" s="1"/>
  <c r="M194"/>
  <c r="X193"/>
  <c r="V193"/>
  <c r="S193"/>
  <c r="P193"/>
  <c r="N193"/>
  <c r="O193" s="1"/>
  <c r="M193"/>
  <c r="X192"/>
  <c r="V192"/>
  <c r="S192"/>
  <c r="P192"/>
  <c r="N192"/>
  <c r="O192" s="1"/>
  <c r="M192"/>
  <c r="X191"/>
  <c r="V191"/>
  <c r="S191"/>
  <c r="P191"/>
  <c r="N191"/>
  <c r="O191" s="1"/>
  <c r="M191"/>
  <c r="X189"/>
  <c r="V189"/>
  <c r="S189"/>
  <c r="P189"/>
  <c r="N189"/>
  <c r="O189" s="1"/>
  <c r="M189"/>
  <c r="X188"/>
  <c r="V188"/>
  <c r="S188"/>
  <c r="P188"/>
  <c r="O188"/>
  <c r="N188"/>
  <c r="M188"/>
  <c r="X187"/>
  <c r="V187"/>
  <c r="S187"/>
  <c r="P187"/>
  <c r="N187"/>
  <c r="O187" s="1"/>
  <c r="M187"/>
  <c r="X186"/>
  <c r="V186"/>
  <c r="S186"/>
  <c r="P186"/>
  <c r="N186"/>
  <c r="O186" s="1"/>
  <c r="M186"/>
  <c r="W216"/>
  <c r="W218" s="1"/>
  <c r="N8" i="2" s="1"/>
  <c r="U216" i="1"/>
  <c r="U218" s="1"/>
  <c r="L8" i="2" s="1"/>
  <c r="T216" i="1"/>
  <c r="T218" s="1"/>
  <c r="Q216"/>
  <c r="Q218" s="1"/>
  <c r="L216"/>
  <c r="L218" s="1"/>
  <c r="E8" i="2" s="1"/>
  <c r="K216" i="1"/>
  <c r="K218" s="1"/>
  <c r="J216"/>
  <c r="J218" s="1"/>
  <c r="G216"/>
  <c r="G218" s="1"/>
  <c r="C8" i="2" s="1"/>
  <c r="R216" i="1"/>
  <c r="X185"/>
  <c r="V185"/>
  <c r="S185"/>
  <c r="P185"/>
  <c r="N185"/>
  <c r="M185"/>
  <c r="D380" i="3"/>
  <c r="D358"/>
  <c r="F443"/>
  <c r="L443" s="1"/>
  <c r="L178" i="1"/>
  <c r="K178"/>
  <c r="G178"/>
  <c r="W178"/>
  <c r="U178"/>
  <c r="T178"/>
  <c r="Q178"/>
  <c r="M358" i="3"/>
  <c r="N358" s="1"/>
  <c r="J528" l="1"/>
  <c r="J526"/>
  <c r="J520"/>
  <c r="J504"/>
  <c r="J502"/>
  <c r="J500"/>
  <c r="J492"/>
  <c r="J488"/>
  <c r="F546"/>
  <c r="L546" s="1"/>
  <c r="F455"/>
  <c r="F457" s="1"/>
  <c r="L536"/>
  <c r="L506"/>
  <c r="J486"/>
  <c r="D478"/>
  <c r="L484"/>
  <c r="N216" i="1"/>
  <c r="O216" s="1"/>
  <c r="O218" s="1"/>
  <c r="S216"/>
  <c r="R218"/>
  <c r="V218"/>
  <c r="X218"/>
  <c r="O8" i="2" s="1"/>
  <c r="O185" i="1"/>
  <c r="P216"/>
  <c r="P218" s="1"/>
  <c r="I8" i="2" s="1"/>
  <c r="V216" i="1"/>
  <c r="X216"/>
  <c r="M216"/>
  <c r="M218" s="1"/>
  <c r="F8" i="2" s="1"/>
  <c r="J443" i="3"/>
  <c r="X178" i="1"/>
  <c r="M178"/>
  <c r="P178"/>
  <c r="V178"/>
  <c r="R163"/>
  <c r="R160"/>
  <c r="S160" s="1"/>
  <c r="R158"/>
  <c r="R153"/>
  <c r="R178" s="1"/>
  <c r="F447" i="3"/>
  <c r="L447" s="1"/>
  <c r="F441"/>
  <c r="L441" s="1"/>
  <c r="F439"/>
  <c r="L439" s="1"/>
  <c r="F437"/>
  <c r="L437" s="1"/>
  <c r="F435"/>
  <c r="L435" s="1"/>
  <c r="F433"/>
  <c r="L433" s="1"/>
  <c r="F429"/>
  <c r="L429" s="1"/>
  <c r="F427"/>
  <c r="L427" s="1"/>
  <c r="F425"/>
  <c r="L425" s="1"/>
  <c r="F423"/>
  <c r="L423" s="1"/>
  <c r="F421"/>
  <c r="L421" s="1"/>
  <c r="F419"/>
  <c r="L419" s="1"/>
  <c r="F413"/>
  <c r="L413" s="1"/>
  <c r="F411"/>
  <c r="L411" s="1"/>
  <c r="F409"/>
  <c r="L409" s="1"/>
  <c r="F407"/>
  <c r="L407" s="1"/>
  <c r="F405"/>
  <c r="L405" s="1"/>
  <c r="F401"/>
  <c r="L401" s="1"/>
  <c r="F399"/>
  <c r="L399" s="1"/>
  <c r="F397"/>
  <c r="L397" s="1"/>
  <c r="F395"/>
  <c r="L395" s="1"/>
  <c r="F393"/>
  <c r="L393" s="1"/>
  <c r="K449"/>
  <c r="I449"/>
  <c r="H449"/>
  <c r="G449"/>
  <c r="E449"/>
  <c r="F391"/>
  <c r="L391" s="1"/>
  <c r="F387"/>
  <c r="C360"/>
  <c r="D360"/>
  <c r="D262"/>
  <c r="R138" i="1"/>
  <c r="Q138"/>
  <c r="X177"/>
  <c r="V177"/>
  <c r="S177"/>
  <c r="P177"/>
  <c r="N177"/>
  <c r="O177" s="1"/>
  <c r="M177"/>
  <c r="X175"/>
  <c r="V175"/>
  <c r="S175"/>
  <c r="P175"/>
  <c r="N175"/>
  <c r="O175" s="1"/>
  <c r="M175"/>
  <c r="X174"/>
  <c r="V174"/>
  <c r="S174"/>
  <c r="P174"/>
  <c r="N174"/>
  <c r="O174" s="1"/>
  <c r="M174"/>
  <c r="X173"/>
  <c r="V173"/>
  <c r="S173"/>
  <c r="P173"/>
  <c r="N173"/>
  <c r="O173" s="1"/>
  <c r="M173"/>
  <c r="X172"/>
  <c r="V172"/>
  <c r="S172"/>
  <c r="P172"/>
  <c r="N172"/>
  <c r="O172" s="1"/>
  <c r="M172"/>
  <c r="X171"/>
  <c r="V171"/>
  <c r="S171"/>
  <c r="P171"/>
  <c r="N171"/>
  <c r="O171" s="1"/>
  <c r="M171"/>
  <c r="X170"/>
  <c r="V170"/>
  <c r="S170"/>
  <c r="P170"/>
  <c r="N170"/>
  <c r="O170" s="1"/>
  <c r="M170"/>
  <c r="X168"/>
  <c r="V168"/>
  <c r="S168"/>
  <c r="P168"/>
  <c r="N168"/>
  <c r="O168" s="1"/>
  <c r="M168"/>
  <c r="X167"/>
  <c r="V167"/>
  <c r="S167"/>
  <c r="P167"/>
  <c r="N167"/>
  <c r="O167" s="1"/>
  <c r="M167"/>
  <c r="X166"/>
  <c r="V166"/>
  <c r="S166"/>
  <c r="P166"/>
  <c r="N166"/>
  <c r="O166" s="1"/>
  <c r="M166"/>
  <c r="X165"/>
  <c r="V165"/>
  <c r="S165"/>
  <c r="P165"/>
  <c r="N165"/>
  <c r="O165" s="1"/>
  <c r="M165"/>
  <c r="X164"/>
  <c r="V164"/>
  <c r="S164"/>
  <c r="P164"/>
  <c r="N164"/>
  <c r="O164" s="1"/>
  <c r="M164"/>
  <c r="X163"/>
  <c r="V163"/>
  <c r="S163"/>
  <c r="P163"/>
  <c r="N163"/>
  <c r="O163" s="1"/>
  <c r="M163"/>
  <c r="X160"/>
  <c r="V160"/>
  <c r="P160"/>
  <c r="N160"/>
  <c r="O160" s="1"/>
  <c r="M160"/>
  <c r="X159"/>
  <c r="V159"/>
  <c r="S159"/>
  <c r="P159"/>
  <c r="N159"/>
  <c r="O159" s="1"/>
  <c r="M159"/>
  <c r="X158"/>
  <c r="V158"/>
  <c r="S158"/>
  <c r="P158"/>
  <c r="N158"/>
  <c r="O158" s="1"/>
  <c r="M158"/>
  <c r="X157"/>
  <c r="V157"/>
  <c r="S157"/>
  <c r="P157"/>
  <c r="N157"/>
  <c r="O157" s="1"/>
  <c r="M157"/>
  <c r="X156"/>
  <c r="V156"/>
  <c r="S156"/>
  <c r="P156"/>
  <c r="N156"/>
  <c r="O156" s="1"/>
  <c r="M156"/>
  <c r="X154"/>
  <c r="V154"/>
  <c r="S154"/>
  <c r="P154"/>
  <c r="N154"/>
  <c r="O154" s="1"/>
  <c r="M154"/>
  <c r="X153"/>
  <c r="V153"/>
  <c r="S153"/>
  <c r="P153"/>
  <c r="O153"/>
  <c r="N153"/>
  <c r="M153"/>
  <c r="X152"/>
  <c r="V152"/>
  <c r="S152"/>
  <c r="P152"/>
  <c r="N152"/>
  <c r="O152" s="1"/>
  <c r="M152"/>
  <c r="X151"/>
  <c r="V151"/>
  <c r="S151"/>
  <c r="P151"/>
  <c r="N151"/>
  <c r="O151" s="1"/>
  <c r="M151"/>
  <c r="X150"/>
  <c r="V150"/>
  <c r="S150"/>
  <c r="P150"/>
  <c r="N150"/>
  <c r="O150" s="1"/>
  <c r="M150"/>
  <c r="W180"/>
  <c r="N7" i="2" s="1"/>
  <c r="U180" i="1"/>
  <c r="L7" i="2" s="1"/>
  <c r="L15" s="1"/>
  <c r="T180" i="1"/>
  <c r="R180"/>
  <c r="J7" i="2" s="1"/>
  <c r="Q180" i="1"/>
  <c r="L180"/>
  <c r="E7" i="2" s="1"/>
  <c r="E15" s="1"/>
  <c r="K180" i="1"/>
  <c r="J178"/>
  <c r="J180" s="1"/>
  <c r="G180"/>
  <c r="C7" i="2" s="1"/>
  <c r="C15" s="1"/>
  <c r="X149" i="1"/>
  <c r="V149"/>
  <c r="S149"/>
  <c r="P149"/>
  <c r="N149"/>
  <c r="O149" s="1"/>
  <c r="M149"/>
  <c r="X147"/>
  <c r="V147"/>
  <c r="S147"/>
  <c r="P147"/>
  <c r="N147"/>
  <c r="M147"/>
  <c r="S137"/>
  <c r="F343" i="3"/>
  <c r="F341"/>
  <c r="F339"/>
  <c r="F15" i="2" l="1"/>
  <c r="M15"/>
  <c r="N218" i="1"/>
  <c r="T455" i="3"/>
  <c r="F477" s="1"/>
  <c r="J546"/>
  <c r="S218" i="1"/>
  <c r="K8" i="2" s="1"/>
  <c r="J8"/>
  <c r="J15" s="1"/>
  <c r="K15" s="1"/>
  <c r="J447" i="3"/>
  <c r="J441"/>
  <c r="J401"/>
  <c r="J409"/>
  <c r="J437"/>
  <c r="J433"/>
  <c r="J429"/>
  <c r="J425"/>
  <c r="D381"/>
  <c r="F449"/>
  <c r="J449" s="1"/>
  <c r="J397"/>
  <c r="J405"/>
  <c r="J413"/>
  <c r="J421"/>
  <c r="J387"/>
  <c r="J393"/>
  <c r="J391"/>
  <c r="J395"/>
  <c r="J399"/>
  <c r="J407"/>
  <c r="J411"/>
  <c r="J419"/>
  <c r="J423"/>
  <c r="J427"/>
  <c r="J435"/>
  <c r="J439"/>
  <c r="F358"/>
  <c r="L387"/>
  <c r="N178" i="1"/>
  <c r="O178" s="1"/>
  <c r="O180" s="1"/>
  <c r="S180"/>
  <c r="K7" i="2" s="1"/>
  <c r="V180" i="1"/>
  <c r="X180"/>
  <c r="O7" i="2" s="1"/>
  <c r="O147" i="1"/>
  <c r="P180"/>
  <c r="I7" i="2" s="1"/>
  <c r="M180" i="1"/>
  <c r="F7" i="2" s="1"/>
  <c r="S178" i="1"/>
  <c r="X137"/>
  <c r="V137"/>
  <c r="P137"/>
  <c r="N137"/>
  <c r="O137" s="1"/>
  <c r="M137"/>
  <c r="F325" i="3"/>
  <c r="L449" l="1"/>
  <c r="N180" i="1"/>
  <c r="F360" i="3"/>
  <c r="T358"/>
  <c r="F380" s="1"/>
  <c r="F246"/>
  <c r="F244"/>
  <c r="E224" l="1"/>
  <c r="G103" i="1"/>
  <c r="G102"/>
  <c r="G99"/>
  <c r="G97"/>
  <c r="F349" i="3" l="1"/>
  <c r="L349" s="1"/>
  <c r="F347"/>
  <c r="L347" s="1"/>
  <c r="F345"/>
  <c r="L345" s="1"/>
  <c r="F337"/>
  <c r="J337" s="1"/>
  <c r="F335"/>
  <c r="L335" s="1"/>
  <c r="F333"/>
  <c r="J333" s="1"/>
  <c r="F331"/>
  <c r="L331" s="1"/>
  <c r="F329"/>
  <c r="J329" s="1"/>
  <c r="F327"/>
  <c r="L327" s="1"/>
  <c r="F323"/>
  <c r="L323" s="1"/>
  <c r="F321"/>
  <c r="J321" s="1"/>
  <c r="F319"/>
  <c r="F317"/>
  <c r="J317" s="1"/>
  <c r="F315"/>
  <c r="L315" s="1"/>
  <c r="F313"/>
  <c r="F311"/>
  <c r="F309"/>
  <c r="J309" s="1"/>
  <c r="F307"/>
  <c r="L307" s="1"/>
  <c r="F305"/>
  <c r="J305" s="1"/>
  <c r="F303"/>
  <c r="L303" s="1"/>
  <c r="F295"/>
  <c r="L295" s="1"/>
  <c r="C264"/>
  <c r="F291"/>
  <c r="K351"/>
  <c r="I351"/>
  <c r="F262" s="1"/>
  <c r="H351"/>
  <c r="G351"/>
  <c r="F293"/>
  <c r="J293" s="1"/>
  <c r="D264"/>
  <c r="D284" s="1"/>
  <c r="D285" l="1"/>
  <c r="J307"/>
  <c r="L309"/>
  <c r="J327"/>
  <c r="J335"/>
  <c r="J349"/>
  <c r="J303"/>
  <c r="J315"/>
  <c r="J323"/>
  <c r="J331"/>
  <c r="J345"/>
  <c r="J295"/>
  <c r="L305"/>
  <c r="L317"/>
  <c r="L321"/>
  <c r="L329"/>
  <c r="L333"/>
  <c r="L337"/>
  <c r="J347"/>
  <c r="L291"/>
  <c r="J291"/>
  <c r="F351"/>
  <c r="J351" s="1"/>
  <c r="E351"/>
  <c r="T262"/>
  <c r="F284" s="1"/>
  <c r="L293"/>
  <c r="F264"/>
  <c r="L351" l="1"/>
  <c r="X139" i="1"/>
  <c r="V139"/>
  <c r="S139"/>
  <c r="P139"/>
  <c r="N139"/>
  <c r="O139" s="1"/>
  <c r="M139"/>
  <c r="X138"/>
  <c r="V138"/>
  <c r="S138"/>
  <c r="P138"/>
  <c r="N138"/>
  <c r="O138" s="1"/>
  <c r="M138"/>
  <c r="X134"/>
  <c r="V134"/>
  <c r="S134"/>
  <c r="P134"/>
  <c r="N134"/>
  <c r="O134" s="1"/>
  <c r="M134"/>
  <c r="X133"/>
  <c r="V133"/>
  <c r="S133"/>
  <c r="P133"/>
  <c r="N133"/>
  <c r="O133" s="1"/>
  <c r="M133"/>
  <c r="X132"/>
  <c r="V132"/>
  <c r="S132"/>
  <c r="P132"/>
  <c r="N132"/>
  <c r="O132" s="1"/>
  <c r="M132"/>
  <c r="X131"/>
  <c r="V131"/>
  <c r="S131"/>
  <c r="P131"/>
  <c r="N131"/>
  <c r="O131" s="1"/>
  <c r="M131"/>
  <c r="X130"/>
  <c r="V130"/>
  <c r="S130"/>
  <c r="P130"/>
  <c r="N130"/>
  <c r="O130" s="1"/>
  <c r="M130"/>
  <c r="X129"/>
  <c r="V129"/>
  <c r="S129"/>
  <c r="P129"/>
  <c r="N129"/>
  <c r="O129" s="1"/>
  <c r="M129"/>
  <c r="X127"/>
  <c r="V127"/>
  <c r="S127"/>
  <c r="P127"/>
  <c r="N127"/>
  <c r="O127" s="1"/>
  <c r="M127"/>
  <c r="X126"/>
  <c r="V126"/>
  <c r="S126"/>
  <c r="P126"/>
  <c r="N126"/>
  <c r="O126" s="1"/>
  <c r="M126"/>
  <c r="X124"/>
  <c r="V124"/>
  <c r="S124"/>
  <c r="P124"/>
  <c r="N124"/>
  <c r="O124" s="1"/>
  <c r="M124"/>
  <c r="X123"/>
  <c r="V123"/>
  <c r="S123"/>
  <c r="P123"/>
  <c r="N123"/>
  <c r="O123" s="1"/>
  <c r="M123"/>
  <c r="X120"/>
  <c r="V120"/>
  <c r="S120"/>
  <c r="P120"/>
  <c r="N120"/>
  <c r="O120" s="1"/>
  <c r="M120"/>
  <c r="X119"/>
  <c r="V119"/>
  <c r="S119"/>
  <c r="P119"/>
  <c r="N119"/>
  <c r="O119" s="1"/>
  <c r="M119"/>
  <c r="X118"/>
  <c r="V118"/>
  <c r="S118"/>
  <c r="P118"/>
  <c r="N118"/>
  <c r="O118" s="1"/>
  <c r="M118"/>
  <c r="X117"/>
  <c r="V117"/>
  <c r="S117"/>
  <c r="P117"/>
  <c r="N117"/>
  <c r="O117" s="1"/>
  <c r="M117"/>
  <c r="X113"/>
  <c r="V113"/>
  <c r="S113"/>
  <c r="P113"/>
  <c r="N113"/>
  <c r="O113" s="1"/>
  <c r="M113"/>
  <c r="N111"/>
  <c r="O111" s="1"/>
  <c r="V111"/>
  <c r="U141"/>
  <c r="T141"/>
  <c r="T143" s="1"/>
  <c r="R141"/>
  <c r="Q141"/>
  <c r="Q143" s="1"/>
  <c r="L141"/>
  <c r="K141"/>
  <c r="K143" s="1"/>
  <c r="J141"/>
  <c r="J143" s="1"/>
  <c r="W141"/>
  <c r="X112"/>
  <c r="S112"/>
  <c r="N112"/>
  <c r="O112" s="1"/>
  <c r="M112"/>
  <c r="R143" l="1"/>
  <c r="U143"/>
  <c r="L143"/>
  <c r="P111"/>
  <c r="G141"/>
  <c r="X141" s="1"/>
  <c r="N141"/>
  <c r="N143" s="1"/>
  <c r="M111"/>
  <c r="S111"/>
  <c r="X111"/>
  <c r="W143"/>
  <c r="P112"/>
  <c r="V112"/>
  <c r="U105"/>
  <c r="R105"/>
  <c r="L105"/>
  <c r="K105"/>
  <c r="F232" i="3"/>
  <c r="G143" i="1" l="1"/>
  <c r="V143" s="1"/>
  <c r="P141"/>
  <c r="S141"/>
  <c r="V141"/>
  <c r="O141"/>
  <c r="O143" s="1"/>
  <c r="M141"/>
  <c r="X143"/>
  <c r="E216" i="3"/>
  <c r="B75" i="4"/>
  <c r="S143" i="1" l="1"/>
  <c r="M143"/>
  <c r="P143"/>
  <c r="G86"/>
  <c r="G90"/>
  <c r="E202" i="3"/>
  <c r="G79" i="1"/>
  <c r="G105" s="1"/>
  <c r="P105" l="1"/>
  <c r="M105"/>
  <c r="F202" i="3" l="1"/>
  <c r="L202" s="1"/>
  <c r="K254"/>
  <c r="I254"/>
  <c r="F171" s="1"/>
  <c r="F173" s="1"/>
  <c r="H254"/>
  <c r="G254"/>
  <c r="F252"/>
  <c r="F250"/>
  <c r="L250" s="1"/>
  <c r="F248"/>
  <c r="L248" s="1"/>
  <c r="F242"/>
  <c r="L242" s="1"/>
  <c r="F240"/>
  <c r="L240" s="1"/>
  <c r="F238"/>
  <c r="L238" s="1"/>
  <c r="F236"/>
  <c r="L236" s="1"/>
  <c r="F234"/>
  <c r="L234" s="1"/>
  <c r="F230"/>
  <c r="L230" s="1"/>
  <c r="F228"/>
  <c r="L228" s="1"/>
  <c r="F226"/>
  <c r="L226" s="1"/>
  <c r="F224"/>
  <c r="L224" s="1"/>
  <c r="F222"/>
  <c r="L222" s="1"/>
  <c r="F220"/>
  <c r="L220" s="1"/>
  <c r="F218"/>
  <c r="F216"/>
  <c r="F214"/>
  <c r="F210"/>
  <c r="L210" s="1"/>
  <c r="F208"/>
  <c r="L208" s="1"/>
  <c r="F206"/>
  <c r="L206" s="1"/>
  <c r="E254"/>
  <c r="F204"/>
  <c r="F200"/>
  <c r="C173"/>
  <c r="D173"/>
  <c r="D193" s="1"/>
  <c r="W81" i="1"/>
  <c r="X81" s="1"/>
  <c r="X91"/>
  <c r="V91"/>
  <c r="S91"/>
  <c r="P91"/>
  <c r="N91"/>
  <c r="O91" s="1"/>
  <c r="M91"/>
  <c r="X90"/>
  <c r="V90"/>
  <c r="S90"/>
  <c r="P90"/>
  <c r="N90"/>
  <c r="O90" s="1"/>
  <c r="M90"/>
  <c r="X89"/>
  <c r="V89"/>
  <c r="S89"/>
  <c r="P89"/>
  <c r="N89"/>
  <c r="O89" s="1"/>
  <c r="M89"/>
  <c r="X88"/>
  <c r="V88"/>
  <c r="S88"/>
  <c r="P88"/>
  <c r="N88"/>
  <c r="O88" s="1"/>
  <c r="M88"/>
  <c r="X86"/>
  <c r="V86"/>
  <c r="S86"/>
  <c r="P86"/>
  <c r="N86"/>
  <c r="O86" s="1"/>
  <c r="M86"/>
  <c r="X85"/>
  <c r="V85"/>
  <c r="S85"/>
  <c r="P85"/>
  <c r="N85"/>
  <c r="O85" s="1"/>
  <c r="M85"/>
  <c r="X83"/>
  <c r="V83"/>
  <c r="S83"/>
  <c r="P83"/>
  <c r="N83"/>
  <c r="O83" s="1"/>
  <c r="M83"/>
  <c r="X82"/>
  <c r="V82"/>
  <c r="S82"/>
  <c r="P82"/>
  <c r="N82"/>
  <c r="O82" s="1"/>
  <c r="M82"/>
  <c r="V81"/>
  <c r="S81"/>
  <c r="P81"/>
  <c r="N81"/>
  <c r="O81" s="1"/>
  <c r="M81"/>
  <c r="D194" i="3" l="1"/>
  <c r="J222"/>
  <c r="J202"/>
  <c r="F254"/>
  <c r="L254" s="1"/>
  <c r="J230"/>
  <c r="J238"/>
  <c r="J248"/>
  <c r="J226"/>
  <c r="J234"/>
  <c r="J242"/>
  <c r="J216"/>
  <c r="L216"/>
  <c r="J214"/>
  <c r="L214"/>
  <c r="T171"/>
  <c r="F193" s="1"/>
  <c r="J206"/>
  <c r="J208"/>
  <c r="J210"/>
  <c r="J220"/>
  <c r="J224"/>
  <c r="J228"/>
  <c r="J236"/>
  <c r="J240"/>
  <c r="J250"/>
  <c r="J254" l="1"/>
  <c r="N79" i="1" l="1"/>
  <c r="O79" s="1"/>
  <c r="X79"/>
  <c r="W105"/>
  <c r="Q105"/>
  <c r="Q107" s="1"/>
  <c r="K107"/>
  <c r="J105"/>
  <c r="J107" s="1"/>
  <c r="X103"/>
  <c r="V103"/>
  <c r="S103"/>
  <c r="P103"/>
  <c r="N103"/>
  <c r="O103" s="1"/>
  <c r="M103"/>
  <c r="X102"/>
  <c r="V102"/>
  <c r="S102"/>
  <c r="P102"/>
  <c r="N102"/>
  <c r="O102" s="1"/>
  <c r="M102"/>
  <c r="X99"/>
  <c r="V99"/>
  <c r="S99"/>
  <c r="P99"/>
  <c r="N99"/>
  <c r="O99" s="1"/>
  <c r="M99"/>
  <c r="X98"/>
  <c r="V98"/>
  <c r="S98"/>
  <c r="P98"/>
  <c r="N98"/>
  <c r="O98" s="1"/>
  <c r="M98"/>
  <c r="X97"/>
  <c r="V97"/>
  <c r="S97"/>
  <c r="P97"/>
  <c r="N97"/>
  <c r="O97" s="1"/>
  <c r="M97"/>
  <c r="X96"/>
  <c r="V96"/>
  <c r="S96"/>
  <c r="P96"/>
  <c r="N96"/>
  <c r="O96" s="1"/>
  <c r="M96"/>
  <c r="X95"/>
  <c r="V95"/>
  <c r="S95"/>
  <c r="P95"/>
  <c r="N95"/>
  <c r="O95" s="1"/>
  <c r="M95"/>
  <c r="X93"/>
  <c r="V93"/>
  <c r="S93"/>
  <c r="P93"/>
  <c r="N93"/>
  <c r="O93" s="1"/>
  <c r="M93"/>
  <c r="X92"/>
  <c r="V92"/>
  <c r="S92"/>
  <c r="P92"/>
  <c r="N92"/>
  <c r="O92" s="1"/>
  <c r="M92"/>
  <c r="T105"/>
  <c r="T107" s="1"/>
  <c r="L36" i="4"/>
  <c r="B39"/>
  <c r="D83" i="3"/>
  <c r="E132"/>
  <c r="G56" i="1"/>
  <c r="U48"/>
  <c r="N105" l="1"/>
  <c r="N107" s="1"/>
  <c r="W107"/>
  <c r="P79"/>
  <c r="V79"/>
  <c r="M79"/>
  <c r="S79"/>
  <c r="U107"/>
  <c r="L107"/>
  <c r="R107"/>
  <c r="T48"/>
  <c r="V105" l="1"/>
  <c r="X105"/>
  <c r="S105"/>
  <c r="G107"/>
  <c r="O105"/>
  <c r="O107" s="1"/>
  <c r="S107"/>
  <c r="C10" i="5"/>
  <c r="P107" i="1" l="1"/>
  <c r="X107"/>
  <c r="M107"/>
  <c r="V107"/>
  <c r="B8" i="5"/>
  <c r="B10" s="1"/>
  <c r="E122" i="3" l="1"/>
  <c r="G51" i="1"/>
  <c r="E126" i="3" l="1"/>
  <c r="G53" i="1"/>
  <c r="E120" i="3"/>
  <c r="G50" i="1"/>
  <c r="E118" i="3" l="1"/>
  <c r="G49" i="1"/>
  <c r="V49" s="1"/>
  <c r="E128" i="3"/>
  <c r="G54" i="1"/>
  <c r="V54" s="1"/>
  <c r="L35" i="4"/>
  <c r="B38"/>
  <c r="E71" i="3"/>
  <c r="E49"/>
  <c r="E45"/>
  <c r="E41"/>
  <c r="D4"/>
  <c r="G22" i="1"/>
  <c r="G11"/>
  <c r="G9"/>
  <c r="G7"/>
  <c r="F162" i="3"/>
  <c r="L162" s="1"/>
  <c r="F160"/>
  <c r="L160" s="1"/>
  <c r="F158"/>
  <c r="L158" s="1"/>
  <c r="F156"/>
  <c r="L156" s="1"/>
  <c r="F154"/>
  <c r="L154" s="1"/>
  <c r="F152"/>
  <c r="L152" s="1"/>
  <c r="F150"/>
  <c r="L150" s="1"/>
  <c r="F148"/>
  <c r="L148" s="1"/>
  <c r="F146"/>
  <c r="L146" s="1"/>
  <c r="F144"/>
  <c r="J144" s="1"/>
  <c r="F142"/>
  <c r="L142" s="1"/>
  <c r="F140"/>
  <c r="L140" s="1"/>
  <c r="F138"/>
  <c r="L138" s="1"/>
  <c r="F136"/>
  <c r="L136" s="1"/>
  <c r="F134"/>
  <c r="L134" s="1"/>
  <c r="F132"/>
  <c r="L132" s="1"/>
  <c r="F130"/>
  <c r="L130" s="1"/>
  <c r="F128"/>
  <c r="L128" s="1"/>
  <c r="F126"/>
  <c r="L126" s="1"/>
  <c r="F124"/>
  <c r="F122"/>
  <c r="L122" s="1"/>
  <c r="F120"/>
  <c r="J120" s="1"/>
  <c r="F118"/>
  <c r="L118" s="1"/>
  <c r="K164"/>
  <c r="I164"/>
  <c r="F83" s="1"/>
  <c r="H164"/>
  <c r="G164"/>
  <c r="E164"/>
  <c r="F116"/>
  <c r="L116" s="1"/>
  <c r="F114"/>
  <c r="F112"/>
  <c r="C85"/>
  <c r="D85"/>
  <c r="D105" s="1"/>
  <c r="X69" i="1"/>
  <c r="V69"/>
  <c r="S69"/>
  <c r="P69"/>
  <c r="N69"/>
  <c r="O69" s="1"/>
  <c r="M69"/>
  <c r="X68"/>
  <c r="V68"/>
  <c r="S68"/>
  <c r="P68"/>
  <c r="N68"/>
  <c r="O68" s="1"/>
  <c r="M68"/>
  <c r="X67"/>
  <c r="V67"/>
  <c r="S67"/>
  <c r="P67"/>
  <c r="N67"/>
  <c r="O67" s="1"/>
  <c r="M67"/>
  <c r="X66"/>
  <c r="V66"/>
  <c r="S66"/>
  <c r="P66"/>
  <c r="N66"/>
  <c r="O66" s="1"/>
  <c r="M66"/>
  <c r="X65"/>
  <c r="V65"/>
  <c r="S65"/>
  <c r="P65"/>
  <c r="N65"/>
  <c r="O65" s="1"/>
  <c r="M65"/>
  <c r="X64"/>
  <c r="V64"/>
  <c r="S64"/>
  <c r="P64"/>
  <c r="N64"/>
  <c r="O64" s="1"/>
  <c r="M64"/>
  <c r="X63"/>
  <c r="V63"/>
  <c r="S63"/>
  <c r="P63"/>
  <c r="N63"/>
  <c r="O63" s="1"/>
  <c r="M63"/>
  <c r="X62"/>
  <c r="V62"/>
  <c r="S62"/>
  <c r="P62"/>
  <c r="N62"/>
  <c r="O62" s="1"/>
  <c r="M62"/>
  <c r="X61"/>
  <c r="V61"/>
  <c r="S61"/>
  <c r="P61"/>
  <c r="N61"/>
  <c r="O61" s="1"/>
  <c r="M61"/>
  <c r="X60"/>
  <c r="V60"/>
  <c r="S60"/>
  <c r="P60"/>
  <c r="N60"/>
  <c r="O60" s="1"/>
  <c r="M60"/>
  <c r="X58"/>
  <c r="V58"/>
  <c r="S58"/>
  <c r="P58"/>
  <c r="N58"/>
  <c r="O58" s="1"/>
  <c r="M58"/>
  <c r="X57"/>
  <c r="V57"/>
  <c r="S57"/>
  <c r="P57"/>
  <c r="N57"/>
  <c r="O57" s="1"/>
  <c r="M57"/>
  <c r="X56"/>
  <c r="V56"/>
  <c r="S56"/>
  <c r="P56"/>
  <c r="N56"/>
  <c r="O56" s="1"/>
  <c r="M56"/>
  <c r="X55"/>
  <c r="V55"/>
  <c r="S55"/>
  <c r="P55"/>
  <c r="N55"/>
  <c r="O55" s="1"/>
  <c r="M55"/>
  <c r="X54"/>
  <c r="S54"/>
  <c r="N54"/>
  <c r="O54" s="1"/>
  <c r="X53"/>
  <c r="V53"/>
  <c r="S53"/>
  <c r="P53"/>
  <c r="N53"/>
  <c r="O53" s="1"/>
  <c r="M53"/>
  <c r="X51"/>
  <c r="V51"/>
  <c r="S51"/>
  <c r="P51"/>
  <c r="N51"/>
  <c r="O51" s="1"/>
  <c r="M51"/>
  <c r="X50"/>
  <c r="V50"/>
  <c r="S50"/>
  <c r="P50"/>
  <c r="N50"/>
  <c r="O50" s="1"/>
  <c r="M50"/>
  <c r="X49"/>
  <c r="S49"/>
  <c r="N49"/>
  <c r="O49" s="1"/>
  <c r="W71"/>
  <c r="W73" s="1"/>
  <c r="T71"/>
  <c r="T73" s="1"/>
  <c r="R71"/>
  <c r="R73" s="1"/>
  <c r="Q71"/>
  <c r="Q73" s="1"/>
  <c r="L71"/>
  <c r="L73" s="1"/>
  <c r="K71"/>
  <c r="K73" s="1"/>
  <c r="J71"/>
  <c r="J73" s="1"/>
  <c r="X70"/>
  <c r="V70"/>
  <c r="S70"/>
  <c r="P70"/>
  <c r="N70"/>
  <c r="O70" s="1"/>
  <c r="M70"/>
  <c r="U71"/>
  <c r="X48"/>
  <c r="V48"/>
  <c r="S48"/>
  <c r="P48"/>
  <c r="N48"/>
  <c r="O48" s="1"/>
  <c r="M48"/>
  <c r="U21"/>
  <c r="U16"/>
  <c r="U15"/>
  <c r="G71" l="1"/>
  <c r="G73" s="1"/>
  <c r="M49"/>
  <c r="P49"/>
  <c r="M54"/>
  <c r="P54"/>
  <c r="J118" i="3"/>
  <c r="J146"/>
  <c r="J138"/>
  <c r="J154"/>
  <c r="J142"/>
  <c r="J150"/>
  <c r="J158"/>
  <c r="J162"/>
  <c r="J134"/>
  <c r="J130"/>
  <c r="J126"/>
  <c r="D106"/>
  <c r="J122"/>
  <c r="L120"/>
  <c r="L144"/>
  <c r="J128"/>
  <c r="J132"/>
  <c r="J136"/>
  <c r="J140"/>
  <c r="J148"/>
  <c r="J152"/>
  <c r="J156"/>
  <c r="J160"/>
  <c r="F164"/>
  <c r="J164" s="1"/>
  <c r="T83"/>
  <c r="F105" s="1"/>
  <c r="F85"/>
  <c r="J116"/>
  <c r="N71" i="1"/>
  <c r="O71" s="1"/>
  <c r="O73" s="1"/>
  <c r="S73"/>
  <c r="X73"/>
  <c r="U73"/>
  <c r="V71"/>
  <c r="P71"/>
  <c r="P73" s="1"/>
  <c r="X71"/>
  <c r="M71"/>
  <c r="M73" s="1"/>
  <c r="S71"/>
  <c r="U6"/>
  <c r="V73" l="1"/>
  <c r="L164" i="3"/>
  <c r="N73" i="1"/>
  <c r="J73" i="3"/>
  <c r="F71"/>
  <c r="L71" s="1"/>
  <c r="F69"/>
  <c r="L69" s="1"/>
  <c r="F67"/>
  <c r="F65"/>
  <c r="L65" s="1"/>
  <c r="F63"/>
  <c r="F61"/>
  <c r="F59"/>
  <c r="L59" s="1"/>
  <c r="F57"/>
  <c r="J57" s="1"/>
  <c r="F55"/>
  <c r="F53"/>
  <c r="L53" s="1"/>
  <c r="F51"/>
  <c r="L51" s="1"/>
  <c r="F49"/>
  <c r="L49" s="1"/>
  <c r="F45"/>
  <c r="J45" s="1"/>
  <c r="F43"/>
  <c r="L43" s="1"/>
  <c r="F41"/>
  <c r="L41" s="1"/>
  <c r="F39"/>
  <c r="L39" s="1"/>
  <c r="F37"/>
  <c r="J37" s="1"/>
  <c r="F35"/>
  <c r="L35" s="1"/>
  <c r="F33"/>
  <c r="X27" i="1"/>
  <c r="V27"/>
  <c r="S27"/>
  <c r="P27"/>
  <c r="N27"/>
  <c r="O27" s="1"/>
  <c r="M27"/>
  <c r="X26"/>
  <c r="V26"/>
  <c r="S26"/>
  <c r="P26"/>
  <c r="N26"/>
  <c r="O26" s="1"/>
  <c r="M26"/>
  <c r="X25"/>
  <c r="V25"/>
  <c r="S25"/>
  <c r="P25"/>
  <c r="N25"/>
  <c r="O25" s="1"/>
  <c r="M25"/>
  <c r="X24"/>
  <c r="V24"/>
  <c r="S24"/>
  <c r="P24"/>
  <c r="N24"/>
  <c r="O24" s="1"/>
  <c r="M24"/>
  <c r="X22"/>
  <c r="V22"/>
  <c r="S22"/>
  <c r="P22"/>
  <c r="N22"/>
  <c r="O22" s="1"/>
  <c r="M22"/>
  <c r="X21"/>
  <c r="V21"/>
  <c r="S21"/>
  <c r="P21"/>
  <c r="N21"/>
  <c r="O21" s="1"/>
  <c r="M21"/>
  <c r="X19"/>
  <c r="V19"/>
  <c r="S19"/>
  <c r="P19"/>
  <c r="N19"/>
  <c r="O19" s="1"/>
  <c r="M19"/>
  <c r="X16"/>
  <c r="V16"/>
  <c r="S16"/>
  <c r="P16"/>
  <c r="N16"/>
  <c r="O16" s="1"/>
  <c r="M16"/>
  <c r="X15"/>
  <c r="V15"/>
  <c r="S15"/>
  <c r="P15"/>
  <c r="N15"/>
  <c r="O15" s="1"/>
  <c r="M15"/>
  <c r="X13"/>
  <c r="V13"/>
  <c r="S13"/>
  <c r="P13"/>
  <c r="N13"/>
  <c r="O13" s="1"/>
  <c r="M13"/>
  <c r="X12"/>
  <c r="V12"/>
  <c r="S12"/>
  <c r="P12"/>
  <c r="N12"/>
  <c r="O12" s="1"/>
  <c r="M12"/>
  <c r="X11"/>
  <c r="V11"/>
  <c r="S11"/>
  <c r="P11"/>
  <c r="N11"/>
  <c r="O11" s="1"/>
  <c r="M11"/>
  <c r="X9"/>
  <c r="V9"/>
  <c r="S9"/>
  <c r="P9"/>
  <c r="N9"/>
  <c r="O9" s="1"/>
  <c r="M9"/>
  <c r="X8"/>
  <c r="V8"/>
  <c r="S8"/>
  <c r="P8"/>
  <c r="N8"/>
  <c r="O8" s="1"/>
  <c r="M8"/>
  <c r="X7"/>
  <c r="V7"/>
  <c r="S7"/>
  <c r="P7"/>
  <c r="N7"/>
  <c r="O7" s="1"/>
  <c r="M7"/>
  <c r="X6"/>
  <c r="V6"/>
  <c r="S6"/>
  <c r="P6"/>
  <c r="N6"/>
  <c r="O6" s="1"/>
  <c r="M6"/>
  <c r="J35" i="3" l="1"/>
  <c r="J71"/>
  <c r="J59"/>
  <c r="J51"/>
  <c r="J43"/>
  <c r="J39"/>
  <c r="L37"/>
  <c r="L45"/>
  <c r="L57"/>
  <c r="L73"/>
  <c r="J41"/>
  <c r="J49"/>
  <c r="J53"/>
  <c r="J65"/>
  <c r="J69"/>
  <c r="B71" i="4" l="1"/>
  <c r="N4" i="1" l="1"/>
  <c r="L83" i="4" l="1"/>
  <c r="F83"/>
  <c r="D83"/>
  <c r="C83"/>
  <c r="N82"/>
  <c r="G82"/>
  <c r="N81"/>
  <c r="G81"/>
  <c r="N80"/>
  <c r="G80"/>
  <c r="N79"/>
  <c r="G79"/>
  <c r="N78"/>
  <c r="G78"/>
  <c r="N77"/>
  <c r="G77"/>
  <c r="N76"/>
  <c r="G76"/>
  <c r="B83"/>
  <c r="N75"/>
  <c r="G75"/>
  <c r="K83"/>
  <c r="G74"/>
  <c r="N73"/>
  <c r="G73"/>
  <c r="N72"/>
  <c r="G72"/>
  <c r="N71"/>
  <c r="G71"/>
  <c r="R47"/>
  <c r="M47"/>
  <c r="L47"/>
  <c r="H47"/>
  <c r="C47"/>
  <c r="B47"/>
  <c r="S46"/>
  <c r="N46"/>
  <c r="I46"/>
  <c r="D46"/>
  <c r="S45"/>
  <c r="N45"/>
  <c r="I45"/>
  <c r="D45"/>
  <c r="S44"/>
  <c r="N44"/>
  <c r="I44"/>
  <c r="D44"/>
  <c r="S43"/>
  <c r="N43"/>
  <c r="I43"/>
  <c r="D43"/>
  <c r="S42"/>
  <c r="N42"/>
  <c r="I42"/>
  <c r="D42"/>
  <c r="S41"/>
  <c r="N41"/>
  <c r="I41"/>
  <c r="D41"/>
  <c r="S40"/>
  <c r="N40"/>
  <c r="I40"/>
  <c r="D40"/>
  <c r="S39"/>
  <c r="N39"/>
  <c r="I39"/>
  <c r="G47"/>
  <c r="D39"/>
  <c r="S38"/>
  <c r="N38"/>
  <c r="I38"/>
  <c r="D38"/>
  <c r="S37"/>
  <c r="N37"/>
  <c r="I37"/>
  <c r="D37"/>
  <c r="S36"/>
  <c r="N36"/>
  <c r="I36"/>
  <c r="D36"/>
  <c r="S35"/>
  <c r="N35"/>
  <c r="I35"/>
  <c r="D35"/>
  <c r="D47" l="1"/>
  <c r="G83"/>
  <c r="N47"/>
  <c r="N74"/>
  <c r="N83" s="1"/>
  <c r="I47"/>
  <c r="S47"/>
  <c r="Q47"/>
  <c r="K28" i="1" l="1"/>
  <c r="T28"/>
  <c r="T30" s="1"/>
  <c r="Q28"/>
  <c r="Q30" s="1"/>
  <c r="B58" i="4" l="1"/>
  <c r="G15" i="2" l="1"/>
  <c r="H15"/>
  <c r="Q20" i="4"/>
  <c r="G23"/>
  <c r="K56" l="1"/>
  <c r="N53"/>
  <c r="N64"/>
  <c r="N63"/>
  <c r="N62"/>
  <c r="N61"/>
  <c r="N60"/>
  <c r="N59"/>
  <c r="N58"/>
  <c r="N57"/>
  <c r="N56"/>
  <c r="N55"/>
  <c r="N54"/>
  <c r="L65"/>
  <c r="K65"/>
  <c r="G54"/>
  <c r="G53"/>
  <c r="N65" l="1"/>
  <c r="G64" l="1"/>
  <c r="G63"/>
  <c r="G62"/>
  <c r="G61"/>
  <c r="G60"/>
  <c r="G59"/>
  <c r="G58"/>
  <c r="G57"/>
  <c r="G56"/>
  <c r="G55"/>
  <c r="F65"/>
  <c r="G65" l="1"/>
  <c r="C65" l="1"/>
  <c r="B65"/>
  <c r="R31"/>
  <c r="Q31"/>
  <c r="M31"/>
  <c r="L31"/>
  <c r="H31"/>
  <c r="G31"/>
  <c r="C31"/>
  <c r="B31"/>
  <c r="S30"/>
  <c r="N30"/>
  <c r="I30"/>
  <c r="D30"/>
  <c r="S29"/>
  <c r="N29"/>
  <c r="I29"/>
  <c r="D29"/>
  <c r="S28"/>
  <c r="N28"/>
  <c r="I28"/>
  <c r="D28"/>
  <c r="S27"/>
  <c r="N27"/>
  <c r="I27"/>
  <c r="D27"/>
  <c r="S26"/>
  <c r="N26"/>
  <c r="I26"/>
  <c r="D26"/>
  <c r="S25"/>
  <c r="N25"/>
  <c r="I25"/>
  <c r="D25"/>
  <c r="S24"/>
  <c r="N24"/>
  <c r="I24"/>
  <c r="D24"/>
  <c r="S23"/>
  <c r="N23"/>
  <c r="I23"/>
  <c r="D23"/>
  <c r="S22"/>
  <c r="N22"/>
  <c r="I22"/>
  <c r="D22"/>
  <c r="S21"/>
  <c r="N21"/>
  <c r="I21"/>
  <c r="D21"/>
  <c r="S20"/>
  <c r="N20"/>
  <c r="I20"/>
  <c r="D20"/>
  <c r="S19"/>
  <c r="S31" s="1"/>
  <c r="N19"/>
  <c r="I19"/>
  <c r="I31" s="1"/>
  <c r="D19"/>
  <c r="M16"/>
  <c r="L16"/>
  <c r="C16"/>
  <c r="B16"/>
  <c r="S15"/>
  <c r="N15"/>
  <c r="I15"/>
  <c r="D15"/>
  <c r="S14"/>
  <c r="N14"/>
  <c r="I14"/>
  <c r="D14"/>
  <c r="S13"/>
  <c r="N13"/>
  <c r="I13"/>
  <c r="D13"/>
  <c r="S12"/>
  <c r="N12"/>
  <c r="I12"/>
  <c r="D12"/>
  <c r="S11"/>
  <c r="N11"/>
  <c r="I11"/>
  <c r="D11"/>
  <c r="S10"/>
  <c r="N10"/>
  <c r="I10"/>
  <c r="D10"/>
  <c r="S9"/>
  <c r="N9"/>
  <c r="I9"/>
  <c r="G16"/>
  <c r="D9"/>
  <c r="S8"/>
  <c r="N8"/>
  <c r="I8"/>
  <c r="D8"/>
  <c r="S7"/>
  <c r="N7"/>
  <c r="I7"/>
  <c r="D7"/>
  <c r="Q16"/>
  <c r="N6"/>
  <c r="I6"/>
  <c r="D6"/>
  <c r="S5"/>
  <c r="N5"/>
  <c r="I5"/>
  <c r="D5"/>
  <c r="S4"/>
  <c r="N4"/>
  <c r="I4"/>
  <c r="D4"/>
  <c r="N31" l="1"/>
  <c r="I16"/>
  <c r="D65"/>
  <c r="D31"/>
  <c r="D16"/>
  <c r="N16"/>
  <c r="S6"/>
  <c r="S16" s="1"/>
  <c r="H16"/>
  <c r="R16"/>
  <c r="E75" i="3" l="1"/>
  <c r="G75"/>
  <c r="H75"/>
  <c r="K75"/>
  <c r="X39" i="1" l="1"/>
  <c r="V39"/>
  <c r="S39"/>
  <c r="P39"/>
  <c r="N39"/>
  <c r="O39" s="1"/>
  <c r="M39"/>
  <c r="X38"/>
  <c r="V38"/>
  <c r="S38"/>
  <c r="P38"/>
  <c r="N38"/>
  <c r="O38" s="1"/>
  <c r="M38"/>
  <c r="X37"/>
  <c r="V37"/>
  <c r="S37"/>
  <c r="P37"/>
  <c r="N37"/>
  <c r="O37" s="1"/>
  <c r="M37"/>
  <c r="X36"/>
  <c r="V36"/>
  <c r="S36"/>
  <c r="P36"/>
  <c r="N36"/>
  <c r="O36" s="1"/>
  <c r="M36"/>
  <c r="X35"/>
  <c r="V35"/>
  <c r="S35"/>
  <c r="P35"/>
  <c r="N35"/>
  <c r="O35" s="1"/>
  <c r="M35"/>
  <c r="M4" l="1"/>
  <c r="O4"/>
  <c r="S5" l="1"/>
  <c r="P5"/>
  <c r="N5"/>
  <c r="O5" s="1"/>
  <c r="M5"/>
  <c r="C6" i="3"/>
  <c r="D6"/>
  <c r="D26" s="1"/>
  <c r="P4" i="1"/>
  <c r="D15" i="2" l="1"/>
  <c r="D27" i="3"/>
  <c r="I75" l="1"/>
  <c r="F75"/>
  <c r="W40" i="1"/>
  <c r="R40"/>
  <c r="L40"/>
  <c r="K40"/>
  <c r="K42" s="1"/>
  <c r="J40"/>
  <c r="J42" s="1"/>
  <c r="G40"/>
  <c r="U40"/>
  <c r="U42" l="1"/>
  <c r="L42"/>
  <c r="W42"/>
  <c r="G42"/>
  <c r="R42"/>
  <c r="J75" i="3"/>
  <c r="L75"/>
  <c r="V40" i="1"/>
  <c r="P40"/>
  <c r="M40"/>
  <c r="X40"/>
  <c r="S40"/>
  <c r="N40"/>
  <c r="S42" l="1"/>
  <c r="V42"/>
  <c r="X42"/>
  <c r="M42"/>
  <c r="N42"/>
  <c r="P42"/>
  <c r="O40"/>
  <c r="F4" i="3"/>
  <c r="F6" s="1"/>
  <c r="O42" i="1" l="1"/>
  <c r="T4" i="3"/>
  <c r="F26" s="1"/>
  <c r="G28" i="1" l="1"/>
  <c r="G30" l="1"/>
  <c r="W28"/>
  <c r="W30" s="1"/>
  <c r="N15" i="2" s="1"/>
  <c r="J28" i="1"/>
  <c r="R28"/>
  <c r="R30" s="1"/>
  <c r="L28"/>
  <c r="X5"/>
  <c r="V5"/>
  <c r="X4"/>
  <c r="U28"/>
  <c r="U30" s="1"/>
  <c r="S4"/>
  <c r="G369" l="1"/>
  <c r="L30"/>
  <c r="M28"/>
  <c r="M30" s="1"/>
  <c r="K30"/>
  <c r="V28"/>
  <c r="N28"/>
  <c r="N30" s="1"/>
  <c r="S28"/>
  <c r="X28"/>
  <c r="J30"/>
  <c r="V4"/>
  <c r="P28"/>
  <c r="P30" s="1"/>
  <c r="O15" i="2" l="1"/>
  <c r="P368" i="1"/>
  <c r="I15" i="2" s="1"/>
  <c r="O28" i="1"/>
  <c r="O30" s="1"/>
  <c r="V30"/>
  <c r="X30"/>
  <c r="S30"/>
  <c r="K369" l="1"/>
  <c r="P369" s="1"/>
</calcChain>
</file>

<file path=xl/sharedStrings.xml><?xml version="1.0" encoding="utf-8"?>
<sst xmlns="http://schemas.openxmlformats.org/spreadsheetml/2006/main" count="3042" uniqueCount="777">
  <si>
    <t>Rolling Date</t>
  </si>
  <si>
    <t>Gassifier Start time</t>
  </si>
  <si>
    <t>Mill Start time</t>
  </si>
  <si>
    <t>Mill Stop time</t>
  </si>
  <si>
    <t>Sections</t>
  </si>
  <si>
    <t>Prod. (MT.)</t>
  </si>
  <si>
    <t>Billet Used</t>
  </si>
  <si>
    <t>Furnace pre-heating time Hrs.</t>
  </si>
  <si>
    <t>Coal cons. for pre-heating MT</t>
  </si>
  <si>
    <t>Mill running time Hrs.</t>
  </si>
  <si>
    <t>Coal cons.for running  MT</t>
  </si>
  <si>
    <t>Avg.Coal cons.for running per  MT in Kgs.</t>
  </si>
  <si>
    <t>Total Coal cons. MT</t>
  </si>
  <si>
    <t>Avg. Total Coal cons. per MT in Kgs.</t>
  </si>
  <si>
    <t>Avg. Production per Hr.</t>
  </si>
  <si>
    <t>Total</t>
  </si>
  <si>
    <t xml:space="preserve">Month </t>
  </si>
  <si>
    <t xml:space="preserve">Production </t>
  </si>
  <si>
    <t>coal cons. Heating</t>
  </si>
  <si>
    <t>Avg. Total Coal cons. per MT in Kg.</t>
  </si>
  <si>
    <t>Mill</t>
  </si>
  <si>
    <t>Miss Roll Qty</t>
  </si>
  <si>
    <t>Hot Out Qty</t>
  </si>
  <si>
    <t>Hot Out Qty %</t>
  </si>
  <si>
    <t>Miss Roll Qty %</t>
  </si>
  <si>
    <t>Actual Working Days/Shifts</t>
  </si>
  <si>
    <t>Prod.Qty. in MT.</t>
  </si>
  <si>
    <t xml:space="preserve">Mill  Coal </t>
  </si>
  <si>
    <t xml:space="preserve"> Total Coal Consumption</t>
  </si>
  <si>
    <t>Loss of Working days/Shifts</t>
  </si>
  <si>
    <t>Reasons for Non working.</t>
  </si>
  <si>
    <t xml:space="preserve">* Balance Shift &amp; Day </t>
  </si>
  <si>
    <t>Production</t>
  </si>
  <si>
    <t>Kg  /mt</t>
  </si>
  <si>
    <t>`</t>
  </si>
  <si>
    <t>Average per day</t>
  </si>
  <si>
    <t>Coal consumption aver/MT</t>
  </si>
  <si>
    <t>Average per shift</t>
  </si>
  <si>
    <t>Coal Consumption</t>
  </si>
  <si>
    <t>Prod.Date</t>
  </si>
  <si>
    <t>Shift</t>
  </si>
  <si>
    <t>Shift Qty</t>
  </si>
  <si>
    <t>Day Qty</t>
  </si>
  <si>
    <t>Furnace Heating</t>
  </si>
  <si>
    <t>Running</t>
  </si>
  <si>
    <t>TOTAL</t>
  </si>
  <si>
    <t>Average per</t>
  </si>
  <si>
    <t>16"&amp; 14"</t>
  </si>
  <si>
    <t>Consumption</t>
  </si>
  <si>
    <t>power unit</t>
  </si>
  <si>
    <t>mt</t>
  </si>
  <si>
    <t>SUMMARY</t>
  </si>
  <si>
    <t/>
  </si>
  <si>
    <t>Mill Coal</t>
  </si>
  <si>
    <t>Power  Consumed</t>
  </si>
  <si>
    <t>Power unit /mt</t>
  </si>
  <si>
    <t>1 SHIFT</t>
  </si>
  <si>
    <t xml:space="preserve"> Pulv</t>
  </si>
  <si>
    <t>12to14 hrs</t>
  </si>
  <si>
    <t>20"</t>
  </si>
  <si>
    <t xml:space="preserve">20" =&gt;           </t>
  </si>
  <si>
    <t xml:space="preserve">     </t>
  </si>
  <si>
    <t>No section planning</t>
  </si>
  <si>
    <t>Weekly off.</t>
  </si>
  <si>
    <t xml:space="preserve">* 4  Day ( 4 Shifts )  </t>
  </si>
  <si>
    <t>COAL CONSUMPTION REPORT MONTH OF MAY- 22</t>
  </si>
  <si>
    <t>April-22</t>
  </si>
  <si>
    <t>May-22</t>
  </si>
  <si>
    <t xml:space="preserve">No section </t>
  </si>
  <si>
    <t xml:space="preserve"> planning</t>
  </si>
  <si>
    <t xml:space="preserve">Day-  20"   </t>
  </si>
  <si>
    <t>08.00 AM</t>
  </si>
  <si>
    <t>08.00 PM</t>
  </si>
  <si>
    <t>01.05.22</t>
  </si>
  <si>
    <t>Labour day</t>
  </si>
  <si>
    <t>02.05.22</t>
  </si>
  <si>
    <t>Coal short</t>
  </si>
  <si>
    <t>Agreement  Year</t>
  </si>
  <si>
    <t>Financial  Year</t>
  </si>
  <si>
    <t>Dispatchecd</t>
  </si>
  <si>
    <t>Month</t>
  </si>
  <si>
    <t>KEC</t>
  </si>
  <si>
    <t>Jan-21</t>
  </si>
  <si>
    <t>Feb -21</t>
  </si>
  <si>
    <t>Mar-21</t>
  </si>
  <si>
    <t>April-21</t>
  </si>
  <si>
    <t>May-21</t>
  </si>
  <si>
    <t>Jun-21</t>
  </si>
  <si>
    <t>July-21</t>
  </si>
  <si>
    <t>Aug-21</t>
  </si>
  <si>
    <t>Sep-21</t>
  </si>
  <si>
    <t>Oct-21</t>
  </si>
  <si>
    <t>Nov-21</t>
  </si>
  <si>
    <t>Dec-21</t>
  </si>
  <si>
    <t>Jan-22</t>
  </si>
  <si>
    <t>Feb -22</t>
  </si>
  <si>
    <t>Mar-22</t>
  </si>
  <si>
    <t>Jun-22</t>
  </si>
  <si>
    <t>July-22</t>
  </si>
  <si>
    <t>Aug-22</t>
  </si>
  <si>
    <t>Sep-22</t>
  </si>
  <si>
    <t>Oct-22</t>
  </si>
  <si>
    <t>Nov-22</t>
  </si>
  <si>
    <t>Dec-22</t>
  </si>
  <si>
    <t>Jan-23</t>
  </si>
  <si>
    <t>Feb -23</t>
  </si>
  <si>
    <t>Mar-23</t>
  </si>
  <si>
    <t>OTHER</t>
  </si>
  <si>
    <t>Billets receipts</t>
  </si>
  <si>
    <t>Billets Dispatched</t>
  </si>
  <si>
    <t>KEC BUB</t>
  </si>
  <si>
    <t>KEC JBP</t>
  </si>
  <si>
    <t>OWN</t>
  </si>
  <si>
    <t>VIL BUB TO OTHER</t>
  </si>
  <si>
    <t>VIL CHD TO VIL  BUB</t>
  </si>
  <si>
    <t>Miss Roll Pcs.</t>
  </si>
  <si>
    <t>Hot Out Pcs.</t>
  </si>
  <si>
    <t>Firing Source</t>
  </si>
  <si>
    <t>Grand Total</t>
  </si>
  <si>
    <t>April-23</t>
  </si>
  <si>
    <t>May-23</t>
  </si>
  <si>
    <t>Jun-23</t>
  </si>
  <si>
    <t>July-23</t>
  </si>
  <si>
    <t>Aug-23</t>
  </si>
  <si>
    <t>Sep-23</t>
  </si>
  <si>
    <t>Oct-23</t>
  </si>
  <si>
    <t>Nov-23</t>
  </si>
  <si>
    <t>Dec-23</t>
  </si>
  <si>
    <t>Jan-24</t>
  </si>
  <si>
    <t>Feb -24</t>
  </si>
  <si>
    <t>Mar-24</t>
  </si>
  <si>
    <t>01.03.23</t>
  </si>
  <si>
    <t>Coal cons.for  MT</t>
  </si>
  <si>
    <t>Avg.Coal cons.for  per  MT in Kgs.</t>
  </si>
  <si>
    <t>COAL CONSUMPTION REPORT MONTH OF April- 23</t>
  </si>
  <si>
    <t>01to 05.04.23</t>
  </si>
  <si>
    <t>06.04.23</t>
  </si>
  <si>
    <t>HT/MS-75X75X6/5</t>
  </si>
  <si>
    <t>DSP-125 / JSPL150</t>
  </si>
  <si>
    <t>Feb-24</t>
  </si>
  <si>
    <t>PRODUCTION &amp; COAL CONSUMPTION REPORT - ON WARDS APRIL-24</t>
  </si>
  <si>
    <t>01.to 05.04.23</t>
  </si>
  <si>
    <t xml:space="preserve"> Month of  APRIL. 2023</t>
  </si>
  <si>
    <t>07.04.23</t>
  </si>
  <si>
    <t>01.15 PM</t>
  </si>
  <si>
    <t>HT-75X75X6/5</t>
  </si>
  <si>
    <t>08.04.23</t>
  </si>
  <si>
    <t>8.00 AM</t>
  </si>
  <si>
    <t>9.45 PM</t>
  </si>
  <si>
    <t>9.00 AM</t>
  </si>
  <si>
    <t>8.00 PM</t>
  </si>
  <si>
    <t>09.04.23</t>
  </si>
  <si>
    <t>HT-90X90X7/6/5</t>
  </si>
  <si>
    <t>HT-110X110X6/7/8</t>
  </si>
  <si>
    <t>JSPL-150</t>
  </si>
  <si>
    <t>10.04.23</t>
  </si>
  <si>
    <t>11.04.23</t>
  </si>
  <si>
    <t>7.45 PM</t>
  </si>
  <si>
    <t>4.10 PM</t>
  </si>
  <si>
    <t>HT-110X110X8/9/10</t>
  </si>
  <si>
    <t>HT-100X100X6/7</t>
  </si>
  <si>
    <t>Day-  20"   cooling bed jam</t>
  </si>
  <si>
    <t xml:space="preserve">Day-  20"    Gear box nutbolt broken &amp; Pass change </t>
  </si>
  <si>
    <t xml:space="preserve">Day-  20"    Size  Change </t>
  </si>
  <si>
    <t>12.04.23</t>
  </si>
  <si>
    <t>13.04.23</t>
  </si>
  <si>
    <t>WEEKLY OFF</t>
  </si>
  <si>
    <t>Weekly off</t>
  </si>
  <si>
    <t>14.04.23</t>
  </si>
  <si>
    <t>HT-130X130X12/13/11</t>
  </si>
  <si>
    <t xml:space="preserve">Section change </t>
  </si>
  <si>
    <t>15.04.23</t>
  </si>
  <si>
    <t>10.30 AM</t>
  </si>
  <si>
    <t>6.00 PM</t>
  </si>
  <si>
    <t>HT-130X130X11/10</t>
  </si>
  <si>
    <t>16.04.23</t>
  </si>
  <si>
    <t>17.04.23</t>
  </si>
  <si>
    <t>5.00 PM</t>
  </si>
  <si>
    <t>HT-130X130X10/9</t>
  </si>
  <si>
    <t>Colling bed jam</t>
  </si>
  <si>
    <t>SHUT DOWN DUE TO  PENDING STRAIGHTENING MATERIAL</t>
  </si>
  <si>
    <t>Power off</t>
  </si>
  <si>
    <t>18.04.23</t>
  </si>
  <si>
    <t>19.04.23</t>
  </si>
  <si>
    <t>9.00 PM</t>
  </si>
  <si>
    <t>HT-130X130X9/120X10/9</t>
  </si>
  <si>
    <t>20.04.23</t>
  </si>
  <si>
    <t>21.04.23</t>
  </si>
  <si>
    <t>7.00 AM</t>
  </si>
  <si>
    <t>1.30 PM</t>
  </si>
  <si>
    <t>HT-120X120X9/8/7</t>
  </si>
  <si>
    <t>22/23.04.23</t>
  </si>
  <si>
    <t>7.30 PM</t>
  </si>
  <si>
    <t>24.04.23</t>
  </si>
  <si>
    <t>HT-150X150X18,16,15,14,12,10</t>
  </si>
  <si>
    <t xml:space="preserve">* 7  Day ( 7 Shifts )  </t>
  </si>
  <si>
    <t>25.04.23</t>
  </si>
  <si>
    <t>4.00 PM</t>
  </si>
  <si>
    <t>HT-80X80X6/5</t>
  </si>
  <si>
    <t xml:space="preserve">Size change </t>
  </si>
  <si>
    <t xml:space="preserve">14  Day    ( 14  Shifts )  </t>
  </si>
  <si>
    <t>No section planning &amp; SHUT DOWN DUE TO  PENDING STRAIGHTENING MATERIAL</t>
  </si>
  <si>
    <t>26/30.04.23</t>
  </si>
  <si>
    <t>No section planning &amp; SHUT DOWN DUE TO  PENDING STRAIGHTENING MATERIAL &amp; 1 days weekly off</t>
  </si>
  <si>
    <t>No.Section Planning &amp; SHUT DOWN DUE TO  PENDING STRAIGHTENING MATERIAL</t>
  </si>
  <si>
    <t xml:space="preserve">* 5  Day ( 5 Shifts )  </t>
  </si>
  <si>
    <t xml:space="preserve">* 0 Day  (0 Shifts )  </t>
  </si>
  <si>
    <t>COAL CONSUMPTION REPORT MONTH OF MAY- 23</t>
  </si>
  <si>
    <t>01.05.23</t>
  </si>
  <si>
    <t>Labour Day</t>
  </si>
  <si>
    <t xml:space="preserve">* 1  Day ( 1 Shifts )  </t>
  </si>
  <si>
    <t xml:space="preserve"> Month of  May. 2023</t>
  </si>
  <si>
    <t>02to 19.04.23</t>
  </si>
  <si>
    <t>20.05.23</t>
  </si>
  <si>
    <t>10.00 PM</t>
  </si>
  <si>
    <t>09.40 PM</t>
  </si>
  <si>
    <t>7.35 AM</t>
  </si>
  <si>
    <t>07.00 PM</t>
  </si>
  <si>
    <t>HT-130X130X10,9,12 MS-130X9</t>
  </si>
  <si>
    <t>HT-100X100X7/8/10/12</t>
  </si>
  <si>
    <t>HT-110X110X7/8/9/10</t>
  </si>
  <si>
    <t>JSPL/RINL-150</t>
  </si>
  <si>
    <t>RINL-150</t>
  </si>
  <si>
    <t>01.to 19.05.23</t>
  </si>
  <si>
    <t xml:space="preserve">* 15  Day ( 15 Shifts )  </t>
  </si>
  <si>
    <t>21.05.23</t>
  </si>
  <si>
    <t>22.05.23</t>
  </si>
  <si>
    <t>23.05.23</t>
  </si>
  <si>
    <t>24.05.23</t>
  </si>
  <si>
    <t>25.05.23</t>
  </si>
  <si>
    <t>26.05.23</t>
  </si>
  <si>
    <t>6.30 PM</t>
  </si>
  <si>
    <t>HT/MS-90X90X7/6</t>
  </si>
  <si>
    <t>HT-75X75X6/5 MS-75X75X8</t>
  </si>
  <si>
    <t xml:space="preserve">Day-  20"   Size &amp; Teo line problem </t>
  </si>
  <si>
    <t>27.05.23</t>
  </si>
  <si>
    <t>MS-75X75X8</t>
  </si>
  <si>
    <t>28.05.23</t>
  </si>
  <si>
    <t>05.00 PM</t>
  </si>
  <si>
    <t>MS-75X75X8/6 HT-75X75X6</t>
  </si>
  <si>
    <t xml:space="preserve">Dispatched </t>
  </si>
  <si>
    <t>Vinar Butibori Production 29.05.23</t>
  </si>
  <si>
    <t>29.05.23</t>
  </si>
  <si>
    <t>8.30 AM</t>
  </si>
  <si>
    <t>HT-120X120X12/10/9</t>
  </si>
  <si>
    <t>30.05.23</t>
  </si>
  <si>
    <t>HT-120X120X9/8</t>
  </si>
  <si>
    <t>JSPL/SAIL/RINL-150</t>
  </si>
  <si>
    <t xml:space="preserve">  10 Day    (  10  Shifts )  </t>
  </si>
  <si>
    <t xml:space="preserve">*  Day  (  Shifts )  </t>
  </si>
  <si>
    <t>31.05.23</t>
  </si>
  <si>
    <t>COAL CONSUMPTION REPORT MONTH OF JUN- 23</t>
  </si>
  <si>
    <t>01/5.06.23</t>
  </si>
  <si>
    <t>No Billets  planning</t>
  </si>
  <si>
    <t>06.06.23</t>
  </si>
  <si>
    <t>MS-120X120X8/9</t>
  </si>
  <si>
    <t>07.06.23</t>
  </si>
  <si>
    <t>08.06.23</t>
  </si>
  <si>
    <t>09.06.23</t>
  </si>
  <si>
    <t>7.00 PM</t>
  </si>
  <si>
    <t>01.00 PM</t>
  </si>
  <si>
    <t>MS/HT-120X8/9/10 130X9</t>
  </si>
  <si>
    <t>HT-130X130X9/10/12</t>
  </si>
  <si>
    <t>RINL-150/ Bhushan 160</t>
  </si>
  <si>
    <t>Productivity analysis  for Month of  APRIL . 2023</t>
  </si>
  <si>
    <t>Productivity analysis  for Month of  May . 2023</t>
  </si>
  <si>
    <t>No Billets planning</t>
  </si>
  <si>
    <t>01/05.06.23</t>
  </si>
  <si>
    <t>Day-  20"    Weekly off</t>
  </si>
  <si>
    <t xml:space="preserve">Day-  20"    Section  change </t>
  </si>
  <si>
    <t>10.06.23</t>
  </si>
  <si>
    <t>06.00 PM</t>
  </si>
  <si>
    <t xml:space="preserve">Day-  20"   Section change </t>
  </si>
  <si>
    <t>HT/MS-80X80X8/6/5</t>
  </si>
  <si>
    <t>11.06.23</t>
  </si>
  <si>
    <t>12.06.23</t>
  </si>
  <si>
    <t>HT-150X150X20/18/16/14/15/12</t>
  </si>
  <si>
    <t>JSPL-200 Bhushan-180</t>
  </si>
  <si>
    <t xml:space="preserve">* 6  Day ( 6 Shifts )  </t>
  </si>
  <si>
    <t>13.06.23</t>
  </si>
  <si>
    <t>14.06.23</t>
  </si>
  <si>
    <t>HT-150X150X10/12/15</t>
  </si>
  <si>
    <t>15.06.23</t>
  </si>
  <si>
    <t>HT-150X150X15</t>
  </si>
  <si>
    <t>16.06.23</t>
  </si>
  <si>
    <t>HT-150X15 152X152X14.3</t>
  </si>
  <si>
    <t>17.06.23</t>
  </si>
  <si>
    <t>5.30 PM</t>
  </si>
  <si>
    <t>HT-150X150X16/14/12</t>
  </si>
  <si>
    <t>18.06.23</t>
  </si>
  <si>
    <t>MS/HT-75X75X6/8</t>
  </si>
  <si>
    <t>19.06.23</t>
  </si>
  <si>
    <t>HT/MS-75X75X6/5 65X65/6</t>
  </si>
  <si>
    <t>20.06.23</t>
  </si>
  <si>
    <t>12.30 PM</t>
  </si>
  <si>
    <t>MS/HT-70X70X5/6</t>
  </si>
  <si>
    <t>SAIL-125</t>
  </si>
  <si>
    <t xml:space="preserve">Day-  20"   RM Problem </t>
  </si>
  <si>
    <t xml:space="preserve">Day-  20"   Size change </t>
  </si>
  <si>
    <t>21.06.23</t>
  </si>
  <si>
    <t>22.06.23</t>
  </si>
  <si>
    <t>HT/MS-90X90X6/7/5/8</t>
  </si>
  <si>
    <t>HT-110X110X7/8</t>
  </si>
  <si>
    <t>23.06.23</t>
  </si>
  <si>
    <t>24.06.23</t>
  </si>
  <si>
    <t>3.00 PM</t>
  </si>
  <si>
    <t>25.06.23</t>
  </si>
  <si>
    <t>HT-100X100X8</t>
  </si>
  <si>
    <t>26.06.23</t>
  </si>
  <si>
    <t>8.40 PM</t>
  </si>
  <si>
    <t>HT/MS-100X100X8/6/7/10</t>
  </si>
  <si>
    <t>27.06.23</t>
  </si>
  <si>
    <t>28.06.23</t>
  </si>
  <si>
    <t>29.06.23</t>
  </si>
  <si>
    <t xml:space="preserve">Section Change </t>
  </si>
  <si>
    <t>30.06.23</t>
  </si>
  <si>
    <t>Bhushan-160</t>
  </si>
  <si>
    <t>HT-120X8 HT/MS- 130X12/11/10</t>
  </si>
  <si>
    <t xml:space="preserve">  1 9 Day    ( 19  Shifts )  </t>
  </si>
  <si>
    <t xml:space="preserve">*  0 Day  ( 0 Shifts )  </t>
  </si>
  <si>
    <t>COAL CONSUMPTION REPORT MONTH OF JULY- 23</t>
  </si>
  <si>
    <t>01.07.23</t>
  </si>
  <si>
    <t>HT/MS-80X80X5/6/6.5</t>
  </si>
  <si>
    <t>RINL-150 /DSP-125</t>
  </si>
  <si>
    <t>Productivity analysis  for Month of  JUN . 2023</t>
  </si>
  <si>
    <t>Productivity analysis  for Month of  JULY . 2023</t>
  </si>
  <si>
    <t xml:space="preserve"> Month of  JULY. 2023</t>
  </si>
  <si>
    <t xml:space="preserve"> Month of  Jun. 2023</t>
  </si>
  <si>
    <t>02.07.23</t>
  </si>
  <si>
    <t>03.07.23</t>
  </si>
  <si>
    <t>04.07.23</t>
  </si>
  <si>
    <t>05.07.23</t>
  </si>
  <si>
    <t>06/7.07.23</t>
  </si>
  <si>
    <t>MS/HT-75X75X6/5</t>
  </si>
  <si>
    <t xml:space="preserve">weekly off </t>
  </si>
  <si>
    <t>DSP-125</t>
  </si>
  <si>
    <t>6/07.07.23</t>
  </si>
  <si>
    <t>Day-  20"   Weekly off</t>
  </si>
  <si>
    <t xml:space="preserve">Day-  20"   Electrical motor problem </t>
  </si>
  <si>
    <t>08.07.23</t>
  </si>
  <si>
    <t xml:space="preserve"> Shutdown for Coal Short </t>
  </si>
  <si>
    <t xml:space="preserve"> Shutdown for Coal Short /heating problem </t>
  </si>
  <si>
    <t xml:space="preserve">Day-  20"    Shutdown for Coal Short </t>
  </si>
  <si>
    <t xml:space="preserve">Day-  20"    Shutdown for Coal Short /heating problem </t>
  </si>
  <si>
    <t>09.07.23</t>
  </si>
  <si>
    <t>MS/HT-90X90X6/5/7</t>
  </si>
  <si>
    <t>HT-90X90X6/7</t>
  </si>
  <si>
    <t>Day-  20" R.M.COLD</t>
  </si>
  <si>
    <t xml:space="preserve">Day-  20"    </t>
  </si>
  <si>
    <t>10.07.23</t>
  </si>
  <si>
    <t>1.00 PM</t>
  </si>
  <si>
    <t>HT-90X90X6/7/8</t>
  </si>
  <si>
    <t>Day-  20"   Section change</t>
  </si>
  <si>
    <t>11.07.23</t>
  </si>
  <si>
    <t>8.30 PM</t>
  </si>
  <si>
    <t>HT-100X100X10/8</t>
  </si>
  <si>
    <t>12.07.23</t>
  </si>
  <si>
    <t>13.07.23</t>
  </si>
  <si>
    <t xml:space="preserve">Coal Heating problem </t>
  </si>
  <si>
    <t xml:space="preserve">Weekly off </t>
  </si>
  <si>
    <t>Shutdown for Coal Short</t>
  </si>
  <si>
    <t xml:space="preserve">Shutdown for Coal Heating problem </t>
  </si>
  <si>
    <t xml:space="preserve">* 2  Day ( 2 Shifts )  </t>
  </si>
  <si>
    <t>14.07.23</t>
  </si>
  <si>
    <t>11.50 AM</t>
  </si>
  <si>
    <t>HT-100X100X8/7/6</t>
  </si>
  <si>
    <t>15.07.23</t>
  </si>
  <si>
    <t>16.07.23</t>
  </si>
  <si>
    <t xml:space="preserve">Day-  20"   R.M Heating problem </t>
  </si>
  <si>
    <t>Day-  20"    Pinion Gear Bearing broken</t>
  </si>
  <si>
    <t xml:space="preserve">Day-  20"   Shutdown for Coal Short </t>
  </si>
  <si>
    <t xml:space="preserve">* 3  Day ( 3 Shifts )  </t>
  </si>
  <si>
    <t>HT/MS-100X100X6/7/8</t>
  </si>
  <si>
    <t>HT/MS-100X100X6/7/8/10</t>
  </si>
  <si>
    <t>17.07.23</t>
  </si>
  <si>
    <t>18.07.23</t>
  </si>
  <si>
    <t>19.07.23</t>
  </si>
  <si>
    <t>20.07.23</t>
  </si>
  <si>
    <t>HT-110X110X6/7/8/9</t>
  </si>
  <si>
    <t>HT/MS-110X110X10/12/6/8/7</t>
  </si>
  <si>
    <t>21.07.23</t>
  </si>
  <si>
    <t>22.07.23</t>
  </si>
  <si>
    <t>11.00 PM</t>
  </si>
  <si>
    <t>HT-120X120X10/9</t>
  </si>
  <si>
    <t>HT/MS-120X120X10/9/8</t>
  </si>
  <si>
    <t>23.07.23</t>
  </si>
  <si>
    <t>24.07.23</t>
  </si>
  <si>
    <t>10.00 AM</t>
  </si>
  <si>
    <t>2.00 PM</t>
  </si>
  <si>
    <t>HT-130X130X10/12/11</t>
  </si>
  <si>
    <t>HT/MS-130X130X10/9/8</t>
  </si>
  <si>
    <t xml:space="preserve">Day-  20"   R.M PROBLEM </t>
  </si>
  <si>
    <t xml:space="preserve">Day-  20"   SIZE CHANGE </t>
  </si>
  <si>
    <t>25.07.23</t>
  </si>
  <si>
    <t>HT-150X150X20/18/16</t>
  </si>
  <si>
    <t>JSPL-200</t>
  </si>
  <si>
    <t>26.07.23</t>
  </si>
  <si>
    <t>27/28.07.23</t>
  </si>
  <si>
    <t>29.07.23</t>
  </si>
  <si>
    <t>11.00 AM</t>
  </si>
  <si>
    <t>shutdown due to electrical cable problem due to heavy rain</t>
  </si>
  <si>
    <t>HT-150X150X16/15</t>
  </si>
  <si>
    <t>27.07.23</t>
  </si>
  <si>
    <t>28.07.23</t>
  </si>
  <si>
    <t>30.07.23</t>
  </si>
  <si>
    <t>31.07.23</t>
  </si>
  <si>
    <t>Day-  20"   WEEKLY OFF</t>
  </si>
  <si>
    <t>Day-  20"   shutdown due to electrical cable problem due to heavy rain</t>
  </si>
  <si>
    <t>COAL CONSUMPTION REPORT MONTH OF AUG- 23</t>
  </si>
  <si>
    <t>01.08.23</t>
  </si>
  <si>
    <t>02.08.23</t>
  </si>
  <si>
    <t>HT-150X150X15/14</t>
  </si>
  <si>
    <t>HT-150X150X14/13/12/11/10</t>
  </si>
  <si>
    <t xml:space="preserve">   20 Day    ( 20  Shifts )  </t>
  </si>
  <si>
    <t>03.08.23</t>
  </si>
  <si>
    <t>04.08.23</t>
  </si>
  <si>
    <t>05.08.23</t>
  </si>
  <si>
    <t>HT/MS-120X120X7/8/9/10</t>
  </si>
  <si>
    <t>HT-130X130X12</t>
  </si>
  <si>
    <t>HT/MS-130X130X9/10/11/12</t>
  </si>
  <si>
    <t>Productivity analysis  for Month of  AUG . 2023</t>
  </si>
  <si>
    <t xml:space="preserve"> Month of  AUG. 2023</t>
  </si>
  <si>
    <t>06.08.23</t>
  </si>
  <si>
    <t>07.08.23</t>
  </si>
  <si>
    <t>08.08.23</t>
  </si>
  <si>
    <t>09.08.23</t>
  </si>
  <si>
    <t>HT-75X75X6</t>
  </si>
  <si>
    <t>10.08.23</t>
  </si>
  <si>
    <t>11.08.23</t>
  </si>
  <si>
    <t>12.08.23</t>
  </si>
  <si>
    <t>13.08.23</t>
  </si>
  <si>
    <t>14.08.23</t>
  </si>
  <si>
    <t>15.08.23</t>
  </si>
  <si>
    <t>16.08.23</t>
  </si>
  <si>
    <t>17.08.23</t>
  </si>
  <si>
    <t>18.08.23</t>
  </si>
  <si>
    <t>19.08.23</t>
  </si>
  <si>
    <t>10.40 AM</t>
  </si>
  <si>
    <t>HT-130X130X10/9/8</t>
  </si>
  <si>
    <t>HT/MS-75X75X5/6/8/4</t>
  </si>
  <si>
    <t>HT-80X80X6</t>
  </si>
  <si>
    <t>HT/MS-80X80X6/5</t>
  </si>
  <si>
    <t>HT-90X90X8</t>
  </si>
  <si>
    <t>HT-90X90X7/6</t>
  </si>
  <si>
    <t>HT-90X90X5/6</t>
  </si>
  <si>
    <t>Independence Day</t>
  </si>
  <si>
    <t>MS-90X90X5/6/7</t>
  </si>
  <si>
    <t>MS-90X90X5/6</t>
  </si>
  <si>
    <t>HT-150X150X20/18/16/15</t>
  </si>
  <si>
    <t>JSPL-150/130</t>
  </si>
  <si>
    <t>JSPL-150/130/125</t>
  </si>
  <si>
    <t>JSPL-200/BHUS-180</t>
  </si>
  <si>
    <t xml:space="preserve">WEEKLY </t>
  </si>
  <si>
    <t>OFF</t>
  </si>
  <si>
    <t>Day-  20"   RM COLD</t>
  </si>
  <si>
    <t xml:space="preserve">Day-  20"   * Power off &amp; Section change </t>
  </si>
  <si>
    <t>20.08.23</t>
  </si>
  <si>
    <t>HT-150X150X15/12/14</t>
  </si>
  <si>
    <t>BHUS-180</t>
  </si>
  <si>
    <t>21.08.23</t>
  </si>
  <si>
    <t>HT-150X150X12</t>
  </si>
  <si>
    <t>22.08.23</t>
  </si>
  <si>
    <t>HT-150X150X12/11/10/15</t>
  </si>
  <si>
    <t>23.08.23</t>
  </si>
  <si>
    <t>24.08.23</t>
  </si>
  <si>
    <t>HT/MS-100X100X10/9/8/6/7</t>
  </si>
  <si>
    <t>25.08.23</t>
  </si>
  <si>
    <t>26.08.23</t>
  </si>
  <si>
    <t>HT-110X110X10/8</t>
  </si>
  <si>
    <t>BHUS-160</t>
  </si>
  <si>
    <t>HT/MS-110X110X8/7/6</t>
  </si>
  <si>
    <t>BHUS-160 JSPL-150</t>
  </si>
  <si>
    <t>27.08.23</t>
  </si>
  <si>
    <t>HT/MS-75X75X5/4/6</t>
  </si>
  <si>
    <t>JSPL-130/ DSP-125</t>
  </si>
  <si>
    <t>28.08.23</t>
  </si>
  <si>
    <t>HT/MS-75X75X6/5/8</t>
  </si>
  <si>
    <t>29.08.23</t>
  </si>
  <si>
    <t>30.08.23</t>
  </si>
  <si>
    <t>31.08.23</t>
  </si>
  <si>
    <t>HT-70X70X5/6</t>
  </si>
  <si>
    <t>11.30 PM</t>
  </si>
  <si>
    <t>HT-120X120X12/10/8/9</t>
  </si>
  <si>
    <t xml:space="preserve">   25 Day    ( 25  Shifts )  </t>
  </si>
  <si>
    <t>COAL CONSUMPTION REPORT MONTH OF SEP- 23</t>
  </si>
  <si>
    <t>11.30 AM</t>
  </si>
  <si>
    <t>HT-150X150X15/12</t>
  </si>
  <si>
    <t>Productivity analysis  for Month of  SEP . 2023</t>
  </si>
  <si>
    <t xml:space="preserve"> Month of  SEP. 2023</t>
  </si>
  <si>
    <t>01.09.23</t>
  </si>
  <si>
    <t>02.09.23</t>
  </si>
  <si>
    <t>09.00 AM</t>
  </si>
  <si>
    <t>12.00 PM</t>
  </si>
  <si>
    <t>HT-150X150X12/17/15/14/12/11</t>
  </si>
  <si>
    <t>03.09.23</t>
  </si>
  <si>
    <t>HT-110X110X6/8</t>
  </si>
  <si>
    <t>04.09.23</t>
  </si>
  <si>
    <t>HT-110X110X8/7/6</t>
  </si>
  <si>
    <t>BHUS-180 /JSPL-150</t>
  </si>
  <si>
    <t>BHUS180/JSPL150MIX</t>
  </si>
  <si>
    <t>05.09.23</t>
  </si>
  <si>
    <t>HT/MS-110X110X6/10/8/7/6</t>
  </si>
  <si>
    <t>06.09.23</t>
  </si>
  <si>
    <t>07.09.23</t>
  </si>
  <si>
    <t>MS/HT-90X90X6/8/7/6/5</t>
  </si>
  <si>
    <t>08.09.23</t>
  </si>
  <si>
    <t>MS-80X80X6</t>
  </si>
  <si>
    <t>* Mill stop due to Gear box bearing broken 8.20 AM</t>
  </si>
  <si>
    <t xml:space="preserve"> Gear box bearing broken</t>
  </si>
  <si>
    <t>09.09.23</t>
  </si>
  <si>
    <t>MS/HT-80X80X6/5/8</t>
  </si>
  <si>
    <t>HT-150X150X12/17/15/14/10/11</t>
  </si>
  <si>
    <t>HT/MS-110X110X6/10/6/7/8</t>
  </si>
  <si>
    <t>10.09.23</t>
  </si>
  <si>
    <t>MS/HT-100X100X8/6/7</t>
  </si>
  <si>
    <t>Section</t>
  </si>
  <si>
    <t>Traget</t>
  </si>
  <si>
    <t>11.09.23</t>
  </si>
  <si>
    <t>HT-130X130X10</t>
  </si>
  <si>
    <t>12.09.23</t>
  </si>
  <si>
    <t>HT/MS-130X130X10/8/9/11/12</t>
  </si>
  <si>
    <t>13.09.23</t>
  </si>
  <si>
    <t>14.09.23</t>
  </si>
  <si>
    <t>HT/MS-120X120X10/8/9</t>
  </si>
  <si>
    <t>HT-120X120X10/9/8</t>
  </si>
  <si>
    <t>HT/MS-120X120X9/8</t>
  </si>
  <si>
    <t>15.09.23</t>
  </si>
  <si>
    <t>SHUTDOWN FOR POLA</t>
  </si>
  <si>
    <t>16.09.23</t>
  </si>
  <si>
    <t>MS-120X120X8/9/10</t>
  </si>
  <si>
    <t>VISHVAKARMA HOLIDAY</t>
  </si>
  <si>
    <t>BHUS-160 /JSPL-150</t>
  </si>
  <si>
    <t>Pola</t>
  </si>
  <si>
    <t>17.09.23</t>
  </si>
  <si>
    <t>holiday</t>
  </si>
  <si>
    <t xml:space="preserve">Vishvakarma oliday </t>
  </si>
  <si>
    <t>Vishvakarma</t>
  </si>
  <si>
    <t xml:space="preserve">Shutdown </t>
  </si>
  <si>
    <t>For Pola</t>
  </si>
  <si>
    <t>18.09.23</t>
  </si>
  <si>
    <t>BHUS-180 /JSPL-200</t>
  </si>
  <si>
    <t>19.09.23</t>
  </si>
  <si>
    <t>HT-150X150X15/14/13</t>
  </si>
  <si>
    <t>20.09.23</t>
  </si>
  <si>
    <t>21/24.09.23</t>
  </si>
  <si>
    <t xml:space="preserve">No Billets Planning </t>
  </si>
  <si>
    <t>25.09.23</t>
  </si>
  <si>
    <t>HT-150X150X12/11/10/14/18/20</t>
  </si>
  <si>
    <t>21 to 24.09.23</t>
  </si>
  <si>
    <t>26.09.23</t>
  </si>
  <si>
    <t>HT-150X150X12/18/16/20/14/15/13/12/11</t>
  </si>
  <si>
    <t>27.09.23</t>
  </si>
  <si>
    <t xml:space="preserve">  16  Day    ( 16  Shifts )  </t>
  </si>
  <si>
    <t>01.10.23</t>
  </si>
  <si>
    <t>28/30.09.23</t>
  </si>
  <si>
    <t>7.30 AM</t>
  </si>
  <si>
    <t>HT/MS-75X75X5/6/8</t>
  </si>
  <si>
    <t>JSPL-130 DSP-125</t>
  </si>
  <si>
    <t>Productivity analysis  for Month of  OCT . 2023</t>
  </si>
  <si>
    <t xml:space="preserve"> Month of  Oct. 2023</t>
  </si>
  <si>
    <t>HT/MS-75X75X6</t>
  </si>
  <si>
    <t>02.10.23</t>
  </si>
  <si>
    <t>10.20 PM</t>
  </si>
  <si>
    <t>MS/HT-90X90X6/5/8</t>
  </si>
  <si>
    <t>MS/HT-90X90X6</t>
  </si>
  <si>
    <t>03.10.23</t>
  </si>
  <si>
    <t>04.10.23</t>
  </si>
  <si>
    <t>05.10.23</t>
  </si>
  <si>
    <t>HT/MS-90X90X5/6/7/8/9</t>
  </si>
  <si>
    <t>HT-110X110X8/10</t>
  </si>
  <si>
    <t>HT/MS-110X110X8/7/6/10</t>
  </si>
  <si>
    <t xml:space="preserve"> DSP-125</t>
  </si>
  <si>
    <t>06.10.23</t>
  </si>
  <si>
    <t>HT-100X100X6</t>
  </si>
  <si>
    <t>08.10.23</t>
  </si>
  <si>
    <t>09.10.23</t>
  </si>
  <si>
    <t>10.10.23</t>
  </si>
  <si>
    <t>11.10.23</t>
  </si>
  <si>
    <t>12.10.23</t>
  </si>
  <si>
    <t>13.10.23</t>
  </si>
  <si>
    <t>14.10.23</t>
  </si>
  <si>
    <t>15.10.23</t>
  </si>
  <si>
    <t>16.10.23</t>
  </si>
  <si>
    <t>17.10.23</t>
  </si>
  <si>
    <t>18.10.23</t>
  </si>
  <si>
    <t>07.10.23</t>
  </si>
  <si>
    <t>3.25 PM</t>
  </si>
  <si>
    <t xml:space="preserve"> 6 no. Stand Problem mill start 3.00 pm</t>
  </si>
  <si>
    <t>HT/MS-100X100X7/8/10/6</t>
  </si>
  <si>
    <t>MS/HT-100X100X6/7/8/10/12</t>
  </si>
  <si>
    <t>MS/HT-75X75X8/6/4</t>
  </si>
  <si>
    <t>HT-130X130X10/12/9</t>
  </si>
  <si>
    <t>HT-130X130X9/8</t>
  </si>
  <si>
    <t>MS/HT-80X80X8/6/5</t>
  </si>
  <si>
    <t>HT/MS-90X90X6/7/8/5</t>
  </si>
  <si>
    <t xml:space="preserve">No section planning </t>
  </si>
  <si>
    <t>19.10.23</t>
  </si>
  <si>
    <t>20.10.23</t>
  </si>
  <si>
    <t>21.10.23</t>
  </si>
  <si>
    <t>22.10.23</t>
  </si>
  <si>
    <t>23.10.23</t>
  </si>
  <si>
    <t>24.10.23</t>
  </si>
  <si>
    <t>25.10.23</t>
  </si>
  <si>
    <t>26.10.23</t>
  </si>
  <si>
    <t>27.10.23</t>
  </si>
  <si>
    <t>28.10.23</t>
  </si>
  <si>
    <t>Holiday for Dashera</t>
  </si>
  <si>
    <t>MS/HT-100X100X6/7/8/9/10</t>
  </si>
  <si>
    <t>HT/MS-75X75X5/4/6/8</t>
  </si>
  <si>
    <t xml:space="preserve">* 1  Day ( 5 Shifts )  </t>
  </si>
  <si>
    <t>29.10.23</t>
  </si>
  <si>
    <t>MS/HT-110X100X6/7</t>
  </si>
  <si>
    <t xml:space="preserve">  20 Day    ( 20  Shifts )  </t>
  </si>
  <si>
    <t xml:space="preserve">*  2 Day  ( 2 Shifts )  </t>
  </si>
  <si>
    <t>30.10.23</t>
  </si>
  <si>
    <t>31.10.23</t>
  </si>
  <si>
    <t>JSPL200-180</t>
  </si>
  <si>
    <t>01.11.23</t>
  </si>
  <si>
    <t>02.11.23</t>
  </si>
  <si>
    <t>03.11.23</t>
  </si>
  <si>
    <t>04.11.23</t>
  </si>
  <si>
    <t>05.11.23</t>
  </si>
  <si>
    <t>06.11.23</t>
  </si>
  <si>
    <t>07.11.23</t>
  </si>
  <si>
    <t>08.11.23</t>
  </si>
  <si>
    <t>09.11.23</t>
  </si>
  <si>
    <t>10.11.23</t>
  </si>
  <si>
    <t>11.11.23</t>
  </si>
  <si>
    <t>12.11.23</t>
  </si>
  <si>
    <t>13.11.23</t>
  </si>
  <si>
    <t>14.11.23</t>
  </si>
  <si>
    <t>15.11.23</t>
  </si>
  <si>
    <t>16.11.23</t>
  </si>
  <si>
    <t>17.11.23</t>
  </si>
  <si>
    <t>18.11.23</t>
  </si>
  <si>
    <t>19.11.23</t>
  </si>
  <si>
    <t>20.11.23</t>
  </si>
  <si>
    <t>21.11.23</t>
  </si>
  <si>
    <t>22.11.23</t>
  </si>
  <si>
    <t>23.11.23</t>
  </si>
  <si>
    <t>24.11.23</t>
  </si>
  <si>
    <t>25.11.23</t>
  </si>
  <si>
    <t>26.11.23</t>
  </si>
  <si>
    <t>27.11.23</t>
  </si>
  <si>
    <t>28.11.23</t>
  </si>
  <si>
    <t>29.11.23</t>
  </si>
  <si>
    <t>30.11.23</t>
  </si>
  <si>
    <t>10.10 PM</t>
  </si>
  <si>
    <t>HT-150X150X12/11/15/16/20</t>
  </si>
  <si>
    <t>HT-150X150X18/17/16/15/13/12/10/14</t>
  </si>
  <si>
    <t>JSPL150</t>
  </si>
  <si>
    <t>6.45 PM</t>
  </si>
  <si>
    <t>HT-100X100X7/8/9</t>
  </si>
  <si>
    <t>MS/HT-100X100X8/7/6/10</t>
  </si>
  <si>
    <t>9.30 PM</t>
  </si>
  <si>
    <t>MS/HT-90X90X6/7/5</t>
  </si>
  <si>
    <t>HT-120X120X10/11/9</t>
  </si>
  <si>
    <t xml:space="preserve">Holiday for Diwali </t>
  </si>
  <si>
    <t>HT/MS-120X120X9/8/7</t>
  </si>
  <si>
    <t>MS/HT-120X120X7/8/9/12</t>
  </si>
  <si>
    <t>HT-130X130X12/11/10</t>
  </si>
  <si>
    <t>HT/MS-130X130X10/9/8/12</t>
  </si>
  <si>
    <t>HT/MS-80X80X6</t>
  </si>
  <si>
    <t>MS/HT-80X80X6/7/5</t>
  </si>
  <si>
    <t>1.00 AM</t>
  </si>
  <si>
    <t>HT-150X150X18</t>
  </si>
  <si>
    <t>JSPL200</t>
  </si>
  <si>
    <t>HT-150X150X15/14/13/12</t>
  </si>
  <si>
    <t>HT-100X100X8/7</t>
  </si>
  <si>
    <t>01.12.23</t>
  </si>
  <si>
    <t>02.12.23</t>
  </si>
  <si>
    <t>03.12.23</t>
  </si>
  <si>
    <t>04.12.23</t>
  </si>
  <si>
    <t>05.12.23</t>
  </si>
  <si>
    <t>06.12.23</t>
  </si>
  <si>
    <t>07.12.23</t>
  </si>
  <si>
    <t>08.12.23</t>
  </si>
  <si>
    <t>09.12.23</t>
  </si>
  <si>
    <t>10.12.23</t>
  </si>
  <si>
    <t>11.12.23</t>
  </si>
  <si>
    <t>12.12.23</t>
  </si>
  <si>
    <t>13.12.23</t>
  </si>
  <si>
    <t>14.12.23</t>
  </si>
  <si>
    <t>15.12.23</t>
  </si>
  <si>
    <t>16.12.23</t>
  </si>
  <si>
    <t>17.12.23</t>
  </si>
  <si>
    <t>18.12.23</t>
  </si>
  <si>
    <t>19.12.23</t>
  </si>
  <si>
    <t>20.12.23</t>
  </si>
  <si>
    <t>21.12.23</t>
  </si>
  <si>
    <t>22.12.23</t>
  </si>
  <si>
    <t>23.12.23</t>
  </si>
  <si>
    <t>24.12.23</t>
  </si>
  <si>
    <t>25.12.23</t>
  </si>
  <si>
    <t>26.12.23</t>
  </si>
  <si>
    <t>27.12.23</t>
  </si>
  <si>
    <t>28.12.23</t>
  </si>
  <si>
    <t>29.12.23</t>
  </si>
  <si>
    <t>30.12.23</t>
  </si>
  <si>
    <t>31.12.23</t>
  </si>
  <si>
    <t>HT/MS-100X100X6/7</t>
  </si>
  <si>
    <t>MS-100X100X6/7/8</t>
  </si>
  <si>
    <t>HT-90X90X6/5</t>
  </si>
  <si>
    <t>DSP-125/ JSP-130</t>
  </si>
  <si>
    <t>HT/MS-90X90X5/6/7</t>
  </si>
  <si>
    <t>DSP-125/ JSP-150</t>
  </si>
  <si>
    <t>DSP-125/</t>
  </si>
  <si>
    <t>HT-80X80X5/8/6</t>
  </si>
  <si>
    <t>MS-75X75X8/6</t>
  </si>
  <si>
    <t>HT-75X75X5/6</t>
  </si>
  <si>
    <t>13.30 PM</t>
  </si>
  <si>
    <t>HT-120X120X8/9</t>
  </si>
  <si>
    <t>HT-120X120X8/7/9/10</t>
  </si>
  <si>
    <t>MS/HT-110X110X7/6/8</t>
  </si>
  <si>
    <t>MS/HT-100X100X7/6</t>
  </si>
  <si>
    <t xml:space="preserve">HT-130X130X10/12 </t>
  </si>
  <si>
    <t>SAIL-150/JSPL150</t>
  </si>
  <si>
    <t>SAIL-150</t>
  </si>
  <si>
    <t>JSPL150-SAIL/150</t>
  </si>
  <si>
    <t>JSPL150-SAIL-150</t>
  </si>
  <si>
    <t>09.00 PM</t>
  </si>
  <si>
    <t>HT-130X130X12/11/10/9/8</t>
  </si>
  <si>
    <t>HT-110X110X8/7</t>
  </si>
  <si>
    <t>HT/MS-110X110X7/6</t>
  </si>
  <si>
    <t>6.00 AM</t>
  </si>
  <si>
    <t>MS/HT-90X90X5/6/7/8</t>
  </si>
  <si>
    <t>SAIL-125 JSPL-150</t>
  </si>
  <si>
    <t xml:space="preserve">Furnace  Jam Cleaning  &amp; Maintanence </t>
  </si>
  <si>
    <t>SAIL125-SAIL-150</t>
  </si>
  <si>
    <t>01.01.24</t>
  </si>
  <si>
    <t>02.01.24</t>
  </si>
  <si>
    <t>03.01.24</t>
  </si>
  <si>
    <t>04.01.24</t>
  </si>
  <si>
    <t>05.01.24</t>
  </si>
  <si>
    <t>06.01.24</t>
  </si>
  <si>
    <t>07.01.24</t>
  </si>
  <si>
    <t>08.01.24</t>
  </si>
  <si>
    <t>09.01.24</t>
  </si>
  <si>
    <t>10.01.24</t>
  </si>
  <si>
    <t>11.01.24</t>
  </si>
  <si>
    <t>12.01.24</t>
  </si>
  <si>
    <t>13.01.24</t>
  </si>
  <si>
    <t>14.01.24</t>
  </si>
  <si>
    <t>15.01.24</t>
  </si>
  <si>
    <t>16.01.24</t>
  </si>
  <si>
    <t>17.01.24</t>
  </si>
  <si>
    <t>18.01.24</t>
  </si>
  <si>
    <t>19.01.24</t>
  </si>
  <si>
    <t>20.01.24</t>
  </si>
  <si>
    <t>21.01.24</t>
  </si>
  <si>
    <t>22.01.24</t>
  </si>
  <si>
    <t>23.01.24</t>
  </si>
  <si>
    <t>24.01.24</t>
  </si>
  <si>
    <t>25.01.24</t>
  </si>
  <si>
    <t>26.01.24</t>
  </si>
  <si>
    <t>27.01.24</t>
  </si>
  <si>
    <t>28.01.24</t>
  </si>
  <si>
    <t>29.01.24</t>
  </si>
  <si>
    <t>30.01.24</t>
  </si>
  <si>
    <t>31.01.24</t>
  </si>
  <si>
    <t>HT/MS-70X70X6/5</t>
  </si>
  <si>
    <t>HT-150X150X20/18/16/15/14/12/10</t>
  </si>
  <si>
    <t>JSPL-200 SAIL-230-160</t>
  </si>
  <si>
    <t>HT-150X150X11/12/14/15/17/18</t>
  </si>
  <si>
    <t>HT150X150X20/16/10</t>
  </si>
  <si>
    <t>MS-75X75X8/6/5</t>
  </si>
  <si>
    <t>01.00 AM</t>
  </si>
  <si>
    <t>HT/MS-90X90X6/7/5</t>
  </si>
  <si>
    <t>HT-100X100X8/9/7</t>
  </si>
  <si>
    <t>HT-100X100X7</t>
  </si>
  <si>
    <t>HT/MS-100X100X7/8/6</t>
  </si>
  <si>
    <t xml:space="preserve">HT-120X120X10, 11, 9, 8, </t>
  </si>
  <si>
    <t>HT/MS-130X130X12,11,10,9,8</t>
  </si>
  <si>
    <t>SAIL/JSPL-150</t>
  </si>
  <si>
    <t>HT-150X150X16/15/14</t>
  </si>
  <si>
    <t>SAIL/JSPL-200/230.160</t>
  </si>
  <si>
    <t>HT-150X150X14/13/12/10/18/20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</si>
</sst>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0.000"/>
    <numFmt numFmtId="165" formatCode="0.0"/>
    <numFmt numFmtId="166" formatCode="_(* #,##0.000_);_(* \(#,##0.000\);_(* &quot;-&quot;??_);_(@_)"/>
    <numFmt numFmtId="167" formatCode="_(* #,##0.000_);_(* \(#,##0.000\);_(* &quot;-&quot;???_);_(@_)"/>
    <numFmt numFmtId="168" formatCode="_(* #,##0_);_(* \(#,##0\);_(* &quot;-&quot;???_);_(@_)"/>
    <numFmt numFmtId="169" formatCode="[$-409]h:mm\ AM/PM;@"/>
    <numFmt numFmtId="170" formatCode="dd/mm/yyyy;@"/>
    <numFmt numFmtId="171" formatCode="_(* #,##0_);_(* \(#,##0\);_(* &quot;-&quot;??_);_(@_)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8">
    <xf numFmtId="0" fontId="0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29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0" fontId="8" fillId="0" borderId="1" xfId="0" applyFont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5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2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/>
    <xf numFmtId="0" fontId="13" fillId="0" borderId="0" xfId="0" applyFont="1"/>
    <xf numFmtId="0" fontId="9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10" fillId="0" borderId="0" xfId="0" applyFont="1"/>
    <xf numFmtId="0" fontId="14" fillId="0" borderId="0" xfId="0" applyFont="1"/>
    <xf numFmtId="164" fontId="10" fillId="0" borderId="0" xfId="0" applyNumberFormat="1" applyFont="1"/>
    <xf numFmtId="0" fontId="11" fillId="0" borderId="1" xfId="0" applyFont="1" applyBorder="1" applyAlignment="1"/>
    <xf numFmtId="0" fontId="7" fillId="0" borderId="1" xfId="0" applyFont="1" applyBorder="1"/>
    <xf numFmtId="166" fontId="11" fillId="0" borderId="1" xfId="1" applyNumberFormat="1" applyFont="1" applyBorder="1"/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164" fontId="13" fillId="0" borderId="1" xfId="0" applyNumberFormat="1" applyFont="1" applyBorder="1"/>
    <xf numFmtId="168" fontId="11" fillId="0" borderId="1" xfId="0" applyNumberFormat="1" applyFont="1" applyBorder="1" applyAlignment="1">
      <alignment vertical="center"/>
    </xf>
    <xf numFmtId="164" fontId="9" fillId="0" borderId="0" xfId="0" applyNumberFormat="1" applyFont="1"/>
    <xf numFmtId="164" fontId="16" fillId="2" borderId="8" xfId="0" applyNumberFormat="1" applyFont="1" applyFill="1" applyBorder="1" applyAlignment="1">
      <alignment horizontal="center"/>
    </xf>
    <xf numFmtId="0" fontId="0" fillId="0" borderId="0" xfId="0" applyBorder="1"/>
    <xf numFmtId="164" fontId="3" fillId="2" borderId="0" xfId="0" applyNumberFormat="1" applyFont="1" applyFill="1" applyBorder="1" applyAlignment="1">
      <alignment horizontal="center"/>
    </xf>
    <xf numFmtId="1" fontId="3" fillId="2" borderId="0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right"/>
    </xf>
    <xf numFmtId="10" fontId="4" fillId="0" borderId="0" xfId="0" applyNumberFormat="1" applyFont="1" applyBorder="1" applyAlignment="1">
      <alignment horizontal="right"/>
    </xf>
    <xf numFmtId="0" fontId="11" fillId="0" borderId="9" xfId="0" applyFont="1" applyBorder="1" applyAlignment="1"/>
    <xf numFmtId="0" fontId="0" fillId="0" borderId="10" xfId="0" applyBorder="1"/>
    <xf numFmtId="0" fontId="11" fillId="0" borderId="4" xfId="0" applyFont="1" applyBorder="1" applyAlignment="1">
      <alignment horizontal="right"/>
    </xf>
    <xf numFmtId="164" fontId="11" fillId="0" borderId="1" xfId="0" applyNumberFormat="1" applyFont="1" applyBorder="1"/>
    <xf numFmtId="1" fontId="13" fillId="0" borderId="1" xfId="0" applyNumberFormat="1" applyFont="1" applyBorder="1" applyAlignment="1"/>
    <xf numFmtId="166" fontId="9" fillId="0" borderId="0" xfId="0" applyNumberFormat="1" applyFont="1"/>
    <xf numFmtId="0" fontId="11" fillId="0" borderId="0" xfId="0" applyFont="1"/>
    <xf numFmtId="0" fontId="11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/>
    <xf numFmtId="10" fontId="9" fillId="0" borderId="1" xfId="0" applyNumberFormat="1" applyFont="1" applyBorder="1" applyAlignment="1">
      <alignment horizontal="right"/>
    </xf>
    <xf numFmtId="0" fontId="17" fillId="0" borderId="1" xfId="0" applyFont="1" applyBorder="1"/>
    <xf numFmtId="164" fontId="18" fillId="2" borderId="1" xfId="0" applyNumberFormat="1" applyFont="1" applyFill="1" applyBorder="1" applyAlignment="1">
      <alignment horizontal="center"/>
    </xf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horizontal="center"/>
    </xf>
    <xf numFmtId="1" fontId="18" fillId="2" borderId="1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right"/>
    </xf>
    <xf numFmtId="10" fontId="11" fillId="0" borderId="1" xfId="0" applyNumberFormat="1" applyFont="1" applyBorder="1" applyAlignment="1">
      <alignment horizontal="right"/>
    </xf>
    <xf numFmtId="0" fontId="19" fillId="0" borderId="1" xfId="0" applyFont="1" applyBorder="1"/>
    <xf numFmtId="164" fontId="19" fillId="0" borderId="1" xfId="0" applyNumberFormat="1" applyFont="1" applyBorder="1"/>
    <xf numFmtId="2" fontId="19" fillId="0" borderId="1" xfId="0" applyNumberFormat="1" applyFont="1" applyBorder="1"/>
    <xf numFmtId="164" fontId="19" fillId="0" borderId="1" xfId="0" applyNumberFormat="1" applyFont="1" applyBorder="1" applyAlignment="1">
      <alignment horizontal="center"/>
    </xf>
    <xf numFmtId="0" fontId="19" fillId="0" borderId="1" xfId="0" quotePrefix="1" applyFont="1" applyBorder="1"/>
    <xf numFmtId="0" fontId="11" fillId="0" borderId="1" xfId="0" applyFont="1" applyBorder="1"/>
    <xf numFmtId="0" fontId="9" fillId="0" borderId="1" xfId="0" applyFont="1" applyBorder="1"/>
    <xf numFmtId="164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9" fillId="3" borderId="1" xfId="0" applyFont="1" applyFill="1" applyBorder="1"/>
    <xf numFmtId="0" fontId="11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/>
    <xf numFmtId="0" fontId="11" fillId="0" borderId="5" xfId="0" applyFont="1" applyBorder="1" applyAlignment="1"/>
    <xf numFmtId="0" fontId="9" fillId="0" borderId="1" xfId="0" applyFont="1" applyBorder="1" applyAlignment="1"/>
    <xf numFmtId="0" fontId="9" fillId="0" borderId="5" xfId="0" applyFont="1" applyBorder="1" applyAlignment="1">
      <alignment horizontal="left"/>
    </xf>
    <xf numFmtId="0" fontId="9" fillId="4" borderId="1" xfId="0" applyFont="1" applyFill="1" applyBorder="1"/>
    <xf numFmtId="0" fontId="9" fillId="4" borderId="1" xfId="0" applyFont="1" applyFill="1" applyBorder="1" applyAlignment="1"/>
    <xf numFmtId="0" fontId="11" fillId="0" borderId="1" xfId="0" applyFont="1" applyBorder="1" applyAlignment="1">
      <alignment horizontal="right"/>
    </xf>
    <xf numFmtId="1" fontId="11" fillId="0" borderId="1" xfId="0" applyNumberFormat="1" applyFont="1" applyBorder="1"/>
    <xf numFmtId="1" fontId="18" fillId="2" borderId="0" xfId="0" applyNumberFormat="1" applyFont="1" applyFill="1" applyBorder="1" applyAlignment="1">
      <alignment horizontal="center" vertical="center" wrapText="1"/>
    </xf>
    <xf numFmtId="165" fontId="18" fillId="2" borderId="0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168" fontId="1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" fontId="18" fillId="2" borderId="1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18" fillId="2" borderId="1" xfId="0" applyNumberFormat="1" applyFont="1" applyFill="1" applyBorder="1" applyAlignment="1">
      <alignment horizontal="left"/>
    </xf>
    <xf numFmtId="0" fontId="1" fillId="0" borderId="0" xfId="0" applyFont="1" applyBorder="1"/>
    <xf numFmtId="0" fontId="18" fillId="0" borderId="1" xfId="0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5" borderId="6" xfId="0" applyFill="1" applyBorder="1"/>
    <xf numFmtId="0" fontId="0" fillId="0" borderId="3" xfId="0" applyBorder="1" applyAlignment="1"/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/>
    <xf numFmtId="0" fontId="1" fillId="0" borderId="1" xfId="0" quotePrefix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/>
    <xf numFmtId="0" fontId="1" fillId="5" borderId="0" xfId="0" applyFont="1" applyFill="1" applyAlignment="1">
      <alignment horizontal="center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0" borderId="14" xfId="0" applyFont="1" applyBorder="1" applyAlignment="1"/>
    <xf numFmtId="1" fontId="17" fillId="0" borderId="1" xfId="0" applyNumberFormat="1" applyFont="1" applyBorder="1"/>
    <xf numFmtId="0" fontId="3" fillId="0" borderId="1" xfId="0" applyFont="1" applyBorder="1" applyAlignment="1">
      <alignment horizontal="left" vertical="center" wrapText="1"/>
    </xf>
    <xf numFmtId="0" fontId="19" fillId="0" borderId="0" xfId="0" applyFont="1" applyBorder="1"/>
    <xf numFmtId="0" fontId="19" fillId="0" borderId="0" xfId="0" quotePrefix="1" applyFont="1" applyBorder="1"/>
    <xf numFmtId="164" fontId="18" fillId="2" borderId="0" xfId="0" applyNumberFormat="1" applyFont="1" applyFill="1" applyBorder="1" applyAlignment="1">
      <alignment horizontal="center"/>
    </xf>
    <xf numFmtId="2" fontId="18" fillId="2" borderId="0" xfId="0" applyNumberFormat="1" applyFont="1" applyFill="1" applyBorder="1" applyAlignment="1">
      <alignment horizontal="center"/>
    </xf>
    <xf numFmtId="164" fontId="18" fillId="2" borderId="0" xfId="0" applyNumberFormat="1" applyFont="1" applyFill="1" applyBorder="1" applyAlignment="1">
      <alignment horizontal="right"/>
    </xf>
    <xf numFmtId="10" fontId="11" fillId="0" borderId="0" xfId="0" applyNumberFormat="1" applyFont="1" applyBorder="1" applyAlignment="1">
      <alignment horizontal="right"/>
    </xf>
    <xf numFmtId="1" fontId="18" fillId="2" borderId="0" xfId="0" applyNumberFormat="1" applyFont="1" applyFill="1" applyBorder="1" applyAlignment="1">
      <alignment horizontal="right"/>
    </xf>
    <xf numFmtId="168" fontId="11" fillId="0" borderId="0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 wrapText="1"/>
    </xf>
    <xf numFmtId="169" fontId="10" fillId="2" borderId="1" xfId="0" applyNumberFormat="1" applyFont="1" applyFill="1" applyBorder="1" applyAlignment="1">
      <alignment horizontal="center"/>
    </xf>
    <xf numFmtId="169" fontId="10" fillId="2" borderId="1" xfId="0" applyNumberFormat="1" applyFont="1" applyFill="1" applyBorder="1" applyAlignment="1">
      <alignment horizontal="center" vertical="center" wrapText="1"/>
    </xf>
    <xf numFmtId="169" fontId="19" fillId="0" borderId="1" xfId="0" applyNumberFormat="1" applyFont="1" applyBorder="1"/>
    <xf numFmtId="169" fontId="1" fillId="0" borderId="0" xfId="0" applyNumberFormat="1" applyFont="1" applyBorder="1"/>
    <xf numFmtId="169" fontId="19" fillId="0" borderId="0" xfId="0" applyNumberFormat="1" applyFont="1" applyBorder="1"/>
    <xf numFmtId="169" fontId="0" fillId="0" borderId="0" xfId="0" applyNumberFormat="1"/>
    <xf numFmtId="170" fontId="3" fillId="0" borderId="1" xfId="0" applyNumberFormat="1" applyFont="1" applyBorder="1" applyAlignment="1">
      <alignment horizontal="center" vertical="center" wrapText="1"/>
    </xf>
    <xf numFmtId="170" fontId="10" fillId="2" borderId="1" xfId="0" applyNumberFormat="1" applyFont="1" applyFill="1" applyBorder="1" applyAlignment="1">
      <alignment horizontal="center"/>
    </xf>
    <xf numFmtId="170" fontId="18" fillId="2" borderId="1" xfId="0" applyNumberFormat="1" applyFont="1" applyFill="1" applyBorder="1" applyAlignment="1">
      <alignment horizontal="center"/>
    </xf>
    <xf numFmtId="170" fontId="19" fillId="0" borderId="1" xfId="0" applyNumberFormat="1" applyFont="1" applyBorder="1"/>
    <xf numFmtId="170" fontId="0" fillId="0" borderId="0" xfId="0" applyNumberFormat="1" applyBorder="1"/>
    <xf numFmtId="170" fontId="19" fillId="0" borderId="0" xfId="0" applyNumberFormat="1" applyFont="1" applyBorder="1"/>
    <xf numFmtId="170" fontId="0" fillId="0" borderId="0" xfId="0" applyNumberFormat="1"/>
    <xf numFmtId="164" fontId="0" fillId="0" borderId="0" xfId="0" applyNumberFormat="1" applyBorder="1"/>
    <xf numFmtId="2" fontId="8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6" fontId="8" fillId="0" borderId="3" xfId="0" quotePrefix="1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0" fontId="12" fillId="0" borderId="1" xfId="0" applyNumberFormat="1" applyFont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16" fontId="6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9" fillId="0" borderId="1" xfId="1" applyNumberFormat="1" applyFont="1" applyBorder="1"/>
    <xf numFmtId="2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/>
    <xf numFmtId="171" fontId="11" fillId="0" borderId="1" xfId="1" applyNumberFormat="1" applyFont="1" applyBorder="1"/>
    <xf numFmtId="0" fontId="1" fillId="0" borderId="1" xfId="0" applyFont="1" applyBorder="1" applyAlignment="1">
      <alignment horizontal="center"/>
    </xf>
    <xf numFmtId="16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right"/>
    </xf>
    <xf numFmtId="0" fontId="20" fillId="0" borderId="1" xfId="0" applyFont="1" applyBorder="1"/>
    <xf numFmtId="170" fontId="10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70" fontId="10" fillId="2" borderId="1" xfId="0" applyNumberFormat="1" applyFont="1" applyFill="1" applyBorder="1" applyAlignment="1"/>
    <xf numFmtId="0" fontId="1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2" fontId="9" fillId="0" borderId="1" xfId="0" applyNumberFormat="1" applyFont="1" applyBorder="1" applyAlignment="1"/>
    <xf numFmtId="1" fontId="10" fillId="2" borderId="1" xfId="0" applyNumberFormat="1" applyFont="1" applyFill="1" applyBorder="1" applyAlignment="1">
      <alignment vertical="center" wrapText="1"/>
    </xf>
    <xf numFmtId="164" fontId="10" fillId="2" borderId="1" xfId="0" applyNumberFormat="1" applyFont="1" applyFill="1" applyBorder="1" applyAlignment="1">
      <alignment vertical="center" wrapText="1"/>
    </xf>
    <xf numFmtId="165" fontId="10" fillId="2" borderId="1" xfId="0" applyNumberFormat="1" applyFont="1" applyFill="1" applyBorder="1" applyAlignment="1">
      <alignment vertical="center" wrapText="1"/>
    </xf>
    <xf numFmtId="0" fontId="9" fillId="0" borderId="2" xfId="0" applyFont="1" applyBorder="1" applyAlignment="1"/>
    <xf numFmtId="164" fontId="9" fillId="0" borderId="2" xfId="0" applyNumberFormat="1" applyFont="1" applyBorder="1" applyAlignment="1"/>
    <xf numFmtId="10" fontId="9" fillId="0" borderId="1" xfId="0" applyNumberFormat="1" applyFont="1" applyBorder="1" applyAlignment="1"/>
    <xf numFmtId="0" fontId="19" fillId="0" borderId="1" xfId="0" applyFont="1" applyBorder="1" applyAlignment="1"/>
    <xf numFmtId="2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0" fontId="10" fillId="2" borderId="1" xfId="0" applyFont="1" applyFill="1" applyBorder="1" applyAlignment="1"/>
    <xf numFmtId="164" fontId="10" fillId="0" borderId="1" xfId="0" applyNumberFormat="1" applyFont="1" applyBorder="1" applyAlignment="1"/>
    <xf numFmtId="2" fontId="18" fillId="2" borderId="1" xfId="0" applyNumberFormat="1" applyFont="1" applyFill="1" applyBorder="1" applyAlignment="1"/>
    <xf numFmtId="164" fontId="18" fillId="2" borderId="1" xfId="0" applyNumberFormat="1" applyFont="1" applyFill="1" applyBorder="1" applyAlignment="1"/>
    <xf numFmtId="1" fontId="18" fillId="2" borderId="1" xfId="0" applyNumberFormat="1" applyFont="1" applyFill="1" applyBorder="1" applyAlignment="1">
      <alignment vertical="center" wrapText="1"/>
    </xf>
    <xf numFmtId="165" fontId="18" fillId="2" borderId="1" xfId="0" applyNumberFormat="1" applyFont="1" applyFill="1" applyBorder="1" applyAlignment="1">
      <alignment vertical="center" wrapText="1"/>
    </xf>
    <xf numFmtId="1" fontId="18" fillId="2" borderId="1" xfId="0" applyNumberFormat="1" applyFont="1" applyFill="1" applyBorder="1" applyAlignment="1"/>
    <xf numFmtId="10" fontId="11" fillId="0" borderId="1" xfId="0" applyNumberFormat="1" applyFont="1" applyBorder="1" applyAlignment="1"/>
    <xf numFmtId="0" fontId="11" fillId="0" borderId="1" xfId="0" applyFont="1" applyBorder="1" applyAlignment="1">
      <alignment horizontal="center"/>
    </xf>
    <xf numFmtId="0" fontId="9" fillId="0" borderId="2" xfId="0" applyFont="1" applyBorder="1"/>
    <xf numFmtId="164" fontId="9" fillId="0" borderId="2" xfId="0" applyNumberFormat="1" applyFont="1" applyBorder="1"/>
    <xf numFmtId="16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70" fontId="10" fillId="2" borderId="3" xfId="0" applyNumberFormat="1" applyFont="1" applyFill="1" applyBorder="1" applyAlignment="1">
      <alignment horizontal="left"/>
    </xf>
    <xf numFmtId="14" fontId="10" fillId="0" borderId="3" xfId="0" applyNumberFormat="1" applyFont="1" applyBorder="1" applyAlignment="1">
      <alignment horizontal="center" vertical="center" wrapText="1"/>
    </xf>
    <xf numFmtId="0" fontId="18" fillId="2" borderId="3" xfId="0" applyNumberFormat="1" applyFont="1" applyFill="1" applyBorder="1" applyAlignment="1">
      <alignment horizontal="left"/>
    </xf>
    <xf numFmtId="0" fontId="10" fillId="2" borderId="3" xfId="0" applyNumberFormat="1" applyFont="1" applyFill="1" applyBorder="1" applyAlignment="1">
      <alignment horizontal="center"/>
    </xf>
    <xf numFmtId="0" fontId="9" fillId="0" borderId="3" xfId="0" applyFont="1" applyBorder="1" applyAlignment="1"/>
    <xf numFmtId="166" fontId="9" fillId="0" borderId="3" xfId="1" applyNumberFormat="1" applyFont="1" applyBorder="1"/>
    <xf numFmtId="2" fontId="10" fillId="0" borderId="3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/>
    <xf numFmtId="164" fontId="9" fillId="0" borderId="3" xfId="0" applyNumberFormat="1" applyFont="1" applyBorder="1" applyAlignment="1"/>
    <xf numFmtId="1" fontId="10" fillId="2" borderId="3" xfId="0" applyNumberFormat="1" applyFont="1" applyFill="1" applyBorder="1" applyAlignment="1">
      <alignment vertical="center" wrapText="1"/>
    </xf>
    <xf numFmtId="164" fontId="10" fillId="2" borderId="3" xfId="0" applyNumberFormat="1" applyFont="1" applyFill="1" applyBorder="1" applyAlignment="1">
      <alignment vertical="center" wrapText="1"/>
    </xf>
    <xf numFmtId="165" fontId="10" fillId="2" borderId="3" xfId="0" applyNumberFormat="1" applyFont="1" applyFill="1" applyBorder="1" applyAlignment="1">
      <alignment vertical="center" wrapText="1"/>
    </xf>
    <xf numFmtId="10" fontId="9" fillId="0" borderId="3" xfId="0" applyNumberFormat="1" applyFont="1" applyBorder="1" applyAlignment="1"/>
    <xf numFmtId="0" fontId="19" fillId="0" borderId="3" xfId="0" applyFont="1" applyBorder="1" applyAlignment="1"/>
    <xf numFmtId="168" fontId="11" fillId="0" borderId="3" xfId="0" applyNumberFormat="1" applyFont="1" applyBorder="1" applyAlignment="1">
      <alignment vertical="center"/>
    </xf>
    <xf numFmtId="164" fontId="9" fillId="0" borderId="1" xfId="0" applyNumberFormat="1" applyFont="1" applyBorder="1"/>
    <xf numFmtId="16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  <xf numFmtId="164" fontId="9" fillId="0" borderId="2" xfId="0" applyNumberFormat="1" applyFont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0" fontId="0" fillId="0" borderId="2" xfId="0" applyBorder="1"/>
    <xf numFmtId="0" fontId="9" fillId="0" borderId="2" xfId="0" applyFont="1" applyFill="1" applyBorder="1"/>
    <xf numFmtId="164" fontId="9" fillId="0" borderId="2" xfId="0" applyNumberFormat="1" applyFont="1" applyFill="1" applyBorder="1"/>
    <xf numFmtId="164" fontId="9" fillId="0" borderId="1" xfId="0" applyNumberFormat="1" applyFont="1" applyBorder="1" applyAlignment="1">
      <alignment horizontal="right"/>
    </xf>
    <xf numFmtId="16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1" fillId="0" borderId="1" xfId="0" applyFont="1" applyBorder="1"/>
    <xf numFmtId="168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0" fillId="0" borderId="1" xfId="0" applyFont="1" applyBorder="1"/>
    <xf numFmtId="170" fontId="10" fillId="2" borderId="1" xfId="0" applyNumberFormat="1" applyFont="1" applyFill="1" applyBorder="1" applyAlignment="1">
      <alignment horizontal="left"/>
    </xf>
    <xf numFmtId="0" fontId="20" fillId="0" borderId="1" xfId="0" applyFont="1" applyBorder="1"/>
    <xf numFmtId="170" fontId="10" fillId="2" borderId="1" xfId="0" applyNumberFormat="1" applyFont="1" applyFill="1" applyBorder="1" applyAlignment="1">
      <alignment horizontal="left"/>
    </xf>
    <xf numFmtId="166" fontId="9" fillId="6" borderId="1" xfId="1" applyNumberFormat="1" applyFont="1" applyFill="1" applyBorder="1"/>
    <xf numFmtId="1" fontId="17" fillId="0" borderId="0" xfId="0" applyNumberFormat="1" applyFont="1" applyBorder="1"/>
    <xf numFmtId="0" fontId="20" fillId="0" borderId="1" xfId="37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67" fontId="11" fillId="0" borderId="3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3" xfId="0" applyNumberFormat="1" applyFont="1" applyBorder="1" applyAlignment="1">
      <alignment vertical="center" wrapText="1"/>
    </xf>
    <xf numFmtId="167" fontId="11" fillId="0" borderId="4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168" fontId="11" fillId="0" borderId="3" xfId="0" applyNumberFormat="1" applyFont="1" applyBorder="1" applyAlignment="1">
      <alignment horizontal="center" vertical="center" wrapText="1"/>
    </xf>
    <xf numFmtId="168" fontId="11" fillId="0" borderId="4" xfId="0" applyNumberFormat="1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71" fontId="11" fillId="0" borderId="3" xfId="0" applyNumberFormat="1" applyFont="1" applyBorder="1" applyAlignment="1">
      <alignment horizontal="center" vertical="center" wrapText="1"/>
    </xf>
    <xf numFmtId="171" fontId="11" fillId="0" borderId="4" xfId="0" applyNumberFormat="1" applyFont="1" applyBorder="1" applyAlignment="1">
      <alignment horizontal="center" vertical="center" wrapText="1"/>
    </xf>
  </cellXfs>
  <cellStyles count="68">
    <cellStyle name="Comma 2 2" xfId="1"/>
    <cellStyle name="Comma 2 3" xfId="2"/>
    <cellStyle name="Comma 2 4" xfId="3"/>
    <cellStyle name="Comma 2 5" xfId="4"/>
    <cellStyle name="Comma 2 6" xfId="5"/>
    <cellStyle name="Comma 2 7" xfId="6"/>
    <cellStyle name="Comma 2 8" xfId="7"/>
    <cellStyle name="Normal" xfId="0" builtinId="0"/>
    <cellStyle name="Normal 2 2" xfId="8"/>
    <cellStyle name="Normal 2 2 10" xfId="60"/>
    <cellStyle name="Normal 2 2 2" xfId="9"/>
    <cellStyle name="Normal 2 2 2 2" xfId="10"/>
    <cellStyle name="Normal 2 2 2 2 2" xfId="11"/>
    <cellStyle name="Normal 2 2 2 2 3" xfId="12"/>
    <cellStyle name="Normal 2 2 2 2 4" xfId="13"/>
    <cellStyle name="Normal 2 2 2 2 5" xfId="14"/>
    <cellStyle name="Normal 2 2 2 2 6" xfId="15"/>
    <cellStyle name="Normal 2 2 2 2 7" xfId="61"/>
    <cellStyle name="Normal 2 2 2 3" xfId="16"/>
    <cellStyle name="Normal 2 2 2 4" xfId="17"/>
    <cellStyle name="Normal 2 2 2 5" xfId="18"/>
    <cellStyle name="Normal 2 2 3" xfId="19"/>
    <cellStyle name="Normal 2 2 3 2" xfId="20"/>
    <cellStyle name="Normal 2 2 3 2 2" xfId="21"/>
    <cellStyle name="Normal 2 2 3 2 3" xfId="22"/>
    <cellStyle name="Normal 2 2 3 2 4" xfId="23"/>
    <cellStyle name="Normal 2 2 3 2 5" xfId="24"/>
    <cellStyle name="Normal 2 2 3 2 6" xfId="62"/>
    <cellStyle name="Normal 2 2 4" xfId="25"/>
    <cellStyle name="Normal 2 2 4 2" xfId="26"/>
    <cellStyle name="Normal 2 2 4 3" xfId="27"/>
    <cellStyle name="Normal 2 2 4 4" xfId="28"/>
    <cellStyle name="Normal 2 2 4 5" xfId="29"/>
    <cellStyle name="Normal 2 2 4 6" xfId="63"/>
    <cellStyle name="Normal 2 2 5" xfId="30"/>
    <cellStyle name="Normal 2 2 5 2" xfId="31"/>
    <cellStyle name="Normal 2 2 5 3" xfId="32"/>
    <cellStyle name="Normal 2 2 5 4" xfId="33"/>
    <cellStyle name="Normal 2 2 5 5" xfId="34"/>
    <cellStyle name="Normal 2 2 5 6" xfId="64"/>
    <cellStyle name="Normal 2 2 6" xfId="35"/>
    <cellStyle name="Normal 2 2 7" xfId="36"/>
    <cellStyle name="Normal 2 2 8" xfId="37"/>
    <cellStyle name="Normal 2 2 9" xfId="38"/>
    <cellStyle name="Normal 2 3" xfId="39"/>
    <cellStyle name="Normal 2 4" xfId="40"/>
    <cellStyle name="Normal 2 5" xfId="41"/>
    <cellStyle name="Normal 2 6" xfId="42"/>
    <cellStyle name="Normal 2 7" xfId="43"/>
    <cellStyle name="Normal 2 8" xfId="44"/>
    <cellStyle name="Normal 3 2" xfId="45"/>
    <cellStyle name="Normal 3 2 2" xfId="46"/>
    <cellStyle name="Normal 3 2 3" xfId="47"/>
    <cellStyle name="Normal 3 2 4" xfId="48"/>
    <cellStyle name="Normal 3 2 5" xfId="49"/>
    <cellStyle name="Normal 3 2 6" xfId="65"/>
    <cellStyle name="Normal 6" xfId="50"/>
    <cellStyle name="Normal 6 2" xfId="51"/>
    <cellStyle name="Normal 6 3" xfId="52"/>
    <cellStyle name="Normal 6 4" xfId="53"/>
    <cellStyle name="Normal 6 5" xfId="54"/>
    <cellStyle name="Normal 6 6" xfId="66"/>
    <cellStyle name="Normal 7" xfId="55"/>
    <cellStyle name="Normal 7 2" xfId="56"/>
    <cellStyle name="Normal 7 3" xfId="57"/>
    <cellStyle name="Normal 7 4" xfId="58"/>
    <cellStyle name="Normal 7 5" xfId="59"/>
    <cellStyle name="Normal 7 6" xfId="6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369"/>
  <sheetViews>
    <sheetView tabSelected="1" zoomScale="80" zoomScaleNormal="80" workbookViewId="0">
      <pane ySplit="2" topLeftCell="A337" activePane="bottomLeft" state="frozen"/>
      <selection pane="bottomLeft" activeCell="D347" sqref="D347"/>
    </sheetView>
  </sheetViews>
  <sheetFormatPr defaultRowHeight="15"/>
  <cols>
    <col min="1" max="1" width="14" style="140" customWidth="1"/>
    <col min="2" max="2" width="7" customWidth="1"/>
    <col min="3" max="3" width="8.5703125" customWidth="1"/>
    <col min="4" max="4" width="9.7109375" style="133" customWidth="1"/>
    <col min="5" max="5" width="10" style="133" customWidth="1"/>
    <col min="6" max="6" width="34.28515625" customWidth="1"/>
    <col min="7" max="7" width="10.85546875" customWidth="1"/>
    <col min="8" max="8" width="19.5703125" customWidth="1"/>
    <col min="9" max="9" width="7.7109375" hidden="1" customWidth="1"/>
    <col min="10" max="10" width="6.42578125" hidden="1" customWidth="1"/>
    <col min="11" max="11" width="9.85546875" customWidth="1"/>
    <col min="12" max="12" width="11.5703125" customWidth="1"/>
    <col min="13" max="13" width="10" customWidth="1"/>
    <col min="14" max="14" width="8.140625" hidden="1" customWidth="1"/>
    <col min="15" max="15" width="8.5703125" hidden="1" customWidth="1"/>
    <col min="16" max="16" width="9.5703125" bestFit="1" customWidth="1"/>
    <col min="17" max="17" width="6" bestFit="1" customWidth="1"/>
    <col min="18" max="18" width="7.28515625" customWidth="1"/>
    <col min="19" max="20" width="7.7109375" style="33" customWidth="1"/>
    <col min="21" max="21" width="8.85546875" customWidth="1"/>
    <col min="22" max="22" width="8.140625" bestFit="1" customWidth="1"/>
    <col min="23" max="23" width="11.42578125" customWidth="1"/>
    <col min="24" max="24" width="9.28515625" bestFit="1" customWidth="1"/>
  </cols>
  <sheetData>
    <row r="1" spans="1:25" ht="15.75">
      <c r="A1" s="257" t="s">
        <v>134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38"/>
      <c r="S1" s="38"/>
      <c r="T1" s="116"/>
      <c r="U1" s="39"/>
      <c r="V1" s="40"/>
    </row>
    <row r="2" spans="1:25" ht="57" customHeight="1">
      <c r="A2" s="134" t="s">
        <v>0</v>
      </c>
      <c r="B2" s="1" t="s">
        <v>20</v>
      </c>
      <c r="C2" s="118" t="s">
        <v>117</v>
      </c>
      <c r="D2" s="127" t="s">
        <v>2</v>
      </c>
      <c r="E2" s="127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132</v>
      </c>
      <c r="M2" s="1" t="s">
        <v>133</v>
      </c>
      <c r="N2" s="2" t="s">
        <v>12</v>
      </c>
      <c r="O2" s="2" t="s">
        <v>13</v>
      </c>
      <c r="P2" s="1" t="s">
        <v>14</v>
      </c>
      <c r="Q2" s="13" t="s">
        <v>115</v>
      </c>
      <c r="R2" s="13" t="s">
        <v>21</v>
      </c>
      <c r="S2" s="13" t="s">
        <v>24</v>
      </c>
      <c r="T2" s="13" t="s">
        <v>116</v>
      </c>
      <c r="U2" s="13" t="s">
        <v>22</v>
      </c>
      <c r="V2" s="13" t="s">
        <v>23</v>
      </c>
      <c r="W2" s="88" t="s">
        <v>54</v>
      </c>
      <c r="X2" s="89" t="s">
        <v>55</v>
      </c>
    </row>
    <row r="3" spans="1:25">
      <c r="A3" s="135" t="s">
        <v>135</v>
      </c>
      <c r="B3" s="47" t="s">
        <v>59</v>
      </c>
      <c r="C3" s="94" t="s">
        <v>57</v>
      </c>
      <c r="D3" s="128"/>
      <c r="E3" s="128"/>
      <c r="F3" s="96" t="s">
        <v>62</v>
      </c>
      <c r="G3" s="50"/>
      <c r="H3" s="51"/>
      <c r="I3" s="51"/>
      <c r="J3" s="50"/>
      <c r="K3" s="51"/>
      <c r="L3" s="50"/>
      <c r="M3" s="52"/>
      <c r="N3" s="53"/>
      <c r="O3" s="52"/>
      <c r="P3" s="54"/>
      <c r="Q3" s="46"/>
      <c r="R3" s="55"/>
      <c r="S3" s="56"/>
      <c r="T3" s="56"/>
      <c r="U3" s="55"/>
      <c r="V3" s="56"/>
      <c r="W3" s="65"/>
      <c r="X3" s="90"/>
    </row>
    <row r="4" spans="1:25">
      <c r="A4" s="135" t="s">
        <v>136</v>
      </c>
      <c r="B4" s="47" t="s">
        <v>59</v>
      </c>
      <c r="C4" s="94" t="s">
        <v>57</v>
      </c>
      <c r="D4" s="128" t="s">
        <v>71</v>
      </c>
      <c r="E4" s="128" t="s">
        <v>72</v>
      </c>
      <c r="F4" s="49" t="s">
        <v>137</v>
      </c>
      <c r="G4" s="50">
        <v>74.786000000000001</v>
      </c>
      <c r="H4" s="51" t="s">
        <v>138</v>
      </c>
      <c r="I4" s="51"/>
      <c r="J4" s="50"/>
      <c r="K4" s="51">
        <v>12</v>
      </c>
      <c r="L4" s="50">
        <v>13.6</v>
      </c>
      <c r="M4" s="52">
        <f>L4/G4*1000</f>
        <v>181.8522183296339</v>
      </c>
      <c r="N4" s="53">
        <f>+J4+L4</f>
        <v>13.6</v>
      </c>
      <c r="O4" s="52">
        <f>N4/G4*1000</f>
        <v>181.8522183296339</v>
      </c>
      <c r="P4" s="54">
        <f>G4/K4</f>
        <v>6.2321666666666671</v>
      </c>
      <c r="Q4" s="46">
        <v>13</v>
      </c>
      <c r="R4" s="55">
        <v>2.7959999999999998</v>
      </c>
      <c r="S4" s="56">
        <f t="shared" ref="S4" si="0">R4/G4</f>
        <v>3.7386676650710021E-2</v>
      </c>
      <c r="T4" s="46"/>
      <c r="U4" s="55"/>
      <c r="V4" s="56">
        <f t="shared" ref="V4" si="1">U4/G4</f>
        <v>0</v>
      </c>
      <c r="W4" s="65">
        <v>8940</v>
      </c>
      <c r="X4" s="90">
        <f t="shared" ref="X4" si="2">W4/G4</f>
        <v>119.54109057845051</v>
      </c>
    </row>
    <row r="5" spans="1:25">
      <c r="A5" s="135" t="s">
        <v>143</v>
      </c>
      <c r="B5" s="47" t="s">
        <v>59</v>
      </c>
      <c r="C5" s="94" t="s">
        <v>57</v>
      </c>
      <c r="D5" s="128" t="s">
        <v>71</v>
      </c>
      <c r="E5" s="128" t="s">
        <v>144</v>
      </c>
      <c r="F5" s="49" t="s">
        <v>145</v>
      </c>
      <c r="G5" s="50">
        <v>56.668999999999997</v>
      </c>
      <c r="H5" s="51" t="s">
        <v>138</v>
      </c>
      <c r="I5" s="51"/>
      <c r="J5" s="50"/>
      <c r="K5" s="51">
        <v>1.1499999999999999</v>
      </c>
      <c r="L5" s="50">
        <v>8.1999999999999993</v>
      </c>
      <c r="M5" s="52">
        <f>L5/G5*1000</f>
        <v>144.69992412077147</v>
      </c>
      <c r="N5" s="53">
        <f>+J5+L5</f>
        <v>8.1999999999999993</v>
      </c>
      <c r="O5" s="52">
        <f>N5/G5*1000</f>
        <v>144.69992412077147</v>
      </c>
      <c r="P5" s="54">
        <f>G5/K5</f>
        <v>49.27739130434783</v>
      </c>
      <c r="Q5" s="46">
        <v>1</v>
      </c>
      <c r="R5" s="55">
        <v>0.246</v>
      </c>
      <c r="S5" s="56">
        <f t="shared" ref="S5" si="3">R5/G5</f>
        <v>4.340997723623145E-3</v>
      </c>
      <c r="T5" s="46">
        <v>1</v>
      </c>
      <c r="U5" s="55">
        <v>0.246</v>
      </c>
      <c r="V5" s="56">
        <f t="shared" ref="V5:V28" si="4">U5/G5</f>
        <v>4.340997723623145E-3</v>
      </c>
      <c r="W5" s="65">
        <v>5760</v>
      </c>
      <c r="X5" s="90">
        <f t="shared" ref="X5:X28" si="5">W5/G5</f>
        <v>101.64287352873706</v>
      </c>
    </row>
    <row r="6" spans="1:25">
      <c r="A6" s="135" t="s">
        <v>146</v>
      </c>
      <c r="B6" s="47" t="s">
        <v>59</v>
      </c>
      <c r="C6" s="94" t="s">
        <v>57</v>
      </c>
      <c r="D6" s="157" t="s">
        <v>147</v>
      </c>
      <c r="E6" s="157" t="s">
        <v>148</v>
      </c>
      <c r="F6" s="158" t="s">
        <v>152</v>
      </c>
      <c r="G6" s="159">
        <v>171.08799999999999</v>
      </c>
      <c r="H6" s="51" t="s">
        <v>154</v>
      </c>
      <c r="I6" s="51"/>
      <c r="J6" s="50"/>
      <c r="K6" s="160">
        <v>13.45</v>
      </c>
      <c r="L6" s="161">
        <v>23.2</v>
      </c>
      <c r="M6" s="52">
        <f t="shared" ref="M6:M27" si="6">L6/G6*1000</f>
        <v>135.60273075844009</v>
      </c>
      <c r="N6" s="53">
        <f t="shared" ref="N6:N27" si="7">+J6+L6</f>
        <v>23.2</v>
      </c>
      <c r="O6" s="52">
        <f t="shared" ref="O6:O27" si="8">N6/G6*1000</f>
        <v>135.60273075844009</v>
      </c>
      <c r="P6" s="54">
        <f t="shared" ref="P6:P27" si="9">G6/K6</f>
        <v>12.720297397769517</v>
      </c>
      <c r="Q6" s="46">
        <v>6</v>
      </c>
      <c r="R6" s="55">
        <v>1.7350000000000001</v>
      </c>
      <c r="S6" s="56">
        <f t="shared" ref="S6:S27" si="10">R6/G6</f>
        <v>1.0140980080426448E-2</v>
      </c>
      <c r="T6" s="46">
        <v>13</v>
      </c>
      <c r="U6" s="55">
        <f>1.102+2.004</f>
        <v>3.1059999999999999</v>
      </c>
      <c r="V6" s="56">
        <f t="shared" ref="V6:V27" si="11">U6/G6</f>
        <v>1.8154400074815301E-2</v>
      </c>
      <c r="W6" s="65">
        <v>14760</v>
      </c>
      <c r="X6" s="90">
        <f t="shared" ref="X6:X27" si="12">W6/G6</f>
        <v>86.271392499766208</v>
      </c>
      <c r="Y6">
        <v>4</v>
      </c>
    </row>
    <row r="7" spans="1:25">
      <c r="A7" s="135" t="s">
        <v>151</v>
      </c>
      <c r="B7" s="47" t="s">
        <v>59</v>
      </c>
      <c r="C7" s="94" t="s">
        <v>57</v>
      </c>
      <c r="D7" s="157" t="s">
        <v>149</v>
      </c>
      <c r="E7" s="157" t="s">
        <v>150</v>
      </c>
      <c r="F7" s="158" t="s">
        <v>153</v>
      </c>
      <c r="G7" s="159">
        <f>136.491-5</f>
        <v>131.49100000000001</v>
      </c>
      <c r="H7" s="51" t="s">
        <v>154</v>
      </c>
      <c r="I7" s="51"/>
      <c r="J7" s="50"/>
      <c r="K7" s="160">
        <v>11</v>
      </c>
      <c r="L7" s="161">
        <v>18.7</v>
      </c>
      <c r="M7" s="52">
        <f t="shared" si="6"/>
        <v>142.21505654379385</v>
      </c>
      <c r="N7" s="53">
        <f t="shared" si="7"/>
        <v>18.7</v>
      </c>
      <c r="O7" s="52">
        <f t="shared" si="8"/>
        <v>142.21505654379385</v>
      </c>
      <c r="P7" s="54">
        <f t="shared" si="9"/>
        <v>11.953727272727274</v>
      </c>
      <c r="Q7" s="46">
        <v>1</v>
      </c>
      <c r="R7" s="55">
        <v>0.39600000000000002</v>
      </c>
      <c r="S7" s="56">
        <f t="shared" si="10"/>
        <v>3.01161296210387E-3</v>
      </c>
      <c r="T7" s="46">
        <v>1</v>
      </c>
      <c r="U7" s="55">
        <v>0.33400000000000002</v>
      </c>
      <c r="V7" s="56">
        <f t="shared" si="11"/>
        <v>2.540097801370436E-3</v>
      </c>
      <c r="W7" s="65">
        <v>11040</v>
      </c>
      <c r="X7" s="90">
        <f t="shared" si="12"/>
        <v>83.960118943501826</v>
      </c>
    </row>
    <row r="8" spans="1:25">
      <c r="A8" s="135" t="s">
        <v>155</v>
      </c>
      <c r="B8" s="47" t="s">
        <v>59</v>
      </c>
      <c r="C8" s="94" t="s">
        <v>57</v>
      </c>
      <c r="D8" s="157" t="s">
        <v>147</v>
      </c>
      <c r="E8" s="157" t="s">
        <v>157</v>
      </c>
      <c r="F8" s="158" t="s">
        <v>159</v>
      </c>
      <c r="G8" s="159">
        <v>164.15799999999999</v>
      </c>
      <c r="H8" s="51" t="s">
        <v>154</v>
      </c>
      <c r="I8" s="51"/>
      <c r="J8" s="50"/>
      <c r="K8" s="51">
        <v>11.45</v>
      </c>
      <c r="L8" s="162">
        <v>22.3</v>
      </c>
      <c r="M8" s="52">
        <f t="shared" si="6"/>
        <v>135.84473495047456</v>
      </c>
      <c r="N8" s="53">
        <f t="shared" si="7"/>
        <v>22.3</v>
      </c>
      <c r="O8" s="52">
        <f t="shared" si="8"/>
        <v>135.84473495047456</v>
      </c>
      <c r="P8" s="54">
        <f t="shared" si="9"/>
        <v>14.336943231441047</v>
      </c>
      <c r="Q8" s="46"/>
      <c r="R8" s="55"/>
      <c r="S8" s="56">
        <f t="shared" si="10"/>
        <v>0</v>
      </c>
      <c r="T8" s="46">
        <v>1</v>
      </c>
      <c r="U8" s="55">
        <v>0.41</v>
      </c>
      <c r="V8" s="56">
        <f t="shared" si="11"/>
        <v>2.4975937816006529E-3</v>
      </c>
      <c r="W8" s="65">
        <v>10980</v>
      </c>
      <c r="X8" s="90">
        <f t="shared" si="12"/>
        <v>66.88677980969554</v>
      </c>
    </row>
    <row r="9" spans="1:25">
      <c r="A9" s="135" t="s">
        <v>156</v>
      </c>
      <c r="B9" s="47" t="s">
        <v>59</v>
      </c>
      <c r="C9" s="94" t="s">
        <v>57</v>
      </c>
      <c r="D9" s="157" t="s">
        <v>147</v>
      </c>
      <c r="E9" s="157" t="s">
        <v>158</v>
      </c>
      <c r="F9" s="158" t="s">
        <v>160</v>
      </c>
      <c r="G9" s="159">
        <f>103.355-5</f>
        <v>98.355000000000004</v>
      </c>
      <c r="H9" s="51" t="s">
        <v>154</v>
      </c>
      <c r="I9" s="51"/>
      <c r="J9" s="50"/>
      <c r="K9" s="51">
        <v>8.1</v>
      </c>
      <c r="L9" s="162">
        <v>15.2</v>
      </c>
      <c r="M9" s="52">
        <f t="shared" si="6"/>
        <v>154.54221951095519</v>
      </c>
      <c r="N9" s="53">
        <f t="shared" si="7"/>
        <v>15.2</v>
      </c>
      <c r="O9" s="52">
        <f t="shared" si="8"/>
        <v>154.54221951095519</v>
      </c>
      <c r="P9" s="54">
        <f t="shared" si="9"/>
        <v>12.142592592592594</v>
      </c>
      <c r="Q9" s="46">
        <v>1</v>
      </c>
      <c r="R9" s="55">
        <v>0.27</v>
      </c>
      <c r="S9" s="56">
        <f t="shared" si="10"/>
        <v>2.7451578465761783E-3</v>
      </c>
      <c r="T9" s="46">
        <v>1</v>
      </c>
      <c r="U9" s="55">
        <v>0.27</v>
      </c>
      <c r="V9" s="56">
        <f t="shared" si="11"/>
        <v>2.7451578465761783E-3</v>
      </c>
      <c r="W9" s="65">
        <v>8280</v>
      </c>
      <c r="X9" s="90">
        <f t="shared" si="12"/>
        <v>84.184840628336133</v>
      </c>
    </row>
    <row r="10" spans="1:25">
      <c r="A10" s="135" t="s">
        <v>164</v>
      </c>
      <c r="B10" s="47" t="s">
        <v>59</v>
      </c>
      <c r="C10" s="94" t="s">
        <v>57</v>
      </c>
      <c r="D10" s="128"/>
      <c r="E10" s="128"/>
      <c r="F10" s="96" t="s">
        <v>166</v>
      </c>
      <c r="G10" s="50"/>
      <c r="H10" s="51"/>
      <c r="I10" s="51"/>
      <c r="J10" s="50"/>
      <c r="K10" s="51"/>
      <c r="L10" s="50"/>
      <c r="M10" s="52"/>
      <c r="N10" s="53"/>
      <c r="O10" s="52"/>
      <c r="P10" s="54"/>
      <c r="Q10" s="46"/>
      <c r="R10" s="55"/>
      <c r="S10" s="56"/>
      <c r="T10" s="46"/>
      <c r="U10" s="55"/>
      <c r="V10" s="56"/>
      <c r="W10" s="65"/>
      <c r="X10" s="90"/>
    </row>
    <row r="11" spans="1:25">
      <c r="A11" s="135" t="s">
        <v>165</v>
      </c>
      <c r="B11" s="47" t="s">
        <v>59</v>
      </c>
      <c r="C11" s="94" t="s">
        <v>57</v>
      </c>
      <c r="D11" s="157" t="s">
        <v>147</v>
      </c>
      <c r="E11" s="157" t="s">
        <v>158</v>
      </c>
      <c r="F11" s="49"/>
      <c r="G11" s="50">
        <f>93.493-5</f>
        <v>88.492999999999995</v>
      </c>
      <c r="H11" s="51" t="s">
        <v>154</v>
      </c>
      <c r="I11" s="51"/>
      <c r="J11" s="50"/>
      <c r="K11" s="51">
        <v>6.3</v>
      </c>
      <c r="L11" s="50">
        <v>13.1</v>
      </c>
      <c r="M11" s="52">
        <f t="shared" si="6"/>
        <v>148.03430779835693</v>
      </c>
      <c r="N11" s="53">
        <f t="shared" si="7"/>
        <v>13.1</v>
      </c>
      <c r="O11" s="52">
        <f t="shared" si="8"/>
        <v>148.03430779835693</v>
      </c>
      <c r="P11" s="54">
        <f t="shared" si="9"/>
        <v>14.046507936507936</v>
      </c>
      <c r="Q11" s="46"/>
      <c r="R11" s="55"/>
      <c r="S11" s="56">
        <f t="shared" si="10"/>
        <v>0</v>
      </c>
      <c r="T11" s="46"/>
      <c r="U11" s="55"/>
      <c r="V11" s="56">
        <f t="shared" si="11"/>
        <v>0</v>
      </c>
      <c r="W11" s="65">
        <v>6300</v>
      </c>
      <c r="X11" s="90">
        <f t="shared" si="12"/>
        <v>71.192071689286166</v>
      </c>
    </row>
    <row r="12" spans="1:25">
      <c r="A12" s="135" t="s">
        <v>168</v>
      </c>
      <c r="B12" s="47" t="s">
        <v>59</v>
      </c>
      <c r="C12" s="94" t="s">
        <v>57</v>
      </c>
      <c r="D12" s="157" t="s">
        <v>147</v>
      </c>
      <c r="E12" s="157" t="s">
        <v>150</v>
      </c>
      <c r="F12" s="49" t="s">
        <v>169</v>
      </c>
      <c r="G12" s="50">
        <v>216.81899999999999</v>
      </c>
      <c r="H12" s="51" t="s">
        <v>154</v>
      </c>
      <c r="I12" s="51"/>
      <c r="J12" s="50"/>
      <c r="K12" s="51">
        <v>12</v>
      </c>
      <c r="L12" s="50">
        <v>28.4</v>
      </c>
      <c r="M12" s="52">
        <f t="shared" si="6"/>
        <v>130.98483066520922</v>
      </c>
      <c r="N12" s="53">
        <f t="shared" si="7"/>
        <v>28.4</v>
      </c>
      <c r="O12" s="52">
        <f t="shared" si="8"/>
        <v>130.98483066520922</v>
      </c>
      <c r="P12" s="54">
        <f t="shared" si="9"/>
        <v>18.068249999999999</v>
      </c>
      <c r="Q12" s="46">
        <v>1</v>
      </c>
      <c r="R12" s="55">
        <v>0.56899999999999995</v>
      </c>
      <c r="S12" s="56">
        <f t="shared" si="10"/>
        <v>2.6243087552290157E-3</v>
      </c>
      <c r="T12" s="46"/>
      <c r="U12" s="55"/>
      <c r="V12" s="56">
        <f t="shared" si="11"/>
        <v>0</v>
      </c>
      <c r="W12" s="65">
        <v>11340</v>
      </c>
      <c r="X12" s="90">
        <f t="shared" si="12"/>
        <v>52.301689427587071</v>
      </c>
    </row>
    <row r="13" spans="1:25">
      <c r="A13" s="135" t="s">
        <v>171</v>
      </c>
      <c r="B13" s="47" t="s">
        <v>59</v>
      </c>
      <c r="C13" s="94" t="s">
        <v>57</v>
      </c>
      <c r="D13" s="157" t="s">
        <v>172</v>
      </c>
      <c r="E13" s="157" t="s">
        <v>173</v>
      </c>
      <c r="F13" s="49" t="s">
        <v>174</v>
      </c>
      <c r="G13" s="50">
        <v>117.038</v>
      </c>
      <c r="H13" s="51" t="s">
        <v>154</v>
      </c>
      <c r="I13" s="51"/>
      <c r="J13" s="50"/>
      <c r="K13" s="51">
        <v>7.3</v>
      </c>
      <c r="L13" s="50">
        <v>16.3</v>
      </c>
      <c r="M13" s="52">
        <f t="shared" si="6"/>
        <v>139.27100599805192</v>
      </c>
      <c r="N13" s="53">
        <f t="shared" si="7"/>
        <v>16.3</v>
      </c>
      <c r="O13" s="52">
        <f t="shared" si="8"/>
        <v>139.27100599805192</v>
      </c>
      <c r="P13" s="54">
        <f t="shared" si="9"/>
        <v>16.032602739726027</v>
      </c>
      <c r="Q13" s="46"/>
      <c r="R13" s="55"/>
      <c r="S13" s="56">
        <f t="shared" si="10"/>
        <v>0</v>
      </c>
      <c r="T13" s="46">
        <v>1</v>
      </c>
      <c r="U13" s="55">
        <v>0.64600000000000002</v>
      </c>
      <c r="V13" s="56">
        <f t="shared" si="11"/>
        <v>5.5195748389411988E-3</v>
      </c>
      <c r="W13" s="65">
        <v>6840</v>
      </c>
      <c r="X13" s="90">
        <f t="shared" si="12"/>
        <v>58.442557118200931</v>
      </c>
    </row>
    <row r="14" spans="1:25" ht="25.5">
      <c r="A14" s="135" t="s">
        <v>175</v>
      </c>
      <c r="B14" s="47" t="s">
        <v>59</v>
      </c>
      <c r="C14" s="94" t="s">
        <v>57</v>
      </c>
      <c r="D14" s="128"/>
      <c r="E14" s="128"/>
      <c r="F14" s="96" t="s">
        <v>180</v>
      </c>
      <c r="G14" s="50"/>
      <c r="H14" s="51"/>
      <c r="I14" s="51"/>
      <c r="J14" s="50"/>
      <c r="K14" s="51"/>
      <c r="L14" s="50"/>
      <c r="M14" s="52"/>
      <c r="N14" s="53"/>
      <c r="O14" s="52"/>
      <c r="P14" s="54"/>
      <c r="Q14" s="46"/>
      <c r="R14" s="55"/>
      <c r="S14" s="56"/>
      <c r="T14" s="56"/>
      <c r="U14" s="55"/>
      <c r="V14" s="56"/>
      <c r="W14" s="65"/>
      <c r="X14" s="90"/>
    </row>
    <row r="15" spans="1:25">
      <c r="A15" s="135" t="s">
        <v>176</v>
      </c>
      <c r="B15" s="47" t="s">
        <v>59</v>
      </c>
      <c r="C15" s="94" t="s">
        <v>57</v>
      </c>
      <c r="D15" s="157" t="s">
        <v>147</v>
      </c>
      <c r="E15" s="157" t="s">
        <v>177</v>
      </c>
      <c r="F15" s="49" t="s">
        <v>178</v>
      </c>
      <c r="G15" s="50">
        <v>154.791</v>
      </c>
      <c r="H15" s="51" t="s">
        <v>154</v>
      </c>
      <c r="I15" s="51"/>
      <c r="J15" s="50"/>
      <c r="K15" s="51">
        <v>9</v>
      </c>
      <c r="L15" s="50">
        <v>23.4</v>
      </c>
      <c r="M15" s="52">
        <f t="shared" si="6"/>
        <v>151.17157974300832</v>
      </c>
      <c r="N15" s="53">
        <f t="shared" si="7"/>
        <v>23.4</v>
      </c>
      <c r="O15" s="52">
        <f t="shared" si="8"/>
        <v>151.17157974300832</v>
      </c>
      <c r="P15" s="54">
        <f t="shared" si="9"/>
        <v>17.198999999999998</v>
      </c>
      <c r="Q15" s="46">
        <v>1</v>
      </c>
      <c r="R15" s="55">
        <v>0.53100000000000003</v>
      </c>
      <c r="S15" s="56">
        <f t="shared" si="10"/>
        <v>3.4304320018605735E-3</v>
      </c>
      <c r="T15" s="46">
        <v>3</v>
      </c>
      <c r="U15" s="55">
        <f>1.34+0.531</f>
        <v>1.871</v>
      </c>
      <c r="V15" s="56">
        <f t="shared" si="11"/>
        <v>1.2087266055520024E-2</v>
      </c>
      <c r="W15" s="65">
        <v>7980</v>
      </c>
      <c r="X15" s="90">
        <f t="shared" si="12"/>
        <v>51.55338488671822</v>
      </c>
    </row>
    <row r="16" spans="1:25">
      <c r="A16" s="135" t="s">
        <v>182</v>
      </c>
      <c r="B16" s="47" t="s">
        <v>59</v>
      </c>
      <c r="C16" s="94" t="s">
        <v>57</v>
      </c>
      <c r="D16" s="157" t="s">
        <v>147</v>
      </c>
      <c r="E16" s="157" t="s">
        <v>184</v>
      </c>
      <c r="F16" s="49" t="s">
        <v>185</v>
      </c>
      <c r="G16" s="50">
        <v>181.44499999999999</v>
      </c>
      <c r="H16" s="51" t="s">
        <v>154</v>
      </c>
      <c r="I16" s="51"/>
      <c r="J16" s="50"/>
      <c r="K16" s="51">
        <v>14</v>
      </c>
      <c r="L16" s="50">
        <v>25.8</v>
      </c>
      <c r="M16" s="52">
        <f t="shared" si="6"/>
        <v>142.1918487695996</v>
      </c>
      <c r="N16" s="53">
        <f t="shared" si="7"/>
        <v>25.8</v>
      </c>
      <c r="O16" s="52">
        <f t="shared" si="8"/>
        <v>142.1918487695996</v>
      </c>
      <c r="P16" s="54">
        <f t="shared" si="9"/>
        <v>12.960357142857143</v>
      </c>
      <c r="Q16" s="46">
        <v>3</v>
      </c>
      <c r="R16" s="55">
        <v>1.5640000000000001</v>
      </c>
      <c r="S16" s="56">
        <f t="shared" si="10"/>
        <v>8.6196919176609998E-3</v>
      </c>
      <c r="T16" s="46">
        <v>2</v>
      </c>
      <c r="U16" s="55">
        <f>0.544+0.436</f>
        <v>0.98</v>
      </c>
      <c r="V16" s="56">
        <f t="shared" si="11"/>
        <v>5.4010857284576596E-3</v>
      </c>
      <c r="W16" s="65">
        <v>10320</v>
      </c>
      <c r="X16" s="90">
        <f t="shared" si="12"/>
        <v>56.876739507839844</v>
      </c>
    </row>
    <row r="17" spans="1:24">
      <c r="A17" s="135" t="s">
        <v>183</v>
      </c>
      <c r="B17" s="47" t="s">
        <v>59</v>
      </c>
      <c r="C17" s="94" t="s">
        <v>57</v>
      </c>
      <c r="D17" s="128"/>
      <c r="E17" s="128"/>
      <c r="F17" s="96" t="s">
        <v>166</v>
      </c>
      <c r="G17" s="50"/>
      <c r="H17" s="51"/>
      <c r="I17" s="51"/>
      <c r="J17" s="50"/>
      <c r="K17" s="51"/>
      <c r="L17" s="50"/>
      <c r="M17" s="52"/>
      <c r="N17" s="53"/>
      <c r="O17" s="52"/>
      <c r="P17" s="54"/>
      <c r="Q17" s="46"/>
      <c r="R17" s="55"/>
      <c r="S17" s="56"/>
      <c r="T17" s="46"/>
      <c r="U17" s="55"/>
      <c r="V17" s="56"/>
      <c r="W17" s="65"/>
      <c r="X17" s="90"/>
    </row>
    <row r="18" spans="1:24">
      <c r="A18" s="135" t="s">
        <v>186</v>
      </c>
      <c r="B18" s="47" t="s">
        <v>59</v>
      </c>
      <c r="C18" s="94" t="s">
        <v>57</v>
      </c>
      <c r="D18" s="128"/>
      <c r="E18" s="128"/>
      <c r="F18" s="96" t="s">
        <v>62</v>
      </c>
      <c r="G18" s="50"/>
      <c r="H18" s="51"/>
      <c r="I18" s="51"/>
      <c r="J18" s="50"/>
      <c r="K18" s="51"/>
      <c r="L18" s="50"/>
      <c r="M18" s="52"/>
      <c r="N18" s="53"/>
      <c r="O18" s="52"/>
      <c r="P18" s="54"/>
      <c r="Q18" s="46"/>
      <c r="R18" s="55"/>
      <c r="S18" s="56"/>
      <c r="T18" s="56"/>
      <c r="U18" s="55"/>
      <c r="V18" s="56"/>
      <c r="W18" s="65"/>
      <c r="X18" s="90"/>
    </row>
    <row r="19" spans="1:24">
      <c r="A19" s="135" t="s">
        <v>187</v>
      </c>
      <c r="B19" s="47" t="s">
        <v>59</v>
      </c>
      <c r="C19" s="94" t="s">
        <v>57</v>
      </c>
      <c r="D19" s="157" t="s">
        <v>188</v>
      </c>
      <c r="E19" s="157" t="s">
        <v>189</v>
      </c>
      <c r="F19" s="49" t="s">
        <v>190</v>
      </c>
      <c r="G19" s="50">
        <v>108.675</v>
      </c>
      <c r="H19" s="51" t="s">
        <v>154</v>
      </c>
      <c r="I19" s="51"/>
      <c r="J19" s="50"/>
      <c r="K19" s="51">
        <v>6.3</v>
      </c>
      <c r="L19" s="50">
        <v>15.7</v>
      </c>
      <c r="M19" s="52">
        <f t="shared" si="6"/>
        <v>144.46744881527491</v>
      </c>
      <c r="N19" s="53">
        <f t="shared" si="7"/>
        <v>15.7</v>
      </c>
      <c r="O19" s="52">
        <f t="shared" si="8"/>
        <v>144.46744881527491</v>
      </c>
      <c r="P19" s="54">
        <f t="shared" si="9"/>
        <v>17.25</v>
      </c>
      <c r="Q19" s="46"/>
      <c r="R19" s="55"/>
      <c r="S19" s="56">
        <f t="shared" si="10"/>
        <v>0</v>
      </c>
      <c r="T19" s="46">
        <v>1</v>
      </c>
      <c r="U19" s="55">
        <v>0.55200000000000005</v>
      </c>
      <c r="V19" s="56">
        <f t="shared" si="11"/>
        <v>5.0793650793650802E-3</v>
      </c>
      <c r="W19" s="65">
        <v>5640</v>
      </c>
      <c r="X19" s="90">
        <f t="shared" si="12"/>
        <v>51.897860593512767</v>
      </c>
    </row>
    <row r="20" spans="1:24">
      <c r="A20" s="135" t="s">
        <v>191</v>
      </c>
      <c r="B20" s="47" t="s">
        <v>59</v>
      </c>
      <c r="C20" s="94" t="s">
        <v>57</v>
      </c>
      <c r="D20" s="157"/>
      <c r="E20" s="157"/>
      <c r="F20" s="96" t="s">
        <v>62</v>
      </c>
      <c r="G20" s="50"/>
      <c r="H20" s="51"/>
      <c r="I20" s="51"/>
      <c r="J20" s="50"/>
      <c r="K20" s="51"/>
      <c r="L20" s="50"/>
      <c r="M20" s="52"/>
      <c r="N20" s="53"/>
      <c r="O20" s="52"/>
      <c r="P20" s="54"/>
      <c r="Q20" s="46"/>
      <c r="R20" s="55"/>
      <c r="S20" s="56"/>
      <c r="T20" s="56"/>
      <c r="U20" s="55"/>
      <c r="V20" s="56"/>
      <c r="W20" s="65"/>
      <c r="X20" s="90"/>
    </row>
    <row r="21" spans="1:24">
      <c r="A21" s="135" t="s">
        <v>193</v>
      </c>
      <c r="B21" s="47" t="s">
        <v>59</v>
      </c>
      <c r="C21" s="94" t="s">
        <v>57</v>
      </c>
      <c r="D21" s="157" t="s">
        <v>147</v>
      </c>
      <c r="E21" s="157" t="s">
        <v>192</v>
      </c>
      <c r="F21" s="12" t="s">
        <v>194</v>
      </c>
      <c r="G21" s="50">
        <v>167.749</v>
      </c>
      <c r="H21" s="51" t="s">
        <v>154</v>
      </c>
      <c r="I21" s="51"/>
      <c r="J21" s="50"/>
      <c r="K21" s="51">
        <v>11.3</v>
      </c>
      <c r="L21" s="50">
        <v>25.3</v>
      </c>
      <c r="M21" s="52">
        <f t="shared" si="6"/>
        <v>150.82057121055865</v>
      </c>
      <c r="N21" s="53">
        <f t="shared" si="7"/>
        <v>25.3</v>
      </c>
      <c r="O21" s="52">
        <f t="shared" si="8"/>
        <v>150.82057121055865</v>
      </c>
      <c r="P21" s="54">
        <f t="shared" si="9"/>
        <v>14.845044247787609</v>
      </c>
      <c r="Q21" s="46"/>
      <c r="R21" s="55"/>
      <c r="S21" s="56">
        <f t="shared" si="10"/>
        <v>0</v>
      </c>
      <c r="T21" s="46">
        <v>4</v>
      </c>
      <c r="U21" s="55">
        <f>1.852+0.7+0.833</f>
        <v>3.3849999999999998</v>
      </c>
      <c r="V21" s="56">
        <f t="shared" si="11"/>
        <v>2.0178957847736798E-2</v>
      </c>
      <c r="W21" s="65">
        <v>9720</v>
      </c>
      <c r="X21" s="90">
        <f t="shared" si="12"/>
        <v>57.943713524372725</v>
      </c>
    </row>
    <row r="22" spans="1:24">
      <c r="A22" s="135" t="s">
        <v>196</v>
      </c>
      <c r="B22" s="47" t="s">
        <v>59</v>
      </c>
      <c r="C22" s="94" t="s">
        <v>57</v>
      </c>
      <c r="D22" s="157" t="s">
        <v>147</v>
      </c>
      <c r="E22" s="157" t="s">
        <v>197</v>
      </c>
      <c r="F22" s="49" t="s">
        <v>198</v>
      </c>
      <c r="G22" s="50">
        <f>76.366-5</f>
        <v>71.366</v>
      </c>
      <c r="H22" s="51" t="s">
        <v>154</v>
      </c>
      <c r="I22" s="51"/>
      <c r="J22" s="50"/>
      <c r="K22" s="51">
        <v>8</v>
      </c>
      <c r="L22" s="50">
        <v>10.9</v>
      </c>
      <c r="M22" s="52">
        <f t="shared" si="6"/>
        <v>152.73379480424853</v>
      </c>
      <c r="N22" s="53">
        <f t="shared" si="7"/>
        <v>10.9</v>
      </c>
      <c r="O22" s="52">
        <f t="shared" si="8"/>
        <v>152.73379480424853</v>
      </c>
      <c r="P22" s="54">
        <f t="shared" si="9"/>
        <v>8.92075</v>
      </c>
      <c r="Q22" s="46"/>
      <c r="R22" s="55"/>
      <c r="S22" s="56">
        <f t="shared" si="10"/>
        <v>0</v>
      </c>
      <c r="T22" s="46">
        <v>3</v>
      </c>
      <c r="U22" s="55">
        <v>0.748</v>
      </c>
      <c r="V22" s="56">
        <f t="shared" si="11"/>
        <v>1.0481181515007145E-2</v>
      </c>
      <c r="W22" s="65">
        <v>8160</v>
      </c>
      <c r="X22" s="90">
        <f t="shared" si="12"/>
        <v>114.34016198189614</v>
      </c>
    </row>
    <row r="23" spans="1:24" ht="38.25">
      <c r="A23" s="135" t="s">
        <v>202</v>
      </c>
      <c r="B23" s="47" t="s">
        <v>59</v>
      </c>
      <c r="C23" s="94" t="s">
        <v>57</v>
      </c>
      <c r="D23" s="128"/>
      <c r="E23" s="128"/>
      <c r="F23" s="96" t="s">
        <v>201</v>
      </c>
      <c r="G23" s="50"/>
      <c r="H23" s="51"/>
      <c r="I23" s="51"/>
      <c r="J23" s="50"/>
      <c r="K23" s="51"/>
      <c r="L23" s="50"/>
      <c r="M23" s="52"/>
      <c r="N23" s="53"/>
      <c r="O23" s="52"/>
      <c r="P23" s="54"/>
      <c r="Q23" s="46"/>
      <c r="R23" s="55"/>
      <c r="S23" s="56"/>
      <c r="T23" s="56"/>
      <c r="U23" s="55"/>
      <c r="V23" s="56"/>
      <c r="W23" s="65"/>
      <c r="X23" s="90"/>
    </row>
    <row r="24" spans="1:24">
      <c r="A24" s="135"/>
      <c r="B24" s="47" t="s">
        <v>59</v>
      </c>
      <c r="C24" s="94" t="s">
        <v>57</v>
      </c>
      <c r="D24" s="128"/>
      <c r="E24" s="128"/>
      <c r="F24" s="49"/>
      <c r="G24" s="50"/>
      <c r="H24" s="51"/>
      <c r="I24" s="51"/>
      <c r="J24" s="50"/>
      <c r="K24" s="51"/>
      <c r="L24" s="50"/>
      <c r="M24" s="52" t="e">
        <f t="shared" si="6"/>
        <v>#DIV/0!</v>
      </c>
      <c r="N24" s="53">
        <f t="shared" si="7"/>
        <v>0</v>
      </c>
      <c r="O24" s="52" t="e">
        <f t="shared" si="8"/>
        <v>#DIV/0!</v>
      </c>
      <c r="P24" s="54" t="e">
        <f t="shared" si="9"/>
        <v>#DIV/0!</v>
      </c>
      <c r="Q24" s="46"/>
      <c r="R24" s="55"/>
      <c r="S24" s="56" t="e">
        <f t="shared" si="10"/>
        <v>#DIV/0!</v>
      </c>
      <c r="T24" s="46"/>
      <c r="U24" s="55"/>
      <c r="V24" s="56" t="e">
        <f t="shared" si="11"/>
        <v>#DIV/0!</v>
      </c>
      <c r="W24" s="65"/>
      <c r="X24" s="90" t="e">
        <f t="shared" si="12"/>
        <v>#DIV/0!</v>
      </c>
    </row>
    <row r="25" spans="1:24">
      <c r="A25" s="135"/>
      <c r="B25" s="47" t="s">
        <v>59</v>
      </c>
      <c r="C25" s="94" t="s">
        <v>57</v>
      </c>
      <c r="D25" s="128"/>
      <c r="E25" s="128"/>
      <c r="F25" s="49"/>
      <c r="G25" s="50"/>
      <c r="H25" s="51"/>
      <c r="I25" s="51"/>
      <c r="J25" s="50"/>
      <c r="K25" s="51"/>
      <c r="L25" s="50"/>
      <c r="M25" s="52" t="e">
        <f t="shared" si="6"/>
        <v>#DIV/0!</v>
      </c>
      <c r="N25" s="53">
        <f t="shared" si="7"/>
        <v>0</v>
      </c>
      <c r="O25" s="52" t="e">
        <f t="shared" si="8"/>
        <v>#DIV/0!</v>
      </c>
      <c r="P25" s="54" t="e">
        <f t="shared" si="9"/>
        <v>#DIV/0!</v>
      </c>
      <c r="Q25" s="46"/>
      <c r="R25" s="55"/>
      <c r="S25" s="56" t="e">
        <f t="shared" si="10"/>
        <v>#DIV/0!</v>
      </c>
      <c r="T25" s="46"/>
      <c r="U25" s="55"/>
      <c r="V25" s="56" t="e">
        <f t="shared" si="11"/>
        <v>#DIV/0!</v>
      </c>
      <c r="W25" s="65"/>
      <c r="X25" s="90" t="e">
        <f t="shared" si="12"/>
        <v>#DIV/0!</v>
      </c>
    </row>
    <row r="26" spans="1:24">
      <c r="A26" s="135"/>
      <c r="B26" s="47" t="s">
        <v>59</v>
      </c>
      <c r="C26" s="94" t="s">
        <v>57</v>
      </c>
      <c r="D26" s="128"/>
      <c r="E26" s="128"/>
      <c r="F26" s="49"/>
      <c r="G26" s="50"/>
      <c r="H26" s="51"/>
      <c r="I26" s="51"/>
      <c r="J26" s="50"/>
      <c r="K26" s="51"/>
      <c r="L26" s="50"/>
      <c r="M26" s="52" t="e">
        <f t="shared" si="6"/>
        <v>#DIV/0!</v>
      </c>
      <c r="N26" s="53">
        <f t="shared" si="7"/>
        <v>0</v>
      </c>
      <c r="O26" s="52" t="e">
        <f t="shared" si="8"/>
        <v>#DIV/0!</v>
      </c>
      <c r="P26" s="54" t="e">
        <f t="shared" si="9"/>
        <v>#DIV/0!</v>
      </c>
      <c r="Q26" s="46"/>
      <c r="R26" s="55"/>
      <c r="S26" s="56" t="e">
        <f t="shared" si="10"/>
        <v>#DIV/0!</v>
      </c>
      <c r="T26" s="46"/>
      <c r="U26" s="55"/>
      <c r="V26" s="56" t="e">
        <f t="shared" si="11"/>
        <v>#DIV/0!</v>
      </c>
      <c r="W26" s="65"/>
      <c r="X26" s="90" t="e">
        <f t="shared" si="12"/>
        <v>#DIV/0!</v>
      </c>
    </row>
    <row r="27" spans="1:24">
      <c r="A27" s="135"/>
      <c r="B27" s="47" t="s">
        <v>59</v>
      </c>
      <c r="C27" s="94" t="s">
        <v>57</v>
      </c>
      <c r="D27" s="128"/>
      <c r="E27" s="128"/>
      <c r="F27" s="49"/>
      <c r="G27" s="50"/>
      <c r="H27" s="51"/>
      <c r="I27" s="51"/>
      <c r="J27" s="50"/>
      <c r="K27" s="51"/>
      <c r="L27" s="50"/>
      <c r="M27" s="52" t="e">
        <f t="shared" si="6"/>
        <v>#DIV/0!</v>
      </c>
      <c r="N27" s="53">
        <f t="shared" si="7"/>
        <v>0</v>
      </c>
      <c r="O27" s="52" t="e">
        <f t="shared" si="8"/>
        <v>#DIV/0!</v>
      </c>
      <c r="P27" s="54" t="e">
        <f t="shared" si="9"/>
        <v>#DIV/0!</v>
      </c>
      <c r="Q27" s="46"/>
      <c r="R27" s="55"/>
      <c r="S27" s="56" t="e">
        <f t="shared" si="10"/>
        <v>#DIV/0!</v>
      </c>
      <c r="T27" s="46"/>
      <c r="U27" s="55"/>
      <c r="V27" s="56" t="e">
        <f t="shared" si="11"/>
        <v>#DIV/0!</v>
      </c>
      <c r="W27" s="65"/>
      <c r="X27" s="90" t="e">
        <f t="shared" si="12"/>
        <v>#DIV/0!</v>
      </c>
    </row>
    <row r="28" spans="1:24" s="10" customFormat="1">
      <c r="A28" s="135"/>
      <c r="B28" s="47"/>
      <c r="C28" s="48"/>
      <c r="D28" s="129"/>
      <c r="E28" s="129"/>
      <c r="F28" s="57"/>
      <c r="G28" s="58">
        <f>SUM(G3:G27)</f>
        <v>1802.9229999999998</v>
      </c>
      <c r="H28" s="57"/>
      <c r="I28" s="59"/>
      <c r="J28" s="58">
        <f>SUM(J3:J27)</f>
        <v>0</v>
      </c>
      <c r="K28" s="60">
        <f>SUM(K3:K27)</f>
        <v>131.34999999999997</v>
      </c>
      <c r="L28" s="58">
        <f>SUM(L3:L27)</f>
        <v>260.10000000000002</v>
      </c>
      <c r="M28" s="61">
        <f>L28/G28*1000</f>
        <v>144.26572848646342</v>
      </c>
      <c r="N28" s="58">
        <f>SUM(N3:N27)</f>
        <v>260.10000000000002</v>
      </c>
      <c r="O28" s="61">
        <f t="shared" ref="O28" si="13">N28/G28*1000</f>
        <v>144.26572848646342</v>
      </c>
      <c r="P28" s="62">
        <f t="shared" ref="P28" si="14">G28/K28</f>
        <v>13.726098210886946</v>
      </c>
      <c r="Q28" s="92">
        <f>SUM(Q3:Q27)</f>
        <v>27</v>
      </c>
      <c r="R28" s="63">
        <f>SUM(R3:R27)</f>
        <v>8.1069999999999993</v>
      </c>
      <c r="S28" s="64">
        <f t="shared" ref="S28" si="15">R28/G28</f>
        <v>4.4965869313331741E-3</v>
      </c>
      <c r="T28" s="92">
        <f>SUM(T3:T27)</f>
        <v>31</v>
      </c>
      <c r="U28" s="63">
        <f>SUM(U3:U27)</f>
        <v>12.547999999999998</v>
      </c>
      <c r="V28" s="64">
        <f t="shared" si="4"/>
        <v>6.9598091543565639E-3</v>
      </c>
      <c r="W28" s="92">
        <f>SUM(W3:W27)</f>
        <v>126060</v>
      </c>
      <c r="X28" s="90">
        <f t="shared" si="5"/>
        <v>69.919791361028743</v>
      </c>
    </row>
    <row r="29" spans="1:24">
      <c r="A29" s="137"/>
      <c r="B29" s="65"/>
      <c r="C29" s="65"/>
      <c r="D29" s="130"/>
      <c r="E29" s="130"/>
      <c r="F29" s="65"/>
      <c r="G29" s="65"/>
      <c r="H29" s="65"/>
      <c r="I29" s="65"/>
      <c r="J29" s="66"/>
      <c r="K29" s="67"/>
      <c r="L29" s="68"/>
      <c r="M29" s="65"/>
      <c r="N29" s="66"/>
      <c r="O29" s="65"/>
      <c r="P29" s="65"/>
      <c r="Q29" s="65"/>
      <c r="R29" s="55"/>
      <c r="S29" s="56"/>
      <c r="T29" s="65"/>
      <c r="U29" s="55"/>
      <c r="V29" s="56"/>
      <c r="W29" s="93"/>
    </row>
    <row r="30" spans="1:24">
      <c r="A30" s="137"/>
      <c r="B30" s="65"/>
      <c r="C30" s="69" t="s">
        <v>52</v>
      </c>
      <c r="D30" s="130"/>
      <c r="E30" s="130"/>
      <c r="F30" s="65"/>
      <c r="G30" s="58">
        <f>+G28</f>
        <v>1802.9229999999998</v>
      </c>
      <c r="H30" s="65"/>
      <c r="I30" s="65"/>
      <c r="J30" s="58" t="e">
        <f>+#REF!+J28</f>
        <v>#REF!</v>
      </c>
      <c r="K30" s="60">
        <f t="shared" ref="K30:P30" si="16">+K28</f>
        <v>131.34999999999997</v>
      </c>
      <c r="L30" s="58">
        <f t="shared" si="16"/>
        <v>260.10000000000002</v>
      </c>
      <c r="M30" s="61">
        <f>+M28</f>
        <v>144.26572848646342</v>
      </c>
      <c r="N30" s="58">
        <f t="shared" si="16"/>
        <v>260.10000000000002</v>
      </c>
      <c r="O30" s="61">
        <f t="shared" si="16"/>
        <v>144.26572848646342</v>
      </c>
      <c r="P30" s="62">
        <f t="shared" si="16"/>
        <v>13.726098210886946</v>
      </c>
      <c r="Q30" s="117">
        <f>+Q28</f>
        <v>27</v>
      </c>
      <c r="R30" s="63">
        <f>+R28</f>
        <v>8.1069999999999993</v>
      </c>
      <c r="S30" s="64">
        <f>R30/G30</f>
        <v>4.4965869313331741E-3</v>
      </c>
      <c r="T30" s="117">
        <f>+T28</f>
        <v>31</v>
      </c>
      <c r="U30" s="63">
        <f>+U28</f>
        <v>12.547999999999998</v>
      </c>
      <c r="V30" s="64">
        <f>U30/G30</f>
        <v>6.9598091543565639E-3</v>
      </c>
      <c r="W30" s="92">
        <f>+W28</f>
        <v>126060</v>
      </c>
      <c r="X30" s="90">
        <f>W30/G30</f>
        <v>69.919791361028743</v>
      </c>
    </row>
    <row r="31" spans="1:24">
      <c r="A31" s="138"/>
      <c r="B31" s="33"/>
      <c r="C31" s="95"/>
      <c r="D31" s="131"/>
      <c r="E31" s="131"/>
      <c r="F31" s="95"/>
      <c r="G31" s="34"/>
      <c r="H31" s="95"/>
      <c r="I31" s="95"/>
      <c r="J31" s="34"/>
      <c r="K31" s="34"/>
      <c r="L31" s="34"/>
      <c r="M31" s="35"/>
      <c r="N31" s="34"/>
      <c r="O31" s="86"/>
      <c r="P31" s="87"/>
      <c r="Q31" s="33"/>
      <c r="R31" s="36"/>
      <c r="S31" s="37"/>
      <c r="T31" s="37"/>
      <c r="U31" s="36"/>
      <c r="V31" s="37"/>
    </row>
    <row r="32" spans="1:24" ht="15.75" hidden="1">
      <c r="A32" s="257" t="s">
        <v>65</v>
      </c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38"/>
      <c r="S32" s="38"/>
      <c r="T32" s="116"/>
      <c r="U32" s="39"/>
      <c r="V32" s="40"/>
    </row>
    <row r="33" spans="1:24" ht="57" hidden="1" customHeight="1">
      <c r="A33" s="134" t="s">
        <v>0</v>
      </c>
      <c r="B33" s="1" t="s">
        <v>20</v>
      </c>
      <c r="C33" s="1" t="s">
        <v>1</v>
      </c>
      <c r="D33" s="127" t="s">
        <v>2</v>
      </c>
      <c r="E33" s="127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2" t="s">
        <v>12</v>
      </c>
      <c r="O33" s="2" t="s">
        <v>13</v>
      </c>
      <c r="P33" s="1" t="s">
        <v>14</v>
      </c>
      <c r="Q33" s="2"/>
      <c r="R33" s="13" t="s">
        <v>21</v>
      </c>
      <c r="S33" s="13" t="s">
        <v>24</v>
      </c>
      <c r="T33" s="13"/>
      <c r="U33" s="13" t="s">
        <v>22</v>
      </c>
      <c r="V33" s="13" t="s">
        <v>23</v>
      </c>
      <c r="W33" s="88" t="s">
        <v>54</v>
      </c>
      <c r="X33" s="89" t="s">
        <v>55</v>
      </c>
    </row>
    <row r="34" spans="1:24" hidden="1">
      <c r="A34" s="136" t="s">
        <v>73</v>
      </c>
      <c r="B34" s="47" t="s">
        <v>59</v>
      </c>
      <c r="C34" s="94" t="s">
        <v>57</v>
      </c>
      <c r="D34" s="128"/>
      <c r="E34" s="128"/>
      <c r="F34" s="96" t="s">
        <v>74</v>
      </c>
      <c r="G34" s="50"/>
      <c r="H34" s="51"/>
      <c r="I34" s="51"/>
      <c r="J34" s="50"/>
      <c r="K34" s="51"/>
      <c r="L34" s="50"/>
      <c r="M34" s="52"/>
      <c r="N34" s="53"/>
      <c r="O34" s="52"/>
      <c r="P34" s="54"/>
      <c r="Q34" s="46"/>
      <c r="R34" s="55"/>
      <c r="S34" s="56"/>
      <c r="T34" s="56"/>
      <c r="U34" s="55"/>
      <c r="V34" s="56"/>
      <c r="W34" s="65"/>
      <c r="X34" s="90"/>
    </row>
    <row r="35" spans="1:24" hidden="1">
      <c r="A35" s="136" t="s">
        <v>75</v>
      </c>
      <c r="B35" s="47" t="s">
        <v>59</v>
      </c>
      <c r="C35" s="94" t="s">
        <v>57</v>
      </c>
      <c r="D35" s="128"/>
      <c r="E35" s="128"/>
      <c r="F35" s="96" t="s">
        <v>76</v>
      </c>
      <c r="G35" s="50"/>
      <c r="H35" s="51"/>
      <c r="I35" s="51"/>
      <c r="J35" s="50"/>
      <c r="K35" s="51"/>
      <c r="L35" s="50"/>
      <c r="M35" s="52" t="e">
        <f t="shared" ref="M35:M39" si="17">L35/G35*1000</f>
        <v>#DIV/0!</v>
      </c>
      <c r="N35" s="53">
        <f t="shared" ref="N35:N39" si="18">+J35+L35</f>
        <v>0</v>
      </c>
      <c r="O35" s="52" t="e">
        <f t="shared" ref="O35:O39" si="19">N35/G35*1000</f>
        <v>#DIV/0!</v>
      </c>
      <c r="P35" s="54" t="e">
        <f t="shared" ref="P35:P39" si="20">G35/K35</f>
        <v>#DIV/0!</v>
      </c>
      <c r="Q35" s="46"/>
      <c r="R35" s="55"/>
      <c r="S35" s="56" t="e">
        <f t="shared" ref="S35:S39" si="21">R35/G35</f>
        <v>#DIV/0!</v>
      </c>
      <c r="T35" s="56"/>
      <c r="U35" s="55"/>
      <c r="V35" s="56" t="e">
        <f t="shared" ref="V35:V39" si="22">U35/G35</f>
        <v>#DIV/0!</v>
      </c>
      <c r="W35" s="65"/>
      <c r="X35" s="90" t="e">
        <f t="shared" ref="X35:X39" si="23">W35/G35</f>
        <v>#DIV/0!</v>
      </c>
    </row>
    <row r="36" spans="1:24" hidden="1">
      <c r="A36" s="136"/>
      <c r="B36" s="47" t="s">
        <v>59</v>
      </c>
      <c r="C36" s="94" t="s">
        <v>57</v>
      </c>
      <c r="D36" s="128"/>
      <c r="E36" s="128"/>
      <c r="F36" s="96"/>
      <c r="G36" s="50"/>
      <c r="H36" s="51"/>
      <c r="I36" s="51"/>
      <c r="J36" s="50"/>
      <c r="K36" s="51"/>
      <c r="L36" s="50"/>
      <c r="M36" s="52" t="e">
        <f t="shared" si="17"/>
        <v>#DIV/0!</v>
      </c>
      <c r="N36" s="53">
        <f t="shared" si="18"/>
        <v>0</v>
      </c>
      <c r="O36" s="52" t="e">
        <f t="shared" si="19"/>
        <v>#DIV/0!</v>
      </c>
      <c r="P36" s="54" t="e">
        <f t="shared" si="20"/>
        <v>#DIV/0!</v>
      </c>
      <c r="Q36" s="46"/>
      <c r="R36" s="55"/>
      <c r="S36" s="56" t="e">
        <f t="shared" si="21"/>
        <v>#DIV/0!</v>
      </c>
      <c r="T36" s="56"/>
      <c r="U36" s="55"/>
      <c r="V36" s="56" t="e">
        <f t="shared" si="22"/>
        <v>#DIV/0!</v>
      </c>
      <c r="W36" s="65"/>
      <c r="X36" s="90" t="e">
        <f t="shared" si="23"/>
        <v>#DIV/0!</v>
      </c>
    </row>
    <row r="37" spans="1:24" hidden="1">
      <c r="A37" s="136"/>
      <c r="B37" s="47" t="s">
        <v>59</v>
      </c>
      <c r="C37" s="94" t="s">
        <v>57</v>
      </c>
      <c r="D37" s="128"/>
      <c r="E37" s="128"/>
      <c r="F37" s="96"/>
      <c r="G37" s="50"/>
      <c r="H37" s="51"/>
      <c r="I37" s="51"/>
      <c r="J37" s="50"/>
      <c r="K37" s="51"/>
      <c r="L37" s="50"/>
      <c r="M37" s="52" t="e">
        <f t="shared" si="17"/>
        <v>#DIV/0!</v>
      </c>
      <c r="N37" s="53">
        <f t="shared" si="18"/>
        <v>0</v>
      </c>
      <c r="O37" s="52" t="e">
        <f t="shared" si="19"/>
        <v>#DIV/0!</v>
      </c>
      <c r="P37" s="54" t="e">
        <f t="shared" si="20"/>
        <v>#DIV/0!</v>
      </c>
      <c r="Q37" s="46"/>
      <c r="R37" s="55"/>
      <c r="S37" s="56" t="e">
        <f t="shared" si="21"/>
        <v>#DIV/0!</v>
      </c>
      <c r="T37" s="56"/>
      <c r="U37" s="55"/>
      <c r="V37" s="56" t="e">
        <f t="shared" si="22"/>
        <v>#DIV/0!</v>
      </c>
      <c r="W37" s="65"/>
      <c r="X37" s="90" t="e">
        <f t="shared" si="23"/>
        <v>#DIV/0!</v>
      </c>
    </row>
    <row r="38" spans="1:24" hidden="1">
      <c r="A38" s="136"/>
      <c r="B38" s="47" t="s">
        <v>59</v>
      </c>
      <c r="C38" s="94" t="s">
        <v>57</v>
      </c>
      <c r="D38" s="128"/>
      <c r="E38" s="128"/>
      <c r="F38" s="96"/>
      <c r="G38" s="50"/>
      <c r="H38" s="51"/>
      <c r="I38" s="51"/>
      <c r="J38" s="50"/>
      <c r="K38" s="51"/>
      <c r="L38" s="50"/>
      <c r="M38" s="52" t="e">
        <f t="shared" si="17"/>
        <v>#DIV/0!</v>
      </c>
      <c r="N38" s="53">
        <f t="shared" si="18"/>
        <v>0</v>
      </c>
      <c r="O38" s="52" t="e">
        <f t="shared" si="19"/>
        <v>#DIV/0!</v>
      </c>
      <c r="P38" s="54" t="e">
        <f t="shared" si="20"/>
        <v>#DIV/0!</v>
      </c>
      <c r="Q38" s="46"/>
      <c r="R38" s="55"/>
      <c r="S38" s="56" t="e">
        <f t="shared" si="21"/>
        <v>#DIV/0!</v>
      </c>
      <c r="T38" s="56"/>
      <c r="U38" s="55"/>
      <c r="V38" s="56" t="e">
        <f t="shared" si="22"/>
        <v>#DIV/0!</v>
      </c>
      <c r="W38" s="65"/>
      <c r="X38" s="90" t="e">
        <f t="shared" si="23"/>
        <v>#DIV/0!</v>
      </c>
    </row>
    <row r="39" spans="1:24" hidden="1">
      <c r="A39" s="136"/>
      <c r="B39" s="47"/>
      <c r="C39" s="94"/>
      <c r="D39" s="128"/>
      <c r="E39" s="128"/>
      <c r="F39" s="96"/>
      <c r="G39" s="50"/>
      <c r="H39" s="51"/>
      <c r="I39" s="51"/>
      <c r="J39" s="50"/>
      <c r="K39" s="51"/>
      <c r="L39" s="50"/>
      <c r="M39" s="52" t="e">
        <f t="shared" si="17"/>
        <v>#DIV/0!</v>
      </c>
      <c r="N39" s="53">
        <f t="shared" si="18"/>
        <v>0</v>
      </c>
      <c r="O39" s="52" t="e">
        <f t="shared" si="19"/>
        <v>#DIV/0!</v>
      </c>
      <c r="P39" s="54" t="e">
        <f t="shared" si="20"/>
        <v>#DIV/0!</v>
      </c>
      <c r="Q39" s="46"/>
      <c r="R39" s="55"/>
      <c r="S39" s="56" t="e">
        <f t="shared" si="21"/>
        <v>#DIV/0!</v>
      </c>
      <c r="T39" s="56"/>
      <c r="U39" s="55"/>
      <c r="V39" s="56" t="e">
        <f t="shared" si="22"/>
        <v>#DIV/0!</v>
      </c>
      <c r="W39" s="65"/>
      <c r="X39" s="90" t="e">
        <f t="shared" si="23"/>
        <v>#DIV/0!</v>
      </c>
    </row>
    <row r="40" spans="1:24" s="10" customFormat="1" hidden="1">
      <c r="A40" s="135"/>
      <c r="B40" s="47"/>
      <c r="C40" s="48"/>
      <c r="D40" s="129"/>
      <c r="E40" s="129"/>
      <c r="F40" s="57"/>
      <c r="G40" s="58">
        <f>SUM(G34:G39)</f>
        <v>0</v>
      </c>
      <c r="H40" s="57"/>
      <c r="I40" s="59"/>
      <c r="J40" s="58">
        <f>SUM(J34:J39)</f>
        <v>0</v>
      </c>
      <c r="K40" s="60">
        <f>SUM(K34:K39)</f>
        <v>0</v>
      </c>
      <c r="L40" s="58">
        <f>SUM(L34:L39)</f>
        <v>0</v>
      </c>
      <c r="M40" s="61" t="e">
        <f>L40/G40*1000</f>
        <v>#DIV/0!</v>
      </c>
      <c r="N40" s="58">
        <f>SUM(N34:N39)</f>
        <v>0</v>
      </c>
      <c r="O40" s="61" t="e">
        <f t="shared" ref="O40" si="24">N40/G40*1000</f>
        <v>#DIV/0!</v>
      </c>
      <c r="P40" s="62" t="e">
        <f t="shared" ref="P40" si="25">G40/K40</f>
        <v>#DIV/0!</v>
      </c>
      <c r="Q40" s="57"/>
      <c r="R40" s="63">
        <f>SUM(R34:R39)</f>
        <v>0</v>
      </c>
      <c r="S40" s="64" t="e">
        <f t="shared" ref="S40" si="26">R40/G40</f>
        <v>#DIV/0!</v>
      </c>
      <c r="T40" s="64"/>
      <c r="U40" s="63">
        <f>SUM(U34:U39)</f>
        <v>0</v>
      </c>
      <c r="V40" s="64" t="e">
        <f t="shared" ref="V40" si="27">U40/G40</f>
        <v>#DIV/0!</v>
      </c>
      <c r="W40" s="92">
        <f>SUM(W34:W39)</f>
        <v>0</v>
      </c>
      <c r="X40" s="90" t="e">
        <f t="shared" ref="X40" si="28">W40/G40</f>
        <v>#DIV/0!</v>
      </c>
    </row>
    <row r="41" spans="1:24" hidden="1">
      <c r="A41" s="137"/>
      <c r="B41" s="65"/>
      <c r="C41" s="65"/>
      <c r="D41" s="130"/>
      <c r="E41" s="130"/>
      <c r="F41" s="65"/>
      <c r="G41" s="65"/>
      <c r="H41" s="65"/>
      <c r="I41" s="65"/>
      <c r="J41" s="66"/>
      <c r="K41" s="67"/>
      <c r="L41" s="68"/>
      <c r="M41" s="65"/>
      <c r="N41" s="66"/>
      <c r="O41" s="65"/>
      <c r="P41" s="65"/>
      <c r="Q41" s="65"/>
      <c r="R41" s="55"/>
      <c r="S41" s="56"/>
      <c r="T41" s="56"/>
      <c r="U41" s="55"/>
      <c r="V41" s="56"/>
      <c r="W41" s="93"/>
    </row>
    <row r="42" spans="1:24" hidden="1">
      <c r="A42" s="137"/>
      <c r="B42" s="65"/>
      <c r="C42" s="69" t="s">
        <v>52</v>
      </c>
      <c r="D42" s="130"/>
      <c r="E42" s="130"/>
      <c r="F42" s="65"/>
      <c r="G42" s="58">
        <f>+G40</f>
        <v>0</v>
      </c>
      <c r="H42" s="65"/>
      <c r="I42" s="65"/>
      <c r="J42" s="58" t="e">
        <f>+#REF!+J40</f>
        <v>#REF!</v>
      </c>
      <c r="K42" s="60">
        <f t="shared" ref="K42:P42" si="29">+K40</f>
        <v>0</v>
      </c>
      <c r="L42" s="58">
        <f t="shared" si="29"/>
        <v>0</v>
      </c>
      <c r="M42" s="61" t="e">
        <f t="shared" si="29"/>
        <v>#DIV/0!</v>
      </c>
      <c r="N42" s="58">
        <f t="shared" si="29"/>
        <v>0</v>
      </c>
      <c r="O42" s="61" t="e">
        <f t="shared" si="29"/>
        <v>#DIV/0!</v>
      </c>
      <c r="P42" s="62" t="e">
        <f t="shared" si="29"/>
        <v>#DIV/0!</v>
      </c>
      <c r="Q42" s="65"/>
      <c r="R42" s="63">
        <f>+R40</f>
        <v>0</v>
      </c>
      <c r="S42" s="64" t="e">
        <f>R42/G42</f>
        <v>#DIV/0!</v>
      </c>
      <c r="T42" s="64"/>
      <c r="U42" s="63">
        <f>+U40</f>
        <v>0</v>
      </c>
      <c r="V42" s="64" t="e">
        <f>U42/G42</f>
        <v>#DIV/0!</v>
      </c>
      <c r="W42" s="92">
        <f>+W40</f>
        <v>0</v>
      </c>
      <c r="X42" s="90" t="e">
        <f>W42/G42</f>
        <v>#DIV/0!</v>
      </c>
    </row>
    <row r="43" spans="1:24" hidden="1">
      <c r="A43" s="139"/>
      <c r="B43" s="119"/>
      <c r="C43" s="120"/>
      <c r="D43" s="132"/>
      <c r="E43" s="132"/>
      <c r="F43" s="119"/>
      <c r="G43" s="121"/>
      <c r="H43" s="119"/>
      <c r="I43" s="119"/>
      <c r="J43" s="121"/>
      <c r="K43" s="122"/>
      <c r="L43" s="121"/>
      <c r="M43" s="86"/>
      <c r="N43" s="121"/>
      <c r="O43" s="86"/>
      <c r="P43" s="87"/>
      <c r="Q43" s="119"/>
      <c r="R43" s="123"/>
      <c r="S43" s="124"/>
      <c r="T43" s="124"/>
      <c r="U43" s="123"/>
      <c r="V43" s="124"/>
      <c r="W43" s="125"/>
      <c r="X43" s="126"/>
    </row>
    <row r="44" spans="1:24" ht="15.75">
      <c r="A44" s="257" t="s">
        <v>207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38"/>
      <c r="S44" s="38"/>
      <c r="T44" s="116"/>
      <c r="U44" s="39"/>
      <c r="V44" s="40"/>
    </row>
    <row r="45" spans="1:24" ht="57" customHeight="1">
      <c r="A45" s="134" t="s">
        <v>0</v>
      </c>
      <c r="B45" s="1" t="s">
        <v>20</v>
      </c>
      <c r="C45" s="118" t="s">
        <v>117</v>
      </c>
      <c r="D45" s="127" t="s">
        <v>2</v>
      </c>
      <c r="E45" s="127" t="s">
        <v>3</v>
      </c>
      <c r="F45" s="1" t="s">
        <v>4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132</v>
      </c>
      <c r="M45" s="1" t="s">
        <v>133</v>
      </c>
      <c r="N45" s="2" t="s">
        <v>12</v>
      </c>
      <c r="O45" s="2" t="s">
        <v>13</v>
      </c>
      <c r="P45" s="1" t="s">
        <v>14</v>
      </c>
      <c r="Q45" s="13" t="s">
        <v>115</v>
      </c>
      <c r="R45" s="13" t="s">
        <v>21</v>
      </c>
      <c r="S45" s="13" t="s">
        <v>24</v>
      </c>
      <c r="T45" s="13" t="s">
        <v>116</v>
      </c>
      <c r="U45" s="13" t="s">
        <v>22</v>
      </c>
      <c r="V45" s="13" t="s">
        <v>23</v>
      </c>
      <c r="W45" s="88" t="s">
        <v>54</v>
      </c>
      <c r="X45" s="89" t="s">
        <v>55</v>
      </c>
    </row>
    <row r="46" spans="1:24">
      <c r="A46" s="135" t="s">
        <v>208</v>
      </c>
      <c r="B46" s="47" t="s">
        <v>59</v>
      </c>
      <c r="C46" s="94" t="s">
        <v>57</v>
      </c>
      <c r="D46" s="128"/>
      <c r="E46" s="128"/>
      <c r="F46" s="96" t="s">
        <v>209</v>
      </c>
      <c r="G46" s="50"/>
      <c r="H46" s="51"/>
      <c r="I46" s="51"/>
      <c r="J46" s="50"/>
      <c r="K46" s="51"/>
      <c r="L46" s="50"/>
      <c r="M46" s="52"/>
      <c r="N46" s="53"/>
      <c r="O46" s="52"/>
      <c r="P46" s="54"/>
      <c r="Q46" s="46"/>
      <c r="R46" s="55"/>
      <c r="S46" s="56"/>
      <c r="T46" s="56"/>
      <c r="U46" s="55"/>
      <c r="V46" s="56"/>
      <c r="W46" s="65"/>
      <c r="X46" s="90"/>
    </row>
    <row r="47" spans="1:24">
      <c r="A47" s="135" t="s">
        <v>212</v>
      </c>
      <c r="B47" s="47" t="s">
        <v>59</v>
      </c>
      <c r="C47" s="94" t="s">
        <v>57</v>
      </c>
      <c r="D47" s="128"/>
      <c r="E47" s="128"/>
      <c r="F47" s="96" t="s">
        <v>62</v>
      </c>
      <c r="G47" s="50"/>
      <c r="H47" s="51"/>
      <c r="I47" s="51"/>
      <c r="J47" s="50"/>
      <c r="K47" s="51"/>
      <c r="L47" s="50"/>
      <c r="M47" s="52"/>
      <c r="N47" s="53"/>
      <c r="O47" s="52"/>
      <c r="P47" s="54"/>
      <c r="Q47" s="46"/>
      <c r="R47" s="55"/>
      <c r="S47" s="56"/>
      <c r="T47" s="56"/>
      <c r="U47" s="55"/>
      <c r="V47" s="56"/>
      <c r="W47" s="65"/>
      <c r="X47" s="90"/>
    </row>
    <row r="48" spans="1:24">
      <c r="A48" s="169" t="s">
        <v>213</v>
      </c>
      <c r="B48" s="47" t="s">
        <v>59</v>
      </c>
      <c r="C48" s="94" t="s">
        <v>57</v>
      </c>
      <c r="D48" s="157" t="s">
        <v>147</v>
      </c>
      <c r="E48" s="157" t="s">
        <v>214</v>
      </c>
      <c r="F48" s="12" t="s">
        <v>218</v>
      </c>
      <c r="G48" s="159">
        <v>135.73400000000001</v>
      </c>
      <c r="H48" s="51" t="s">
        <v>221</v>
      </c>
      <c r="I48" s="51"/>
      <c r="J48" s="50"/>
      <c r="K48" s="168">
        <v>14</v>
      </c>
      <c r="L48" s="162">
        <v>22.5</v>
      </c>
      <c r="M48" s="52">
        <f>L48/G48*1000</f>
        <v>165.76539407959683</v>
      </c>
      <c r="N48" s="53">
        <f>+J48+L48</f>
        <v>22.5</v>
      </c>
      <c r="O48" s="52">
        <f>N48/G48*1000</f>
        <v>165.76539407959683</v>
      </c>
      <c r="P48" s="54">
        <f>G48/K48</f>
        <v>9.6952857142857152</v>
      </c>
      <c r="Q48" s="46">
        <v>3</v>
      </c>
      <c r="R48" s="55">
        <v>1.6830000000000001</v>
      </c>
      <c r="S48" s="56">
        <f t="shared" ref="S48" si="30">R48/G48</f>
        <v>1.2399251477153844E-2</v>
      </c>
      <c r="T48" s="46">
        <f>4+4</f>
        <v>8</v>
      </c>
      <c r="U48" s="55">
        <f>2.359+2.452</f>
        <v>4.8109999999999999</v>
      </c>
      <c r="V48" s="56">
        <f t="shared" ref="V48" si="31">U48/G48</f>
        <v>3.5444324929641793E-2</v>
      </c>
      <c r="W48" s="65">
        <v>10260</v>
      </c>
      <c r="X48" s="90">
        <f t="shared" ref="X48" si="32">W48/G48</f>
        <v>75.589019700296163</v>
      </c>
    </row>
    <row r="49" spans="1:24">
      <c r="A49" s="169" t="s">
        <v>225</v>
      </c>
      <c r="B49" s="47" t="s">
        <v>59</v>
      </c>
      <c r="C49" s="94" t="s">
        <v>57</v>
      </c>
      <c r="D49" s="157" t="s">
        <v>149</v>
      </c>
      <c r="E49" s="157" t="s">
        <v>72</v>
      </c>
      <c r="F49" s="12" t="s">
        <v>160</v>
      </c>
      <c r="G49" s="159">
        <f>117.46-1.5</f>
        <v>115.96</v>
      </c>
      <c r="H49" s="51" t="s">
        <v>222</v>
      </c>
      <c r="I49" s="51"/>
      <c r="J49" s="50"/>
      <c r="K49" s="168">
        <v>11</v>
      </c>
      <c r="L49" s="162">
        <v>16.3</v>
      </c>
      <c r="M49" s="52">
        <f t="shared" ref="M49:M69" si="33">L49/G49*1000</f>
        <v>140.56571231459125</v>
      </c>
      <c r="N49" s="53">
        <f t="shared" ref="N49:N69" si="34">+J49+L49</f>
        <v>16.3</v>
      </c>
      <c r="O49" s="52">
        <f t="shared" ref="O49:O69" si="35">N49/G49*1000</f>
        <v>140.56571231459125</v>
      </c>
      <c r="P49" s="54">
        <f t="shared" ref="P49:P69" si="36">G49/K49</f>
        <v>10.541818181818181</v>
      </c>
      <c r="Q49" s="46">
        <v>1</v>
      </c>
      <c r="R49" s="55">
        <v>0.248</v>
      </c>
      <c r="S49" s="56">
        <f t="shared" ref="S49:S69" si="37">R49/G49</f>
        <v>2.1386685063815108E-3</v>
      </c>
      <c r="T49" s="46"/>
      <c r="U49" s="55"/>
      <c r="V49" s="56">
        <f t="shared" ref="V49:V69" si="38">U49/G49</f>
        <v>0</v>
      </c>
      <c r="W49" s="65">
        <v>10380</v>
      </c>
      <c r="X49" s="90">
        <f t="shared" ref="X49:X69" si="39">W49/G49</f>
        <v>89.513625388064852</v>
      </c>
    </row>
    <row r="50" spans="1:24">
      <c r="A50" s="169" t="s">
        <v>226</v>
      </c>
      <c r="B50" s="47" t="s">
        <v>59</v>
      </c>
      <c r="C50" s="94" t="s">
        <v>57</v>
      </c>
      <c r="D50" s="157" t="s">
        <v>147</v>
      </c>
      <c r="E50" s="157" t="s">
        <v>215</v>
      </c>
      <c r="F50" s="12" t="s">
        <v>219</v>
      </c>
      <c r="G50" s="159">
        <f>135.708-0.7</f>
        <v>135.00800000000001</v>
      </c>
      <c r="H50" s="51" t="s">
        <v>222</v>
      </c>
      <c r="I50" s="51"/>
      <c r="J50" s="50"/>
      <c r="K50" s="168">
        <v>12.4</v>
      </c>
      <c r="L50" s="162">
        <v>18.2</v>
      </c>
      <c r="M50" s="52">
        <f t="shared" si="33"/>
        <v>134.80682626214741</v>
      </c>
      <c r="N50" s="53">
        <f t="shared" si="34"/>
        <v>18.2</v>
      </c>
      <c r="O50" s="52">
        <f t="shared" si="35"/>
        <v>134.80682626214741</v>
      </c>
      <c r="P50" s="54">
        <f t="shared" si="36"/>
        <v>10.887741935483872</v>
      </c>
      <c r="Q50" s="46">
        <v>2</v>
      </c>
      <c r="R50" s="55">
        <v>1.0669999999999999</v>
      </c>
      <c r="S50" s="56">
        <f t="shared" si="37"/>
        <v>7.9032353638302903E-3</v>
      </c>
      <c r="T50" s="46">
        <v>4</v>
      </c>
      <c r="U50" s="55">
        <v>2.0049999999999999</v>
      </c>
      <c r="V50" s="56">
        <f t="shared" si="38"/>
        <v>1.4850971794264041E-2</v>
      </c>
      <c r="W50" s="65">
        <v>10980</v>
      </c>
      <c r="X50" s="90">
        <f t="shared" si="39"/>
        <v>81.328513865844982</v>
      </c>
    </row>
    <row r="51" spans="1:24">
      <c r="A51" s="169" t="s">
        <v>227</v>
      </c>
      <c r="B51" s="47" t="s">
        <v>59</v>
      </c>
      <c r="C51" s="94" t="s">
        <v>57</v>
      </c>
      <c r="D51" s="157" t="s">
        <v>216</v>
      </c>
      <c r="E51" s="157" t="s">
        <v>217</v>
      </c>
      <c r="F51" s="12" t="s">
        <v>220</v>
      </c>
      <c r="G51" s="159">
        <f>139.326-1</f>
        <v>138.32599999999999</v>
      </c>
      <c r="H51" s="51" t="s">
        <v>222</v>
      </c>
      <c r="I51" s="51"/>
      <c r="J51" s="50"/>
      <c r="K51" s="168">
        <v>12.3</v>
      </c>
      <c r="L51" s="162">
        <v>18.600000000000001</v>
      </c>
      <c r="M51" s="52">
        <f t="shared" si="33"/>
        <v>134.46495958821916</v>
      </c>
      <c r="N51" s="53">
        <f t="shared" si="34"/>
        <v>18.600000000000001</v>
      </c>
      <c r="O51" s="52">
        <f t="shared" si="35"/>
        <v>134.46495958821916</v>
      </c>
      <c r="P51" s="54">
        <f t="shared" si="36"/>
        <v>11.2460162601626</v>
      </c>
      <c r="Q51" s="46">
        <v>1</v>
      </c>
      <c r="R51" s="55">
        <v>0.375</v>
      </c>
      <c r="S51" s="56">
        <f t="shared" si="37"/>
        <v>2.7109870884721599E-3</v>
      </c>
      <c r="T51" s="46"/>
      <c r="U51" s="55"/>
      <c r="V51" s="56">
        <f t="shared" si="38"/>
        <v>0</v>
      </c>
      <c r="W51" s="65">
        <v>9900</v>
      </c>
      <c r="X51" s="90">
        <f t="shared" si="39"/>
        <v>71.570059135665034</v>
      </c>
    </row>
    <row r="52" spans="1:24">
      <c r="A52" s="170" t="s">
        <v>228</v>
      </c>
      <c r="B52" s="47" t="s">
        <v>59</v>
      </c>
      <c r="C52" s="94" t="s">
        <v>57</v>
      </c>
      <c r="D52" s="128"/>
      <c r="E52" s="128"/>
      <c r="F52" s="96" t="s">
        <v>166</v>
      </c>
      <c r="G52" s="50"/>
      <c r="H52" s="51"/>
      <c r="I52" s="51"/>
      <c r="J52" s="50"/>
      <c r="K52" s="51"/>
      <c r="L52" s="50"/>
      <c r="M52" s="52"/>
      <c r="N52" s="53"/>
      <c r="O52" s="52"/>
      <c r="P52" s="54"/>
      <c r="Q52" s="46"/>
      <c r="R52" s="55"/>
      <c r="S52" s="56"/>
      <c r="T52" s="46"/>
      <c r="U52" s="55"/>
      <c r="V52" s="56"/>
      <c r="W52" s="65"/>
      <c r="X52" s="90"/>
    </row>
    <row r="53" spans="1:24">
      <c r="A53" s="170" t="s">
        <v>229</v>
      </c>
      <c r="B53" s="47" t="s">
        <v>59</v>
      </c>
      <c r="C53" s="94" t="s">
        <v>57</v>
      </c>
      <c r="D53" s="157" t="s">
        <v>147</v>
      </c>
      <c r="E53" s="157" t="s">
        <v>231</v>
      </c>
      <c r="F53" s="12" t="s">
        <v>232</v>
      </c>
      <c r="G53" s="159">
        <f>144.609-0.45</f>
        <v>144.15900000000002</v>
      </c>
      <c r="H53" s="51" t="s">
        <v>222</v>
      </c>
      <c r="I53" s="51"/>
      <c r="J53" s="50"/>
      <c r="K53" s="173">
        <v>10.3</v>
      </c>
      <c r="L53" s="162">
        <v>21.1</v>
      </c>
      <c r="M53" s="52">
        <f t="shared" si="33"/>
        <v>146.36616513710555</v>
      </c>
      <c r="N53" s="53">
        <f t="shared" si="34"/>
        <v>21.1</v>
      </c>
      <c r="O53" s="52">
        <f t="shared" si="35"/>
        <v>146.36616513710555</v>
      </c>
      <c r="P53" s="54">
        <f t="shared" si="36"/>
        <v>13.996019417475729</v>
      </c>
      <c r="Q53" s="46">
        <v>1</v>
      </c>
      <c r="R53" s="55">
        <v>0.16300000000000001</v>
      </c>
      <c r="S53" s="56">
        <f t="shared" si="37"/>
        <v>1.1306959676468343E-3</v>
      </c>
      <c r="T53" s="46">
        <v>4</v>
      </c>
      <c r="U53" s="55">
        <v>1.202</v>
      </c>
      <c r="V53" s="56">
        <f t="shared" si="38"/>
        <v>8.338015663260704E-3</v>
      </c>
      <c r="W53" s="65">
        <v>11400</v>
      </c>
      <c r="X53" s="90">
        <f t="shared" si="39"/>
        <v>79.07934988450252</v>
      </c>
    </row>
    <row r="54" spans="1:24">
      <c r="A54" s="170" t="s">
        <v>230</v>
      </c>
      <c r="B54" s="47" t="s">
        <v>59</v>
      </c>
      <c r="C54" s="94" t="s">
        <v>57</v>
      </c>
      <c r="D54" s="157" t="s">
        <v>147</v>
      </c>
      <c r="E54" s="157" t="s">
        <v>72</v>
      </c>
      <c r="F54" s="12" t="s">
        <v>233</v>
      </c>
      <c r="G54" s="159">
        <f>76.27-4.487</f>
        <v>71.783000000000001</v>
      </c>
      <c r="H54" s="51" t="s">
        <v>222</v>
      </c>
      <c r="I54" s="51"/>
      <c r="J54" s="50"/>
      <c r="K54" s="173">
        <v>12</v>
      </c>
      <c r="L54" s="50">
        <v>13</v>
      </c>
      <c r="M54" s="52">
        <f t="shared" si="33"/>
        <v>181.1013749773623</v>
      </c>
      <c r="N54" s="53">
        <f t="shared" si="34"/>
        <v>13</v>
      </c>
      <c r="O54" s="52">
        <f t="shared" si="35"/>
        <v>181.1013749773623</v>
      </c>
      <c r="P54" s="54">
        <f t="shared" si="36"/>
        <v>5.9819166666666668</v>
      </c>
      <c r="Q54" s="46">
        <v>7</v>
      </c>
      <c r="R54" s="55">
        <v>1.776</v>
      </c>
      <c r="S54" s="56">
        <f t="shared" si="37"/>
        <v>2.4741233996907346E-2</v>
      </c>
      <c r="T54" s="46"/>
      <c r="U54" s="55"/>
      <c r="V54" s="56">
        <f t="shared" si="38"/>
        <v>0</v>
      </c>
      <c r="W54" s="65">
        <v>9360</v>
      </c>
      <c r="X54" s="90">
        <f t="shared" si="39"/>
        <v>130.39298998370089</v>
      </c>
    </row>
    <row r="55" spans="1:24">
      <c r="A55" s="170" t="s">
        <v>235</v>
      </c>
      <c r="B55" s="47" t="s">
        <v>59</v>
      </c>
      <c r="C55" s="94" t="s">
        <v>57</v>
      </c>
      <c r="D55" s="157" t="s">
        <v>147</v>
      </c>
      <c r="E55" s="157" t="s">
        <v>72</v>
      </c>
      <c r="F55" s="172" t="s">
        <v>236</v>
      </c>
      <c r="G55" s="50">
        <v>131.34100000000001</v>
      </c>
      <c r="H55" s="51" t="s">
        <v>222</v>
      </c>
      <c r="I55" s="51"/>
      <c r="J55" s="50"/>
      <c r="K55" s="173">
        <v>12</v>
      </c>
      <c r="L55" s="50">
        <v>19.7</v>
      </c>
      <c r="M55" s="52">
        <f t="shared" si="33"/>
        <v>149.99124416594969</v>
      </c>
      <c r="N55" s="53">
        <f t="shared" si="34"/>
        <v>19.7</v>
      </c>
      <c r="O55" s="52">
        <f t="shared" si="35"/>
        <v>149.99124416594969</v>
      </c>
      <c r="P55" s="54">
        <f t="shared" si="36"/>
        <v>10.945083333333335</v>
      </c>
      <c r="Q55" s="46">
        <v>2</v>
      </c>
      <c r="R55" s="55">
        <v>0.59699999999999998</v>
      </c>
      <c r="S55" s="56">
        <f t="shared" si="37"/>
        <v>4.5454199374148204E-3</v>
      </c>
      <c r="T55" s="46"/>
      <c r="U55" s="55"/>
      <c r="V55" s="56">
        <f t="shared" si="38"/>
        <v>0</v>
      </c>
      <c r="W55" s="65">
        <v>11820</v>
      </c>
      <c r="X55" s="90">
        <f t="shared" si="39"/>
        <v>89.994746499569814</v>
      </c>
    </row>
    <row r="56" spans="1:24">
      <c r="A56" s="170" t="s">
        <v>237</v>
      </c>
      <c r="B56" s="47" t="s">
        <v>59</v>
      </c>
      <c r="C56" s="94" t="s">
        <v>57</v>
      </c>
      <c r="D56" s="157" t="s">
        <v>147</v>
      </c>
      <c r="E56" s="157" t="s">
        <v>238</v>
      </c>
      <c r="F56" s="172" t="s">
        <v>239</v>
      </c>
      <c r="G56" s="50">
        <f>120.913-1.869</f>
        <v>119.044</v>
      </c>
      <c r="H56" s="51" t="s">
        <v>222</v>
      </c>
      <c r="I56" s="51"/>
      <c r="J56" s="50"/>
      <c r="K56" s="173">
        <v>9</v>
      </c>
      <c r="L56" s="50">
        <v>17.399999999999999</v>
      </c>
      <c r="M56" s="52">
        <f t="shared" si="33"/>
        <v>146.16444339907932</v>
      </c>
      <c r="N56" s="53">
        <f t="shared" si="34"/>
        <v>17.399999999999999</v>
      </c>
      <c r="O56" s="52">
        <f t="shared" si="35"/>
        <v>146.16444339907932</v>
      </c>
      <c r="P56" s="54">
        <f t="shared" si="36"/>
        <v>13.22711111111111</v>
      </c>
      <c r="Q56" s="46">
        <v>3</v>
      </c>
      <c r="R56" s="55">
        <v>0.95799999999999996</v>
      </c>
      <c r="S56" s="56">
        <f t="shared" si="37"/>
        <v>8.0474446423171257E-3</v>
      </c>
      <c r="T56" s="46">
        <v>1</v>
      </c>
      <c r="U56" s="55">
        <v>0.31</v>
      </c>
      <c r="V56" s="56">
        <f t="shared" si="38"/>
        <v>2.6040791640065857E-3</v>
      </c>
      <c r="W56" s="65">
        <v>9660</v>
      </c>
      <c r="X56" s="90">
        <f t="shared" si="39"/>
        <v>81.146466852592326</v>
      </c>
    </row>
    <row r="57" spans="1:24">
      <c r="A57" s="170" t="s">
        <v>242</v>
      </c>
      <c r="B57" s="47" t="s">
        <v>59</v>
      </c>
      <c r="C57" s="94" t="s">
        <v>57</v>
      </c>
      <c r="D57" s="157" t="s">
        <v>243</v>
      </c>
      <c r="E57" s="157" t="s">
        <v>217</v>
      </c>
      <c r="F57" s="172" t="s">
        <v>244</v>
      </c>
      <c r="G57" s="159">
        <v>150.92699999999999</v>
      </c>
      <c r="H57" s="51" t="s">
        <v>247</v>
      </c>
      <c r="I57" s="51"/>
      <c r="J57" s="50"/>
      <c r="K57" s="51">
        <v>10.3</v>
      </c>
      <c r="L57" s="162">
        <v>20.5</v>
      </c>
      <c r="M57" s="52">
        <f t="shared" si="33"/>
        <v>135.82725423549132</v>
      </c>
      <c r="N57" s="53">
        <f t="shared" si="34"/>
        <v>20.5</v>
      </c>
      <c r="O57" s="52">
        <f t="shared" si="35"/>
        <v>135.82725423549132</v>
      </c>
      <c r="P57" s="54">
        <f t="shared" si="36"/>
        <v>14.653106796116504</v>
      </c>
      <c r="Q57" s="46">
        <v>2</v>
      </c>
      <c r="R57" s="55">
        <v>0.84499999999999997</v>
      </c>
      <c r="S57" s="56">
        <f t="shared" si="37"/>
        <v>5.5987331623897647E-3</v>
      </c>
      <c r="T57" s="46">
        <v>1</v>
      </c>
      <c r="U57" s="55">
        <v>0.48499999999999999</v>
      </c>
      <c r="V57" s="56">
        <f t="shared" si="38"/>
        <v>3.2134740636201608E-3</v>
      </c>
      <c r="W57" s="65">
        <v>10140</v>
      </c>
      <c r="X57" s="90">
        <f t="shared" si="39"/>
        <v>67.184797948677172</v>
      </c>
    </row>
    <row r="58" spans="1:24">
      <c r="A58" s="170" t="s">
        <v>245</v>
      </c>
      <c r="B58" s="47" t="s">
        <v>59</v>
      </c>
      <c r="C58" s="94" t="s">
        <v>57</v>
      </c>
      <c r="D58" s="157" t="s">
        <v>147</v>
      </c>
      <c r="E58" s="157" t="s">
        <v>72</v>
      </c>
      <c r="F58" s="172" t="s">
        <v>246</v>
      </c>
      <c r="G58" s="50">
        <v>179.035</v>
      </c>
      <c r="H58" s="51" t="s">
        <v>247</v>
      </c>
      <c r="I58" s="51"/>
      <c r="J58" s="50"/>
      <c r="K58" s="51">
        <v>12</v>
      </c>
      <c r="L58" s="50">
        <v>23.6</v>
      </c>
      <c r="M58" s="52">
        <f t="shared" si="33"/>
        <v>131.81780098863351</v>
      </c>
      <c r="N58" s="53">
        <f t="shared" si="34"/>
        <v>23.6</v>
      </c>
      <c r="O58" s="52">
        <f t="shared" si="35"/>
        <v>131.81780098863351</v>
      </c>
      <c r="P58" s="54">
        <f t="shared" si="36"/>
        <v>14.919583333333334</v>
      </c>
      <c r="Q58" s="46">
        <v>4</v>
      </c>
      <c r="R58" s="55">
        <v>2.0179999999999998</v>
      </c>
      <c r="S58" s="56">
        <f t="shared" si="37"/>
        <v>1.1271539084536542E-2</v>
      </c>
      <c r="T58" s="46">
        <v>1</v>
      </c>
      <c r="U58" s="55">
        <v>0.505</v>
      </c>
      <c r="V58" s="56">
        <f t="shared" si="38"/>
        <v>2.8206775211550815E-3</v>
      </c>
      <c r="W58" s="65">
        <v>11640</v>
      </c>
      <c r="X58" s="90">
        <f t="shared" si="39"/>
        <v>65.015220487614158</v>
      </c>
    </row>
    <row r="59" spans="1:24">
      <c r="A59" s="170" t="s">
        <v>250</v>
      </c>
      <c r="B59" s="47" t="s">
        <v>59</v>
      </c>
      <c r="C59" s="94" t="s">
        <v>57</v>
      </c>
      <c r="D59" s="128"/>
      <c r="E59" s="128"/>
      <c r="F59" s="96" t="s">
        <v>166</v>
      </c>
      <c r="G59" s="50"/>
      <c r="H59" s="51"/>
      <c r="I59" s="51"/>
      <c r="J59" s="50"/>
      <c r="K59" s="51"/>
      <c r="L59" s="50"/>
      <c r="M59" s="52"/>
      <c r="N59" s="53"/>
      <c r="O59" s="52"/>
      <c r="P59" s="54"/>
      <c r="Q59" s="46"/>
      <c r="R59" s="55"/>
      <c r="S59" s="56"/>
      <c r="T59" s="46"/>
      <c r="U59" s="55"/>
      <c r="V59" s="56"/>
      <c r="W59" s="65"/>
      <c r="X59" s="90"/>
    </row>
    <row r="60" spans="1:24" hidden="1">
      <c r="A60" s="135"/>
      <c r="B60" s="47" t="s">
        <v>59</v>
      </c>
      <c r="C60" s="94" t="s">
        <v>57</v>
      </c>
      <c r="D60" s="128"/>
      <c r="E60" s="128"/>
      <c r="F60" s="49"/>
      <c r="G60" s="50"/>
      <c r="H60" s="51"/>
      <c r="I60" s="51"/>
      <c r="J60" s="50"/>
      <c r="K60" s="51"/>
      <c r="L60" s="50"/>
      <c r="M60" s="52" t="e">
        <f t="shared" si="33"/>
        <v>#DIV/0!</v>
      </c>
      <c r="N60" s="53">
        <f t="shared" si="34"/>
        <v>0</v>
      </c>
      <c r="O60" s="52" t="e">
        <f t="shared" si="35"/>
        <v>#DIV/0!</v>
      </c>
      <c r="P60" s="54" t="e">
        <f t="shared" si="36"/>
        <v>#DIV/0!</v>
      </c>
      <c r="Q60" s="46"/>
      <c r="R60" s="55"/>
      <c r="S60" s="56" t="e">
        <f t="shared" si="37"/>
        <v>#DIV/0!</v>
      </c>
      <c r="T60" s="46"/>
      <c r="U60" s="55"/>
      <c r="V60" s="56" t="e">
        <f t="shared" si="38"/>
        <v>#DIV/0!</v>
      </c>
      <c r="W60" s="65"/>
      <c r="X60" s="90" t="e">
        <f t="shared" si="39"/>
        <v>#DIV/0!</v>
      </c>
    </row>
    <row r="61" spans="1:24" hidden="1">
      <c r="A61" s="135"/>
      <c r="B61" s="47" t="s">
        <v>59</v>
      </c>
      <c r="C61" s="94" t="s">
        <v>57</v>
      </c>
      <c r="D61" s="128"/>
      <c r="E61" s="128"/>
      <c r="F61" s="49"/>
      <c r="G61" s="50"/>
      <c r="H61" s="51"/>
      <c r="I61" s="51"/>
      <c r="J61" s="50"/>
      <c r="K61" s="51"/>
      <c r="L61" s="50"/>
      <c r="M61" s="52" t="e">
        <f t="shared" si="33"/>
        <v>#DIV/0!</v>
      </c>
      <c r="N61" s="53">
        <f t="shared" si="34"/>
        <v>0</v>
      </c>
      <c r="O61" s="52" t="e">
        <f t="shared" si="35"/>
        <v>#DIV/0!</v>
      </c>
      <c r="P61" s="54" t="e">
        <f t="shared" si="36"/>
        <v>#DIV/0!</v>
      </c>
      <c r="Q61" s="46"/>
      <c r="R61" s="55"/>
      <c r="S61" s="56" t="e">
        <f t="shared" si="37"/>
        <v>#DIV/0!</v>
      </c>
      <c r="T61" s="46"/>
      <c r="U61" s="55"/>
      <c r="V61" s="56" t="e">
        <f t="shared" si="38"/>
        <v>#DIV/0!</v>
      </c>
      <c r="W61" s="65"/>
      <c r="X61" s="90" t="e">
        <f t="shared" si="39"/>
        <v>#DIV/0!</v>
      </c>
    </row>
    <row r="62" spans="1:24" hidden="1">
      <c r="A62" s="135"/>
      <c r="B62" s="47" t="s">
        <v>59</v>
      </c>
      <c r="C62" s="94" t="s">
        <v>57</v>
      </c>
      <c r="D62" s="128"/>
      <c r="E62" s="128"/>
      <c r="F62" s="49"/>
      <c r="G62" s="50"/>
      <c r="H62" s="51"/>
      <c r="I62" s="51"/>
      <c r="J62" s="50"/>
      <c r="K62" s="51"/>
      <c r="L62" s="50"/>
      <c r="M62" s="52" t="e">
        <f t="shared" si="33"/>
        <v>#DIV/0!</v>
      </c>
      <c r="N62" s="53">
        <f t="shared" si="34"/>
        <v>0</v>
      </c>
      <c r="O62" s="52" t="e">
        <f t="shared" si="35"/>
        <v>#DIV/0!</v>
      </c>
      <c r="P62" s="54" t="e">
        <f t="shared" si="36"/>
        <v>#DIV/0!</v>
      </c>
      <c r="Q62" s="46"/>
      <c r="R62" s="55"/>
      <c r="S62" s="56" t="e">
        <f t="shared" si="37"/>
        <v>#DIV/0!</v>
      </c>
      <c r="T62" s="46"/>
      <c r="U62" s="55"/>
      <c r="V62" s="56" t="e">
        <f t="shared" si="38"/>
        <v>#DIV/0!</v>
      </c>
      <c r="W62" s="65"/>
      <c r="X62" s="90" t="e">
        <f t="shared" si="39"/>
        <v>#DIV/0!</v>
      </c>
    </row>
    <row r="63" spans="1:24" hidden="1">
      <c r="A63" s="135"/>
      <c r="B63" s="47" t="s">
        <v>59</v>
      </c>
      <c r="C63" s="94" t="s">
        <v>57</v>
      </c>
      <c r="D63" s="128"/>
      <c r="E63" s="128"/>
      <c r="F63" s="49"/>
      <c r="G63" s="50"/>
      <c r="H63" s="51"/>
      <c r="I63" s="51"/>
      <c r="J63" s="50"/>
      <c r="K63" s="51"/>
      <c r="L63" s="50"/>
      <c r="M63" s="52" t="e">
        <f t="shared" si="33"/>
        <v>#DIV/0!</v>
      </c>
      <c r="N63" s="53">
        <f t="shared" si="34"/>
        <v>0</v>
      </c>
      <c r="O63" s="52" t="e">
        <f t="shared" si="35"/>
        <v>#DIV/0!</v>
      </c>
      <c r="P63" s="54" t="e">
        <f t="shared" si="36"/>
        <v>#DIV/0!</v>
      </c>
      <c r="Q63" s="46"/>
      <c r="R63" s="55"/>
      <c r="S63" s="56" t="e">
        <f t="shared" si="37"/>
        <v>#DIV/0!</v>
      </c>
      <c r="T63" s="46"/>
      <c r="U63" s="55"/>
      <c r="V63" s="56" t="e">
        <f t="shared" si="38"/>
        <v>#DIV/0!</v>
      </c>
      <c r="W63" s="65"/>
      <c r="X63" s="90" t="e">
        <f t="shared" si="39"/>
        <v>#DIV/0!</v>
      </c>
    </row>
    <row r="64" spans="1:24" hidden="1">
      <c r="A64" s="135"/>
      <c r="B64" s="47" t="s">
        <v>59</v>
      </c>
      <c r="C64" s="94" t="s">
        <v>57</v>
      </c>
      <c r="D64" s="128"/>
      <c r="E64" s="128"/>
      <c r="F64" s="49"/>
      <c r="G64" s="50"/>
      <c r="H64" s="51"/>
      <c r="I64" s="51"/>
      <c r="J64" s="50"/>
      <c r="K64" s="51"/>
      <c r="L64" s="50"/>
      <c r="M64" s="52" t="e">
        <f t="shared" si="33"/>
        <v>#DIV/0!</v>
      </c>
      <c r="N64" s="53">
        <f t="shared" si="34"/>
        <v>0</v>
      </c>
      <c r="O64" s="52" t="e">
        <f t="shared" si="35"/>
        <v>#DIV/0!</v>
      </c>
      <c r="P64" s="54" t="e">
        <f t="shared" si="36"/>
        <v>#DIV/0!</v>
      </c>
      <c r="Q64" s="46"/>
      <c r="R64" s="55"/>
      <c r="S64" s="56" t="e">
        <f t="shared" si="37"/>
        <v>#DIV/0!</v>
      </c>
      <c r="T64" s="46"/>
      <c r="U64" s="55"/>
      <c r="V64" s="56" t="e">
        <f t="shared" si="38"/>
        <v>#DIV/0!</v>
      </c>
      <c r="W64" s="65"/>
      <c r="X64" s="90" t="e">
        <f t="shared" si="39"/>
        <v>#DIV/0!</v>
      </c>
    </row>
    <row r="65" spans="1:24" hidden="1">
      <c r="A65" s="135"/>
      <c r="B65" s="47" t="s">
        <v>59</v>
      </c>
      <c r="C65" s="94" t="s">
        <v>57</v>
      </c>
      <c r="D65" s="128"/>
      <c r="E65" s="128"/>
      <c r="F65" s="49"/>
      <c r="G65" s="50"/>
      <c r="H65" s="51"/>
      <c r="I65" s="51"/>
      <c r="J65" s="50"/>
      <c r="K65" s="51"/>
      <c r="L65" s="50"/>
      <c r="M65" s="52" t="e">
        <f t="shared" si="33"/>
        <v>#DIV/0!</v>
      </c>
      <c r="N65" s="53">
        <f t="shared" si="34"/>
        <v>0</v>
      </c>
      <c r="O65" s="52" t="e">
        <f t="shared" si="35"/>
        <v>#DIV/0!</v>
      </c>
      <c r="P65" s="54" t="e">
        <f t="shared" si="36"/>
        <v>#DIV/0!</v>
      </c>
      <c r="Q65" s="46"/>
      <c r="R65" s="55"/>
      <c r="S65" s="56" t="e">
        <f t="shared" si="37"/>
        <v>#DIV/0!</v>
      </c>
      <c r="T65" s="46"/>
      <c r="U65" s="55"/>
      <c r="V65" s="56" t="e">
        <f t="shared" si="38"/>
        <v>#DIV/0!</v>
      </c>
      <c r="W65" s="65"/>
      <c r="X65" s="90" t="e">
        <f t="shared" si="39"/>
        <v>#DIV/0!</v>
      </c>
    </row>
    <row r="66" spans="1:24" hidden="1">
      <c r="A66" s="135"/>
      <c r="B66" s="47" t="s">
        <v>59</v>
      </c>
      <c r="C66" s="94" t="s">
        <v>57</v>
      </c>
      <c r="D66" s="128"/>
      <c r="E66" s="128"/>
      <c r="F66" s="49"/>
      <c r="G66" s="50"/>
      <c r="H66" s="51"/>
      <c r="I66" s="51"/>
      <c r="J66" s="50"/>
      <c r="K66" s="51"/>
      <c r="L66" s="50"/>
      <c r="M66" s="52" t="e">
        <f t="shared" si="33"/>
        <v>#DIV/0!</v>
      </c>
      <c r="N66" s="53">
        <f t="shared" si="34"/>
        <v>0</v>
      </c>
      <c r="O66" s="52" t="e">
        <f t="shared" si="35"/>
        <v>#DIV/0!</v>
      </c>
      <c r="P66" s="54" t="e">
        <f t="shared" si="36"/>
        <v>#DIV/0!</v>
      </c>
      <c r="Q66" s="46"/>
      <c r="R66" s="55"/>
      <c r="S66" s="56" t="e">
        <f t="shared" si="37"/>
        <v>#DIV/0!</v>
      </c>
      <c r="T66" s="46"/>
      <c r="U66" s="55"/>
      <c r="V66" s="56" t="e">
        <f t="shared" si="38"/>
        <v>#DIV/0!</v>
      </c>
      <c r="W66" s="65"/>
      <c r="X66" s="90" t="e">
        <f t="shared" si="39"/>
        <v>#DIV/0!</v>
      </c>
    </row>
    <row r="67" spans="1:24" hidden="1">
      <c r="A67" s="135"/>
      <c r="B67" s="47" t="s">
        <v>59</v>
      </c>
      <c r="C67" s="94" t="s">
        <v>57</v>
      </c>
      <c r="D67" s="128"/>
      <c r="E67" s="128"/>
      <c r="F67" s="49"/>
      <c r="G67" s="50"/>
      <c r="H67" s="51"/>
      <c r="I67" s="51"/>
      <c r="J67" s="50"/>
      <c r="K67" s="51"/>
      <c r="L67" s="50"/>
      <c r="M67" s="52" t="e">
        <f t="shared" si="33"/>
        <v>#DIV/0!</v>
      </c>
      <c r="N67" s="53">
        <f t="shared" si="34"/>
        <v>0</v>
      </c>
      <c r="O67" s="52" t="e">
        <f t="shared" si="35"/>
        <v>#DIV/0!</v>
      </c>
      <c r="P67" s="54" t="e">
        <f t="shared" si="36"/>
        <v>#DIV/0!</v>
      </c>
      <c r="Q67" s="46"/>
      <c r="R67" s="55"/>
      <c r="S67" s="56" t="e">
        <f t="shared" si="37"/>
        <v>#DIV/0!</v>
      </c>
      <c r="T67" s="46"/>
      <c r="U67" s="55"/>
      <c r="V67" s="56" t="e">
        <f t="shared" si="38"/>
        <v>#DIV/0!</v>
      </c>
      <c r="W67" s="65"/>
      <c r="X67" s="90" t="e">
        <f t="shared" si="39"/>
        <v>#DIV/0!</v>
      </c>
    </row>
    <row r="68" spans="1:24" hidden="1">
      <c r="A68" s="135"/>
      <c r="B68" s="47" t="s">
        <v>59</v>
      </c>
      <c r="C68" s="94" t="s">
        <v>57</v>
      </c>
      <c r="D68" s="128"/>
      <c r="E68" s="128"/>
      <c r="F68" s="49"/>
      <c r="G68" s="50"/>
      <c r="H68" s="51"/>
      <c r="I68" s="51"/>
      <c r="J68" s="50"/>
      <c r="K68" s="51"/>
      <c r="L68" s="50"/>
      <c r="M68" s="52" t="e">
        <f t="shared" si="33"/>
        <v>#DIV/0!</v>
      </c>
      <c r="N68" s="53">
        <f t="shared" si="34"/>
        <v>0</v>
      </c>
      <c r="O68" s="52" t="e">
        <f t="shared" si="35"/>
        <v>#DIV/0!</v>
      </c>
      <c r="P68" s="54" t="e">
        <f t="shared" si="36"/>
        <v>#DIV/0!</v>
      </c>
      <c r="Q68" s="46"/>
      <c r="R68" s="55"/>
      <c r="S68" s="56" t="e">
        <f t="shared" si="37"/>
        <v>#DIV/0!</v>
      </c>
      <c r="T68" s="46"/>
      <c r="U68" s="55"/>
      <c r="V68" s="56" t="e">
        <f t="shared" si="38"/>
        <v>#DIV/0!</v>
      </c>
      <c r="W68" s="65"/>
      <c r="X68" s="90" t="e">
        <f t="shared" si="39"/>
        <v>#DIV/0!</v>
      </c>
    </row>
    <row r="69" spans="1:24" hidden="1">
      <c r="A69" s="135"/>
      <c r="B69" s="47" t="s">
        <v>59</v>
      </c>
      <c r="C69" s="94" t="s">
        <v>57</v>
      </c>
      <c r="D69" s="128"/>
      <c r="E69" s="128"/>
      <c r="F69" s="49"/>
      <c r="G69" s="50"/>
      <c r="H69" s="51"/>
      <c r="I69" s="51"/>
      <c r="J69" s="50"/>
      <c r="K69" s="51"/>
      <c r="L69" s="50"/>
      <c r="M69" s="52" t="e">
        <f t="shared" si="33"/>
        <v>#DIV/0!</v>
      </c>
      <c r="N69" s="53">
        <f t="shared" si="34"/>
        <v>0</v>
      </c>
      <c r="O69" s="52" t="e">
        <f t="shared" si="35"/>
        <v>#DIV/0!</v>
      </c>
      <c r="P69" s="54" t="e">
        <f t="shared" si="36"/>
        <v>#DIV/0!</v>
      </c>
      <c r="Q69" s="46"/>
      <c r="R69" s="55"/>
      <c r="S69" s="56" t="e">
        <f t="shared" si="37"/>
        <v>#DIV/0!</v>
      </c>
      <c r="T69" s="46"/>
      <c r="U69" s="55"/>
      <c r="V69" s="56" t="e">
        <f t="shared" si="38"/>
        <v>#DIV/0!</v>
      </c>
      <c r="W69" s="65"/>
      <c r="X69" s="90" t="e">
        <f t="shared" si="39"/>
        <v>#DIV/0!</v>
      </c>
    </row>
    <row r="70" spans="1:24" hidden="1">
      <c r="A70" s="135"/>
      <c r="B70" s="47" t="s">
        <v>59</v>
      </c>
      <c r="C70" s="94" t="s">
        <v>57</v>
      </c>
      <c r="D70" s="128"/>
      <c r="E70" s="128"/>
      <c r="F70" s="49"/>
      <c r="G70" s="50"/>
      <c r="H70" s="51"/>
      <c r="I70" s="51"/>
      <c r="J70" s="50"/>
      <c r="K70" s="51"/>
      <c r="L70" s="50"/>
      <c r="M70" s="52" t="e">
        <f t="shared" ref="M70" si="40">L70/G70*1000</f>
        <v>#DIV/0!</v>
      </c>
      <c r="N70" s="53">
        <f t="shared" ref="N70" si="41">+J70+L70</f>
        <v>0</v>
      </c>
      <c r="O70" s="52" t="e">
        <f t="shared" ref="O70:O71" si="42">N70/G70*1000</f>
        <v>#DIV/0!</v>
      </c>
      <c r="P70" s="54" t="e">
        <f t="shared" ref="P70:P71" si="43">G70/K70</f>
        <v>#DIV/0!</v>
      </c>
      <c r="Q70" s="46"/>
      <c r="R70" s="55"/>
      <c r="S70" s="56" t="e">
        <f t="shared" ref="S70:S71" si="44">R70/G70</f>
        <v>#DIV/0!</v>
      </c>
      <c r="T70" s="46"/>
      <c r="U70" s="55"/>
      <c r="V70" s="56" t="e">
        <f t="shared" ref="V70:V71" si="45">U70/G70</f>
        <v>#DIV/0!</v>
      </c>
      <c r="W70" s="65"/>
      <c r="X70" s="90" t="e">
        <f t="shared" ref="X70:X71" si="46">W70/G70</f>
        <v>#DIV/0!</v>
      </c>
    </row>
    <row r="71" spans="1:24" s="10" customFormat="1">
      <c r="A71" s="135"/>
      <c r="B71" s="47"/>
      <c r="C71" s="48"/>
      <c r="D71" s="129"/>
      <c r="E71" s="129"/>
      <c r="F71" s="57"/>
      <c r="G71" s="58">
        <f>SUM(G46:G70)</f>
        <v>1321.317</v>
      </c>
      <c r="H71" s="57"/>
      <c r="I71" s="59"/>
      <c r="J71" s="58">
        <f>SUM(J46:J70)</f>
        <v>0</v>
      </c>
      <c r="K71" s="60">
        <f>SUM(K46:K70)</f>
        <v>115.3</v>
      </c>
      <c r="L71" s="58">
        <f>SUM(L46:L70)</f>
        <v>190.89999999999998</v>
      </c>
      <c r="M71" s="61">
        <f>L71/G71*1000</f>
        <v>144.47706341475967</v>
      </c>
      <c r="N71" s="58">
        <f>SUM(N46:N70)</f>
        <v>190.89999999999998</v>
      </c>
      <c r="O71" s="61">
        <f t="shared" si="42"/>
        <v>144.47706341475967</v>
      </c>
      <c r="P71" s="62">
        <f t="shared" si="43"/>
        <v>11.459817866435387</v>
      </c>
      <c r="Q71" s="92">
        <f>SUM(Q46:Q70)</f>
        <v>26</v>
      </c>
      <c r="R71" s="63">
        <f>SUM(R46:R70)</f>
        <v>9.73</v>
      </c>
      <c r="S71" s="64">
        <f t="shared" si="44"/>
        <v>7.3638649922766457E-3</v>
      </c>
      <c r="T71" s="92">
        <f>SUM(T46:T70)</f>
        <v>19</v>
      </c>
      <c r="U71" s="63">
        <f>SUM(U46:U70)</f>
        <v>9.3180000000000014</v>
      </c>
      <c r="V71" s="64">
        <f t="shared" si="45"/>
        <v>7.0520548816067619E-3</v>
      </c>
      <c r="W71" s="92">
        <f>SUM(W46:W70)</f>
        <v>105540</v>
      </c>
      <c r="X71" s="90">
        <f t="shared" si="46"/>
        <v>79.874852136164151</v>
      </c>
    </row>
    <row r="72" spans="1:24">
      <c r="A72" s="137"/>
      <c r="B72" s="65"/>
      <c r="C72" s="65"/>
      <c r="D72" s="130"/>
      <c r="E72" s="130"/>
      <c r="F72" s="65"/>
      <c r="G72" s="65"/>
      <c r="H72" s="65"/>
      <c r="I72" s="65"/>
      <c r="J72" s="66"/>
      <c r="K72" s="67"/>
      <c r="L72" s="68"/>
      <c r="M72" s="65"/>
      <c r="N72" s="66"/>
      <c r="O72" s="65"/>
      <c r="P72" s="65"/>
      <c r="Q72" s="65"/>
      <c r="R72" s="55"/>
      <c r="S72" s="56"/>
      <c r="T72" s="65"/>
      <c r="U72" s="55"/>
      <c r="V72" s="56"/>
      <c r="W72" s="93"/>
    </row>
    <row r="73" spans="1:24">
      <c r="A73" s="137"/>
      <c r="B73" s="65"/>
      <c r="C73" s="69" t="s">
        <v>52</v>
      </c>
      <c r="D73" s="130"/>
      <c r="E73" s="130"/>
      <c r="F73" s="65"/>
      <c r="G73" s="58">
        <f>+G71</f>
        <v>1321.317</v>
      </c>
      <c r="H73" s="65"/>
      <c r="I73" s="65"/>
      <c r="J73" s="58" t="e">
        <f>+#REF!+J71</f>
        <v>#REF!</v>
      </c>
      <c r="K73" s="60">
        <f t="shared" ref="K73:L73" si="47">+K71</f>
        <v>115.3</v>
      </c>
      <c r="L73" s="58">
        <f t="shared" si="47"/>
        <v>190.89999999999998</v>
      </c>
      <c r="M73" s="61">
        <f>+M71</f>
        <v>144.47706341475967</v>
      </c>
      <c r="N73" s="58">
        <f t="shared" ref="N73:P73" si="48">+N71</f>
        <v>190.89999999999998</v>
      </c>
      <c r="O73" s="61">
        <f t="shared" si="48"/>
        <v>144.47706341475967</v>
      </c>
      <c r="P73" s="62">
        <f t="shared" si="48"/>
        <v>11.459817866435387</v>
      </c>
      <c r="Q73" s="117">
        <f>+Q71</f>
        <v>26</v>
      </c>
      <c r="R73" s="63">
        <f>+R71</f>
        <v>9.73</v>
      </c>
      <c r="S73" s="64">
        <f>R73/G73</f>
        <v>7.3638649922766457E-3</v>
      </c>
      <c r="T73" s="117">
        <f>+T71</f>
        <v>19</v>
      </c>
      <c r="U73" s="63">
        <f>+U71</f>
        <v>9.3180000000000014</v>
      </c>
      <c r="V73" s="64">
        <f>U73/G73</f>
        <v>7.0520548816067619E-3</v>
      </c>
      <c r="W73" s="92">
        <f>+W71</f>
        <v>105540</v>
      </c>
      <c r="X73" s="90">
        <f>W73/G73</f>
        <v>79.874852136164151</v>
      </c>
    </row>
    <row r="74" spans="1:24">
      <c r="A74" s="139"/>
      <c r="B74" s="119"/>
      <c r="C74" s="120"/>
      <c r="D74" s="132"/>
      <c r="E74" s="132"/>
      <c r="F74" s="119"/>
      <c r="G74" s="121"/>
      <c r="H74" s="119"/>
      <c r="I74" s="119"/>
      <c r="J74" s="121"/>
      <c r="K74" s="122"/>
      <c r="L74" s="121"/>
      <c r="M74" s="86"/>
      <c r="N74" s="121"/>
      <c r="O74" s="86"/>
      <c r="P74" s="87"/>
      <c r="Q74" s="119"/>
      <c r="R74" s="123"/>
      <c r="S74" s="124"/>
      <c r="T74" s="124"/>
      <c r="U74" s="123"/>
      <c r="V74" s="124"/>
      <c r="W74" s="125"/>
      <c r="X74" s="126"/>
    </row>
    <row r="76" spans="1:24" ht="15.75">
      <c r="A76" s="257" t="s">
        <v>251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38"/>
      <c r="S76" s="38"/>
      <c r="T76" s="116"/>
      <c r="U76" s="39"/>
      <c r="V76" s="40"/>
    </row>
    <row r="77" spans="1:24" ht="57" customHeight="1">
      <c r="A77" s="134" t="s">
        <v>0</v>
      </c>
      <c r="B77" s="1" t="s">
        <v>20</v>
      </c>
      <c r="C77" s="118" t="s">
        <v>117</v>
      </c>
      <c r="D77" s="127" t="s">
        <v>2</v>
      </c>
      <c r="E77" s="127" t="s">
        <v>3</v>
      </c>
      <c r="F77" s="1" t="s">
        <v>4</v>
      </c>
      <c r="G77" s="1" t="s">
        <v>5</v>
      </c>
      <c r="H77" s="1" t="s">
        <v>6</v>
      </c>
      <c r="I77" s="1" t="s">
        <v>7</v>
      </c>
      <c r="J77" s="1" t="s">
        <v>8</v>
      </c>
      <c r="K77" s="1" t="s">
        <v>9</v>
      </c>
      <c r="L77" s="1" t="s">
        <v>132</v>
      </c>
      <c r="M77" s="1" t="s">
        <v>133</v>
      </c>
      <c r="N77" s="2" t="s">
        <v>12</v>
      </c>
      <c r="O77" s="2" t="s">
        <v>13</v>
      </c>
      <c r="P77" s="1" t="s">
        <v>14</v>
      </c>
      <c r="Q77" s="13" t="s">
        <v>115</v>
      </c>
      <c r="R77" s="13" t="s">
        <v>21</v>
      </c>
      <c r="S77" s="13" t="s">
        <v>24</v>
      </c>
      <c r="T77" s="13" t="s">
        <v>116</v>
      </c>
      <c r="U77" s="13" t="s">
        <v>22</v>
      </c>
      <c r="V77" s="13" t="s">
        <v>23</v>
      </c>
      <c r="W77" s="88" t="s">
        <v>54</v>
      </c>
      <c r="X77" s="89" t="s">
        <v>55</v>
      </c>
    </row>
    <row r="78" spans="1:24">
      <c r="A78" s="170" t="s">
        <v>252</v>
      </c>
      <c r="B78" s="47" t="s">
        <v>59</v>
      </c>
      <c r="C78" s="94" t="s">
        <v>57</v>
      </c>
      <c r="D78" s="128"/>
      <c r="E78" s="128"/>
      <c r="F78" s="180" t="s">
        <v>253</v>
      </c>
      <c r="G78" s="50"/>
      <c r="H78" s="51"/>
      <c r="I78" s="51"/>
      <c r="J78" s="50"/>
      <c r="K78" s="51"/>
      <c r="L78" s="50"/>
      <c r="M78" s="52"/>
      <c r="N78" s="53"/>
      <c r="O78" s="52"/>
      <c r="P78" s="54"/>
      <c r="Q78" s="46"/>
      <c r="R78" s="55"/>
      <c r="S78" s="56"/>
      <c r="T78" s="56"/>
      <c r="U78" s="55"/>
      <c r="V78" s="56"/>
      <c r="W78" s="65"/>
      <c r="X78" s="90"/>
    </row>
    <row r="79" spans="1:24">
      <c r="A79" s="170" t="s">
        <v>254</v>
      </c>
      <c r="B79" s="47" t="s">
        <v>59</v>
      </c>
      <c r="C79" s="94" t="s">
        <v>57</v>
      </c>
      <c r="D79" s="157" t="s">
        <v>147</v>
      </c>
      <c r="E79" s="157" t="s">
        <v>150</v>
      </c>
      <c r="F79" s="80" t="s">
        <v>255</v>
      </c>
      <c r="G79" s="159">
        <f>160.094-2.34</f>
        <v>157.75399999999999</v>
      </c>
      <c r="H79" s="51" t="s">
        <v>222</v>
      </c>
      <c r="I79" s="51"/>
      <c r="J79" s="50"/>
      <c r="K79" s="182">
        <v>12</v>
      </c>
      <c r="L79" s="162">
        <v>25.6</v>
      </c>
      <c r="M79" s="183">
        <f t="shared" ref="M79" si="49">L79/G79*1000</f>
        <v>162.27797710359167</v>
      </c>
      <c r="N79" s="184">
        <f t="shared" ref="N79" si="50">+J79+L79</f>
        <v>25.6</v>
      </c>
      <c r="O79" s="183">
        <f t="shared" ref="O79" si="51">N79/G79*1000</f>
        <v>162.27797710359167</v>
      </c>
      <c r="P79" s="185">
        <f t="shared" ref="P79" si="52">G79/K79</f>
        <v>13.146166666666666</v>
      </c>
      <c r="Q79" s="186">
        <v>1</v>
      </c>
      <c r="R79" s="187">
        <v>0.45500000000000002</v>
      </c>
      <c r="S79" s="188">
        <f t="shared" ref="S79" si="53">R79/G79</f>
        <v>2.8842374836771179E-3</v>
      </c>
      <c r="T79" s="186">
        <v>1</v>
      </c>
      <c r="U79" s="187">
        <v>0.45500000000000002</v>
      </c>
      <c r="V79" s="188">
        <f t="shared" ref="V79" si="54">U79/G79</f>
        <v>2.8842374836771179E-3</v>
      </c>
      <c r="W79" s="189">
        <v>12240</v>
      </c>
      <c r="X79" s="30">
        <f t="shared" ref="X79" si="55">W79/G79</f>
        <v>77.589157802654768</v>
      </c>
    </row>
    <row r="80" spans="1:24">
      <c r="A80" s="170" t="s">
        <v>256</v>
      </c>
      <c r="B80" s="47" t="s">
        <v>59</v>
      </c>
      <c r="C80" s="94" t="s">
        <v>57</v>
      </c>
      <c r="D80" s="128"/>
      <c r="E80" s="128"/>
      <c r="F80" s="180" t="s">
        <v>167</v>
      </c>
      <c r="G80" s="50"/>
      <c r="H80" s="51"/>
      <c r="I80" s="51"/>
      <c r="J80" s="50"/>
      <c r="K80" s="190"/>
      <c r="L80" s="191"/>
      <c r="M80" s="183"/>
      <c r="N80" s="184"/>
      <c r="O80" s="183"/>
      <c r="P80" s="185"/>
      <c r="Q80" s="192"/>
      <c r="R80" s="193"/>
      <c r="S80" s="188"/>
      <c r="T80" s="188"/>
      <c r="U80" s="193"/>
      <c r="V80" s="188"/>
      <c r="W80" s="189"/>
      <c r="X80" s="30"/>
    </row>
    <row r="81" spans="1:24">
      <c r="A81" s="170" t="s">
        <v>257</v>
      </c>
      <c r="B81" s="47" t="s">
        <v>59</v>
      </c>
      <c r="C81" s="94" t="s">
        <v>57</v>
      </c>
      <c r="D81" s="157" t="s">
        <v>188</v>
      </c>
      <c r="E81" s="157" t="s">
        <v>259</v>
      </c>
      <c r="F81" s="80" t="s">
        <v>261</v>
      </c>
      <c r="G81" s="159">
        <v>114.71299999999999</v>
      </c>
      <c r="H81" s="51" t="s">
        <v>263</v>
      </c>
      <c r="I81" s="51"/>
      <c r="J81" s="50"/>
      <c r="K81" s="182">
        <v>12</v>
      </c>
      <c r="L81" s="162">
        <v>16.3</v>
      </c>
      <c r="M81" s="183">
        <f t="shared" ref="M81:M91" si="56">L81/G81*1000</f>
        <v>142.09374700339109</v>
      </c>
      <c r="N81" s="184">
        <f t="shared" ref="N81:N91" si="57">+J81+L81</f>
        <v>16.3</v>
      </c>
      <c r="O81" s="183">
        <f t="shared" ref="O81:O91" si="58">N81/G81*1000</f>
        <v>142.09374700339109</v>
      </c>
      <c r="P81" s="185">
        <f t="shared" ref="P81:P91" si="59">G81/K81</f>
        <v>9.5594166666666656</v>
      </c>
      <c r="Q81" s="192"/>
      <c r="R81" s="193"/>
      <c r="S81" s="188">
        <f t="shared" ref="S81:S91" si="60">R81/G81</f>
        <v>0</v>
      </c>
      <c r="T81" s="192"/>
      <c r="U81" s="193"/>
      <c r="V81" s="188">
        <f t="shared" ref="V81:V91" si="61">U81/G81</f>
        <v>0</v>
      </c>
      <c r="W81" s="189">
        <f>4380+3660</f>
        <v>8040</v>
      </c>
      <c r="X81" s="30">
        <f t="shared" ref="X81:X91" si="62">W81/G81</f>
        <v>70.087958644617444</v>
      </c>
    </row>
    <row r="82" spans="1:24">
      <c r="A82" s="170" t="s">
        <v>258</v>
      </c>
      <c r="B82" s="47" t="s">
        <v>59</v>
      </c>
      <c r="C82" s="94" t="s">
        <v>57</v>
      </c>
      <c r="D82" s="157" t="s">
        <v>147</v>
      </c>
      <c r="E82" s="157" t="s">
        <v>260</v>
      </c>
      <c r="F82" s="80" t="s">
        <v>262</v>
      </c>
      <c r="G82" s="159">
        <v>73.049000000000007</v>
      </c>
      <c r="H82" s="51" t="s">
        <v>263</v>
      </c>
      <c r="I82" s="51"/>
      <c r="J82" s="50"/>
      <c r="K82" s="182">
        <v>5</v>
      </c>
      <c r="L82" s="162">
        <v>10.199999999999999</v>
      </c>
      <c r="M82" s="183">
        <f t="shared" si="56"/>
        <v>139.63230160577146</v>
      </c>
      <c r="N82" s="184">
        <f t="shared" si="57"/>
        <v>10.199999999999999</v>
      </c>
      <c r="O82" s="183">
        <f t="shared" si="58"/>
        <v>139.63230160577146</v>
      </c>
      <c r="P82" s="185">
        <f t="shared" si="59"/>
        <v>14.609800000000002</v>
      </c>
      <c r="Q82" s="192"/>
      <c r="R82" s="193"/>
      <c r="S82" s="188">
        <f t="shared" si="60"/>
        <v>0</v>
      </c>
      <c r="T82" s="192"/>
      <c r="U82" s="193"/>
      <c r="V82" s="188">
        <f t="shared" si="61"/>
        <v>0</v>
      </c>
      <c r="W82" s="189">
        <v>4440</v>
      </c>
      <c r="X82" s="30">
        <f t="shared" si="62"/>
        <v>60.781119522512277</v>
      </c>
    </row>
    <row r="83" spans="1:24">
      <c r="A83" s="170" t="s">
        <v>270</v>
      </c>
      <c r="B83" s="47" t="s">
        <v>59</v>
      </c>
      <c r="C83" s="94" t="s">
        <v>57</v>
      </c>
      <c r="D83" s="157" t="s">
        <v>147</v>
      </c>
      <c r="E83" s="157" t="s">
        <v>271</v>
      </c>
      <c r="F83" s="80" t="s">
        <v>273</v>
      </c>
      <c r="G83" s="159">
        <v>115.06</v>
      </c>
      <c r="H83" s="51" t="s">
        <v>263</v>
      </c>
      <c r="I83" s="51"/>
      <c r="J83" s="50"/>
      <c r="K83" s="190">
        <v>10</v>
      </c>
      <c r="L83" s="191">
        <v>15.7</v>
      </c>
      <c r="M83" s="183">
        <f t="shared" si="56"/>
        <v>136.45054754041368</v>
      </c>
      <c r="N83" s="184">
        <f t="shared" si="57"/>
        <v>15.7</v>
      </c>
      <c r="O83" s="183">
        <f t="shared" si="58"/>
        <v>136.45054754041368</v>
      </c>
      <c r="P83" s="185">
        <f t="shared" si="59"/>
        <v>11.506</v>
      </c>
      <c r="Q83" s="106">
        <v>3</v>
      </c>
      <c r="R83" s="187">
        <v>0.78800000000000003</v>
      </c>
      <c r="S83" s="188">
        <f t="shared" si="60"/>
        <v>6.8486007300538852E-3</v>
      </c>
      <c r="T83" s="192">
        <v>2</v>
      </c>
      <c r="U83" s="193">
        <v>0.54400000000000004</v>
      </c>
      <c r="V83" s="188">
        <f t="shared" si="61"/>
        <v>4.727968016686946E-3</v>
      </c>
      <c r="W83" s="189">
        <v>11280</v>
      </c>
      <c r="X83" s="30">
        <f t="shared" si="62"/>
        <v>98.035807404832255</v>
      </c>
    </row>
    <row r="84" spans="1:24">
      <c r="A84" s="170" t="s">
        <v>274</v>
      </c>
      <c r="B84" s="47" t="s">
        <v>59</v>
      </c>
      <c r="C84" s="94" t="s">
        <v>57</v>
      </c>
      <c r="D84" s="157"/>
      <c r="E84" s="157"/>
      <c r="F84" s="180" t="s">
        <v>253</v>
      </c>
      <c r="G84" s="50"/>
      <c r="H84" s="51"/>
      <c r="I84" s="51"/>
      <c r="J84" s="50"/>
      <c r="K84" s="190"/>
      <c r="L84" s="191"/>
      <c r="M84" s="183"/>
      <c r="N84" s="184"/>
      <c r="O84" s="183"/>
      <c r="P84" s="185"/>
      <c r="Q84" s="192"/>
      <c r="R84" s="193"/>
      <c r="S84" s="188"/>
      <c r="T84" s="188"/>
      <c r="U84" s="193"/>
      <c r="V84" s="188"/>
      <c r="W84" s="189"/>
      <c r="X84" s="30"/>
    </row>
    <row r="85" spans="1:24">
      <c r="A85" s="170" t="s">
        <v>275</v>
      </c>
      <c r="B85" s="47" t="s">
        <v>59</v>
      </c>
      <c r="C85" s="94" t="s">
        <v>57</v>
      </c>
      <c r="D85" s="157" t="s">
        <v>147</v>
      </c>
      <c r="E85" s="157" t="s">
        <v>259</v>
      </c>
      <c r="F85" s="181" t="s">
        <v>276</v>
      </c>
      <c r="G85" s="50">
        <v>143.565</v>
      </c>
      <c r="H85" s="51" t="s">
        <v>277</v>
      </c>
      <c r="I85" s="51"/>
      <c r="J85" s="50"/>
      <c r="K85" s="190">
        <v>11</v>
      </c>
      <c r="L85" s="191">
        <v>20.3</v>
      </c>
      <c r="M85" s="183">
        <f t="shared" si="56"/>
        <v>141.39936614077249</v>
      </c>
      <c r="N85" s="184">
        <f t="shared" si="57"/>
        <v>20.3</v>
      </c>
      <c r="O85" s="183">
        <f t="shared" si="58"/>
        <v>141.39936614077249</v>
      </c>
      <c r="P85" s="185">
        <f t="shared" si="59"/>
        <v>13.051363636363636</v>
      </c>
      <c r="Q85" s="192">
        <v>5</v>
      </c>
      <c r="R85" s="193">
        <v>4.4370000000000003</v>
      </c>
      <c r="S85" s="188">
        <f t="shared" si="60"/>
        <v>3.0905861456483129E-2</v>
      </c>
      <c r="T85" s="192"/>
      <c r="U85" s="193"/>
      <c r="V85" s="188">
        <f t="shared" si="61"/>
        <v>0</v>
      </c>
      <c r="W85" s="189">
        <v>10620</v>
      </c>
      <c r="X85" s="30">
        <f t="shared" si="62"/>
        <v>73.973461498276038</v>
      </c>
    </row>
    <row r="86" spans="1:24">
      <c r="A86" s="170" t="s">
        <v>279</v>
      </c>
      <c r="B86" s="47" t="s">
        <v>59</v>
      </c>
      <c r="C86" s="94" t="s">
        <v>57</v>
      </c>
      <c r="D86" s="157" t="s">
        <v>147</v>
      </c>
      <c r="E86" s="157" t="s">
        <v>192</v>
      </c>
      <c r="F86" s="80" t="s">
        <v>281</v>
      </c>
      <c r="G86" s="159">
        <f>185.554-4.47</f>
        <v>181.084</v>
      </c>
      <c r="H86" s="51" t="s">
        <v>277</v>
      </c>
      <c r="I86" s="51"/>
      <c r="J86" s="50"/>
      <c r="K86" s="190">
        <v>11.3</v>
      </c>
      <c r="L86" s="191">
        <v>25.5</v>
      </c>
      <c r="M86" s="183">
        <f t="shared" si="56"/>
        <v>140.81862561021404</v>
      </c>
      <c r="N86" s="184">
        <f t="shared" si="57"/>
        <v>25.5</v>
      </c>
      <c r="O86" s="183">
        <f t="shared" si="58"/>
        <v>140.81862561021404</v>
      </c>
      <c r="P86" s="185">
        <f t="shared" si="59"/>
        <v>16.025132743362832</v>
      </c>
      <c r="Q86" s="192"/>
      <c r="R86" s="193"/>
      <c r="S86" s="188">
        <f t="shared" si="60"/>
        <v>0</v>
      </c>
      <c r="T86" s="192">
        <v>1</v>
      </c>
      <c r="U86" s="193">
        <v>0.77100000000000002</v>
      </c>
      <c r="V86" s="188">
        <f t="shared" si="61"/>
        <v>4.2576925625676483E-3</v>
      </c>
      <c r="W86" s="189">
        <v>11340</v>
      </c>
      <c r="X86" s="30">
        <f t="shared" si="62"/>
        <v>62.622871153718712</v>
      </c>
    </row>
    <row r="87" spans="1:24">
      <c r="A87" s="179" t="s">
        <v>280</v>
      </c>
      <c r="B87" s="47" t="s">
        <v>59</v>
      </c>
      <c r="C87" s="94" t="s">
        <v>57</v>
      </c>
      <c r="D87" s="128"/>
      <c r="E87" s="128"/>
      <c r="F87" s="180" t="s">
        <v>167</v>
      </c>
      <c r="G87" s="50"/>
      <c r="H87" s="51"/>
      <c r="I87" s="51"/>
      <c r="J87" s="50"/>
      <c r="K87" s="190"/>
      <c r="L87" s="191"/>
      <c r="M87" s="183"/>
      <c r="N87" s="184"/>
      <c r="O87" s="183"/>
      <c r="P87" s="185"/>
      <c r="Q87" s="192"/>
      <c r="R87" s="193"/>
      <c r="S87" s="188"/>
      <c r="T87" s="188"/>
      <c r="U87" s="193"/>
      <c r="V87" s="188"/>
      <c r="W87" s="189"/>
      <c r="X87" s="30"/>
    </row>
    <row r="88" spans="1:24">
      <c r="A88" s="170" t="s">
        <v>282</v>
      </c>
      <c r="B88" s="47" t="s">
        <v>59</v>
      </c>
      <c r="C88" s="94" t="s">
        <v>57</v>
      </c>
      <c r="D88" s="157" t="s">
        <v>147</v>
      </c>
      <c r="E88" s="157" t="s">
        <v>259</v>
      </c>
      <c r="F88" s="181" t="s">
        <v>283</v>
      </c>
      <c r="G88" s="50">
        <v>175.31100000000001</v>
      </c>
      <c r="H88" s="51" t="s">
        <v>277</v>
      </c>
      <c r="I88" s="51"/>
      <c r="J88" s="50"/>
      <c r="K88" s="190">
        <v>11</v>
      </c>
      <c r="L88" s="191">
        <v>25.2</v>
      </c>
      <c r="M88" s="183">
        <f t="shared" si="56"/>
        <v>143.74454540787514</v>
      </c>
      <c r="N88" s="184">
        <f t="shared" si="57"/>
        <v>25.2</v>
      </c>
      <c r="O88" s="183">
        <f t="shared" si="58"/>
        <v>143.74454540787514</v>
      </c>
      <c r="P88" s="185">
        <f t="shared" si="59"/>
        <v>15.937363636363637</v>
      </c>
      <c r="Q88" s="192"/>
      <c r="R88" s="193"/>
      <c r="S88" s="188">
        <f t="shared" si="60"/>
        <v>0</v>
      </c>
      <c r="T88" s="192">
        <v>1</v>
      </c>
      <c r="U88" s="193">
        <v>0.77700000000000002</v>
      </c>
      <c r="V88" s="188">
        <f t="shared" si="61"/>
        <v>4.4321234834094839E-3</v>
      </c>
      <c r="W88" s="189">
        <v>9960</v>
      </c>
      <c r="X88" s="30">
        <f t="shared" si="62"/>
        <v>56.813320327874457</v>
      </c>
    </row>
    <row r="89" spans="1:24">
      <c r="A89" s="170" t="s">
        <v>284</v>
      </c>
      <c r="B89" s="47" t="s">
        <v>59</v>
      </c>
      <c r="C89" s="94" t="s">
        <v>57</v>
      </c>
      <c r="D89" s="157" t="s">
        <v>147</v>
      </c>
      <c r="E89" s="157" t="s">
        <v>177</v>
      </c>
      <c r="F89" s="181" t="s">
        <v>285</v>
      </c>
      <c r="G89" s="50">
        <v>108.97799999999999</v>
      </c>
      <c r="H89" s="51" t="s">
        <v>277</v>
      </c>
      <c r="I89" s="51"/>
      <c r="J89" s="50"/>
      <c r="K89" s="190">
        <v>9</v>
      </c>
      <c r="L89" s="191">
        <v>15.1</v>
      </c>
      <c r="M89" s="183">
        <f t="shared" si="56"/>
        <v>138.56007634568445</v>
      </c>
      <c r="N89" s="184">
        <f t="shared" si="57"/>
        <v>15.1</v>
      </c>
      <c r="O89" s="183">
        <f t="shared" si="58"/>
        <v>138.56007634568445</v>
      </c>
      <c r="P89" s="185">
        <f t="shared" si="59"/>
        <v>12.108666666666666</v>
      </c>
      <c r="Q89" s="192"/>
      <c r="R89" s="193"/>
      <c r="S89" s="188">
        <f t="shared" si="60"/>
        <v>0</v>
      </c>
      <c r="T89" s="192"/>
      <c r="U89" s="193"/>
      <c r="V89" s="188">
        <f t="shared" si="61"/>
        <v>0</v>
      </c>
      <c r="W89" s="189">
        <v>6660</v>
      </c>
      <c r="X89" s="30">
        <f t="shared" si="62"/>
        <v>61.113252216043605</v>
      </c>
    </row>
    <row r="90" spans="1:24">
      <c r="A90" s="170" t="s">
        <v>286</v>
      </c>
      <c r="B90" s="47" t="s">
        <v>59</v>
      </c>
      <c r="C90" s="94" t="s">
        <v>57</v>
      </c>
      <c r="D90" s="157" t="s">
        <v>149</v>
      </c>
      <c r="E90" s="157" t="s">
        <v>287</v>
      </c>
      <c r="F90" s="181" t="s">
        <v>288</v>
      </c>
      <c r="G90" s="50">
        <f>119.334-2.32</f>
        <v>117.01400000000001</v>
      </c>
      <c r="H90" s="51" t="s">
        <v>277</v>
      </c>
      <c r="I90" s="51"/>
      <c r="J90" s="50"/>
      <c r="K90" s="190">
        <v>8.3000000000000007</v>
      </c>
      <c r="L90" s="191">
        <v>17</v>
      </c>
      <c r="M90" s="183">
        <f t="shared" si="56"/>
        <v>145.28176115678465</v>
      </c>
      <c r="N90" s="184">
        <f t="shared" si="57"/>
        <v>17</v>
      </c>
      <c r="O90" s="183">
        <f t="shared" si="58"/>
        <v>145.28176115678465</v>
      </c>
      <c r="P90" s="185">
        <f t="shared" si="59"/>
        <v>14.098072289156626</v>
      </c>
      <c r="Q90" s="192">
        <v>1</v>
      </c>
      <c r="R90" s="193">
        <v>0.93300000000000005</v>
      </c>
      <c r="S90" s="188">
        <f t="shared" si="60"/>
        <v>7.9734048917223573E-3</v>
      </c>
      <c r="T90" s="192">
        <v>1</v>
      </c>
      <c r="U90" s="193">
        <v>0.74199999999999999</v>
      </c>
      <c r="V90" s="188">
        <f t="shared" si="61"/>
        <v>6.3411215751961294E-3</v>
      </c>
      <c r="W90" s="189">
        <v>6960</v>
      </c>
      <c r="X90" s="30">
        <f t="shared" si="62"/>
        <v>59.48006221477771</v>
      </c>
    </row>
    <row r="91" spans="1:24">
      <c r="A91" s="170" t="s">
        <v>289</v>
      </c>
      <c r="B91" s="47" t="s">
        <v>59</v>
      </c>
      <c r="C91" s="94" t="s">
        <v>57</v>
      </c>
      <c r="D91" s="157" t="s">
        <v>147</v>
      </c>
      <c r="E91" s="157" t="s">
        <v>184</v>
      </c>
      <c r="F91" s="181" t="s">
        <v>290</v>
      </c>
      <c r="G91" s="50">
        <v>86.763999999999996</v>
      </c>
      <c r="H91" s="51" t="s">
        <v>222</v>
      </c>
      <c r="I91" s="51"/>
      <c r="J91" s="50"/>
      <c r="K91" s="190">
        <v>13</v>
      </c>
      <c r="L91" s="191">
        <v>15.4</v>
      </c>
      <c r="M91" s="183">
        <f t="shared" si="56"/>
        <v>177.49296943432759</v>
      </c>
      <c r="N91" s="184">
        <f t="shared" si="57"/>
        <v>15.4</v>
      </c>
      <c r="O91" s="183">
        <f t="shared" si="58"/>
        <v>177.49296943432759</v>
      </c>
      <c r="P91" s="185">
        <f t="shared" si="59"/>
        <v>6.6741538461538461</v>
      </c>
      <c r="Q91" s="192">
        <v>12</v>
      </c>
      <c r="R91" s="193">
        <v>3.0219999999999998</v>
      </c>
      <c r="S91" s="188">
        <f t="shared" si="60"/>
        <v>3.4830113872112857E-2</v>
      </c>
      <c r="T91" s="192">
        <v>7</v>
      </c>
      <c r="U91" s="193">
        <v>1.502</v>
      </c>
      <c r="V91" s="188">
        <f t="shared" si="61"/>
        <v>1.7311327278594808E-2</v>
      </c>
      <c r="W91" s="189">
        <v>10500</v>
      </c>
      <c r="X91" s="30">
        <f t="shared" si="62"/>
        <v>121.01793370522337</v>
      </c>
    </row>
    <row r="92" spans="1:24">
      <c r="A92" s="170" t="s">
        <v>291</v>
      </c>
      <c r="B92" s="47" t="s">
        <v>59</v>
      </c>
      <c r="C92" s="94" t="s">
        <v>57</v>
      </c>
      <c r="D92" s="157" t="s">
        <v>188</v>
      </c>
      <c r="E92" s="157" t="s">
        <v>259</v>
      </c>
      <c r="F92" s="181" t="s">
        <v>292</v>
      </c>
      <c r="G92" s="50">
        <v>62.77</v>
      </c>
      <c r="H92" s="51" t="s">
        <v>222</v>
      </c>
      <c r="I92" s="51"/>
      <c r="J92" s="50"/>
      <c r="K92" s="190">
        <v>12</v>
      </c>
      <c r="L92" s="191">
        <v>10.5</v>
      </c>
      <c r="M92" s="183">
        <f t="shared" ref="M92:M103" si="63">L92/G92*1000</f>
        <v>167.27736179703678</v>
      </c>
      <c r="N92" s="184">
        <f t="shared" ref="N92:N103" si="64">+J92+L92</f>
        <v>10.5</v>
      </c>
      <c r="O92" s="183">
        <f t="shared" ref="O92:O105" si="65">N92/G92*1000</f>
        <v>167.27736179703678</v>
      </c>
      <c r="P92" s="185">
        <f t="shared" ref="P92:P103" si="66">G92/K92</f>
        <v>5.2308333333333339</v>
      </c>
      <c r="Q92" s="192">
        <v>3</v>
      </c>
      <c r="R92" s="193">
        <v>0.97199999999999998</v>
      </c>
      <c r="S92" s="188">
        <f t="shared" ref="S92:S105" si="67">R92/G92</f>
        <v>1.5485104349211406E-2</v>
      </c>
      <c r="T92" s="186">
        <v>6</v>
      </c>
      <c r="U92" s="187">
        <v>1.9419999999999999</v>
      </c>
      <c r="V92" s="188">
        <f t="shared" ref="V92:V105" si="68">U92/G92</f>
        <v>3.0938346343794804E-2</v>
      </c>
      <c r="W92" s="189">
        <v>8640</v>
      </c>
      <c r="X92" s="30">
        <f t="shared" ref="X92:X105" si="69">W92/G92</f>
        <v>137.64537199299028</v>
      </c>
    </row>
    <row r="93" spans="1:24">
      <c r="A93" s="170" t="s">
        <v>293</v>
      </c>
      <c r="B93" s="47" t="s">
        <v>59</v>
      </c>
      <c r="C93" s="94" t="s">
        <v>57</v>
      </c>
      <c r="D93" s="157" t="s">
        <v>147</v>
      </c>
      <c r="E93" s="157" t="s">
        <v>294</v>
      </c>
      <c r="F93" s="181" t="s">
        <v>295</v>
      </c>
      <c r="G93" s="50">
        <v>49.78</v>
      </c>
      <c r="H93" s="51" t="s">
        <v>296</v>
      </c>
      <c r="I93" s="51"/>
      <c r="J93" s="50"/>
      <c r="K93" s="190">
        <v>12.3</v>
      </c>
      <c r="L93" s="191">
        <v>7.3</v>
      </c>
      <c r="M93" s="183">
        <f t="shared" si="63"/>
        <v>146.64523905182801</v>
      </c>
      <c r="N93" s="184">
        <f t="shared" si="64"/>
        <v>7.3</v>
      </c>
      <c r="O93" s="183">
        <f t="shared" si="65"/>
        <v>146.64523905182801</v>
      </c>
      <c r="P93" s="185">
        <f t="shared" si="66"/>
        <v>4.0471544715447152</v>
      </c>
      <c r="Q93" s="192"/>
      <c r="R93" s="193"/>
      <c r="S93" s="188">
        <f t="shared" si="67"/>
        <v>0</v>
      </c>
      <c r="T93" s="192"/>
      <c r="U93" s="193"/>
      <c r="V93" s="188">
        <f t="shared" si="68"/>
        <v>0</v>
      </c>
      <c r="W93" s="189">
        <v>5820</v>
      </c>
      <c r="X93" s="30">
        <f t="shared" si="69"/>
        <v>116.91442346323825</v>
      </c>
    </row>
    <row r="94" spans="1:24">
      <c r="A94" s="170" t="s">
        <v>299</v>
      </c>
      <c r="B94" s="47" t="s">
        <v>59</v>
      </c>
      <c r="C94" s="94" t="s">
        <v>57</v>
      </c>
      <c r="D94" s="128"/>
      <c r="E94" s="128"/>
      <c r="F94" s="180" t="s">
        <v>167</v>
      </c>
      <c r="G94" s="50"/>
      <c r="H94" s="51"/>
      <c r="I94" s="51"/>
      <c r="J94" s="50"/>
      <c r="K94" s="190"/>
      <c r="L94" s="191"/>
      <c r="M94" s="183"/>
      <c r="N94" s="184"/>
      <c r="O94" s="183"/>
      <c r="P94" s="185"/>
      <c r="Q94" s="192"/>
      <c r="R94" s="193"/>
      <c r="S94" s="188"/>
      <c r="T94" s="188"/>
      <c r="U94" s="193"/>
      <c r="V94" s="188"/>
      <c r="W94" s="189"/>
      <c r="X94" s="30"/>
    </row>
    <row r="95" spans="1:24">
      <c r="A95" s="170" t="s">
        <v>300</v>
      </c>
      <c r="B95" s="47" t="s">
        <v>59</v>
      </c>
      <c r="C95" s="94" t="s">
        <v>57</v>
      </c>
      <c r="D95" s="157" t="s">
        <v>147</v>
      </c>
      <c r="E95" s="157" t="s">
        <v>309</v>
      </c>
      <c r="F95" s="80" t="s">
        <v>301</v>
      </c>
      <c r="G95" s="159">
        <v>140.762</v>
      </c>
      <c r="H95" s="51" t="s">
        <v>222</v>
      </c>
      <c r="I95" s="51"/>
      <c r="J95" s="50"/>
      <c r="K95" s="182">
        <v>12.4</v>
      </c>
      <c r="L95" s="162">
        <v>21.1</v>
      </c>
      <c r="M95" s="183">
        <f t="shared" si="63"/>
        <v>149.89841008226654</v>
      </c>
      <c r="N95" s="184">
        <f t="shared" si="64"/>
        <v>21.1</v>
      </c>
      <c r="O95" s="183">
        <f t="shared" si="65"/>
        <v>149.89841008226654</v>
      </c>
      <c r="P95" s="185">
        <f t="shared" si="66"/>
        <v>11.351774193548387</v>
      </c>
      <c r="Q95" s="192">
        <v>7</v>
      </c>
      <c r="R95" s="193">
        <v>2.09</v>
      </c>
      <c r="S95" s="188">
        <f t="shared" si="67"/>
        <v>1.4847757207200806E-2</v>
      </c>
      <c r="T95" s="192"/>
      <c r="U95" s="193"/>
      <c r="V95" s="188">
        <f t="shared" si="68"/>
        <v>0</v>
      </c>
      <c r="W95" s="189">
        <v>13570</v>
      </c>
      <c r="X95" s="30">
        <f t="shared" si="69"/>
        <v>96.403858996035865</v>
      </c>
    </row>
    <row r="96" spans="1:24">
      <c r="A96" s="170" t="s">
        <v>303</v>
      </c>
      <c r="B96" s="47" t="s">
        <v>59</v>
      </c>
      <c r="C96" s="94" t="s">
        <v>57</v>
      </c>
      <c r="D96" s="157" t="s">
        <v>147</v>
      </c>
      <c r="E96" s="157" t="s">
        <v>150</v>
      </c>
      <c r="F96" s="80" t="s">
        <v>302</v>
      </c>
      <c r="G96" s="159">
        <v>124.73</v>
      </c>
      <c r="H96" s="51" t="s">
        <v>222</v>
      </c>
      <c r="I96" s="51"/>
      <c r="J96" s="50"/>
      <c r="K96" s="182">
        <v>12</v>
      </c>
      <c r="L96" s="162">
        <v>18.5</v>
      </c>
      <c r="M96" s="183">
        <f t="shared" si="63"/>
        <v>148.32037200352764</v>
      </c>
      <c r="N96" s="184">
        <f t="shared" si="64"/>
        <v>18.5</v>
      </c>
      <c r="O96" s="183">
        <f t="shared" si="65"/>
        <v>148.32037200352764</v>
      </c>
      <c r="P96" s="185">
        <f t="shared" si="66"/>
        <v>10.394166666666667</v>
      </c>
      <c r="Q96" s="192">
        <v>7</v>
      </c>
      <c r="R96" s="193">
        <v>2.4870000000000001</v>
      </c>
      <c r="S96" s="188">
        <f t="shared" si="67"/>
        <v>1.993906838771747E-2</v>
      </c>
      <c r="T96" s="192"/>
      <c r="U96" s="193"/>
      <c r="V96" s="188">
        <f t="shared" si="68"/>
        <v>0</v>
      </c>
      <c r="W96" s="189">
        <v>10860</v>
      </c>
      <c r="X96" s="30">
        <f t="shared" si="69"/>
        <v>87.068067024773512</v>
      </c>
    </row>
    <row r="97" spans="1:24">
      <c r="A97" s="170" t="s">
        <v>304</v>
      </c>
      <c r="B97" s="47" t="s">
        <v>59</v>
      </c>
      <c r="C97" s="94" t="s">
        <v>57</v>
      </c>
      <c r="D97" s="157" t="s">
        <v>147</v>
      </c>
      <c r="E97" s="157" t="s">
        <v>305</v>
      </c>
      <c r="F97" s="80" t="s">
        <v>159</v>
      </c>
      <c r="G97" s="50">
        <f>90.626-2.8</f>
        <v>87.826000000000008</v>
      </c>
      <c r="H97" s="51" t="s">
        <v>222</v>
      </c>
      <c r="I97" s="51"/>
      <c r="J97" s="50"/>
      <c r="K97" s="190">
        <v>7</v>
      </c>
      <c r="L97" s="191">
        <v>12.6</v>
      </c>
      <c r="M97" s="183">
        <f t="shared" si="63"/>
        <v>143.46548857969165</v>
      </c>
      <c r="N97" s="184">
        <f t="shared" si="64"/>
        <v>12.6</v>
      </c>
      <c r="O97" s="183">
        <f t="shared" si="65"/>
        <v>143.46548857969165</v>
      </c>
      <c r="P97" s="185">
        <f t="shared" si="66"/>
        <v>12.546571428571429</v>
      </c>
      <c r="Q97" s="192"/>
      <c r="R97" s="193"/>
      <c r="S97" s="188">
        <f t="shared" si="67"/>
        <v>0</v>
      </c>
      <c r="T97" s="192"/>
      <c r="U97" s="193"/>
      <c r="V97" s="188">
        <f t="shared" si="68"/>
        <v>0</v>
      </c>
      <c r="W97" s="189">
        <v>6900</v>
      </c>
      <c r="X97" s="30">
        <f t="shared" si="69"/>
        <v>78.5644342222121</v>
      </c>
    </row>
    <row r="98" spans="1:24">
      <c r="A98" s="170" t="s">
        <v>306</v>
      </c>
      <c r="B98" s="47" t="s">
        <v>59</v>
      </c>
      <c r="C98" s="94" t="s">
        <v>57</v>
      </c>
      <c r="D98" s="157" t="s">
        <v>147</v>
      </c>
      <c r="E98" s="157" t="s">
        <v>150</v>
      </c>
      <c r="F98" s="181" t="s">
        <v>307</v>
      </c>
      <c r="G98" s="50">
        <v>107.1</v>
      </c>
      <c r="H98" s="51" t="s">
        <v>222</v>
      </c>
      <c r="I98" s="51"/>
      <c r="J98" s="50"/>
      <c r="K98" s="190">
        <v>9</v>
      </c>
      <c r="L98" s="191">
        <v>15.1</v>
      </c>
      <c r="M98" s="183">
        <f t="shared" si="63"/>
        <v>140.98972922502335</v>
      </c>
      <c r="N98" s="184">
        <f t="shared" si="64"/>
        <v>15.1</v>
      </c>
      <c r="O98" s="183">
        <f t="shared" si="65"/>
        <v>140.98972922502335</v>
      </c>
      <c r="P98" s="185">
        <f t="shared" si="66"/>
        <v>11.899999999999999</v>
      </c>
      <c r="Q98" s="192">
        <v>5</v>
      </c>
      <c r="R98" s="193">
        <v>2.0099999999999998</v>
      </c>
      <c r="S98" s="188">
        <f t="shared" si="67"/>
        <v>1.876750700280112E-2</v>
      </c>
      <c r="T98" s="189"/>
      <c r="U98" s="193"/>
      <c r="V98" s="188">
        <f t="shared" si="68"/>
        <v>0</v>
      </c>
      <c r="W98" s="189">
        <v>9540</v>
      </c>
      <c r="X98" s="30">
        <f t="shared" si="69"/>
        <v>89.075630252100851</v>
      </c>
    </row>
    <row r="99" spans="1:24">
      <c r="A99" s="170" t="s">
        <v>308</v>
      </c>
      <c r="B99" s="47" t="s">
        <v>59</v>
      </c>
      <c r="C99" s="94" t="s">
        <v>57</v>
      </c>
      <c r="D99" s="157" t="s">
        <v>147</v>
      </c>
      <c r="E99" s="157" t="s">
        <v>150</v>
      </c>
      <c r="F99" s="12" t="s">
        <v>310</v>
      </c>
      <c r="G99" s="159">
        <f>141.98-1</f>
        <v>140.97999999999999</v>
      </c>
      <c r="H99" s="51" t="s">
        <v>222</v>
      </c>
      <c r="I99" s="51"/>
      <c r="J99" s="50"/>
      <c r="K99" s="190">
        <v>12</v>
      </c>
      <c r="L99" s="162">
        <v>19.7</v>
      </c>
      <c r="M99" s="183">
        <f t="shared" si="63"/>
        <v>139.73613278479215</v>
      </c>
      <c r="N99" s="184">
        <f t="shared" si="64"/>
        <v>19.7</v>
      </c>
      <c r="O99" s="183">
        <f t="shared" si="65"/>
        <v>139.73613278479215</v>
      </c>
      <c r="P99" s="185">
        <f t="shared" si="66"/>
        <v>11.748333333333333</v>
      </c>
      <c r="Q99" s="46">
        <v>3</v>
      </c>
      <c r="R99" s="55">
        <v>1</v>
      </c>
      <c r="S99" s="188">
        <f t="shared" si="67"/>
        <v>7.0932047098879276E-3</v>
      </c>
      <c r="T99" s="201">
        <v>5</v>
      </c>
      <c r="U99" s="202">
        <v>1.675</v>
      </c>
      <c r="V99" s="188">
        <f t="shared" si="68"/>
        <v>1.1881117889062279E-2</v>
      </c>
      <c r="W99" s="65">
        <v>12420</v>
      </c>
      <c r="X99" s="30">
        <f t="shared" si="69"/>
        <v>88.097602496808065</v>
      </c>
    </row>
    <row r="100" spans="1:24">
      <c r="A100" s="170" t="s">
        <v>311</v>
      </c>
      <c r="B100" s="47" t="s">
        <v>59</v>
      </c>
      <c r="C100" s="94" t="s">
        <v>57</v>
      </c>
      <c r="D100" s="128"/>
      <c r="E100" s="128"/>
      <c r="F100" s="180" t="s">
        <v>170</v>
      </c>
      <c r="G100" s="50"/>
      <c r="H100" s="51"/>
      <c r="I100" s="51"/>
      <c r="J100" s="50"/>
      <c r="K100" s="190"/>
      <c r="L100" s="191"/>
      <c r="M100" s="183"/>
      <c r="N100" s="184"/>
      <c r="O100" s="183"/>
      <c r="P100" s="185"/>
      <c r="Q100" s="192"/>
      <c r="R100" s="193"/>
      <c r="S100" s="188"/>
      <c r="T100" s="188"/>
      <c r="U100" s="193"/>
      <c r="V100" s="188"/>
      <c r="W100" s="189"/>
      <c r="X100" s="30"/>
    </row>
    <row r="101" spans="1:24">
      <c r="A101" s="170" t="s">
        <v>312</v>
      </c>
      <c r="B101" s="47" t="s">
        <v>59</v>
      </c>
      <c r="C101" s="94" t="s">
        <v>57</v>
      </c>
      <c r="D101" s="128"/>
      <c r="E101" s="128"/>
      <c r="F101" s="180" t="s">
        <v>167</v>
      </c>
      <c r="G101" s="50"/>
      <c r="H101" s="51"/>
      <c r="I101" s="51"/>
      <c r="J101" s="50"/>
      <c r="K101" s="190"/>
      <c r="L101" s="191"/>
      <c r="M101" s="183"/>
      <c r="N101" s="184"/>
      <c r="O101" s="183"/>
      <c r="P101" s="185"/>
      <c r="Q101" s="192"/>
      <c r="R101" s="193"/>
      <c r="S101" s="188"/>
      <c r="T101" s="188"/>
      <c r="U101" s="193"/>
      <c r="V101" s="188"/>
      <c r="W101" s="189"/>
      <c r="X101" s="30"/>
    </row>
    <row r="102" spans="1:24">
      <c r="A102" s="170" t="s">
        <v>313</v>
      </c>
      <c r="B102" s="47" t="s">
        <v>59</v>
      </c>
      <c r="C102" s="94" t="s">
        <v>57</v>
      </c>
      <c r="D102" s="157" t="s">
        <v>149</v>
      </c>
      <c r="E102" s="157" t="s">
        <v>184</v>
      </c>
      <c r="F102" s="12" t="s">
        <v>244</v>
      </c>
      <c r="G102" s="159">
        <f>136.064-2.8</f>
        <v>133.26399999999998</v>
      </c>
      <c r="H102" s="51" t="s">
        <v>316</v>
      </c>
      <c r="I102" s="51"/>
      <c r="J102" s="50"/>
      <c r="K102" s="190">
        <v>12</v>
      </c>
      <c r="L102" s="191">
        <v>20</v>
      </c>
      <c r="M102" s="183">
        <f t="shared" si="63"/>
        <v>150.07804058110219</v>
      </c>
      <c r="N102" s="184">
        <f t="shared" si="64"/>
        <v>20</v>
      </c>
      <c r="O102" s="183">
        <f t="shared" si="65"/>
        <v>150.07804058110219</v>
      </c>
      <c r="P102" s="185">
        <f t="shared" si="66"/>
        <v>11.105333333333332</v>
      </c>
      <c r="Q102" s="192"/>
      <c r="R102" s="193"/>
      <c r="S102" s="188">
        <f t="shared" si="67"/>
        <v>0</v>
      </c>
      <c r="T102" s="192"/>
      <c r="U102" s="193"/>
      <c r="V102" s="188">
        <f t="shared" si="68"/>
        <v>0</v>
      </c>
      <c r="W102" s="189">
        <v>10980</v>
      </c>
      <c r="X102" s="30">
        <f t="shared" si="69"/>
        <v>82.392844279025098</v>
      </c>
    </row>
    <row r="103" spans="1:24">
      <c r="A103" s="170" t="s">
        <v>315</v>
      </c>
      <c r="B103" s="47" t="s">
        <v>59</v>
      </c>
      <c r="C103" s="94" t="s">
        <v>57</v>
      </c>
      <c r="D103" s="157" t="s">
        <v>188</v>
      </c>
      <c r="E103" s="157" t="s">
        <v>184</v>
      </c>
      <c r="F103" s="12" t="s">
        <v>317</v>
      </c>
      <c r="G103" s="159">
        <f>178.1-3.8</f>
        <v>174.29999999999998</v>
      </c>
      <c r="H103" s="51" t="s">
        <v>316</v>
      </c>
      <c r="I103" s="51"/>
      <c r="J103" s="50"/>
      <c r="K103" s="190">
        <v>14</v>
      </c>
      <c r="L103" s="191">
        <v>23.6</v>
      </c>
      <c r="M103" s="183">
        <f t="shared" si="63"/>
        <v>135.39873780837638</v>
      </c>
      <c r="N103" s="184">
        <f t="shared" si="64"/>
        <v>23.6</v>
      </c>
      <c r="O103" s="183">
        <f t="shared" si="65"/>
        <v>135.39873780837638</v>
      </c>
      <c r="P103" s="185">
        <f t="shared" si="66"/>
        <v>12.45</v>
      </c>
      <c r="Q103" s="46">
        <v>2</v>
      </c>
      <c r="R103" s="55">
        <v>1.0529999999999999</v>
      </c>
      <c r="S103" s="188">
        <f t="shared" si="67"/>
        <v>6.0413080895008612E-3</v>
      </c>
      <c r="T103" s="192"/>
      <c r="U103" s="193"/>
      <c r="V103" s="188">
        <f t="shared" si="68"/>
        <v>0</v>
      </c>
      <c r="W103" s="65">
        <v>11700</v>
      </c>
      <c r="X103" s="30">
        <f t="shared" si="69"/>
        <v>67.125645438898459</v>
      </c>
    </row>
    <row r="104" spans="1:24">
      <c r="A104" s="170"/>
      <c r="B104" s="47" t="s">
        <v>59</v>
      </c>
      <c r="C104" s="94" t="s">
        <v>57</v>
      </c>
      <c r="D104" s="128"/>
      <c r="E104" s="128"/>
      <c r="F104" s="181"/>
      <c r="G104" s="50"/>
      <c r="H104" s="51"/>
      <c r="I104" s="51"/>
      <c r="J104" s="50"/>
      <c r="K104" s="190"/>
      <c r="L104" s="191"/>
      <c r="M104" s="183"/>
      <c r="N104" s="184"/>
      <c r="O104" s="183"/>
      <c r="P104" s="185"/>
      <c r="Q104" s="192"/>
      <c r="R104" s="193"/>
      <c r="S104" s="188"/>
      <c r="T104" s="192"/>
      <c r="U104" s="193"/>
      <c r="V104" s="188"/>
      <c r="W104" s="189"/>
      <c r="X104" s="30"/>
    </row>
    <row r="105" spans="1:24" s="10" customFormat="1">
      <c r="A105" s="135"/>
      <c r="B105" s="47"/>
      <c r="C105" s="48"/>
      <c r="D105" s="129"/>
      <c r="E105" s="129"/>
      <c r="F105" s="57"/>
      <c r="G105" s="58">
        <f>SUM(G78:G104)</f>
        <v>2294.8039999999996</v>
      </c>
      <c r="H105" s="57"/>
      <c r="I105" s="59"/>
      <c r="J105" s="58">
        <f>SUM(J78:J104)</f>
        <v>0</v>
      </c>
      <c r="K105" s="194">
        <f>SUM(K78:K104)</f>
        <v>205.29999999999998</v>
      </c>
      <c r="L105" s="195">
        <f>SUM(L78:L104)</f>
        <v>334.70000000000005</v>
      </c>
      <c r="M105" s="196">
        <f>L105/G105*1000</f>
        <v>145.85123609685189</v>
      </c>
      <c r="N105" s="195">
        <f>SUM(N78:N104)</f>
        <v>334.70000000000005</v>
      </c>
      <c r="O105" s="196">
        <f t="shared" si="65"/>
        <v>145.85123609685189</v>
      </c>
      <c r="P105" s="197">
        <f>G105/K105</f>
        <v>11.177808085728202</v>
      </c>
      <c r="Q105" s="198">
        <f>SUM(Q78:Q104)</f>
        <v>49</v>
      </c>
      <c r="R105" s="195">
        <f>SUM(R78:R104)</f>
        <v>19.247</v>
      </c>
      <c r="S105" s="199">
        <f t="shared" si="67"/>
        <v>8.3872086679298106E-3</v>
      </c>
      <c r="T105" s="198">
        <f>SUM(T78:T104)</f>
        <v>24</v>
      </c>
      <c r="U105" s="195">
        <f>SUM(U78:U104)</f>
        <v>8.4080000000000013</v>
      </c>
      <c r="V105" s="199">
        <f t="shared" si="68"/>
        <v>3.6639294684861989E-3</v>
      </c>
      <c r="W105" s="198">
        <f>SUM(W78:W104)</f>
        <v>182470</v>
      </c>
      <c r="X105" s="30">
        <f t="shared" si="69"/>
        <v>79.514416045989122</v>
      </c>
    </row>
    <row r="106" spans="1:24">
      <c r="A106" s="137"/>
      <c r="B106" s="65"/>
      <c r="C106" s="65"/>
      <c r="D106" s="130"/>
      <c r="E106" s="130"/>
      <c r="F106" s="65"/>
      <c r="G106" s="65"/>
      <c r="H106" s="65"/>
      <c r="I106" s="65"/>
      <c r="J106" s="66"/>
      <c r="K106" s="67"/>
      <c r="L106" s="68"/>
      <c r="M106" s="65"/>
      <c r="N106" s="66"/>
      <c r="O106" s="65"/>
      <c r="P106" s="65"/>
      <c r="Q106" s="65"/>
      <c r="R106" s="55"/>
      <c r="S106" s="56"/>
      <c r="T106" s="65"/>
      <c r="U106" s="55"/>
      <c r="V106" s="56"/>
      <c r="W106" s="93"/>
    </row>
    <row r="107" spans="1:24">
      <c r="A107" s="137"/>
      <c r="B107" s="65"/>
      <c r="C107" s="69" t="s">
        <v>52</v>
      </c>
      <c r="D107" s="130"/>
      <c r="E107" s="130"/>
      <c r="F107" s="65"/>
      <c r="G107" s="58">
        <f>+G105</f>
        <v>2294.8039999999996</v>
      </c>
      <c r="H107" s="65"/>
      <c r="I107" s="65"/>
      <c r="J107" s="58" t="e">
        <f>+#REF!+J105</f>
        <v>#REF!</v>
      </c>
      <c r="K107" s="60">
        <f t="shared" ref="K107:L107" si="70">+K105</f>
        <v>205.29999999999998</v>
      </c>
      <c r="L107" s="58">
        <f t="shared" si="70"/>
        <v>334.70000000000005</v>
      </c>
      <c r="M107" s="61">
        <f>+M105</f>
        <v>145.85123609685189</v>
      </c>
      <c r="N107" s="58">
        <f t="shared" ref="N107:P107" si="71">+N105</f>
        <v>334.70000000000005</v>
      </c>
      <c r="O107" s="61">
        <f t="shared" si="71"/>
        <v>145.85123609685189</v>
      </c>
      <c r="P107" s="62">
        <f t="shared" si="71"/>
        <v>11.177808085728202</v>
      </c>
      <c r="Q107" s="117">
        <f>+Q105</f>
        <v>49</v>
      </c>
      <c r="R107" s="63">
        <f>+R105</f>
        <v>19.247</v>
      </c>
      <c r="S107" s="64">
        <f>R107/G107</f>
        <v>8.3872086679298106E-3</v>
      </c>
      <c r="T107" s="117">
        <f>+T105</f>
        <v>24</v>
      </c>
      <c r="U107" s="63">
        <f>+U105</f>
        <v>8.4080000000000013</v>
      </c>
      <c r="V107" s="64">
        <f>U107/G107</f>
        <v>3.6639294684861989E-3</v>
      </c>
      <c r="W107" s="92">
        <f>+W105</f>
        <v>182470</v>
      </c>
      <c r="X107" s="90">
        <f>W107/G107</f>
        <v>79.514416045989122</v>
      </c>
    </row>
    <row r="109" spans="1:24" ht="15.75">
      <c r="A109" s="257" t="s">
        <v>320</v>
      </c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38"/>
      <c r="S109" s="38"/>
      <c r="T109" s="116"/>
      <c r="U109" s="39"/>
      <c r="V109" s="40"/>
    </row>
    <row r="110" spans="1:24" ht="57" customHeight="1">
      <c r="A110" s="134" t="s">
        <v>0</v>
      </c>
      <c r="B110" s="1" t="s">
        <v>20</v>
      </c>
      <c r="C110" s="118" t="s">
        <v>117</v>
      </c>
      <c r="D110" s="127" t="s">
        <v>2</v>
      </c>
      <c r="E110" s="127" t="s">
        <v>3</v>
      </c>
      <c r="F110" s="1" t="s">
        <v>4</v>
      </c>
      <c r="G110" s="1" t="s">
        <v>5</v>
      </c>
      <c r="H110" s="1" t="s">
        <v>6</v>
      </c>
      <c r="I110" s="1" t="s">
        <v>7</v>
      </c>
      <c r="J110" s="1" t="s">
        <v>8</v>
      </c>
      <c r="K110" s="1" t="s">
        <v>9</v>
      </c>
      <c r="L110" s="1" t="s">
        <v>132</v>
      </c>
      <c r="M110" s="1" t="s">
        <v>133</v>
      </c>
      <c r="N110" s="2" t="s">
        <v>12</v>
      </c>
      <c r="O110" s="2" t="s">
        <v>13</v>
      </c>
      <c r="P110" s="1" t="s">
        <v>14</v>
      </c>
      <c r="Q110" s="13" t="s">
        <v>115</v>
      </c>
      <c r="R110" s="13" t="s">
        <v>21</v>
      </c>
      <c r="S110" s="13" t="s">
        <v>24</v>
      </c>
      <c r="T110" s="13" t="s">
        <v>116</v>
      </c>
      <c r="U110" s="13" t="s">
        <v>22</v>
      </c>
      <c r="V110" s="13" t="s">
        <v>23</v>
      </c>
      <c r="W110" s="88" t="s">
        <v>54</v>
      </c>
      <c r="X110" s="89" t="s">
        <v>55</v>
      </c>
    </row>
    <row r="111" spans="1:24">
      <c r="A111" s="205" t="s">
        <v>321</v>
      </c>
      <c r="B111" s="206" t="s">
        <v>59</v>
      </c>
      <c r="C111" s="207" t="s">
        <v>57</v>
      </c>
      <c r="D111" s="208" t="s">
        <v>149</v>
      </c>
      <c r="E111" s="208" t="s">
        <v>150</v>
      </c>
      <c r="F111" s="209" t="s">
        <v>322</v>
      </c>
      <c r="G111" s="210">
        <v>154.86000000000001</v>
      </c>
      <c r="H111" s="211" t="s">
        <v>323</v>
      </c>
      <c r="I111" s="211"/>
      <c r="J111" s="212"/>
      <c r="K111" s="213">
        <v>11</v>
      </c>
      <c r="L111" s="214">
        <v>21.9</v>
      </c>
      <c r="M111" s="215">
        <f t="shared" ref="M111" si="72">L111/G111*1000</f>
        <v>141.41805501743508</v>
      </c>
      <c r="N111" s="216">
        <f t="shared" ref="N111" si="73">+J111+L111</f>
        <v>21.9</v>
      </c>
      <c r="O111" s="215">
        <f t="shared" ref="O111" si="74">N111/G111*1000</f>
        <v>141.41805501743508</v>
      </c>
      <c r="P111" s="217">
        <f t="shared" ref="P111" si="75">G111/K111</f>
        <v>14.07818181818182</v>
      </c>
      <c r="Q111" s="71">
        <v>1</v>
      </c>
      <c r="R111" s="221">
        <v>0.253</v>
      </c>
      <c r="S111" s="218">
        <f t="shared" ref="S111" si="76">R111/G111</f>
        <v>1.6337336949502775E-3</v>
      </c>
      <c r="T111" s="71">
        <v>1</v>
      </c>
      <c r="U111" s="221">
        <v>0.21199999999999999</v>
      </c>
      <c r="V111" s="218">
        <f t="shared" ref="V111" si="77">U111/G111</f>
        <v>1.3689784321322482E-3</v>
      </c>
      <c r="W111" s="219">
        <v>13740</v>
      </c>
      <c r="X111" s="220">
        <f t="shared" ref="X111" si="78">W111/G111</f>
        <v>88.725300271212703</v>
      </c>
    </row>
    <row r="112" spans="1:24">
      <c r="A112" s="170" t="s">
        <v>328</v>
      </c>
      <c r="B112" s="47" t="s">
        <v>59</v>
      </c>
      <c r="C112" s="94" t="s">
        <v>57</v>
      </c>
      <c r="D112" s="157" t="s">
        <v>147</v>
      </c>
      <c r="E112" s="157" t="s">
        <v>150</v>
      </c>
      <c r="F112" s="12" t="s">
        <v>333</v>
      </c>
      <c r="G112" s="159">
        <v>87.625</v>
      </c>
      <c r="H112" s="51" t="s">
        <v>335</v>
      </c>
      <c r="I112" s="51"/>
      <c r="J112" s="50"/>
      <c r="K112" s="168">
        <v>12</v>
      </c>
      <c r="L112" s="162">
        <v>14</v>
      </c>
      <c r="M112" s="183">
        <f t="shared" ref="M112" si="79">L112/G112*1000</f>
        <v>159.77175463623394</v>
      </c>
      <c r="N112" s="184">
        <f t="shared" ref="N112" si="80">+J112+L112</f>
        <v>14</v>
      </c>
      <c r="O112" s="183">
        <f t="shared" ref="O112" si="81">N112/G112*1000</f>
        <v>159.77175463623394</v>
      </c>
      <c r="P112" s="185">
        <f t="shared" ref="P112" si="82">G112/K112</f>
        <v>7.302083333333333</v>
      </c>
      <c r="Q112" s="71">
        <v>1</v>
      </c>
      <c r="R112" s="221">
        <v>0.16600000000000001</v>
      </c>
      <c r="S112" s="188">
        <f t="shared" ref="S112" si="83">R112/G112</f>
        <v>1.8944365192582026E-3</v>
      </c>
      <c r="T112" s="80"/>
      <c r="U112" s="162"/>
      <c r="V112" s="188">
        <f t="shared" ref="V112" si="84">U112/G112</f>
        <v>0</v>
      </c>
      <c r="W112" s="65">
        <v>9840</v>
      </c>
      <c r="X112" s="30">
        <f t="shared" ref="X112" si="85">W112/G112</f>
        <v>112.29671897289586</v>
      </c>
    </row>
    <row r="113" spans="1:24">
      <c r="A113" s="170" t="s">
        <v>329</v>
      </c>
      <c r="B113" s="47" t="s">
        <v>59</v>
      </c>
      <c r="C113" s="94" t="s">
        <v>57</v>
      </c>
      <c r="D113" s="157" t="s">
        <v>149</v>
      </c>
      <c r="E113" s="157" t="s">
        <v>184</v>
      </c>
      <c r="F113" s="12" t="s">
        <v>137</v>
      </c>
      <c r="G113" s="159">
        <v>124.045</v>
      </c>
      <c r="H113" s="51" t="s">
        <v>335</v>
      </c>
      <c r="I113" s="51"/>
      <c r="J113" s="50"/>
      <c r="K113" s="168">
        <v>12</v>
      </c>
      <c r="L113" s="162">
        <v>18</v>
      </c>
      <c r="M113" s="183">
        <f t="shared" ref="M113:M139" si="86">L113/G113*1000</f>
        <v>145.10862993268572</v>
      </c>
      <c r="N113" s="184">
        <f t="shared" ref="N113:N139" si="87">+J113+L113</f>
        <v>18</v>
      </c>
      <c r="O113" s="183">
        <f t="shared" ref="O113:O139" si="88">N113/G113*1000</f>
        <v>145.10862993268572</v>
      </c>
      <c r="P113" s="185">
        <f t="shared" ref="P113:P139" si="89">G113/K113</f>
        <v>10.337083333333334</v>
      </c>
      <c r="Q113" s="80"/>
      <c r="R113" s="162"/>
      <c r="S113" s="188">
        <f t="shared" ref="S113:S139" si="90">R113/G113</f>
        <v>0</v>
      </c>
      <c r="T113" s="80"/>
      <c r="U113" s="162"/>
      <c r="V113" s="188">
        <f t="shared" ref="V113:V139" si="91">U113/G113</f>
        <v>0</v>
      </c>
      <c r="W113" s="65">
        <v>12180</v>
      </c>
      <c r="X113" s="30">
        <f t="shared" ref="X113:X139" si="92">W113/G113</f>
        <v>98.190172921117338</v>
      </c>
    </row>
    <row r="114" spans="1:24">
      <c r="A114" s="170" t="s">
        <v>330</v>
      </c>
      <c r="B114" s="47" t="s">
        <v>59</v>
      </c>
      <c r="C114" s="94" t="s">
        <v>57</v>
      </c>
      <c r="D114" s="157"/>
      <c r="E114" s="157"/>
      <c r="F114" s="12" t="s">
        <v>340</v>
      </c>
      <c r="G114" s="159"/>
      <c r="H114" s="51"/>
      <c r="I114" s="51"/>
      <c r="J114" s="50"/>
      <c r="K114" s="182"/>
      <c r="L114" s="162"/>
      <c r="M114" s="183"/>
      <c r="N114" s="184"/>
      <c r="O114" s="183"/>
      <c r="P114" s="185"/>
      <c r="Q114" s="80"/>
      <c r="R114" s="162"/>
      <c r="S114" s="188"/>
      <c r="T114" s="80"/>
      <c r="U114" s="162"/>
      <c r="V114" s="188"/>
      <c r="W114" s="189"/>
      <c r="X114" s="30"/>
    </row>
    <row r="115" spans="1:24">
      <c r="A115" s="170" t="s">
        <v>331</v>
      </c>
      <c r="B115" s="47" t="s">
        <v>59</v>
      </c>
      <c r="C115" s="94" t="s">
        <v>57</v>
      </c>
      <c r="D115" s="157"/>
      <c r="E115" s="157"/>
      <c r="F115" s="12" t="s">
        <v>334</v>
      </c>
      <c r="G115" s="159"/>
      <c r="H115" s="51"/>
      <c r="I115" s="51"/>
      <c r="J115" s="50"/>
      <c r="K115" s="182"/>
      <c r="L115" s="162"/>
      <c r="M115" s="183"/>
      <c r="N115" s="184"/>
      <c r="O115" s="183"/>
      <c r="P115" s="185"/>
      <c r="Q115" s="80"/>
      <c r="R115" s="162"/>
      <c r="S115" s="188"/>
      <c r="T115" s="80"/>
      <c r="U115" s="162"/>
      <c r="V115" s="188"/>
      <c r="W115" s="189"/>
      <c r="X115" s="30"/>
    </row>
    <row r="116" spans="1:24">
      <c r="A116" s="170" t="s">
        <v>332</v>
      </c>
      <c r="B116" s="47" t="s">
        <v>59</v>
      </c>
      <c r="C116" s="94" t="s">
        <v>57</v>
      </c>
      <c r="D116" s="157"/>
      <c r="E116" s="157"/>
      <c r="F116" s="12" t="s">
        <v>341</v>
      </c>
      <c r="G116" s="159"/>
      <c r="H116" s="51"/>
      <c r="I116" s="51"/>
      <c r="J116" s="50"/>
      <c r="K116" s="182"/>
      <c r="L116" s="162"/>
      <c r="M116" s="183"/>
      <c r="N116" s="184"/>
      <c r="O116" s="183"/>
      <c r="P116" s="185"/>
      <c r="Q116" s="80"/>
      <c r="R116" s="162"/>
      <c r="S116" s="188"/>
      <c r="T116" s="80"/>
      <c r="U116" s="162"/>
      <c r="V116" s="188"/>
      <c r="W116" s="189"/>
      <c r="X116" s="30"/>
    </row>
    <row r="117" spans="1:24">
      <c r="A117" s="170" t="s">
        <v>339</v>
      </c>
      <c r="B117" s="47" t="s">
        <v>59</v>
      </c>
      <c r="C117" s="94" t="s">
        <v>57</v>
      </c>
      <c r="D117" s="157" t="s">
        <v>147</v>
      </c>
      <c r="E117" s="157" t="s">
        <v>184</v>
      </c>
      <c r="F117" s="12" t="s">
        <v>345</v>
      </c>
      <c r="G117" s="159">
        <v>134.63999999999999</v>
      </c>
      <c r="H117" s="51" t="s">
        <v>335</v>
      </c>
      <c r="I117" s="51"/>
      <c r="J117" s="50"/>
      <c r="K117" s="182">
        <v>13</v>
      </c>
      <c r="L117" s="162">
        <v>21.8</v>
      </c>
      <c r="M117" s="183">
        <f t="shared" si="86"/>
        <v>161.91325014854431</v>
      </c>
      <c r="N117" s="184">
        <f t="shared" si="87"/>
        <v>21.8</v>
      </c>
      <c r="O117" s="183">
        <f t="shared" si="88"/>
        <v>161.91325014854431</v>
      </c>
      <c r="P117" s="185">
        <f t="shared" si="89"/>
        <v>10.356923076923076</v>
      </c>
      <c r="Q117" s="71">
        <v>2</v>
      </c>
      <c r="R117" s="221">
        <v>0.46200000000000002</v>
      </c>
      <c r="S117" s="188">
        <f t="shared" si="90"/>
        <v>3.4313725490196082E-3</v>
      </c>
      <c r="T117" s="71">
        <v>1</v>
      </c>
      <c r="U117" s="221">
        <v>0.21</v>
      </c>
      <c r="V117" s="188">
        <f t="shared" si="91"/>
        <v>1.5597147950089127E-3</v>
      </c>
      <c r="W117" s="189">
        <v>13020</v>
      </c>
      <c r="X117" s="30">
        <f t="shared" si="92"/>
        <v>96.7023172905526</v>
      </c>
    </row>
    <row r="118" spans="1:24">
      <c r="A118" s="170" t="s">
        <v>344</v>
      </c>
      <c r="B118" s="47" t="s">
        <v>59</v>
      </c>
      <c r="C118" s="94" t="s">
        <v>57</v>
      </c>
      <c r="D118" s="157" t="s">
        <v>149</v>
      </c>
      <c r="E118" s="157" t="s">
        <v>150</v>
      </c>
      <c r="F118" s="12" t="s">
        <v>346</v>
      </c>
      <c r="G118" s="159">
        <v>106.88</v>
      </c>
      <c r="H118" s="51" t="s">
        <v>335</v>
      </c>
      <c r="I118" s="51"/>
      <c r="J118" s="50"/>
      <c r="K118" s="182">
        <v>11</v>
      </c>
      <c r="L118" s="162">
        <v>19.600000000000001</v>
      </c>
      <c r="M118" s="183">
        <f t="shared" si="86"/>
        <v>183.38323353293416</v>
      </c>
      <c r="N118" s="184">
        <f t="shared" si="87"/>
        <v>19.600000000000001</v>
      </c>
      <c r="O118" s="183">
        <f t="shared" si="88"/>
        <v>183.38323353293416</v>
      </c>
      <c r="P118" s="185">
        <f t="shared" si="89"/>
        <v>9.7163636363636368</v>
      </c>
      <c r="Q118" s="80"/>
      <c r="R118" s="162"/>
      <c r="S118" s="188">
        <f t="shared" si="90"/>
        <v>0</v>
      </c>
      <c r="T118" s="80"/>
      <c r="U118" s="162"/>
      <c r="V118" s="188">
        <f t="shared" si="91"/>
        <v>0</v>
      </c>
      <c r="W118" s="189">
        <v>10440</v>
      </c>
      <c r="X118" s="30">
        <f t="shared" si="92"/>
        <v>97.679640718562879</v>
      </c>
    </row>
    <row r="119" spans="1:24">
      <c r="A119" s="170" t="s">
        <v>349</v>
      </c>
      <c r="B119" s="47" t="s">
        <v>59</v>
      </c>
      <c r="C119" s="94" t="s">
        <v>57</v>
      </c>
      <c r="D119" s="157" t="s">
        <v>147</v>
      </c>
      <c r="E119" s="157" t="s">
        <v>350</v>
      </c>
      <c r="F119" s="12" t="s">
        <v>351</v>
      </c>
      <c r="G119" s="159">
        <v>71.685000000000002</v>
      </c>
      <c r="H119" s="51" t="s">
        <v>335</v>
      </c>
      <c r="I119" s="51"/>
      <c r="J119" s="50"/>
      <c r="K119" s="182">
        <v>5</v>
      </c>
      <c r="L119" s="162">
        <v>10.1</v>
      </c>
      <c r="M119" s="183">
        <f t="shared" si="86"/>
        <v>140.89418985840828</v>
      </c>
      <c r="N119" s="184">
        <f t="shared" si="87"/>
        <v>10.1</v>
      </c>
      <c r="O119" s="183">
        <f t="shared" si="88"/>
        <v>140.89418985840828</v>
      </c>
      <c r="P119" s="185">
        <f t="shared" si="89"/>
        <v>14.337</v>
      </c>
      <c r="Q119" s="80"/>
      <c r="R119" s="162"/>
      <c r="S119" s="188">
        <f t="shared" si="90"/>
        <v>0</v>
      </c>
      <c r="T119" s="80"/>
      <c r="U119" s="162"/>
      <c r="V119" s="188">
        <f t="shared" si="91"/>
        <v>0</v>
      </c>
      <c r="W119" s="189">
        <v>6360</v>
      </c>
      <c r="X119" s="30">
        <f t="shared" si="92"/>
        <v>88.721489851433347</v>
      </c>
    </row>
    <row r="120" spans="1:24">
      <c r="A120" s="170" t="s">
        <v>353</v>
      </c>
      <c r="B120" s="47" t="s">
        <v>59</v>
      </c>
      <c r="C120" s="94" t="s">
        <v>57</v>
      </c>
      <c r="D120" s="157" t="s">
        <v>147</v>
      </c>
      <c r="E120" s="157" t="s">
        <v>354</v>
      </c>
      <c r="F120" s="12" t="s">
        <v>355</v>
      </c>
      <c r="G120" s="159">
        <v>171.54499999999999</v>
      </c>
      <c r="H120" s="51" t="s">
        <v>154</v>
      </c>
      <c r="I120" s="51"/>
      <c r="J120" s="50"/>
      <c r="K120" s="182">
        <v>12.3</v>
      </c>
      <c r="L120" s="162">
        <v>23.1</v>
      </c>
      <c r="M120" s="183">
        <f t="shared" si="86"/>
        <v>134.65854440525811</v>
      </c>
      <c r="N120" s="184">
        <f t="shared" si="87"/>
        <v>23.1</v>
      </c>
      <c r="O120" s="183">
        <f t="shared" si="88"/>
        <v>134.65854440525811</v>
      </c>
      <c r="P120" s="185">
        <f t="shared" si="89"/>
        <v>13.946747967479673</v>
      </c>
      <c r="Q120" s="80"/>
      <c r="R120" s="162"/>
      <c r="S120" s="188">
        <f t="shared" si="90"/>
        <v>0</v>
      </c>
      <c r="T120" s="71">
        <v>2</v>
      </c>
      <c r="U120" s="221">
        <v>0.502</v>
      </c>
      <c r="V120" s="188">
        <f t="shared" si="91"/>
        <v>2.9263458567722759E-3</v>
      </c>
      <c r="W120" s="189">
        <v>12720</v>
      </c>
      <c r="X120" s="30">
        <f t="shared" si="92"/>
        <v>74.149640036142131</v>
      </c>
    </row>
    <row r="121" spans="1:24">
      <c r="A121" s="170" t="s">
        <v>356</v>
      </c>
      <c r="B121" s="47" t="s">
        <v>59</v>
      </c>
      <c r="C121" s="94" t="s">
        <v>57</v>
      </c>
      <c r="D121" s="157"/>
      <c r="E121" s="157"/>
      <c r="F121" s="12" t="s">
        <v>359</v>
      </c>
      <c r="G121" s="159"/>
      <c r="H121" s="51"/>
      <c r="I121" s="51"/>
      <c r="J121" s="50"/>
      <c r="K121" s="182"/>
      <c r="L121" s="162"/>
      <c r="M121" s="183"/>
      <c r="N121" s="184"/>
      <c r="O121" s="183"/>
      <c r="P121" s="185"/>
      <c r="Q121" s="80"/>
      <c r="R121" s="162"/>
      <c r="S121" s="188"/>
      <c r="T121" s="80"/>
      <c r="U121" s="162"/>
      <c r="V121" s="188"/>
      <c r="W121" s="189"/>
      <c r="X121" s="30"/>
    </row>
    <row r="122" spans="1:24">
      <c r="A122" s="170" t="s">
        <v>357</v>
      </c>
      <c r="B122" s="47" t="s">
        <v>59</v>
      </c>
      <c r="C122" s="94" t="s">
        <v>57</v>
      </c>
      <c r="D122" s="157"/>
      <c r="E122" s="157"/>
      <c r="F122" s="12" t="s">
        <v>358</v>
      </c>
      <c r="G122" s="159"/>
      <c r="H122" s="51"/>
      <c r="I122" s="51"/>
      <c r="J122" s="50"/>
      <c r="K122" s="182"/>
      <c r="L122" s="162"/>
      <c r="M122" s="183"/>
      <c r="N122" s="184"/>
      <c r="O122" s="183"/>
      <c r="P122" s="185"/>
      <c r="Q122" s="80"/>
      <c r="R122" s="162"/>
      <c r="S122" s="188"/>
      <c r="T122" s="80"/>
      <c r="U122" s="162"/>
      <c r="V122" s="188"/>
      <c r="W122" s="189"/>
      <c r="X122" s="30"/>
    </row>
    <row r="123" spans="1:24">
      <c r="A123" s="170" t="s">
        <v>363</v>
      </c>
      <c r="B123" s="47" t="s">
        <v>59</v>
      </c>
      <c r="C123" s="94" t="s">
        <v>57</v>
      </c>
      <c r="D123" s="157" t="s">
        <v>364</v>
      </c>
      <c r="E123" s="157" t="s">
        <v>184</v>
      </c>
      <c r="F123" s="12" t="s">
        <v>365</v>
      </c>
      <c r="G123" s="159">
        <v>130.85</v>
      </c>
      <c r="H123" s="51" t="s">
        <v>154</v>
      </c>
      <c r="I123" s="51"/>
      <c r="J123" s="50"/>
      <c r="K123" s="182">
        <v>9</v>
      </c>
      <c r="L123" s="162">
        <v>20.3</v>
      </c>
      <c r="M123" s="183">
        <f t="shared" si="86"/>
        <v>155.13947267863966</v>
      </c>
      <c r="N123" s="184">
        <f t="shared" si="87"/>
        <v>20.3</v>
      </c>
      <c r="O123" s="183">
        <f t="shared" si="88"/>
        <v>155.13947267863966</v>
      </c>
      <c r="P123" s="185">
        <f t="shared" si="89"/>
        <v>14.538888888888888</v>
      </c>
      <c r="Q123" s="201">
        <v>3</v>
      </c>
      <c r="R123" s="202">
        <v>1.008</v>
      </c>
      <c r="S123" s="188">
        <f t="shared" si="90"/>
        <v>7.7034772640427974E-3</v>
      </c>
      <c r="T123" s="80"/>
      <c r="U123" s="162"/>
      <c r="V123" s="188">
        <f t="shared" si="91"/>
        <v>0</v>
      </c>
      <c r="W123" s="65">
        <v>11340</v>
      </c>
      <c r="X123" s="30">
        <f t="shared" si="92"/>
        <v>86.664119220481467</v>
      </c>
    </row>
    <row r="124" spans="1:24">
      <c r="A124" s="169" t="s">
        <v>366</v>
      </c>
      <c r="B124" s="47" t="s">
        <v>59</v>
      </c>
      <c r="C124" s="94" t="s">
        <v>57</v>
      </c>
      <c r="D124" s="157" t="s">
        <v>147</v>
      </c>
      <c r="E124" s="157" t="s">
        <v>173</v>
      </c>
      <c r="F124" s="12" t="s">
        <v>372</v>
      </c>
      <c r="G124" s="159">
        <v>80.935000000000002</v>
      </c>
      <c r="H124" s="51" t="s">
        <v>154</v>
      </c>
      <c r="I124" s="51"/>
      <c r="J124" s="50"/>
      <c r="K124" s="182">
        <v>10</v>
      </c>
      <c r="L124" s="162">
        <v>12</v>
      </c>
      <c r="M124" s="183">
        <f t="shared" si="86"/>
        <v>148.26712794217582</v>
      </c>
      <c r="N124" s="184">
        <f t="shared" si="87"/>
        <v>12</v>
      </c>
      <c r="O124" s="183">
        <f t="shared" si="88"/>
        <v>148.26712794217582</v>
      </c>
      <c r="P124" s="185">
        <f t="shared" si="89"/>
        <v>8.0935000000000006</v>
      </c>
      <c r="Q124" s="71">
        <v>3</v>
      </c>
      <c r="R124" s="221">
        <v>1.03</v>
      </c>
      <c r="S124" s="188">
        <f t="shared" si="90"/>
        <v>1.2726261815036758E-2</v>
      </c>
      <c r="T124" s="80"/>
      <c r="U124" s="162"/>
      <c r="V124" s="188">
        <f t="shared" si="91"/>
        <v>0</v>
      </c>
      <c r="W124" s="65">
        <v>7500</v>
      </c>
      <c r="X124" s="30">
        <f t="shared" si="92"/>
        <v>92.66695496385988</v>
      </c>
    </row>
    <row r="125" spans="1:24">
      <c r="A125" s="169" t="s">
        <v>367</v>
      </c>
      <c r="B125" s="47" t="s">
        <v>59</v>
      </c>
      <c r="C125" s="94" t="s">
        <v>57</v>
      </c>
      <c r="D125" s="157"/>
      <c r="E125" s="157"/>
      <c r="F125" s="12" t="s">
        <v>340</v>
      </c>
      <c r="G125" s="159"/>
      <c r="H125" s="51"/>
      <c r="I125" s="51"/>
      <c r="J125" s="50"/>
      <c r="K125" s="182"/>
      <c r="L125" s="162"/>
      <c r="M125" s="183"/>
      <c r="N125" s="184"/>
      <c r="O125" s="183"/>
      <c r="P125" s="185"/>
      <c r="Q125" s="80"/>
      <c r="R125" s="162"/>
      <c r="S125" s="188"/>
      <c r="T125" s="80"/>
      <c r="U125" s="162"/>
      <c r="V125" s="188"/>
      <c r="W125" s="189"/>
      <c r="X125" s="30"/>
    </row>
    <row r="126" spans="1:24">
      <c r="A126" s="170" t="s">
        <v>374</v>
      </c>
      <c r="B126" s="47" t="s">
        <v>59</v>
      </c>
      <c r="C126" s="94" t="s">
        <v>57</v>
      </c>
      <c r="D126" s="157" t="s">
        <v>147</v>
      </c>
      <c r="E126" s="157" t="s">
        <v>173</v>
      </c>
      <c r="F126" s="12" t="s">
        <v>373</v>
      </c>
      <c r="G126" s="159">
        <v>141.22</v>
      </c>
      <c r="H126" s="51" t="s">
        <v>154</v>
      </c>
      <c r="I126" s="51"/>
      <c r="J126" s="50"/>
      <c r="K126" s="182">
        <v>10</v>
      </c>
      <c r="L126" s="162">
        <v>20.5</v>
      </c>
      <c r="M126" s="183">
        <f t="shared" si="86"/>
        <v>145.1635745645093</v>
      </c>
      <c r="N126" s="184">
        <f t="shared" si="87"/>
        <v>20.5</v>
      </c>
      <c r="O126" s="183">
        <f t="shared" si="88"/>
        <v>145.1635745645093</v>
      </c>
      <c r="P126" s="185">
        <f t="shared" si="89"/>
        <v>14.122</v>
      </c>
      <c r="Q126" s="80"/>
      <c r="R126" s="162"/>
      <c r="S126" s="188">
        <f t="shared" si="90"/>
        <v>0</v>
      </c>
      <c r="T126" s="80"/>
      <c r="U126" s="162"/>
      <c r="V126" s="188">
        <f t="shared" si="91"/>
        <v>0</v>
      </c>
      <c r="W126" s="189">
        <v>30581</v>
      </c>
      <c r="X126" s="30">
        <f t="shared" si="92"/>
        <v>216.54864750035406</v>
      </c>
    </row>
    <row r="127" spans="1:24">
      <c r="A127" s="170" t="s">
        <v>375</v>
      </c>
      <c r="B127" s="47" t="s">
        <v>59</v>
      </c>
      <c r="C127" s="94" t="s">
        <v>57</v>
      </c>
      <c r="D127" s="157" t="s">
        <v>147</v>
      </c>
      <c r="E127" s="157" t="s">
        <v>173</v>
      </c>
      <c r="F127" s="12" t="s">
        <v>378</v>
      </c>
      <c r="G127" s="159">
        <v>156.55000000000001</v>
      </c>
      <c r="H127" s="51" t="s">
        <v>154</v>
      </c>
      <c r="I127" s="51"/>
      <c r="J127" s="50"/>
      <c r="K127" s="168">
        <v>10</v>
      </c>
      <c r="L127" s="162">
        <v>21.1</v>
      </c>
      <c r="M127" s="183">
        <f t="shared" si="86"/>
        <v>134.78122005748963</v>
      </c>
      <c r="N127" s="184">
        <f t="shared" si="87"/>
        <v>21.1</v>
      </c>
      <c r="O127" s="183">
        <f t="shared" si="88"/>
        <v>134.78122005748963</v>
      </c>
      <c r="P127" s="185">
        <f t="shared" si="89"/>
        <v>15.655000000000001</v>
      </c>
      <c r="Q127" s="71">
        <v>3</v>
      </c>
      <c r="R127" s="221">
        <v>1.337</v>
      </c>
      <c r="S127" s="188">
        <f t="shared" si="90"/>
        <v>8.5404024273395066E-3</v>
      </c>
      <c r="T127" s="71"/>
      <c r="U127" s="221"/>
      <c r="V127" s="188">
        <f t="shared" si="91"/>
        <v>0</v>
      </c>
      <c r="W127" s="65">
        <v>11940</v>
      </c>
      <c r="X127" s="30">
        <f t="shared" si="92"/>
        <v>76.269562440114967</v>
      </c>
    </row>
    <row r="128" spans="1:24">
      <c r="A128" s="170" t="s">
        <v>376</v>
      </c>
      <c r="B128" s="47" t="s">
        <v>59</v>
      </c>
      <c r="C128" s="94" t="s">
        <v>57</v>
      </c>
      <c r="D128" s="157"/>
      <c r="E128" s="157"/>
      <c r="F128" s="12" t="s">
        <v>334</v>
      </c>
      <c r="G128" s="159"/>
      <c r="H128" s="51"/>
      <c r="I128" s="51"/>
      <c r="J128" s="50"/>
      <c r="K128" s="168"/>
      <c r="L128" s="162"/>
      <c r="M128" s="183"/>
      <c r="N128" s="184"/>
      <c r="O128" s="183"/>
      <c r="P128" s="185"/>
      <c r="Q128" s="71"/>
      <c r="R128" s="221"/>
      <c r="S128" s="188"/>
      <c r="T128" s="71"/>
      <c r="U128" s="221"/>
      <c r="V128" s="188"/>
      <c r="W128" s="65"/>
      <c r="X128" s="30"/>
    </row>
    <row r="129" spans="1:24">
      <c r="A129" s="170" t="s">
        <v>377</v>
      </c>
      <c r="B129" s="47" t="s">
        <v>59</v>
      </c>
      <c r="C129" s="94" t="s">
        <v>57</v>
      </c>
      <c r="D129" s="157" t="s">
        <v>147</v>
      </c>
      <c r="E129" s="157" t="s">
        <v>184</v>
      </c>
      <c r="F129" s="12" t="s">
        <v>379</v>
      </c>
      <c r="G129" s="159">
        <v>172.86</v>
      </c>
      <c r="H129" s="51" t="s">
        <v>154</v>
      </c>
      <c r="I129" s="51"/>
      <c r="J129" s="50"/>
      <c r="K129" s="168">
        <v>13</v>
      </c>
      <c r="L129" s="162">
        <v>23.6</v>
      </c>
      <c r="M129" s="183">
        <f t="shared" si="86"/>
        <v>136.52666898067801</v>
      </c>
      <c r="N129" s="184">
        <f t="shared" si="87"/>
        <v>23.6</v>
      </c>
      <c r="O129" s="183">
        <f t="shared" si="88"/>
        <v>136.52666898067801</v>
      </c>
      <c r="P129" s="185">
        <f t="shared" si="89"/>
        <v>13.296923076923077</v>
      </c>
      <c r="Q129" s="71">
        <v>2</v>
      </c>
      <c r="R129" s="221">
        <v>5.1529999999999996</v>
      </c>
      <c r="S129" s="188">
        <f t="shared" si="90"/>
        <v>2.9810251070230238E-2</v>
      </c>
      <c r="T129" s="71">
        <v>1</v>
      </c>
      <c r="U129" s="221">
        <v>0.40500000000000003</v>
      </c>
      <c r="V129" s="188">
        <f t="shared" si="91"/>
        <v>2.3429364803887538E-3</v>
      </c>
      <c r="W129" s="65">
        <v>12780</v>
      </c>
      <c r="X129" s="30">
        <f t="shared" si="92"/>
        <v>73.932662270045114</v>
      </c>
    </row>
    <row r="130" spans="1:24">
      <c r="A130" s="170" t="s">
        <v>380</v>
      </c>
      <c r="B130" s="47" t="s">
        <v>59</v>
      </c>
      <c r="C130" s="94" t="s">
        <v>57</v>
      </c>
      <c r="D130" s="157" t="s">
        <v>147</v>
      </c>
      <c r="E130" s="157" t="s">
        <v>184</v>
      </c>
      <c r="F130" s="12" t="s">
        <v>383</v>
      </c>
      <c r="G130" s="159">
        <v>187.6</v>
      </c>
      <c r="H130" s="51" t="s">
        <v>154</v>
      </c>
      <c r="I130" s="51"/>
      <c r="J130" s="50"/>
      <c r="K130" s="168">
        <v>13</v>
      </c>
      <c r="L130" s="162">
        <v>25.1</v>
      </c>
      <c r="M130" s="183">
        <f t="shared" si="86"/>
        <v>133.79530916844351</v>
      </c>
      <c r="N130" s="184">
        <f t="shared" si="87"/>
        <v>25.1</v>
      </c>
      <c r="O130" s="183">
        <f t="shared" si="88"/>
        <v>133.79530916844351</v>
      </c>
      <c r="P130" s="185">
        <f t="shared" si="89"/>
        <v>14.430769230769231</v>
      </c>
      <c r="Q130" s="80"/>
      <c r="R130" s="162"/>
      <c r="S130" s="188">
        <f t="shared" si="90"/>
        <v>0</v>
      </c>
      <c r="T130" s="80"/>
      <c r="U130" s="162"/>
      <c r="V130" s="188">
        <f t="shared" si="91"/>
        <v>0</v>
      </c>
      <c r="W130" s="65">
        <v>12840</v>
      </c>
      <c r="X130" s="30">
        <f t="shared" si="92"/>
        <v>68.443496801705763</v>
      </c>
    </row>
    <row r="131" spans="1:24">
      <c r="A131" s="170" t="s">
        <v>381</v>
      </c>
      <c r="B131" s="47" t="s">
        <v>59</v>
      </c>
      <c r="C131" s="94" t="s">
        <v>57</v>
      </c>
      <c r="D131" s="157" t="s">
        <v>147</v>
      </c>
      <c r="E131" s="157" t="s">
        <v>382</v>
      </c>
      <c r="F131" s="12" t="s">
        <v>384</v>
      </c>
      <c r="G131" s="159">
        <v>153.75</v>
      </c>
      <c r="H131" s="51" t="s">
        <v>154</v>
      </c>
      <c r="I131" s="51"/>
      <c r="J131" s="50"/>
      <c r="K131" s="168">
        <v>15</v>
      </c>
      <c r="L131" s="162">
        <v>25.7</v>
      </c>
      <c r="M131" s="183">
        <f t="shared" si="86"/>
        <v>167.15447154471545</v>
      </c>
      <c r="N131" s="184">
        <f t="shared" si="87"/>
        <v>25.7</v>
      </c>
      <c r="O131" s="183">
        <f t="shared" si="88"/>
        <v>167.15447154471545</v>
      </c>
      <c r="P131" s="185">
        <f t="shared" si="89"/>
        <v>10.25</v>
      </c>
      <c r="Q131" s="80"/>
      <c r="R131" s="162"/>
      <c r="S131" s="188">
        <f t="shared" si="90"/>
        <v>0</v>
      </c>
      <c r="T131" s="80"/>
      <c r="U131" s="162"/>
      <c r="V131" s="188">
        <f t="shared" si="91"/>
        <v>0</v>
      </c>
      <c r="W131" s="65">
        <v>11400</v>
      </c>
      <c r="X131" s="30">
        <f t="shared" si="92"/>
        <v>74.146341463414629</v>
      </c>
    </row>
    <row r="132" spans="1:24">
      <c r="A132" s="170" t="s">
        <v>385</v>
      </c>
      <c r="B132" s="47" t="s">
        <v>59</v>
      </c>
      <c r="C132" s="94" t="s">
        <v>57</v>
      </c>
      <c r="D132" s="157" t="s">
        <v>387</v>
      </c>
      <c r="E132" s="157" t="s">
        <v>259</v>
      </c>
      <c r="F132" s="12" t="s">
        <v>389</v>
      </c>
      <c r="G132" s="159">
        <v>109.65</v>
      </c>
      <c r="H132" s="51" t="s">
        <v>154</v>
      </c>
      <c r="I132" s="51"/>
      <c r="J132" s="50"/>
      <c r="K132" s="168">
        <v>9</v>
      </c>
      <c r="L132" s="162">
        <v>18.2</v>
      </c>
      <c r="M132" s="183">
        <f t="shared" si="86"/>
        <v>165.98267213862289</v>
      </c>
      <c r="N132" s="184">
        <f t="shared" si="87"/>
        <v>18.2</v>
      </c>
      <c r="O132" s="183">
        <f t="shared" si="88"/>
        <v>165.98267213862289</v>
      </c>
      <c r="P132" s="185">
        <f t="shared" si="89"/>
        <v>12.183333333333334</v>
      </c>
      <c r="Q132" s="80"/>
      <c r="R132" s="162"/>
      <c r="S132" s="188">
        <f t="shared" si="90"/>
        <v>0</v>
      </c>
      <c r="T132" s="80"/>
      <c r="U132" s="162"/>
      <c r="V132" s="188">
        <f t="shared" si="91"/>
        <v>0</v>
      </c>
      <c r="W132" s="65">
        <v>7320</v>
      </c>
      <c r="X132" s="30">
        <f t="shared" si="92"/>
        <v>66.757865937072495</v>
      </c>
    </row>
    <row r="133" spans="1:24">
      <c r="A133" s="170" t="s">
        <v>386</v>
      </c>
      <c r="B133" s="47" t="s">
        <v>59</v>
      </c>
      <c r="C133" s="94" t="s">
        <v>57</v>
      </c>
      <c r="D133" s="157" t="s">
        <v>147</v>
      </c>
      <c r="E133" s="157" t="s">
        <v>388</v>
      </c>
      <c r="F133" s="12" t="s">
        <v>390</v>
      </c>
      <c r="G133" s="159">
        <v>93</v>
      </c>
      <c r="H133" s="51" t="s">
        <v>154</v>
      </c>
      <c r="I133" s="51"/>
      <c r="J133" s="50"/>
      <c r="K133" s="168">
        <v>7</v>
      </c>
      <c r="L133" s="162">
        <v>12.8</v>
      </c>
      <c r="M133" s="183">
        <f t="shared" si="86"/>
        <v>137.63440860215053</v>
      </c>
      <c r="N133" s="184">
        <f t="shared" si="87"/>
        <v>12.8</v>
      </c>
      <c r="O133" s="183">
        <f t="shared" si="88"/>
        <v>137.63440860215053</v>
      </c>
      <c r="P133" s="185">
        <f t="shared" si="89"/>
        <v>13.285714285714286</v>
      </c>
      <c r="Q133" s="80"/>
      <c r="R133" s="162"/>
      <c r="S133" s="188">
        <f t="shared" si="90"/>
        <v>0</v>
      </c>
      <c r="T133" s="80"/>
      <c r="U133" s="162"/>
      <c r="V133" s="188">
        <f t="shared" si="91"/>
        <v>0</v>
      </c>
      <c r="W133" s="65">
        <v>6540</v>
      </c>
      <c r="X133" s="30">
        <f t="shared" si="92"/>
        <v>70.322580645161295</v>
      </c>
    </row>
    <row r="134" spans="1:24">
      <c r="A134" s="170" t="s">
        <v>393</v>
      </c>
      <c r="B134" s="47" t="s">
        <v>59</v>
      </c>
      <c r="C134" s="94" t="s">
        <v>57</v>
      </c>
      <c r="D134" s="157" t="s">
        <v>149</v>
      </c>
      <c r="E134" s="157" t="s">
        <v>147</v>
      </c>
      <c r="F134" s="12" t="s">
        <v>394</v>
      </c>
      <c r="G134" s="159">
        <v>176.608</v>
      </c>
      <c r="H134" s="51" t="s">
        <v>395</v>
      </c>
      <c r="I134" s="51"/>
      <c r="J134" s="50"/>
      <c r="K134" s="182">
        <v>11</v>
      </c>
      <c r="L134" s="162">
        <v>24.9</v>
      </c>
      <c r="M134" s="183">
        <f t="shared" si="86"/>
        <v>140.99021561877151</v>
      </c>
      <c r="N134" s="184">
        <f t="shared" si="87"/>
        <v>24.9</v>
      </c>
      <c r="O134" s="183">
        <f t="shared" si="88"/>
        <v>140.99021561877151</v>
      </c>
      <c r="P134" s="185">
        <f t="shared" si="89"/>
        <v>16.055272727272726</v>
      </c>
      <c r="Q134" s="71">
        <v>1</v>
      </c>
      <c r="R134" s="221">
        <v>0.92300000000000004</v>
      </c>
      <c r="S134" s="188">
        <f t="shared" si="90"/>
        <v>5.2262638159086792E-3</v>
      </c>
      <c r="T134" s="80"/>
      <c r="U134" s="162"/>
      <c r="V134" s="188">
        <f t="shared" si="91"/>
        <v>0</v>
      </c>
      <c r="W134" s="65">
        <v>9960</v>
      </c>
      <c r="X134" s="30">
        <f t="shared" si="92"/>
        <v>56.396086247508606</v>
      </c>
    </row>
    <row r="135" spans="1:24">
      <c r="A135" s="169" t="s">
        <v>396</v>
      </c>
      <c r="B135" s="47" t="s">
        <v>59</v>
      </c>
      <c r="C135" s="94" t="s">
        <v>57</v>
      </c>
      <c r="D135" s="157"/>
      <c r="E135" s="157"/>
      <c r="F135" s="12" t="s">
        <v>334</v>
      </c>
      <c r="G135" s="159"/>
      <c r="H135" s="51"/>
      <c r="I135" s="51"/>
      <c r="J135" s="50"/>
      <c r="K135" s="182"/>
      <c r="L135" s="162"/>
      <c r="M135" s="183"/>
      <c r="N135" s="184"/>
      <c r="O135" s="183"/>
      <c r="P135" s="185"/>
      <c r="Q135" s="80"/>
      <c r="R135" s="162"/>
      <c r="S135" s="188"/>
      <c r="T135" s="80"/>
      <c r="U135" s="162"/>
      <c r="V135" s="188"/>
      <c r="W135" s="189"/>
      <c r="X135" s="30"/>
    </row>
    <row r="136" spans="1:24">
      <c r="A136" s="169" t="s">
        <v>397</v>
      </c>
      <c r="B136" s="47" t="s">
        <v>59</v>
      </c>
      <c r="C136" s="94" t="s">
        <v>57</v>
      </c>
      <c r="D136" s="157"/>
      <c r="E136" s="157"/>
      <c r="F136" s="12" t="s">
        <v>400</v>
      </c>
      <c r="G136" s="159"/>
      <c r="H136" s="51"/>
      <c r="I136" s="51"/>
      <c r="J136" s="50"/>
      <c r="K136" s="182"/>
      <c r="L136" s="162"/>
      <c r="M136" s="183"/>
      <c r="N136" s="184"/>
      <c r="O136" s="183"/>
      <c r="P136" s="185"/>
      <c r="Q136" s="80"/>
      <c r="R136" s="162"/>
      <c r="S136" s="188"/>
      <c r="T136" s="80"/>
      <c r="U136" s="162"/>
      <c r="V136" s="188"/>
      <c r="W136" s="189"/>
      <c r="X136" s="30"/>
    </row>
    <row r="137" spans="1:24">
      <c r="A137" s="169" t="s">
        <v>398</v>
      </c>
      <c r="B137" s="47" t="s">
        <v>59</v>
      </c>
      <c r="C137" s="94" t="s">
        <v>57</v>
      </c>
      <c r="D137" s="157" t="s">
        <v>399</v>
      </c>
      <c r="E137" s="157" t="s">
        <v>184</v>
      </c>
      <c r="F137" s="12" t="s">
        <v>401</v>
      </c>
      <c r="G137" s="159">
        <v>156.185</v>
      </c>
      <c r="H137" s="51" t="s">
        <v>395</v>
      </c>
      <c r="I137" s="51"/>
      <c r="J137" s="50"/>
      <c r="K137" s="182">
        <v>10</v>
      </c>
      <c r="L137" s="162">
        <v>25.7</v>
      </c>
      <c r="M137" s="183">
        <f t="shared" ref="M137" si="93">L137/G137*1000</f>
        <v>164.54845215609691</v>
      </c>
      <c r="N137" s="184">
        <f t="shared" ref="N137" si="94">+J137+L137</f>
        <v>25.7</v>
      </c>
      <c r="O137" s="183">
        <f t="shared" ref="O137" si="95">N137/G137*1000</f>
        <v>164.54845215609691</v>
      </c>
      <c r="P137" s="185">
        <f t="shared" ref="P137" si="96">G137/K137</f>
        <v>15.618500000000001</v>
      </c>
      <c r="Q137" s="46">
        <v>2</v>
      </c>
      <c r="R137" s="55">
        <v>2.113</v>
      </c>
      <c r="S137" s="188">
        <f t="shared" ref="S137" si="97">R137/G137</f>
        <v>1.3528827992444857E-2</v>
      </c>
      <c r="T137" s="80"/>
      <c r="U137" s="162"/>
      <c r="V137" s="188">
        <f t="shared" ref="V137" si="98">U137/G137</f>
        <v>0</v>
      </c>
      <c r="W137" s="65">
        <v>10200</v>
      </c>
      <c r="X137" s="30">
        <f t="shared" ref="X137" si="99">W137/G137</f>
        <v>65.307167781797233</v>
      </c>
    </row>
    <row r="138" spans="1:24">
      <c r="A138" s="170" t="s">
        <v>404</v>
      </c>
      <c r="B138" s="47" t="s">
        <v>59</v>
      </c>
      <c r="C138" s="94" t="s">
        <v>57</v>
      </c>
      <c r="D138" s="157" t="s">
        <v>147</v>
      </c>
      <c r="E138" s="157" t="s">
        <v>150</v>
      </c>
      <c r="F138" s="12" t="s">
        <v>411</v>
      </c>
      <c r="G138" s="159">
        <v>218.55099999999999</v>
      </c>
      <c r="H138" s="51" t="s">
        <v>395</v>
      </c>
      <c r="I138" s="51"/>
      <c r="J138" s="50"/>
      <c r="K138" s="168">
        <v>12</v>
      </c>
      <c r="L138" s="162">
        <v>29.1</v>
      </c>
      <c r="M138" s="183">
        <f t="shared" si="86"/>
        <v>133.14969961244748</v>
      </c>
      <c r="N138" s="184">
        <f t="shared" si="87"/>
        <v>29.1</v>
      </c>
      <c r="O138" s="183">
        <f t="shared" si="88"/>
        <v>133.14969961244748</v>
      </c>
      <c r="P138" s="185">
        <f t="shared" si="89"/>
        <v>18.212583333333331</v>
      </c>
      <c r="Q138" s="224">
        <f>2+1</f>
        <v>3</v>
      </c>
      <c r="R138" s="225">
        <f>1.787+1.033</f>
        <v>2.82</v>
      </c>
      <c r="S138" s="188">
        <f t="shared" si="90"/>
        <v>1.2903166766567071E-2</v>
      </c>
      <c r="T138" s="228">
        <v>1</v>
      </c>
      <c r="U138" s="225">
        <v>1.0329999999999999</v>
      </c>
      <c r="V138" s="188">
        <f t="shared" si="91"/>
        <v>4.7265855566892851E-3</v>
      </c>
      <c r="W138" s="65">
        <v>12120</v>
      </c>
      <c r="X138" s="30">
        <f t="shared" si="92"/>
        <v>55.456163549926565</v>
      </c>
    </row>
    <row r="139" spans="1:24">
      <c r="A139" s="170" t="s">
        <v>405</v>
      </c>
      <c r="B139" s="47" t="s">
        <v>59</v>
      </c>
      <c r="C139" s="94" t="s">
        <v>57</v>
      </c>
      <c r="D139" s="157" t="s">
        <v>147</v>
      </c>
      <c r="E139" s="157" t="s">
        <v>259</v>
      </c>
      <c r="F139" s="12" t="s">
        <v>412</v>
      </c>
      <c r="G139" s="159">
        <v>190.03</v>
      </c>
      <c r="H139" s="51" t="s">
        <v>395</v>
      </c>
      <c r="I139" s="51"/>
      <c r="J139" s="50"/>
      <c r="K139" s="168">
        <v>11</v>
      </c>
      <c r="L139" s="162">
        <v>25.6</v>
      </c>
      <c r="M139" s="183">
        <f t="shared" si="86"/>
        <v>134.71557122559597</v>
      </c>
      <c r="N139" s="184">
        <f t="shared" si="87"/>
        <v>25.6</v>
      </c>
      <c r="O139" s="183">
        <f t="shared" si="88"/>
        <v>134.71557122559597</v>
      </c>
      <c r="P139" s="185">
        <f t="shared" si="89"/>
        <v>17.275454545454547</v>
      </c>
      <c r="Q139" s="226">
        <v>4</v>
      </c>
      <c r="R139" s="227">
        <v>3.72</v>
      </c>
      <c r="S139" s="188">
        <f t="shared" si="90"/>
        <v>1.9575856443719414E-2</v>
      </c>
      <c r="T139" s="226">
        <v>1</v>
      </c>
      <c r="U139" s="227">
        <v>0.67500000000000004</v>
      </c>
      <c r="V139" s="188">
        <f t="shared" si="91"/>
        <v>3.5520707256748935E-3</v>
      </c>
      <c r="W139" s="65">
        <v>11520</v>
      </c>
      <c r="X139" s="30">
        <f t="shared" si="92"/>
        <v>60.622007051518182</v>
      </c>
    </row>
    <row r="140" spans="1:24">
      <c r="A140" s="170"/>
      <c r="B140" s="47" t="s">
        <v>59</v>
      </c>
      <c r="C140" s="94" t="s">
        <v>57</v>
      </c>
      <c r="D140" s="157"/>
      <c r="E140" s="157"/>
      <c r="F140" s="80"/>
      <c r="G140" s="159"/>
      <c r="H140" s="51"/>
      <c r="I140" s="51"/>
      <c r="J140" s="50"/>
      <c r="K140" s="182"/>
      <c r="L140" s="162"/>
      <c r="M140" s="183"/>
      <c r="N140" s="184"/>
      <c r="O140" s="183"/>
      <c r="P140" s="185"/>
      <c r="Q140" s="80"/>
      <c r="R140" s="162"/>
      <c r="S140" s="188"/>
      <c r="T140" s="80"/>
      <c r="U140" s="162"/>
      <c r="V140" s="188"/>
      <c r="W140" s="189"/>
      <c r="X140" s="30"/>
    </row>
    <row r="141" spans="1:24" s="10" customFormat="1">
      <c r="A141" s="135"/>
      <c r="B141" s="47"/>
      <c r="C141" s="48"/>
      <c r="D141" s="129"/>
      <c r="E141" s="129"/>
      <c r="F141" s="57"/>
      <c r="G141" s="58">
        <f>SUM(G111:G140)</f>
        <v>2819.069</v>
      </c>
      <c r="H141" s="57"/>
      <c r="I141" s="59"/>
      <c r="J141" s="58">
        <f>SUM(J111:J140)</f>
        <v>0</v>
      </c>
      <c r="K141" s="194">
        <f>SUM(K111:K140)</f>
        <v>216.3</v>
      </c>
      <c r="L141" s="195">
        <f>SUM(L111:L140)</f>
        <v>413.1</v>
      </c>
      <c r="M141" s="196">
        <f>L141/G141*1000</f>
        <v>146.53773994180349</v>
      </c>
      <c r="N141" s="195">
        <f>SUM(N111:N140)</f>
        <v>413.1</v>
      </c>
      <c r="O141" s="196">
        <f t="shared" ref="O141" si="100">N141/G141*1000</f>
        <v>146.53773994180349</v>
      </c>
      <c r="P141" s="197">
        <f>G141/K141</f>
        <v>13.033143781784558</v>
      </c>
      <c r="Q141" s="198">
        <f>SUM(Q111:Q140)</f>
        <v>25</v>
      </c>
      <c r="R141" s="195">
        <f>SUM(R111:R140)</f>
        <v>18.984999999999999</v>
      </c>
      <c r="S141" s="199">
        <f t="shared" ref="S141" si="101">R141/G141</f>
        <v>6.734492841430983E-3</v>
      </c>
      <c r="T141" s="198">
        <f>SUM(T111:T140)</f>
        <v>7</v>
      </c>
      <c r="U141" s="195">
        <f>SUM(U111:U140)</f>
        <v>3.0369999999999999</v>
      </c>
      <c r="V141" s="199">
        <f t="shared" ref="V141" si="102">U141/G141</f>
        <v>1.0773060184053672E-3</v>
      </c>
      <c r="W141" s="198">
        <f>SUM(W111:W140)</f>
        <v>234341</v>
      </c>
      <c r="X141" s="30">
        <f t="shared" ref="X141" si="103">W141/G141</f>
        <v>83.127089120557173</v>
      </c>
    </row>
    <row r="142" spans="1:24">
      <c r="A142" s="137"/>
      <c r="B142" s="65"/>
      <c r="C142" s="65"/>
      <c r="D142" s="130"/>
      <c r="E142" s="130"/>
      <c r="F142" s="65"/>
      <c r="G142" s="65"/>
      <c r="H142" s="65"/>
      <c r="I142" s="65"/>
      <c r="J142" s="66"/>
      <c r="K142" s="67"/>
      <c r="L142" s="68"/>
      <c r="M142" s="65"/>
      <c r="N142" s="66"/>
      <c r="O142" s="65"/>
      <c r="P142" s="65"/>
      <c r="Q142" s="65"/>
      <c r="R142" s="55"/>
      <c r="S142" s="56"/>
      <c r="T142" s="65"/>
      <c r="U142" s="55"/>
      <c r="V142" s="56"/>
      <c r="W142" s="93"/>
    </row>
    <row r="143" spans="1:24">
      <c r="A143" s="137"/>
      <c r="B143" s="65"/>
      <c r="C143" s="69" t="s">
        <v>52</v>
      </c>
      <c r="D143" s="130"/>
      <c r="E143" s="130"/>
      <c r="F143" s="65"/>
      <c r="G143" s="58">
        <f>+G141</f>
        <v>2819.069</v>
      </c>
      <c r="H143" s="65"/>
      <c r="I143" s="65"/>
      <c r="J143" s="58" t="e">
        <f>+#REF!+J141</f>
        <v>#REF!</v>
      </c>
      <c r="K143" s="60">
        <f t="shared" ref="K143:L143" si="104">+K141</f>
        <v>216.3</v>
      </c>
      <c r="L143" s="58">
        <f t="shared" si="104"/>
        <v>413.1</v>
      </c>
      <c r="M143" s="61">
        <f>+M141</f>
        <v>146.53773994180349</v>
      </c>
      <c r="N143" s="58">
        <f t="shared" ref="N143:P143" si="105">+N141</f>
        <v>413.1</v>
      </c>
      <c r="O143" s="61">
        <f t="shared" si="105"/>
        <v>146.53773994180349</v>
      </c>
      <c r="P143" s="62">
        <f t="shared" si="105"/>
        <v>13.033143781784558</v>
      </c>
      <c r="Q143" s="117">
        <f>+Q141</f>
        <v>25</v>
      </c>
      <c r="R143" s="63">
        <f>+R141</f>
        <v>18.984999999999999</v>
      </c>
      <c r="S143" s="64">
        <f>R143/G143</f>
        <v>6.734492841430983E-3</v>
      </c>
      <c r="T143" s="117">
        <f>+T141</f>
        <v>7</v>
      </c>
      <c r="U143" s="63">
        <f>+U141</f>
        <v>3.0369999999999999</v>
      </c>
      <c r="V143" s="64">
        <f>U143/G143</f>
        <v>1.0773060184053672E-3</v>
      </c>
      <c r="W143" s="92">
        <f>+W141</f>
        <v>234341</v>
      </c>
      <c r="X143" s="90">
        <f>W143/G143</f>
        <v>83.127089120557173</v>
      </c>
    </row>
    <row r="145" spans="1:24" ht="15.75">
      <c r="A145" s="257" t="s">
        <v>408</v>
      </c>
      <c r="B145" s="257"/>
      <c r="C145" s="257"/>
      <c r="D145" s="257"/>
      <c r="E145" s="257"/>
      <c r="F145" s="257"/>
      <c r="G145" s="257"/>
      <c r="H145" s="257"/>
      <c r="I145" s="257"/>
      <c r="J145" s="257"/>
      <c r="K145" s="257"/>
      <c r="L145" s="257"/>
      <c r="M145" s="257"/>
      <c r="N145" s="257"/>
      <c r="O145" s="257"/>
      <c r="P145" s="257"/>
      <c r="Q145" s="257"/>
      <c r="R145" s="38"/>
      <c r="S145" s="38"/>
      <c r="T145" s="116"/>
      <c r="U145" s="39"/>
      <c r="V145" s="40"/>
    </row>
    <row r="146" spans="1:24" ht="57" customHeight="1">
      <c r="A146" s="134" t="s">
        <v>0</v>
      </c>
      <c r="B146" s="1" t="s">
        <v>20</v>
      </c>
      <c r="C146" s="118" t="s">
        <v>117</v>
      </c>
      <c r="D146" s="127" t="s">
        <v>2</v>
      </c>
      <c r="E146" s="127" t="s">
        <v>3</v>
      </c>
      <c r="F146" s="1" t="s">
        <v>4</v>
      </c>
      <c r="G146" s="1" t="s">
        <v>5</v>
      </c>
      <c r="H146" s="1" t="s">
        <v>6</v>
      </c>
      <c r="I146" s="1" t="s">
        <v>7</v>
      </c>
      <c r="J146" s="1" t="s">
        <v>8</v>
      </c>
      <c r="K146" s="1" t="s">
        <v>9</v>
      </c>
      <c r="L146" s="1" t="s">
        <v>132</v>
      </c>
      <c r="M146" s="1" t="s">
        <v>133</v>
      </c>
      <c r="N146" s="2" t="s">
        <v>12</v>
      </c>
      <c r="O146" s="2" t="s">
        <v>13</v>
      </c>
      <c r="P146" s="1" t="s">
        <v>14</v>
      </c>
      <c r="Q146" s="13" t="s">
        <v>115</v>
      </c>
      <c r="R146" s="13" t="s">
        <v>21</v>
      </c>
      <c r="S146" s="13" t="s">
        <v>24</v>
      </c>
      <c r="T146" s="13" t="s">
        <v>116</v>
      </c>
      <c r="U146" s="13" t="s">
        <v>22</v>
      </c>
      <c r="V146" s="13" t="s">
        <v>23</v>
      </c>
      <c r="W146" s="88" t="s">
        <v>54</v>
      </c>
      <c r="X146" s="89" t="s">
        <v>55</v>
      </c>
    </row>
    <row r="147" spans="1:24">
      <c r="A147" s="205" t="s">
        <v>409</v>
      </c>
      <c r="B147" s="206" t="s">
        <v>59</v>
      </c>
      <c r="C147" s="207" t="s">
        <v>57</v>
      </c>
      <c r="D147" s="157" t="s">
        <v>147</v>
      </c>
      <c r="E147" s="157" t="s">
        <v>150</v>
      </c>
      <c r="F147" s="12" t="s">
        <v>384</v>
      </c>
      <c r="G147" s="159">
        <v>193.66</v>
      </c>
      <c r="H147" s="51" t="s">
        <v>154</v>
      </c>
      <c r="I147" s="211"/>
      <c r="J147" s="212"/>
      <c r="K147" s="168">
        <v>12</v>
      </c>
      <c r="L147" s="162">
        <v>25.3</v>
      </c>
      <c r="M147" s="215">
        <f t="shared" ref="M147:M149" si="106">L147/G147*1000</f>
        <v>130.64133016627079</v>
      </c>
      <c r="N147" s="216">
        <f t="shared" ref="N147:N149" si="107">+J147+L147</f>
        <v>25.3</v>
      </c>
      <c r="O147" s="215">
        <f t="shared" ref="O147:O149" si="108">N147/G147*1000</f>
        <v>130.64133016627079</v>
      </c>
      <c r="P147" s="217">
        <f t="shared" ref="P147:P149" si="109">G147/K147</f>
        <v>16.138333333333332</v>
      </c>
      <c r="Q147" s="71"/>
      <c r="R147" s="221"/>
      <c r="S147" s="218">
        <f t="shared" ref="S147:S149" si="110">R147/G147</f>
        <v>0</v>
      </c>
      <c r="T147" s="71"/>
      <c r="U147" s="221"/>
      <c r="V147" s="218">
        <f t="shared" ref="V147:V149" si="111">U147/G147</f>
        <v>0</v>
      </c>
      <c r="W147" s="65">
        <v>12900</v>
      </c>
      <c r="X147" s="220">
        <f t="shared" ref="X147:X149" si="112">W147/G147</f>
        <v>66.611587317979968</v>
      </c>
    </row>
    <row r="148" spans="1:24">
      <c r="A148" s="170" t="s">
        <v>410</v>
      </c>
      <c r="B148" s="47" t="s">
        <v>59</v>
      </c>
      <c r="C148" s="94" t="s">
        <v>57</v>
      </c>
      <c r="D148" s="157"/>
      <c r="E148" s="157"/>
      <c r="F148" s="12" t="s">
        <v>334</v>
      </c>
      <c r="G148" s="159"/>
      <c r="H148" s="51"/>
      <c r="I148" s="51"/>
      <c r="J148" s="50"/>
      <c r="K148" s="182"/>
      <c r="L148" s="162"/>
      <c r="M148" s="183"/>
      <c r="N148" s="184"/>
      <c r="O148" s="183"/>
      <c r="P148" s="185"/>
      <c r="Q148" s="80"/>
      <c r="R148" s="162"/>
      <c r="S148" s="188"/>
      <c r="T148" s="80"/>
      <c r="U148" s="162"/>
      <c r="V148" s="188"/>
      <c r="W148" s="189"/>
      <c r="X148" s="30"/>
    </row>
    <row r="149" spans="1:24">
      <c r="A149" s="169" t="s">
        <v>414</v>
      </c>
      <c r="B149" s="47" t="s">
        <v>59</v>
      </c>
      <c r="C149" s="94" t="s">
        <v>57</v>
      </c>
      <c r="D149" s="157" t="s">
        <v>147</v>
      </c>
      <c r="E149" s="157" t="s">
        <v>184</v>
      </c>
      <c r="F149" s="12" t="s">
        <v>417</v>
      </c>
      <c r="G149" s="159">
        <v>156.96</v>
      </c>
      <c r="H149" s="51" t="s">
        <v>154</v>
      </c>
      <c r="I149" s="51"/>
      <c r="J149" s="50"/>
      <c r="K149" s="168">
        <v>13</v>
      </c>
      <c r="L149" s="162">
        <v>23.8</v>
      </c>
      <c r="M149" s="183">
        <f t="shared" si="106"/>
        <v>151.63098878695209</v>
      </c>
      <c r="N149" s="184">
        <f t="shared" si="107"/>
        <v>23.8</v>
      </c>
      <c r="O149" s="183">
        <f t="shared" si="108"/>
        <v>151.63098878695209</v>
      </c>
      <c r="P149" s="185">
        <f t="shared" si="109"/>
        <v>12.073846153846155</v>
      </c>
      <c r="Q149" s="80"/>
      <c r="R149" s="162"/>
      <c r="S149" s="188">
        <f t="shared" si="110"/>
        <v>0</v>
      </c>
      <c r="T149" s="201">
        <v>7</v>
      </c>
      <c r="U149" s="202">
        <v>2.8</v>
      </c>
      <c r="V149" s="188">
        <f t="shared" si="111"/>
        <v>1.7838939857288478E-2</v>
      </c>
      <c r="W149" s="65">
        <v>12420</v>
      </c>
      <c r="X149" s="30">
        <f t="shared" si="112"/>
        <v>79.12844036697247</v>
      </c>
    </row>
    <row r="150" spans="1:24">
      <c r="A150" s="169" t="s">
        <v>415</v>
      </c>
      <c r="B150" s="47" t="s">
        <v>59</v>
      </c>
      <c r="C150" s="94" t="s">
        <v>57</v>
      </c>
      <c r="D150" s="157" t="s">
        <v>147</v>
      </c>
      <c r="E150" s="157" t="s">
        <v>184</v>
      </c>
      <c r="F150" s="12" t="s">
        <v>418</v>
      </c>
      <c r="G150" s="159">
        <v>152.18</v>
      </c>
      <c r="H150" s="51" t="s">
        <v>154</v>
      </c>
      <c r="I150" s="51"/>
      <c r="J150" s="50"/>
      <c r="K150" s="168">
        <v>13</v>
      </c>
      <c r="L150" s="162">
        <v>21.1</v>
      </c>
      <c r="M150" s="183">
        <f t="shared" ref="M150:M177" si="113">L150/G150*1000</f>
        <v>138.65159679327112</v>
      </c>
      <c r="N150" s="184">
        <f t="shared" ref="N150:N177" si="114">+J150+L150</f>
        <v>21.1</v>
      </c>
      <c r="O150" s="183">
        <f t="shared" ref="O150:O177" si="115">N150/G150*1000</f>
        <v>138.65159679327112</v>
      </c>
      <c r="P150" s="185">
        <f t="shared" ref="P150:P177" si="116">G150/K150</f>
        <v>11.706153846153846</v>
      </c>
      <c r="Q150" s="80"/>
      <c r="R150" s="162"/>
      <c r="S150" s="188">
        <f t="shared" ref="S150:S177" si="117">R150/G150</f>
        <v>0</v>
      </c>
      <c r="T150" s="80"/>
      <c r="U150" s="162"/>
      <c r="V150" s="188">
        <f t="shared" ref="V150:V177" si="118">U150/G150</f>
        <v>0</v>
      </c>
      <c r="W150" s="65">
        <v>11100</v>
      </c>
      <c r="X150" s="30">
        <f t="shared" ref="X150:X177" si="119">W150/G150</f>
        <v>72.939939545275323</v>
      </c>
    </row>
    <row r="151" spans="1:24">
      <c r="A151" s="169" t="s">
        <v>416</v>
      </c>
      <c r="B151" s="47" t="s">
        <v>59</v>
      </c>
      <c r="C151" s="94" t="s">
        <v>57</v>
      </c>
      <c r="D151" s="157" t="s">
        <v>147</v>
      </c>
      <c r="E151" s="157" t="s">
        <v>184</v>
      </c>
      <c r="F151" s="12" t="s">
        <v>419</v>
      </c>
      <c r="G151" s="159">
        <v>188.29</v>
      </c>
      <c r="H151" s="51" t="s">
        <v>154</v>
      </c>
      <c r="I151" s="51"/>
      <c r="J151" s="50"/>
      <c r="K151" s="168">
        <v>13</v>
      </c>
      <c r="L151" s="162">
        <v>25.5</v>
      </c>
      <c r="M151" s="183">
        <f t="shared" si="113"/>
        <v>135.42939083328909</v>
      </c>
      <c r="N151" s="184">
        <f t="shared" si="114"/>
        <v>25.5</v>
      </c>
      <c r="O151" s="183">
        <f t="shared" si="115"/>
        <v>135.42939083328909</v>
      </c>
      <c r="P151" s="185">
        <f t="shared" si="116"/>
        <v>14.483846153846153</v>
      </c>
      <c r="Q151" s="80"/>
      <c r="R151" s="162"/>
      <c r="S151" s="188">
        <f t="shared" si="117"/>
        <v>0</v>
      </c>
      <c r="T151" s="80"/>
      <c r="U151" s="162"/>
      <c r="V151" s="188">
        <f t="shared" si="118"/>
        <v>0</v>
      </c>
      <c r="W151" s="65">
        <v>12420</v>
      </c>
      <c r="X151" s="30">
        <f t="shared" si="119"/>
        <v>65.962079770566689</v>
      </c>
    </row>
    <row r="152" spans="1:24">
      <c r="A152" s="169" t="s">
        <v>422</v>
      </c>
      <c r="B152" s="47" t="s">
        <v>59</v>
      </c>
      <c r="C152" s="94" t="s">
        <v>57</v>
      </c>
      <c r="D152" s="157" t="s">
        <v>147</v>
      </c>
      <c r="E152" s="157" t="s">
        <v>184</v>
      </c>
      <c r="F152" s="12" t="s">
        <v>438</v>
      </c>
      <c r="G152" s="159">
        <v>164.905</v>
      </c>
      <c r="H152" s="51" t="s">
        <v>154</v>
      </c>
      <c r="I152" s="51"/>
      <c r="J152" s="50"/>
      <c r="K152" s="168">
        <v>13</v>
      </c>
      <c r="L152" s="162">
        <v>21.8</v>
      </c>
      <c r="M152" s="183">
        <f t="shared" si="113"/>
        <v>132.19732573299777</v>
      </c>
      <c r="N152" s="184">
        <f t="shared" si="114"/>
        <v>21.8</v>
      </c>
      <c r="O152" s="183">
        <f t="shared" si="115"/>
        <v>132.19732573299777</v>
      </c>
      <c r="P152" s="185">
        <f t="shared" si="116"/>
        <v>12.685</v>
      </c>
      <c r="Q152" s="71"/>
      <c r="R152" s="221"/>
      <c r="S152" s="188">
        <f t="shared" si="117"/>
        <v>0</v>
      </c>
      <c r="T152" s="71"/>
      <c r="U152" s="221"/>
      <c r="V152" s="188">
        <f t="shared" si="118"/>
        <v>0</v>
      </c>
      <c r="W152" s="65">
        <v>11400</v>
      </c>
      <c r="X152" s="30">
        <f t="shared" si="119"/>
        <v>69.130711621842877</v>
      </c>
    </row>
    <row r="153" spans="1:24">
      <c r="A153" s="169" t="s">
        <v>423</v>
      </c>
      <c r="B153" s="47" t="s">
        <v>59</v>
      </c>
      <c r="C153" s="94" t="s">
        <v>57</v>
      </c>
      <c r="D153" s="157" t="s">
        <v>147</v>
      </c>
      <c r="E153" s="157" t="s">
        <v>184</v>
      </c>
      <c r="F153" s="12" t="s">
        <v>426</v>
      </c>
      <c r="G153" s="159">
        <v>157.9</v>
      </c>
      <c r="H153" s="51" t="s">
        <v>154</v>
      </c>
      <c r="I153" s="51"/>
      <c r="J153" s="50"/>
      <c r="K153" s="168">
        <v>13</v>
      </c>
      <c r="L153" s="162">
        <v>21.3</v>
      </c>
      <c r="M153" s="183">
        <f t="shared" si="113"/>
        <v>134.89550348321723</v>
      </c>
      <c r="N153" s="184">
        <f t="shared" si="114"/>
        <v>21.3</v>
      </c>
      <c r="O153" s="183">
        <f t="shared" si="115"/>
        <v>134.89550348321723</v>
      </c>
      <c r="P153" s="185">
        <f t="shared" si="116"/>
        <v>12.146153846153847</v>
      </c>
      <c r="Q153" s="229">
        <v>5</v>
      </c>
      <c r="R153" s="230">
        <f>0.185*5</f>
        <v>0.92500000000000004</v>
      </c>
      <c r="S153" s="188">
        <f t="shared" si="117"/>
        <v>5.858138062064598E-3</v>
      </c>
      <c r="T153" s="71"/>
      <c r="U153" s="221"/>
      <c r="V153" s="188">
        <f t="shared" si="118"/>
        <v>0</v>
      </c>
      <c r="W153" s="65">
        <v>14580</v>
      </c>
      <c r="X153" s="30">
        <f t="shared" si="119"/>
        <v>92.336922102596574</v>
      </c>
    </row>
    <row r="154" spans="1:24">
      <c r="A154" s="169" t="s">
        <v>424</v>
      </c>
      <c r="B154" s="47" t="s">
        <v>59</v>
      </c>
      <c r="C154" s="94" t="s">
        <v>57</v>
      </c>
      <c r="D154" s="157" t="s">
        <v>147</v>
      </c>
      <c r="E154" s="157" t="s">
        <v>214</v>
      </c>
      <c r="F154" s="12" t="s">
        <v>439</v>
      </c>
      <c r="G154" s="159">
        <v>138.251</v>
      </c>
      <c r="H154" s="51" t="s">
        <v>449</v>
      </c>
      <c r="I154" s="51"/>
      <c r="J154" s="50"/>
      <c r="K154" s="168">
        <v>14</v>
      </c>
      <c r="L154" s="162">
        <v>23.6</v>
      </c>
      <c r="M154" s="183">
        <f t="shared" si="113"/>
        <v>170.7040093742541</v>
      </c>
      <c r="N154" s="184">
        <f t="shared" si="114"/>
        <v>23.6</v>
      </c>
      <c r="O154" s="183">
        <f t="shared" si="115"/>
        <v>170.7040093742541</v>
      </c>
      <c r="P154" s="185">
        <f t="shared" si="116"/>
        <v>9.8750714285714292</v>
      </c>
      <c r="Q154" s="71"/>
      <c r="R154" s="221"/>
      <c r="S154" s="188">
        <f t="shared" si="117"/>
        <v>0</v>
      </c>
      <c r="T154" s="71"/>
      <c r="U154" s="221"/>
      <c r="V154" s="188">
        <f t="shared" si="118"/>
        <v>0</v>
      </c>
      <c r="W154" s="65">
        <v>12600</v>
      </c>
      <c r="X154" s="30">
        <f t="shared" si="119"/>
        <v>91.138581276084793</v>
      </c>
    </row>
    <row r="155" spans="1:24">
      <c r="A155" s="169" t="s">
        <v>425</v>
      </c>
      <c r="B155" s="47" t="s">
        <v>59</v>
      </c>
      <c r="C155" s="94" t="s">
        <v>57</v>
      </c>
      <c r="D155" s="157"/>
      <c r="E155" s="157"/>
      <c r="F155" s="12" t="s">
        <v>334</v>
      </c>
      <c r="G155" s="159"/>
      <c r="H155" s="51"/>
      <c r="I155" s="51"/>
      <c r="J155" s="50"/>
      <c r="K155" s="168"/>
      <c r="L155" s="162"/>
      <c r="M155" s="183"/>
      <c r="N155" s="184"/>
      <c r="O155" s="183"/>
      <c r="P155" s="185"/>
      <c r="Q155" s="71"/>
      <c r="R155" s="221"/>
      <c r="S155" s="188"/>
      <c r="T155" s="71"/>
      <c r="U155" s="221"/>
      <c r="V155" s="188"/>
      <c r="W155" s="65"/>
      <c r="X155" s="30"/>
    </row>
    <row r="156" spans="1:24">
      <c r="A156" s="169" t="s">
        <v>427</v>
      </c>
      <c r="B156" s="47" t="s">
        <v>59</v>
      </c>
      <c r="C156" s="94" t="s">
        <v>57</v>
      </c>
      <c r="D156" s="157" t="s">
        <v>147</v>
      </c>
      <c r="E156" s="157" t="s">
        <v>150</v>
      </c>
      <c r="F156" s="12" t="s">
        <v>440</v>
      </c>
      <c r="G156" s="159">
        <v>199.56</v>
      </c>
      <c r="H156" s="51" t="s">
        <v>449</v>
      </c>
      <c r="I156" s="51"/>
      <c r="J156" s="50"/>
      <c r="K156" s="168">
        <v>12</v>
      </c>
      <c r="L156" s="162">
        <v>25.3</v>
      </c>
      <c r="M156" s="183">
        <f t="shared" si="113"/>
        <v>126.77891360994187</v>
      </c>
      <c r="N156" s="184">
        <f t="shared" si="114"/>
        <v>25.3</v>
      </c>
      <c r="O156" s="183">
        <f t="shared" si="115"/>
        <v>126.77891360994187</v>
      </c>
      <c r="P156" s="185">
        <f t="shared" si="116"/>
        <v>16.63</v>
      </c>
      <c r="Q156" s="201">
        <v>2</v>
      </c>
      <c r="R156" s="202">
        <v>0.20499999999999999</v>
      </c>
      <c r="S156" s="188">
        <f t="shared" si="117"/>
        <v>1.027259971938264E-3</v>
      </c>
      <c r="T156" s="201">
        <v>2</v>
      </c>
      <c r="U156" s="202">
        <v>0.26500000000000001</v>
      </c>
      <c r="V156" s="188">
        <f t="shared" si="118"/>
        <v>1.3279214271397074E-3</v>
      </c>
      <c r="W156" s="65">
        <v>12360</v>
      </c>
      <c r="X156" s="30">
        <f t="shared" si="119"/>
        <v>61.936259771497291</v>
      </c>
    </row>
    <row r="157" spans="1:24">
      <c r="A157" s="169" t="s">
        <v>428</v>
      </c>
      <c r="B157" s="47" t="s">
        <v>59</v>
      </c>
      <c r="C157" s="94" t="s">
        <v>57</v>
      </c>
      <c r="D157" s="157" t="s">
        <v>147</v>
      </c>
      <c r="E157" s="157" t="s">
        <v>259</v>
      </c>
      <c r="F157" s="12" t="s">
        <v>441</v>
      </c>
      <c r="G157" s="159">
        <v>132.76499999999999</v>
      </c>
      <c r="H157" s="51" t="s">
        <v>449</v>
      </c>
      <c r="I157" s="51"/>
      <c r="J157" s="50"/>
      <c r="K157" s="168">
        <v>11</v>
      </c>
      <c r="L157" s="162">
        <v>17.7</v>
      </c>
      <c r="M157" s="183">
        <f t="shared" si="113"/>
        <v>133.3182691221331</v>
      </c>
      <c r="N157" s="184">
        <f t="shared" si="114"/>
        <v>17.7</v>
      </c>
      <c r="O157" s="183">
        <f t="shared" si="115"/>
        <v>133.3182691221331</v>
      </c>
      <c r="P157" s="185">
        <f t="shared" si="116"/>
        <v>12.069545454545453</v>
      </c>
      <c r="Q157" s="71"/>
      <c r="R157" s="221"/>
      <c r="S157" s="188">
        <f t="shared" si="117"/>
        <v>0</v>
      </c>
      <c r="T157" s="201">
        <v>1</v>
      </c>
      <c r="U157" s="202">
        <v>0.23200000000000001</v>
      </c>
      <c r="V157" s="188">
        <f t="shared" si="118"/>
        <v>1.7474484992279595E-3</v>
      </c>
      <c r="W157" s="65">
        <v>12240</v>
      </c>
      <c r="X157" s="30">
        <f t="shared" si="119"/>
        <v>92.192972545475101</v>
      </c>
    </row>
    <row r="158" spans="1:24">
      <c r="A158" s="169" t="s">
        <v>429</v>
      </c>
      <c r="B158" s="47" t="s">
        <v>59</v>
      </c>
      <c r="C158" s="94" t="s">
        <v>57</v>
      </c>
      <c r="D158" s="157" t="s">
        <v>147</v>
      </c>
      <c r="E158" s="157" t="s">
        <v>150</v>
      </c>
      <c r="F158" s="12" t="s">
        <v>442</v>
      </c>
      <c r="G158" s="159">
        <v>187.405</v>
      </c>
      <c r="H158" s="51" t="s">
        <v>449</v>
      </c>
      <c r="I158" s="51"/>
      <c r="J158" s="50"/>
      <c r="K158" s="168">
        <v>12</v>
      </c>
      <c r="L158" s="162">
        <v>22.9</v>
      </c>
      <c r="M158" s="183">
        <f t="shared" si="113"/>
        <v>122.19524559109948</v>
      </c>
      <c r="N158" s="184">
        <f t="shared" si="114"/>
        <v>22.9</v>
      </c>
      <c r="O158" s="183">
        <f t="shared" si="115"/>
        <v>122.19524559109948</v>
      </c>
      <c r="P158" s="185">
        <f t="shared" si="116"/>
        <v>15.617083333333333</v>
      </c>
      <c r="Q158" s="112">
        <v>2</v>
      </c>
      <c r="R158" s="231">
        <f>0.388+0.388</f>
        <v>0.77600000000000002</v>
      </c>
      <c r="S158" s="188">
        <f t="shared" si="117"/>
        <v>4.1407646540914068E-3</v>
      </c>
      <c r="T158" s="71"/>
      <c r="U158" s="221"/>
      <c r="V158" s="188">
        <f t="shared" si="118"/>
        <v>0</v>
      </c>
      <c r="W158" s="65">
        <v>15240</v>
      </c>
      <c r="X158" s="30">
        <f t="shared" si="119"/>
        <v>81.321202742722974</v>
      </c>
    </row>
    <row r="159" spans="1:24">
      <c r="A159" s="169" t="s">
        <v>430</v>
      </c>
      <c r="B159" s="47" t="s">
        <v>59</v>
      </c>
      <c r="C159" s="94" t="s">
        <v>57</v>
      </c>
      <c r="D159" s="157" t="s">
        <v>437</v>
      </c>
      <c r="E159" s="157" t="s">
        <v>184</v>
      </c>
      <c r="F159" s="12" t="s">
        <v>443</v>
      </c>
      <c r="G159" s="159">
        <v>142.11600000000001</v>
      </c>
      <c r="H159" s="51" t="s">
        <v>450</v>
      </c>
      <c r="I159" s="51"/>
      <c r="J159" s="50"/>
      <c r="K159" s="168">
        <v>10</v>
      </c>
      <c r="L159" s="162">
        <v>20.2</v>
      </c>
      <c r="M159" s="183">
        <f t="shared" si="113"/>
        <v>142.13740887725518</v>
      </c>
      <c r="N159" s="184">
        <f t="shared" si="114"/>
        <v>20.2</v>
      </c>
      <c r="O159" s="183">
        <f t="shared" si="115"/>
        <v>142.13740887725518</v>
      </c>
      <c r="P159" s="185">
        <f t="shared" si="116"/>
        <v>14.211600000000001</v>
      </c>
      <c r="Q159" s="201">
        <v>1</v>
      </c>
      <c r="R159" s="202">
        <v>0.29499999999999998</v>
      </c>
      <c r="S159" s="188">
        <f t="shared" si="117"/>
        <v>2.0757690900391227E-3</v>
      </c>
      <c r="T159" s="71"/>
      <c r="U159" s="221"/>
      <c r="V159" s="188">
        <f t="shared" si="118"/>
        <v>0</v>
      </c>
      <c r="W159" s="65">
        <v>11280</v>
      </c>
      <c r="X159" s="30">
        <f t="shared" si="119"/>
        <v>79.371780798784087</v>
      </c>
    </row>
    <row r="160" spans="1:24">
      <c r="A160" s="169" t="s">
        <v>431</v>
      </c>
      <c r="B160" s="47" t="s">
        <v>59</v>
      </c>
      <c r="C160" s="94" t="s">
        <v>57</v>
      </c>
      <c r="D160" s="157" t="s">
        <v>149</v>
      </c>
      <c r="E160" s="157" t="s">
        <v>184</v>
      </c>
      <c r="F160" s="12" t="s">
        <v>444</v>
      </c>
      <c r="G160" s="159">
        <v>124.59</v>
      </c>
      <c r="H160" s="51" t="s">
        <v>450</v>
      </c>
      <c r="I160" s="51"/>
      <c r="J160" s="50"/>
      <c r="K160" s="168">
        <v>12</v>
      </c>
      <c r="L160" s="162">
        <v>18.600000000000001</v>
      </c>
      <c r="M160" s="183">
        <f t="shared" si="113"/>
        <v>149.28967011798699</v>
      </c>
      <c r="N160" s="184">
        <f t="shared" si="114"/>
        <v>18.600000000000001</v>
      </c>
      <c r="O160" s="183">
        <f t="shared" si="115"/>
        <v>149.28967011798699</v>
      </c>
      <c r="P160" s="185">
        <f t="shared" si="116"/>
        <v>10.3825</v>
      </c>
      <c r="Q160" s="228">
        <v>2</v>
      </c>
      <c r="R160" s="225">
        <f>0.214+0.214</f>
        <v>0.42799999999999999</v>
      </c>
      <c r="S160" s="188">
        <f t="shared" si="117"/>
        <v>3.4352676779837868E-3</v>
      </c>
      <c r="T160" s="71"/>
      <c r="U160" s="221"/>
      <c r="V160" s="188">
        <f t="shared" si="118"/>
        <v>0</v>
      </c>
      <c r="W160" s="65">
        <v>12240</v>
      </c>
      <c r="X160" s="30">
        <f t="shared" si="119"/>
        <v>98.242234529255953</v>
      </c>
    </row>
    <row r="161" spans="1:24">
      <c r="A161" s="169" t="s">
        <v>432</v>
      </c>
      <c r="B161" s="47" t="s">
        <v>59</v>
      </c>
      <c r="C161" s="94" t="s">
        <v>57</v>
      </c>
      <c r="D161" s="157"/>
      <c r="E161" s="157"/>
      <c r="F161" s="12" t="s">
        <v>445</v>
      </c>
      <c r="G161" s="159"/>
      <c r="H161" s="51"/>
      <c r="I161" s="51"/>
      <c r="J161" s="50"/>
      <c r="K161" s="168"/>
      <c r="L161" s="162"/>
      <c r="M161" s="183"/>
      <c r="N161" s="184"/>
      <c r="O161" s="183"/>
      <c r="P161" s="185"/>
      <c r="Q161" s="71"/>
      <c r="R161" s="221"/>
      <c r="S161" s="188"/>
      <c r="T161" s="71"/>
      <c r="U161" s="221"/>
      <c r="V161" s="188"/>
      <c r="W161" s="65"/>
      <c r="X161" s="30"/>
    </row>
    <row r="162" spans="1:24">
      <c r="A162" s="169" t="s">
        <v>433</v>
      </c>
      <c r="B162" s="47" t="s">
        <v>59</v>
      </c>
      <c r="C162" s="94" t="s">
        <v>57</v>
      </c>
      <c r="D162" s="157"/>
      <c r="E162" s="157"/>
      <c r="F162" s="12" t="s">
        <v>167</v>
      </c>
      <c r="G162" s="159"/>
      <c r="H162" s="51"/>
      <c r="I162" s="51"/>
      <c r="J162" s="50"/>
      <c r="K162" s="168"/>
      <c r="L162" s="162"/>
      <c r="M162" s="183"/>
      <c r="N162" s="184"/>
      <c r="O162" s="183"/>
      <c r="P162" s="185"/>
      <c r="Q162" s="71"/>
      <c r="R162" s="221"/>
      <c r="S162" s="188"/>
      <c r="T162" s="71"/>
      <c r="U162" s="221"/>
      <c r="V162" s="188"/>
      <c r="W162" s="65"/>
      <c r="X162" s="30"/>
    </row>
    <row r="163" spans="1:24">
      <c r="A163" s="169" t="s">
        <v>434</v>
      </c>
      <c r="B163" s="47" t="s">
        <v>59</v>
      </c>
      <c r="C163" s="94" t="s">
        <v>57</v>
      </c>
      <c r="D163" s="157" t="s">
        <v>387</v>
      </c>
      <c r="E163" s="157" t="s">
        <v>197</v>
      </c>
      <c r="F163" s="12" t="s">
        <v>446</v>
      </c>
      <c r="G163" s="159">
        <v>78.748000000000005</v>
      </c>
      <c r="H163" s="51" t="s">
        <v>450</v>
      </c>
      <c r="I163" s="51"/>
      <c r="J163" s="50"/>
      <c r="K163" s="168">
        <v>6</v>
      </c>
      <c r="L163" s="162">
        <v>12.1</v>
      </c>
      <c r="M163" s="183">
        <f t="shared" si="113"/>
        <v>153.65469599227916</v>
      </c>
      <c r="N163" s="184">
        <f t="shared" si="114"/>
        <v>12.1</v>
      </c>
      <c r="O163" s="183">
        <f t="shared" si="115"/>
        <v>153.65469599227916</v>
      </c>
      <c r="P163" s="185">
        <f t="shared" si="116"/>
        <v>13.124666666666668</v>
      </c>
      <c r="Q163" s="201">
        <v>2</v>
      </c>
      <c r="R163" s="202">
        <f>0.257+0.257</f>
        <v>0.51400000000000001</v>
      </c>
      <c r="S163" s="188">
        <f t="shared" si="117"/>
        <v>6.5271498958703713E-3</v>
      </c>
      <c r="T163" s="71">
        <v>6</v>
      </c>
      <c r="U163" s="221">
        <v>1.4630000000000001</v>
      </c>
      <c r="V163" s="188">
        <f t="shared" si="118"/>
        <v>1.857824960633921E-2</v>
      </c>
      <c r="W163" s="65">
        <v>7440</v>
      </c>
      <c r="X163" s="30">
        <f t="shared" si="119"/>
        <v>94.478589932442716</v>
      </c>
    </row>
    <row r="164" spans="1:24">
      <c r="A164" s="169" t="s">
        <v>435</v>
      </c>
      <c r="B164" s="47" t="s">
        <v>59</v>
      </c>
      <c r="C164" s="94" t="s">
        <v>57</v>
      </c>
      <c r="D164" s="157" t="s">
        <v>147</v>
      </c>
      <c r="E164" s="157" t="s">
        <v>388</v>
      </c>
      <c r="F164" s="12" t="s">
        <v>447</v>
      </c>
      <c r="G164" s="159">
        <v>50.478999999999999</v>
      </c>
      <c r="H164" s="51" t="s">
        <v>450</v>
      </c>
      <c r="I164" s="51"/>
      <c r="J164" s="50"/>
      <c r="K164" s="168">
        <v>6</v>
      </c>
      <c r="L164" s="162">
        <v>7.2</v>
      </c>
      <c r="M164" s="183">
        <f t="shared" si="113"/>
        <v>142.63357039561006</v>
      </c>
      <c r="N164" s="184">
        <f t="shared" si="114"/>
        <v>7.2</v>
      </c>
      <c r="O164" s="183">
        <f t="shared" si="115"/>
        <v>142.63357039561006</v>
      </c>
      <c r="P164" s="185">
        <f t="shared" si="116"/>
        <v>8.4131666666666671</v>
      </c>
      <c r="Q164" s="71"/>
      <c r="R164" s="221"/>
      <c r="S164" s="188">
        <f t="shared" si="117"/>
        <v>0</v>
      </c>
      <c r="T164" s="71"/>
      <c r="U164" s="221"/>
      <c r="V164" s="188">
        <f t="shared" si="118"/>
        <v>0</v>
      </c>
      <c r="W164" s="65">
        <v>5220</v>
      </c>
      <c r="X164" s="30">
        <f t="shared" si="119"/>
        <v>103.40933853681729</v>
      </c>
    </row>
    <row r="165" spans="1:24">
      <c r="A165" s="169" t="s">
        <v>436</v>
      </c>
      <c r="B165" s="47" t="s">
        <v>59</v>
      </c>
      <c r="C165" s="94" t="s">
        <v>57</v>
      </c>
      <c r="D165" s="157" t="s">
        <v>147</v>
      </c>
      <c r="E165" s="157" t="s">
        <v>150</v>
      </c>
      <c r="F165" s="12" t="s">
        <v>448</v>
      </c>
      <c r="G165" s="159">
        <v>139.91</v>
      </c>
      <c r="H165" s="51" t="s">
        <v>451</v>
      </c>
      <c r="I165" s="51"/>
      <c r="J165" s="50"/>
      <c r="K165" s="168">
        <v>12</v>
      </c>
      <c r="L165" s="162">
        <v>20.100000000000001</v>
      </c>
      <c r="M165" s="183">
        <f t="shared" si="113"/>
        <v>143.66378386105356</v>
      </c>
      <c r="N165" s="184">
        <f t="shared" si="114"/>
        <v>20.100000000000001</v>
      </c>
      <c r="O165" s="183">
        <f t="shared" si="115"/>
        <v>143.66378386105356</v>
      </c>
      <c r="P165" s="185">
        <f t="shared" si="116"/>
        <v>11.659166666666666</v>
      </c>
      <c r="Q165" s="201">
        <v>1</v>
      </c>
      <c r="R165" s="202">
        <v>0.79500000000000004</v>
      </c>
      <c r="S165" s="188">
        <f t="shared" si="117"/>
        <v>5.6822242870416704E-3</v>
      </c>
      <c r="T165" s="71"/>
      <c r="U165" s="221"/>
      <c r="V165" s="188">
        <f t="shared" si="118"/>
        <v>0</v>
      </c>
      <c r="W165" s="65">
        <v>9540</v>
      </c>
      <c r="X165" s="30">
        <f t="shared" si="119"/>
        <v>68.186691444500042</v>
      </c>
    </row>
    <row r="166" spans="1:24">
      <c r="A166" s="170" t="s">
        <v>456</v>
      </c>
      <c r="B166" s="47" t="s">
        <v>59</v>
      </c>
      <c r="C166" s="94" t="s">
        <v>57</v>
      </c>
      <c r="D166" s="157" t="s">
        <v>147</v>
      </c>
      <c r="E166" s="157" t="s">
        <v>184</v>
      </c>
      <c r="F166" s="12" t="s">
        <v>457</v>
      </c>
      <c r="G166" s="159">
        <v>178.16</v>
      </c>
      <c r="H166" s="51" t="s">
        <v>458</v>
      </c>
      <c r="I166" s="51"/>
      <c r="J166" s="50"/>
      <c r="K166" s="168">
        <v>13</v>
      </c>
      <c r="L166" s="162">
        <v>23.8</v>
      </c>
      <c r="M166" s="183">
        <f t="shared" si="113"/>
        <v>133.58778625954199</v>
      </c>
      <c r="N166" s="184">
        <f t="shared" si="114"/>
        <v>23.8</v>
      </c>
      <c r="O166" s="183">
        <f t="shared" si="115"/>
        <v>133.58778625954199</v>
      </c>
      <c r="P166" s="185">
        <f t="shared" si="116"/>
        <v>13.704615384615384</v>
      </c>
      <c r="Q166" s="71">
        <v>7</v>
      </c>
      <c r="R166" s="221">
        <v>4.3879999999999999</v>
      </c>
      <c r="S166" s="188">
        <f t="shared" si="117"/>
        <v>2.4629546475078579E-2</v>
      </c>
      <c r="T166" s="80"/>
      <c r="U166" s="162"/>
      <c r="V166" s="188">
        <f t="shared" si="118"/>
        <v>0</v>
      </c>
      <c r="W166" s="65">
        <v>12120</v>
      </c>
      <c r="X166" s="30">
        <f t="shared" si="119"/>
        <v>68.028738212842384</v>
      </c>
    </row>
    <row r="167" spans="1:24">
      <c r="A167" s="170" t="s">
        <v>459</v>
      </c>
      <c r="B167" s="47" t="s">
        <v>59</v>
      </c>
      <c r="C167" s="94" t="s">
        <v>57</v>
      </c>
      <c r="D167" s="157" t="s">
        <v>147</v>
      </c>
      <c r="E167" s="157" t="s">
        <v>150</v>
      </c>
      <c r="F167" s="12" t="s">
        <v>460</v>
      </c>
      <c r="G167" s="159">
        <v>202.11</v>
      </c>
      <c r="H167" s="51" t="s">
        <v>458</v>
      </c>
      <c r="I167" s="51"/>
      <c r="J167" s="50"/>
      <c r="K167" s="168">
        <v>12</v>
      </c>
      <c r="L167" s="162">
        <v>25.6</v>
      </c>
      <c r="M167" s="183">
        <f t="shared" si="113"/>
        <v>126.66369798624511</v>
      </c>
      <c r="N167" s="184">
        <f t="shared" si="114"/>
        <v>25.6</v>
      </c>
      <c r="O167" s="183">
        <f t="shared" si="115"/>
        <v>126.66369798624511</v>
      </c>
      <c r="P167" s="185">
        <f t="shared" si="116"/>
        <v>16.842500000000001</v>
      </c>
      <c r="Q167" s="80"/>
      <c r="R167" s="162"/>
      <c r="S167" s="188">
        <f t="shared" si="117"/>
        <v>0</v>
      </c>
      <c r="T167" s="80"/>
      <c r="U167" s="162"/>
      <c r="V167" s="188">
        <f t="shared" si="118"/>
        <v>0</v>
      </c>
      <c r="W167" s="65">
        <v>12840</v>
      </c>
      <c r="X167" s="30">
        <f t="shared" si="119"/>
        <v>63.529761021226058</v>
      </c>
    </row>
    <row r="168" spans="1:24">
      <c r="A168" s="170" t="s">
        <v>461</v>
      </c>
      <c r="B168" s="47" t="s">
        <v>59</v>
      </c>
      <c r="C168" s="94" t="s">
        <v>57</v>
      </c>
      <c r="D168" s="157" t="s">
        <v>147</v>
      </c>
      <c r="E168" s="157" t="s">
        <v>173</v>
      </c>
      <c r="F168" s="12" t="s">
        <v>462</v>
      </c>
      <c r="G168" s="159">
        <v>157.4</v>
      </c>
      <c r="H168" s="51" t="s">
        <v>458</v>
      </c>
      <c r="I168" s="51"/>
      <c r="J168" s="50"/>
      <c r="K168" s="168">
        <v>10</v>
      </c>
      <c r="L168" s="162">
        <v>19.8</v>
      </c>
      <c r="M168" s="183">
        <f t="shared" si="113"/>
        <v>125.79415501905972</v>
      </c>
      <c r="N168" s="184">
        <f t="shared" si="114"/>
        <v>19.8</v>
      </c>
      <c r="O168" s="183">
        <f t="shared" si="115"/>
        <v>125.79415501905972</v>
      </c>
      <c r="P168" s="185">
        <f t="shared" si="116"/>
        <v>15.74</v>
      </c>
      <c r="Q168" s="80"/>
      <c r="R168" s="162"/>
      <c r="S168" s="188">
        <f t="shared" si="117"/>
        <v>0</v>
      </c>
      <c r="T168" s="80"/>
      <c r="U168" s="162"/>
      <c r="V168" s="188">
        <f t="shared" si="118"/>
        <v>0</v>
      </c>
      <c r="W168" s="65">
        <v>9960</v>
      </c>
      <c r="X168" s="30">
        <f t="shared" si="119"/>
        <v>63.278271918678527</v>
      </c>
    </row>
    <row r="169" spans="1:24">
      <c r="A169" s="169" t="s">
        <v>463</v>
      </c>
      <c r="B169" s="47" t="s">
        <v>59</v>
      </c>
      <c r="C169" s="94" t="s">
        <v>57</v>
      </c>
      <c r="D169" s="157"/>
      <c r="E169" s="157"/>
      <c r="F169" s="12" t="s">
        <v>167</v>
      </c>
      <c r="G169" s="159"/>
      <c r="H169" s="51"/>
      <c r="I169" s="51"/>
      <c r="J169" s="50"/>
      <c r="K169" s="168"/>
      <c r="L169" s="162"/>
      <c r="M169" s="183"/>
      <c r="N169" s="184"/>
      <c r="O169" s="183"/>
      <c r="P169" s="185"/>
      <c r="Q169" s="71"/>
      <c r="R169" s="221"/>
      <c r="S169" s="188"/>
      <c r="T169" s="71"/>
      <c r="U169" s="221"/>
      <c r="V169" s="188"/>
      <c r="W169" s="65"/>
      <c r="X169" s="30"/>
    </row>
    <row r="170" spans="1:24">
      <c r="A170" s="170" t="s">
        <v>464</v>
      </c>
      <c r="B170" s="47" t="s">
        <v>59</v>
      </c>
      <c r="C170" s="94" t="s">
        <v>57</v>
      </c>
      <c r="D170" s="157" t="s">
        <v>147</v>
      </c>
      <c r="E170" s="157" t="s">
        <v>184</v>
      </c>
      <c r="F170" s="12" t="s">
        <v>465</v>
      </c>
      <c r="G170" s="159">
        <v>172.98</v>
      </c>
      <c r="H170" s="51" t="s">
        <v>449</v>
      </c>
      <c r="I170" s="51"/>
      <c r="J170" s="50"/>
      <c r="K170" s="168">
        <v>13</v>
      </c>
      <c r="L170" s="162">
        <v>21.7</v>
      </c>
      <c r="M170" s="183">
        <f t="shared" si="113"/>
        <v>125.44802867383511</v>
      </c>
      <c r="N170" s="184">
        <f t="shared" si="114"/>
        <v>21.7</v>
      </c>
      <c r="O170" s="183">
        <f t="shared" si="115"/>
        <v>125.44802867383511</v>
      </c>
      <c r="P170" s="185">
        <f t="shared" si="116"/>
        <v>13.306153846153846</v>
      </c>
      <c r="Q170" s="71">
        <v>5</v>
      </c>
      <c r="R170" s="221">
        <v>1.2250000000000001</v>
      </c>
      <c r="S170" s="188">
        <f t="shared" si="117"/>
        <v>7.081743554168113E-3</v>
      </c>
      <c r="T170" s="80"/>
      <c r="U170" s="162"/>
      <c r="V170" s="188">
        <f t="shared" si="118"/>
        <v>0</v>
      </c>
      <c r="W170" s="65">
        <v>13560</v>
      </c>
      <c r="X170" s="30">
        <f t="shared" si="119"/>
        <v>78.390565383281313</v>
      </c>
    </row>
    <row r="171" spans="1:24">
      <c r="A171" s="170" t="s">
        <v>466</v>
      </c>
      <c r="B171" s="47" t="s">
        <v>59</v>
      </c>
      <c r="C171" s="94" t="s">
        <v>57</v>
      </c>
      <c r="D171" s="157" t="s">
        <v>188</v>
      </c>
      <c r="E171" s="157" t="s">
        <v>214</v>
      </c>
      <c r="F171" s="12" t="s">
        <v>468</v>
      </c>
      <c r="G171" s="159">
        <v>234.5</v>
      </c>
      <c r="H171" s="51" t="s">
        <v>469</v>
      </c>
      <c r="I171" s="51"/>
      <c r="J171" s="50"/>
      <c r="K171" s="168">
        <v>15</v>
      </c>
      <c r="L171" s="162">
        <v>28.9</v>
      </c>
      <c r="M171" s="183">
        <f t="shared" si="113"/>
        <v>123.2409381663113</v>
      </c>
      <c r="N171" s="184">
        <f t="shared" si="114"/>
        <v>28.9</v>
      </c>
      <c r="O171" s="183">
        <f t="shared" si="115"/>
        <v>123.2409381663113</v>
      </c>
      <c r="P171" s="185">
        <f t="shared" si="116"/>
        <v>15.633333333333333</v>
      </c>
      <c r="Q171" s="71">
        <v>3</v>
      </c>
      <c r="R171" s="221">
        <v>1.6020000000000001</v>
      </c>
      <c r="S171" s="188">
        <f t="shared" si="117"/>
        <v>6.8315565031982946E-3</v>
      </c>
      <c r="T171" s="71">
        <v>3</v>
      </c>
      <c r="U171" s="221">
        <v>1.6020000000000001</v>
      </c>
      <c r="V171" s="188">
        <f t="shared" si="118"/>
        <v>6.8315565031982946E-3</v>
      </c>
      <c r="W171" s="65">
        <v>16020</v>
      </c>
      <c r="X171" s="30">
        <f t="shared" si="119"/>
        <v>68.315565031982942</v>
      </c>
    </row>
    <row r="172" spans="1:24">
      <c r="A172" s="170" t="s">
        <v>467</v>
      </c>
      <c r="B172" s="47" t="s">
        <v>59</v>
      </c>
      <c r="C172" s="94" t="s">
        <v>57</v>
      </c>
      <c r="D172" s="157" t="s">
        <v>147</v>
      </c>
      <c r="E172" s="157" t="s">
        <v>184</v>
      </c>
      <c r="F172" s="12" t="s">
        <v>470</v>
      </c>
      <c r="G172" s="159">
        <v>191.85</v>
      </c>
      <c r="H172" s="51" t="s">
        <v>471</v>
      </c>
      <c r="I172" s="51"/>
      <c r="J172" s="50"/>
      <c r="K172" s="168">
        <v>13</v>
      </c>
      <c r="L172" s="162">
        <v>24.1</v>
      </c>
      <c r="M172" s="183">
        <f t="shared" si="113"/>
        <v>125.61897315611157</v>
      </c>
      <c r="N172" s="184">
        <f t="shared" si="114"/>
        <v>24.1</v>
      </c>
      <c r="O172" s="183">
        <f t="shared" si="115"/>
        <v>125.61897315611157</v>
      </c>
      <c r="P172" s="185">
        <f t="shared" si="116"/>
        <v>14.757692307692308</v>
      </c>
      <c r="Q172" s="71">
        <v>1</v>
      </c>
      <c r="R172" s="221">
        <v>0.38200000000000001</v>
      </c>
      <c r="S172" s="188">
        <f t="shared" si="117"/>
        <v>1.9911389106072454E-3</v>
      </c>
      <c r="T172" s="71">
        <v>1</v>
      </c>
      <c r="U172" s="221">
        <v>0.38200000000000001</v>
      </c>
      <c r="V172" s="188">
        <f t="shared" si="118"/>
        <v>1.9911389106072454E-3</v>
      </c>
      <c r="W172" s="65">
        <v>14220</v>
      </c>
      <c r="X172" s="30">
        <f t="shared" si="119"/>
        <v>74.120406567630965</v>
      </c>
    </row>
    <row r="173" spans="1:24">
      <c r="A173" s="170" t="s">
        <v>472</v>
      </c>
      <c r="B173" s="47" t="s">
        <v>59</v>
      </c>
      <c r="C173" s="94" t="s">
        <v>57</v>
      </c>
      <c r="D173" s="157" t="s">
        <v>147</v>
      </c>
      <c r="E173" s="157" t="s">
        <v>150</v>
      </c>
      <c r="F173" s="12" t="s">
        <v>473</v>
      </c>
      <c r="G173" s="159">
        <v>144.29499999999999</v>
      </c>
      <c r="H173" s="51" t="s">
        <v>474</v>
      </c>
      <c r="I173" s="51"/>
      <c r="J173" s="50"/>
      <c r="K173" s="168">
        <v>12</v>
      </c>
      <c r="L173" s="162">
        <v>18.3</v>
      </c>
      <c r="M173" s="183">
        <f t="shared" si="113"/>
        <v>126.82352125853288</v>
      </c>
      <c r="N173" s="184">
        <f t="shared" si="114"/>
        <v>18.3</v>
      </c>
      <c r="O173" s="183">
        <f t="shared" si="115"/>
        <v>126.82352125853288</v>
      </c>
      <c r="P173" s="185">
        <f t="shared" si="116"/>
        <v>12.024583333333332</v>
      </c>
      <c r="Q173" s="80"/>
      <c r="R173" s="162"/>
      <c r="S173" s="188">
        <f t="shared" si="117"/>
        <v>0</v>
      </c>
      <c r="T173" s="80"/>
      <c r="U173" s="162"/>
      <c r="V173" s="188">
        <f t="shared" si="118"/>
        <v>0</v>
      </c>
      <c r="W173" s="65">
        <v>14760</v>
      </c>
      <c r="X173" s="30">
        <f t="shared" si="119"/>
        <v>102.29044665442323</v>
      </c>
    </row>
    <row r="174" spans="1:24">
      <c r="A174" s="170" t="s">
        <v>475</v>
      </c>
      <c r="B174" s="47" t="s">
        <v>59</v>
      </c>
      <c r="C174" s="94" t="s">
        <v>57</v>
      </c>
      <c r="D174" s="157" t="s">
        <v>147</v>
      </c>
      <c r="E174" s="157" t="s">
        <v>150</v>
      </c>
      <c r="F174" s="12" t="s">
        <v>476</v>
      </c>
      <c r="G174" s="159">
        <v>161.76</v>
      </c>
      <c r="H174" s="51" t="s">
        <v>474</v>
      </c>
      <c r="I174" s="51"/>
      <c r="J174" s="50"/>
      <c r="K174" s="168">
        <v>12</v>
      </c>
      <c r="L174" s="162">
        <v>19.899999999999999</v>
      </c>
      <c r="M174" s="183">
        <f t="shared" si="113"/>
        <v>123.02176063303659</v>
      </c>
      <c r="N174" s="184">
        <f t="shared" si="114"/>
        <v>19.899999999999999</v>
      </c>
      <c r="O174" s="183">
        <f t="shared" si="115"/>
        <v>123.02176063303659</v>
      </c>
      <c r="P174" s="185">
        <f t="shared" si="116"/>
        <v>13.479999999999999</v>
      </c>
      <c r="Q174" s="80"/>
      <c r="R174" s="162"/>
      <c r="S174" s="188">
        <f t="shared" si="117"/>
        <v>0</v>
      </c>
      <c r="T174" s="80"/>
      <c r="U174" s="162"/>
      <c r="V174" s="188">
        <f t="shared" si="118"/>
        <v>0</v>
      </c>
      <c r="W174" s="65">
        <v>14508</v>
      </c>
      <c r="X174" s="30">
        <f t="shared" si="119"/>
        <v>89.688427299703264</v>
      </c>
    </row>
    <row r="175" spans="1:24">
      <c r="A175" s="170" t="s">
        <v>477</v>
      </c>
      <c r="B175" s="47" t="s">
        <v>59</v>
      </c>
      <c r="C175" s="94" t="s">
        <v>57</v>
      </c>
      <c r="D175" s="157" t="s">
        <v>149</v>
      </c>
      <c r="E175" s="157" t="s">
        <v>382</v>
      </c>
      <c r="F175" s="12" t="s">
        <v>480</v>
      </c>
      <c r="G175" s="159">
        <v>150.88</v>
      </c>
      <c r="H175" s="51" t="s">
        <v>474</v>
      </c>
      <c r="I175" s="51"/>
      <c r="J175" s="50"/>
      <c r="K175" s="168">
        <v>14</v>
      </c>
      <c r="L175" s="162">
        <v>20.3</v>
      </c>
      <c r="M175" s="183">
        <f t="shared" si="113"/>
        <v>134.54400848356309</v>
      </c>
      <c r="N175" s="184">
        <f t="shared" si="114"/>
        <v>20.3</v>
      </c>
      <c r="O175" s="183">
        <f t="shared" si="115"/>
        <v>134.54400848356309</v>
      </c>
      <c r="P175" s="185">
        <f t="shared" si="116"/>
        <v>10.777142857142858</v>
      </c>
      <c r="Q175" s="71">
        <v>1</v>
      </c>
      <c r="R175" s="221">
        <v>0.19400000000000001</v>
      </c>
      <c r="S175" s="188">
        <f t="shared" si="117"/>
        <v>1.2857900318133616E-3</v>
      </c>
      <c r="T175" s="71">
        <v>2</v>
      </c>
      <c r="U175" s="221">
        <v>0.371</v>
      </c>
      <c r="V175" s="188">
        <f t="shared" si="118"/>
        <v>2.4589077412513257E-3</v>
      </c>
      <c r="W175" s="65">
        <v>15420</v>
      </c>
      <c r="X175" s="30">
        <f t="shared" si="119"/>
        <v>102.20042417815483</v>
      </c>
    </row>
    <row r="176" spans="1:24">
      <c r="A176" s="170" t="s">
        <v>478</v>
      </c>
      <c r="B176" s="47" t="s">
        <v>59</v>
      </c>
      <c r="C176" s="94" t="s">
        <v>57</v>
      </c>
      <c r="D176" s="157"/>
      <c r="E176" s="157"/>
      <c r="F176" s="12" t="s">
        <v>167</v>
      </c>
      <c r="G176" s="159"/>
      <c r="H176" s="51"/>
      <c r="I176" s="51"/>
      <c r="J176" s="50"/>
      <c r="K176" s="168"/>
      <c r="L176" s="162"/>
      <c r="M176" s="183"/>
      <c r="N176" s="184"/>
      <c r="O176" s="183"/>
      <c r="P176" s="185"/>
      <c r="Q176" s="71"/>
      <c r="R176" s="221"/>
      <c r="S176" s="188"/>
      <c r="T176" s="71"/>
      <c r="U176" s="221"/>
      <c r="V176" s="188"/>
      <c r="W176" s="65"/>
      <c r="X176" s="30"/>
    </row>
    <row r="177" spans="1:24">
      <c r="A177" s="170" t="s">
        <v>479</v>
      </c>
      <c r="B177" s="47" t="s">
        <v>59</v>
      </c>
      <c r="C177" s="94" t="s">
        <v>57</v>
      </c>
      <c r="D177" s="157" t="s">
        <v>149</v>
      </c>
      <c r="E177" s="157" t="s">
        <v>481</v>
      </c>
      <c r="F177" s="12" t="s">
        <v>482</v>
      </c>
      <c r="G177" s="159">
        <v>222.5</v>
      </c>
      <c r="H177" s="51" t="s">
        <v>458</v>
      </c>
      <c r="I177" s="51"/>
      <c r="J177" s="50"/>
      <c r="K177" s="168">
        <v>14.3</v>
      </c>
      <c r="L177" s="162">
        <v>26.8</v>
      </c>
      <c r="M177" s="183">
        <f t="shared" si="113"/>
        <v>120.44943820224719</v>
      </c>
      <c r="N177" s="184">
        <f t="shared" si="114"/>
        <v>26.8</v>
      </c>
      <c r="O177" s="183">
        <f t="shared" si="115"/>
        <v>120.44943820224719</v>
      </c>
      <c r="P177" s="185">
        <f t="shared" si="116"/>
        <v>15.559440559440558</v>
      </c>
      <c r="Q177" s="229">
        <v>1</v>
      </c>
      <c r="R177" s="230">
        <v>0.5</v>
      </c>
      <c r="S177" s="188">
        <f t="shared" si="117"/>
        <v>2.2471910112359553E-3</v>
      </c>
      <c r="T177" s="229">
        <v>3</v>
      </c>
      <c r="U177" s="230">
        <v>1.952</v>
      </c>
      <c r="V177" s="188">
        <f t="shared" si="118"/>
        <v>8.7730337078651688E-3</v>
      </c>
      <c r="W177" s="65">
        <v>15960</v>
      </c>
      <c r="X177" s="30">
        <f t="shared" si="119"/>
        <v>71.730337078651687</v>
      </c>
    </row>
    <row r="178" spans="1:24" s="10" customFormat="1">
      <c r="A178" s="135"/>
      <c r="B178" s="47"/>
      <c r="C178" s="48"/>
      <c r="D178" s="129"/>
      <c r="E178" s="129"/>
      <c r="F178" s="57"/>
      <c r="G178" s="58">
        <f>SUM(G147:G177)</f>
        <v>4024.1539999999995</v>
      </c>
      <c r="H178" s="57"/>
      <c r="I178" s="59"/>
      <c r="J178" s="58">
        <f>SUM(J147:J177)</f>
        <v>0</v>
      </c>
      <c r="K178" s="194">
        <f>SUM(K147:K177)</f>
        <v>300.3</v>
      </c>
      <c r="L178" s="195">
        <f>SUM(L147:L177)</f>
        <v>535.70000000000005</v>
      </c>
      <c r="M178" s="196">
        <f>L178/G178*1000</f>
        <v>133.12114794811532</v>
      </c>
      <c r="N178" s="195">
        <f>SUM(N147:N177)</f>
        <v>535.70000000000005</v>
      </c>
      <c r="O178" s="196">
        <f t="shared" ref="O178" si="120">N178/G178*1000</f>
        <v>133.12114794811532</v>
      </c>
      <c r="P178" s="197">
        <f>G178/K178</f>
        <v>13.400446220446218</v>
      </c>
      <c r="Q178" s="198">
        <f>SUM(Q147:Q177)</f>
        <v>33</v>
      </c>
      <c r="R178" s="195">
        <f>SUM(R147:R177)</f>
        <v>12.229000000000001</v>
      </c>
      <c r="S178" s="199">
        <f t="shared" ref="S178" si="121">R178/G178</f>
        <v>3.0388996047367974E-3</v>
      </c>
      <c r="T178" s="198">
        <f>SUM(T147:T177)</f>
        <v>25</v>
      </c>
      <c r="U178" s="195">
        <f>SUM(U147:U177)</f>
        <v>9.0670000000000002</v>
      </c>
      <c r="V178" s="199">
        <f>U178/G178</f>
        <v>2.253144387615385E-3</v>
      </c>
      <c r="W178" s="198">
        <f>SUM(W147:W177)</f>
        <v>312348</v>
      </c>
      <c r="X178" s="30">
        <f>W178/G178</f>
        <v>77.618301884073034</v>
      </c>
    </row>
    <row r="179" spans="1:24">
      <c r="A179" s="137"/>
      <c r="B179" s="65"/>
      <c r="C179" s="65"/>
      <c r="D179" s="130"/>
      <c r="E179" s="130"/>
      <c r="F179" s="65"/>
      <c r="G179" s="65"/>
      <c r="H179" s="65"/>
      <c r="I179" s="65"/>
      <c r="J179" s="66"/>
      <c r="K179" s="67"/>
      <c r="L179" s="68"/>
      <c r="M179" s="65"/>
      <c r="N179" s="66"/>
      <c r="O179" s="65"/>
      <c r="P179" s="65"/>
      <c r="Q179" s="65"/>
      <c r="R179" s="55"/>
      <c r="S179" s="56"/>
      <c r="T179" s="65"/>
      <c r="U179" s="55"/>
      <c r="V179" s="56"/>
      <c r="W179" s="93"/>
    </row>
    <row r="180" spans="1:24">
      <c r="A180" s="137"/>
      <c r="B180" s="65"/>
      <c r="C180" s="69" t="s">
        <v>52</v>
      </c>
      <c r="D180" s="130"/>
      <c r="E180" s="130"/>
      <c r="F180" s="65"/>
      <c r="G180" s="58">
        <f>+G178</f>
        <v>4024.1539999999995</v>
      </c>
      <c r="H180" s="65"/>
      <c r="I180" s="65"/>
      <c r="J180" s="58" t="e">
        <f>+#REF!+J178</f>
        <v>#REF!</v>
      </c>
      <c r="K180" s="60">
        <f t="shared" ref="K180:L180" si="122">+K178</f>
        <v>300.3</v>
      </c>
      <c r="L180" s="58">
        <f t="shared" si="122"/>
        <v>535.70000000000005</v>
      </c>
      <c r="M180" s="61">
        <f>+M178</f>
        <v>133.12114794811532</v>
      </c>
      <c r="N180" s="58">
        <f t="shared" ref="N180:P180" si="123">+N178</f>
        <v>535.70000000000005</v>
      </c>
      <c r="O180" s="61">
        <f t="shared" si="123"/>
        <v>133.12114794811532</v>
      </c>
      <c r="P180" s="62">
        <f t="shared" si="123"/>
        <v>13.400446220446218</v>
      </c>
      <c r="Q180" s="117">
        <f>+Q178</f>
        <v>33</v>
      </c>
      <c r="R180" s="63">
        <f>+R178</f>
        <v>12.229000000000001</v>
      </c>
      <c r="S180" s="64">
        <f>R180/G180</f>
        <v>3.0388996047367974E-3</v>
      </c>
      <c r="T180" s="117">
        <f>+T178</f>
        <v>25</v>
      </c>
      <c r="U180" s="63">
        <f>+U178</f>
        <v>9.0670000000000002</v>
      </c>
      <c r="V180" s="64">
        <f>U180/G180</f>
        <v>2.253144387615385E-3</v>
      </c>
      <c r="W180" s="92">
        <f>+W178</f>
        <v>312348</v>
      </c>
      <c r="X180" s="90">
        <f>W180/G180</f>
        <v>77.618301884073034</v>
      </c>
    </row>
    <row r="183" spans="1:24" ht="15.75">
      <c r="A183" s="257" t="s">
        <v>484</v>
      </c>
      <c r="B183" s="257"/>
      <c r="C183" s="257"/>
      <c r="D183" s="257"/>
      <c r="E183" s="257"/>
      <c r="F183" s="257"/>
      <c r="G183" s="257"/>
      <c r="H183" s="257"/>
      <c r="I183" s="257"/>
      <c r="J183" s="257"/>
      <c r="K183" s="257"/>
      <c r="L183" s="257"/>
      <c r="M183" s="257"/>
      <c r="N183" s="257"/>
      <c r="O183" s="257"/>
      <c r="P183" s="257"/>
      <c r="Q183" s="257"/>
      <c r="R183" s="38"/>
      <c r="S183" s="38"/>
      <c r="T183" s="116"/>
      <c r="U183" s="39"/>
      <c r="V183" s="40"/>
    </row>
    <row r="184" spans="1:24" ht="57" customHeight="1">
      <c r="A184" s="134" t="s">
        <v>0</v>
      </c>
      <c r="B184" s="1" t="s">
        <v>20</v>
      </c>
      <c r="C184" s="118" t="s">
        <v>117</v>
      </c>
      <c r="D184" s="127" t="s">
        <v>2</v>
      </c>
      <c r="E184" s="127" t="s">
        <v>3</v>
      </c>
      <c r="F184" s="1" t="s">
        <v>4</v>
      </c>
      <c r="G184" s="1" t="s">
        <v>5</v>
      </c>
      <c r="H184" s="1" t="s">
        <v>6</v>
      </c>
      <c r="I184" s="1" t="s">
        <v>7</v>
      </c>
      <c r="J184" s="1" t="s">
        <v>8</v>
      </c>
      <c r="K184" s="1" t="s">
        <v>9</v>
      </c>
      <c r="L184" s="1" t="s">
        <v>132</v>
      </c>
      <c r="M184" s="1" t="s">
        <v>133</v>
      </c>
      <c r="N184" s="2" t="s">
        <v>12</v>
      </c>
      <c r="O184" s="2" t="s">
        <v>13</v>
      </c>
      <c r="P184" s="1" t="s">
        <v>14</v>
      </c>
      <c r="Q184" s="13" t="s">
        <v>115</v>
      </c>
      <c r="R184" s="13" t="s">
        <v>21</v>
      </c>
      <c r="S184" s="13" t="s">
        <v>24</v>
      </c>
      <c r="T184" s="13" t="s">
        <v>116</v>
      </c>
      <c r="U184" s="13" t="s">
        <v>22</v>
      </c>
      <c r="V184" s="13" t="s">
        <v>23</v>
      </c>
      <c r="W184" s="88" t="s">
        <v>54</v>
      </c>
      <c r="X184" s="89" t="s">
        <v>55</v>
      </c>
    </row>
    <row r="185" spans="1:24">
      <c r="A185" s="170" t="s">
        <v>489</v>
      </c>
      <c r="B185" s="47" t="s">
        <v>59</v>
      </c>
      <c r="C185" s="94" t="s">
        <v>57</v>
      </c>
      <c r="D185" s="157" t="s">
        <v>485</v>
      </c>
      <c r="E185" s="157" t="s">
        <v>150</v>
      </c>
      <c r="F185" s="12" t="s">
        <v>486</v>
      </c>
      <c r="G185" s="159">
        <v>152.41</v>
      </c>
      <c r="H185" s="51" t="s">
        <v>458</v>
      </c>
      <c r="I185" s="51"/>
      <c r="J185" s="50"/>
      <c r="K185" s="168">
        <v>9.3000000000000007</v>
      </c>
      <c r="L185" s="162">
        <v>18.7</v>
      </c>
      <c r="M185" s="183">
        <f t="shared" ref="M185:M186" si="124">L185/G185*1000</f>
        <v>122.69536119677187</v>
      </c>
      <c r="N185" s="184">
        <f t="shared" ref="N185:N186" si="125">+J185+L185</f>
        <v>18.7</v>
      </c>
      <c r="O185" s="183">
        <f t="shared" ref="O185:O186" si="126">N185/G185*1000</f>
        <v>122.69536119677187</v>
      </c>
      <c r="P185" s="185">
        <f t="shared" ref="P185:P186" si="127">G185/K185</f>
        <v>16.388172043010751</v>
      </c>
      <c r="Q185" s="71"/>
      <c r="R185" s="221"/>
      <c r="S185" s="188">
        <f t="shared" ref="S185:S186" si="128">R185/G185</f>
        <v>0</v>
      </c>
      <c r="T185" s="71"/>
      <c r="U185" s="221"/>
      <c r="V185" s="188">
        <f t="shared" ref="V185:V186" si="129">U185/G185</f>
        <v>0</v>
      </c>
      <c r="W185" s="65">
        <v>9840</v>
      </c>
      <c r="X185" s="30">
        <f t="shared" ref="X185:X186" si="130">W185/G185</f>
        <v>64.562692736697073</v>
      </c>
    </row>
    <row r="186" spans="1:24">
      <c r="A186" s="169" t="s">
        <v>490</v>
      </c>
      <c r="B186" s="47" t="s">
        <v>59</v>
      </c>
      <c r="C186" s="94" t="s">
        <v>57</v>
      </c>
      <c r="D186" s="157" t="s">
        <v>491</v>
      </c>
      <c r="E186" s="157" t="s">
        <v>492</v>
      </c>
      <c r="F186" s="12" t="s">
        <v>493</v>
      </c>
      <c r="G186" s="159">
        <v>241.69</v>
      </c>
      <c r="H186" s="51" t="s">
        <v>458</v>
      </c>
      <c r="I186" s="51"/>
      <c r="J186" s="50"/>
      <c r="K186" s="168">
        <v>15</v>
      </c>
      <c r="L186" s="162">
        <v>29.5</v>
      </c>
      <c r="M186" s="183">
        <f t="shared" si="124"/>
        <v>122.05718068600272</v>
      </c>
      <c r="N186" s="184">
        <f t="shared" si="125"/>
        <v>29.5</v>
      </c>
      <c r="O186" s="183">
        <f t="shared" si="126"/>
        <v>122.05718068600272</v>
      </c>
      <c r="P186" s="185">
        <f t="shared" si="127"/>
        <v>16.112666666666666</v>
      </c>
      <c r="Q186" s="71">
        <v>4</v>
      </c>
      <c r="R186" s="221">
        <v>3.161</v>
      </c>
      <c r="S186" s="188">
        <f t="shared" si="128"/>
        <v>1.3078737225371343E-2</v>
      </c>
      <c r="T186" s="71">
        <v>3</v>
      </c>
      <c r="U186" s="221">
        <v>2.472</v>
      </c>
      <c r="V186" s="188">
        <f t="shared" si="129"/>
        <v>1.0227977988332162E-2</v>
      </c>
      <c r="W186" s="65">
        <v>14640</v>
      </c>
      <c r="X186" s="30">
        <f t="shared" si="130"/>
        <v>60.573461872646782</v>
      </c>
    </row>
    <row r="187" spans="1:24">
      <c r="A187" s="169" t="s">
        <v>494</v>
      </c>
      <c r="B187" s="47" t="s">
        <v>59</v>
      </c>
      <c r="C187" s="94" t="s">
        <v>57</v>
      </c>
      <c r="D187" s="157" t="s">
        <v>387</v>
      </c>
      <c r="E187" s="157" t="s">
        <v>184</v>
      </c>
      <c r="F187" s="12" t="s">
        <v>495</v>
      </c>
      <c r="G187" s="159">
        <v>162.87</v>
      </c>
      <c r="H187" s="51" t="s">
        <v>499</v>
      </c>
      <c r="I187" s="51"/>
      <c r="J187" s="50"/>
      <c r="K187" s="168">
        <v>11</v>
      </c>
      <c r="L187" s="162">
        <v>22.4</v>
      </c>
      <c r="M187" s="183">
        <f t="shared" ref="M187:M215" si="131">L187/G187*1000</f>
        <v>137.53300178056116</v>
      </c>
      <c r="N187" s="184">
        <f t="shared" ref="N187:N215" si="132">+J187+L187</f>
        <v>22.4</v>
      </c>
      <c r="O187" s="183">
        <f t="shared" ref="O187:O215" si="133">N187/G187*1000</f>
        <v>137.53300178056116</v>
      </c>
      <c r="P187" s="185">
        <f t="shared" ref="P187:P215" si="134">G187/K187</f>
        <v>14.806363636363637</v>
      </c>
      <c r="Q187" s="71">
        <v>2</v>
      </c>
      <c r="R187" s="221">
        <v>0.621</v>
      </c>
      <c r="S187" s="188">
        <f t="shared" ref="S187:S215" si="135">R187/G187</f>
        <v>3.812856879720022E-3</v>
      </c>
      <c r="T187" s="71"/>
      <c r="U187" s="221"/>
      <c r="V187" s="188">
        <f t="shared" ref="V187:V215" si="136">U187/G187</f>
        <v>0</v>
      </c>
      <c r="W187" s="65">
        <v>12540</v>
      </c>
      <c r="X187" s="30">
        <f t="shared" ref="X187:X215" si="137">W187/G187</f>
        <v>76.993921532510583</v>
      </c>
    </row>
    <row r="188" spans="1:24">
      <c r="A188" s="169" t="s">
        <v>496</v>
      </c>
      <c r="B188" s="47" t="s">
        <v>59</v>
      </c>
      <c r="C188" s="94" t="s">
        <v>57</v>
      </c>
      <c r="D188" s="157" t="s">
        <v>147</v>
      </c>
      <c r="E188" s="157" t="s">
        <v>184</v>
      </c>
      <c r="F188" s="12" t="s">
        <v>497</v>
      </c>
      <c r="G188" s="159">
        <v>201.3</v>
      </c>
      <c r="H188" s="51" t="s">
        <v>498</v>
      </c>
      <c r="I188" s="51"/>
      <c r="J188" s="50"/>
      <c r="K188" s="168">
        <v>13</v>
      </c>
      <c r="L188" s="162">
        <v>25.8</v>
      </c>
      <c r="M188" s="183">
        <f t="shared" si="131"/>
        <v>128.16691505216096</v>
      </c>
      <c r="N188" s="184">
        <f t="shared" si="132"/>
        <v>25.8</v>
      </c>
      <c r="O188" s="183">
        <f t="shared" si="133"/>
        <v>128.16691505216096</v>
      </c>
      <c r="P188" s="185">
        <f t="shared" si="134"/>
        <v>15.484615384615385</v>
      </c>
      <c r="Q188" s="112">
        <v>1</v>
      </c>
      <c r="R188" s="231">
        <v>0.33600000000000002</v>
      </c>
      <c r="S188" s="188">
        <f t="shared" si="135"/>
        <v>1.669150521609538E-3</v>
      </c>
      <c r="T188" s="71">
        <v>8</v>
      </c>
      <c r="U188" s="221">
        <v>2.5659999999999998</v>
      </c>
      <c r="V188" s="188">
        <f t="shared" si="136"/>
        <v>1.2747143566815696E-2</v>
      </c>
      <c r="W188" s="65">
        <v>14580</v>
      </c>
      <c r="X188" s="30">
        <f t="shared" si="137"/>
        <v>72.429210134128169</v>
      </c>
    </row>
    <row r="189" spans="1:24">
      <c r="A189" s="169" t="s">
        <v>500</v>
      </c>
      <c r="B189" s="47" t="s">
        <v>59</v>
      </c>
      <c r="C189" s="94" t="s">
        <v>57</v>
      </c>
      <c r="D189" s="157" t="s">
        <v>147</v>
      </c>
      <c r="E189" s="157" t="s">
        <v>259</v>
      </c>
      <c r="F189" s="12" t="s">
        <v>501</v>
      </c>
      <c r="G189" s="159">
        <v>148.74</v>
      </c>
      <c r="H189" s="51" t="s">
        <v>498</v>
      </c>
      <c r="I189" s="51"/>
      <c r="J189" s="50"/>
      <c r="K189" s="168">
        <v>11</v>
      </c>
      <c r="L189" s="162">
        <v>19.600000000000001</v>
      </c>
      <c r="M189" s="183">
        <f t="shared" si="131"/>
        <v>131.77356460938549</v>
      </c>
      <c r="N189" s="184">
        <f t="shared" si="132"/>
        <v>19.600000000000001</v>
      </c>
      <c r="O189" s="183">
        <f t="shared" si="133"/>
        <v>131.77356460938549</v>
      </c>
      <c r="P189" s="185">
        <f t="shared" si="134"/>
        <v>13.521818181818183</v>
      </c>
      <c r="Q189" s="71">
        <v>1</v>
      </c>
      <c r="R189" s="221">
        <v>0.33700000000000002</v>
      </c>
      <c r="S189" s="188">
        <f t="shared" si="135"/>
        <v>2.2656985343552506E-3</v>
      </c>
      <c r="T189" s="71"/>
      <c r="U189" s="221"/>
      <c r="V189" s="188">
        <f t="shared" si="136"/>
        <v>0</v>
      </c>
      <c r="W189" s="65">
        <v>11460</v>
      </c>
      <c r="X189" s="30">
        <f t="shared" si="137"/>
        <v>77.047196450181517</v>
      </c>
    </row>
    <row r="190" spans="1:24">
      <c r="A190" s="169" t="s">
        <v>502</v>
      </c>
      <c r="B190" s="47" t="s">
        <v>59</v>
      </c>
      <c r="C190" s="94" t="s">
        <v>57</v>
      </c>
      <c r="D190" s="157"/>
      <c r="E190" s="157"/>
      <c r="F190" s="45" t="s">
        <v>167</v>
      </c>
      <c r="G190" s="159"/>
      <c r="H190" s="51"/>
      <c r="I190" s="51"/>
      <c r="J190" s="50"/>
      <c r="K190" s="168"/>
      <c r="L190" s="162"/>
      <c r="M190" s="183"/>
      <c r="N190" s="184"/>
      <c r="O190" s="183"/>
      <c r="P190" s="185"/>
      <c r="Q190" s="71"/>
      <c r="R190" s="221"/>
      <c r="S190" s="188"/>
      <c r="T190" s="71"/>
      <c r="U190" s="221"/>
      <c r="V190" s="188"/>
      <c r="W190" s="65"/>
      <c r="X190" s="30"/>
    </row>
    <row r="191" spans="1:24">
      <c r="A191" s="169" t="s">
        <v>503</v>
      </c>
      <c r="B191" s="47" t="s">
        <v>59</v>
      </c>
      <c r="C191" s="94" t="s">
        <v>57</v>
      </c>
      <c r="D191" s="157" t="s">
        <v>147</v>
      </c>
      <c r="E191" s="157" t="s">
        <v>184</v>
      </c>
      <c r="F191" s="12" t="s">
        <v>504</v>
      </c>
      <c r="G191" s="159">
        <v>150.16499999999999</v>
      </c>
      <c r="H191" s="51" t="s">
        <v>154</v>
      </c>
      <c r="I191" s="51"/>
      <c r="J191" s="50"/>
      <c r="K191" s="168">
        <v>12.3</v>
      </c>
      <c r="L191" s="162">
        <v>20.100000000000001</v>
      </c>
      <c r="M191" s="183">
        <f t="shared" si="131"/>
        <v>133.85276196184199</v>
      </c>
      <c r="N191" s="184">
        <f t="shared" si="132"/>
        <v>20.100000000000001</v>
      </c>
      <c r="O191" s="183">
        <f t="shared" si="133"/>
        <v>133.85276196184199</v>
      </c>
      <c r="P191" s="185">
        <f t="shared" si="134"/>
        <v>12.208536585365852</v>
      </c>
      <c r="Q191" s="71">
        <v>1</v>
      </c>
      <c r="R191" s="221">
        <v>1.026</v>
      </c>
      <c r="S191" s="188">
        <f t="shared" si="135"/>
        <v>6.8324842673059636E-3</v>
      </c>
      <c r="T191" s="71"/>
      <c r="U191" s="221"/>
      <c r="V191" s="188">
        <f t="shared" si="136"/>
        <v>0</v>
      </c>
      <c r="W191" s="65">
        <v>12960</v>
      </c>
      <c r="X191" s="30">
        <f t="shared" si="137"/>
        <v>86.305064429127967</v>
      </c>
    </row>
    <row r="192" spans="1:24">
      <c r="A192" s="169" t="s">
        <v>505</v>
      </c>
      <c r="B192" s="47" t="s">
        <v>59</v>
      </c>
      <c r="C192" s="94" t="s">
        <v>57</v>
      </c>
      <c r="D192" s="157" t="s">
        <v>147</v>
      </c>
      <c r="E192" s="157" t="s">
        <v>149</v>
      </c>
      <c r="F192" s="12" t="s">
        <v>506</v>
      </c>
      <c r="G192" s="159">
        <v>0.76</v>
      </c>
      <c r="H192" s="51" t="s">
        <v>154</v>
      </c>
      <c r="I192" s="51"/>
      <c r="J192" s="50"/>
      <c r="K192" s="168">
        <v>1</v>
      </c>
      <c r="L192" s="162">
        <v>2.2000000000000002</v>
      </c>
      <c r="M192" s="183">
        <f t="shared" si="131"/>
        <v>2894.7368421052633</v>
      </c>
      <c r="N192" s="184">
        <f t="shared" si="132"/>
        <v>2.2000000000000002</v>
      </c>
      <c r="O192" s="183">
        <f t="shared" si="133"/>
        <v>2894.7368421052633</v>
      </c>
      <c r="P192" s="185">
        <f t="shared" si="134"/>
        <v>0.76</v>
      </c>
      <c r="Q192" s="80"/>
      <c r="R192" s="162"/>
      <c r="S192" s="188">
        <f t="shared" si="135"/>
        <v>0</v>
      </c>
      <c r="T192" s="71"/>
      <c r="U192" s="221"/>
      <c r="V192" s="188">
        <f t="shared" si="136"/>
        <v>0</v>
      </c>
      <c r="W192" s="65"/>
      <c r="X192" s="30">
        <f t="shared" si="137"/>
        <v>0</v>
      </c>
    </row>
    <row r="193" spans="1:24">
      <c r="A193" s="169" t="s">
        <v>509</v>
      </c>
      <c r="B193" s="47" t="s">
        <v>59</v>
      </c>
      <c r="C193" s="94" t="s">
        <v>57</v>
      </c>
      <c r="D193" s="157" t="s">
        <v>188</v>
      </c>
      <c r="E193" s="157" t="s">
        <v>214</v>
      </c>
      <c r="F193" s="12" t="s">
        <v>510</v>
      </c>
      <c r="G193" s="159">
        <v>134.22</v>
      </c>
      <c r="H193" s="51" t="s">
        <v>154</v>
      </c>
      <c r="I193" s="51"/>
      <c r="J193" s="50"/>
      <c r="K193" s="168">
        <v>15</v>
      </c>
      <c r="L193" s="162">
        <v>20.2</v>
      </c>
      <c r="M193" s="183">
        <f t="shared" si="131"/>
        <v>150.49918045000746</v>
      </c>
      <c r="N193" s="184">
        <f t="shared" si="132"/>
        <v>20.2</v>
      </c>
      <c r="O193" s="183">
        <f t="shared" si="133"/>
        <v>150.49918045000746</v>
      </c>
      <c r="P193" s="185">
        <f t="shared" si="134"/>
        <v>8.9480000000000004</v>
      </c>
      <c r="Q193" s="71">
        <v>17</v>
      </c>
      <c r="R193" s="221">
        <v>4.2960000000000003</v>
      </c>
      <c r="S193" s="188">
        <f t="shared" si="135"/>
        <v>3.2007152436298619E-2</v>
      </c>
      <c r="T193" s="71">
        <v>13</v>
      </c>
      <c r="U193" s="221">
        <v>3.0249999999999999</v>
      </c>
      <c r="V193" s="188">
        <f t="shared" si="136"/>
        <v>2.2537624795112503E-2</v>
      </c>
      <c r="W193" s="65">
        <v>12180</v>
      </c>
      <c r="X193" s="30">
        <f t="shared" si="137"/>
        <v>90.746535538667857</v>
      </c>
    </row>
    <row r="194" spans="1:24">
      <c r="A194" s="169" t="s">
        <v>513</v>
      </c>
      <c r="B194" s="47" t="s">
        <v>59</v>
      </c>
      <c r="C194" s="94" t="s">
        <v>57</v>
      </c>
      <c r="D194" s="157" t="s">
        <v>147</v>
      </c>
      <c r="E194" s="157" t="s">
        <v>481</v>
      </c>
      <c r="F194" s="12" t="s">
        <v>514</v>
      </c>
      <c r="G194" s="159">
        <v>183.02</v>
      </c>
      <c r="H194" s="51" t="s">
        <v>154</v>
      </c>
      <c r="I194" s="51"/>
      <c r="J194" s="50"/>
      <c r="K194" s="168">
        <v>15.3</v>
      </c>
      <c r="L194" s="162">
        <v>24.3</v>
      </c>
      <c r="M194" s="183">
        <f t="shared" si="131"/>
        <v>132.77237460386843</v>
      </c>
      <c r="N194" s="184">
        <f t="shared" si="132"/>
        <v>24.3</v>
      </c>
      <c r="O194" s="183">
        <f t="shared" si="133"/>
        <v>132.77237460386843</v>
      </c>
      <c r="P194" s="185">
        <f t="shared" si="134"/>
        <v>11.962091503267974</v>
      </c>
      <c r="Q194" s="71">
        <v>5</v>
      </c>
      <c r="R194" s="221">
        <v>1.3560000000000001</v>
      </c>
      <c r="S194" s="188">
        <f t="shared" si="135"/>
        <v>7.4090263359195717E-3</v>
      </c>
      <c r="T194" s="71">
        <v>3</v>
      </c>
      <c r="U194" s="221">
        <v>0.94699999999999995</v>
      </c>
      <c r="V194" s="188">
        <f t="shared" si="136"/>
        <v>5.1742978909408805E-3</v>
      </c>
      <c r="W194" s="65">
        <v>15840</v>
      </c>
      <c r="X194" s="30">
        <f t="shared" si="137"/>
        <v>86.547918260299411</v>
      </c>
    </row>
    <row r="195" spans="1:24">
      <c r="A195" s="169" t="s">
        <v>517</v>
      </c>
      <c r="B195" s="47" t="s">
        <v>59</v>
      </c>
      <c r="C195" s="94" t="s">
        <v>57</v>
      </c>
      <c r="D195" s="157" t="s">
        <v>147</v>
      </c>
      <c r="E195" s="157" t="s">
        <v>184</v>
      </c>
      <c r="F195" s="12" t="s">
        <v>518</v>
      </c>
      <c r="G195" s="159">
        <v>200.44</v>
      </c>
      <c r="H195" s="51" t="s">
        <v>154</v>
      </c>
      <c r="I195" s="51"/>
      <c r="J195" s="50"/>
      <c r="K195" s="168">
        <v>13</v>
      </c>
      <c r="L195" s="162">
        <v>25.3</v>
      </c>
      <c r="M195" s="183">
        <f t="shared" si="131"/>
        <v>126.22231091598485</v>
      </c>
      <c r="N195" s="184">
        <f t="shared" si="132"/>
        <v>25.3</v>
      </c>
      <c r="O195" s="183">
        <f t="shared" si="133"/>
        <v>126.22231091598485</v>
      </c>
      <c r="P195" s="185">
        <f t="shared" si="134"/>
        <v>15.418461538461539</v>
      </c>
      <c r="Q195" s="71">
        <v>1</v>
      </c>
      <c r="R195" s="221">
        <v>0.63900000000000001</v>
      </c>
      <c r="S195" s="188">
        <f t="shared" si="135"/>
        <v>3.1879864298543204E-3</v>
      </c>
      <c r="T195" s="71"/>
      <c r="U195" s="221"/>
      <c r="V195" s="188">
        <f t="shared" si="136"/>
        <v>0</v>
      </c>
      <c r="W195" s="65">
        <v>13320</v>
      </c>
      <c r="X195" s="30">
        <f t="shared" si="137"/>
        <v>66.453801636399916</v>
      </c>
    </row>
    <row r="196" spans="1:24">
      <c r="A196" s="169" t="s">
        <v>519</v>
      </c>
      <c r="B196" s="47" t="s">
        <v>59</v>
      </c>
      <c r="C196" s="94" t="s">
        <v>57</v>
      </c>
      <c r="D196" s="157" t="s">
        <v>147</v>
      </c>
      <c r="E196" s="157" t="s">
        <v>177</v>
      </c>
      <c r="F196" s="12" t="s">
        <v>520</v>
      </c>
      <c r="G196" s="159">
        <v>123.82</v>
      </c>
      <c r="H196" s="51" t="s">
        <v>154</v>
      </c>
      <c r="I196" s="51"/>
      <c r="J196" s="50"/>
      <c r="K196" s="168">
        <v>9</v>
      </c>
      <c r="L196" s="162">
        <v>15.7</v>
      </c>
      <c r="M196" s="183">
        <f t="shared" si="131"/>
        <v>126.79696333387174</v>
      </c>
      <c r="N196" s="184">
        <f t="shared" si="132"/>
        <v>15.7</v>
      </c>
      <c r="O196" s="183">
        <f t="shared" si="133"/>
        <v>126.79696333387174</v>
      </c>
      <c r="P196" s="185">
        <f t="shared" si="134"/>
        <v>13.757777777777777</v>
      </c>
      <c r="Q196" s="71">
        <v>3</v>
      </c>
      <c r="R196" s="221">
        <v>1.214</v>
      </c>
      <c r="S196" s="188">
        <f t="shared" si="135"/>
        <v>9.8045549991923765E-3</v>
      </c>
      <c r="T196" s="228">
        <v>2</v>
      </c>
      <c r="U196" s="225">
        <v>0.88200000000000001</v>
      </c>
      <c r="V196" s="188">
        <f t="shared" si="136"/>
        <v>7.1232434178646427E-3</v>
      </c>
      <c r="W196" s="65">
        <v>8640</v>
      </c>
      <c r="X196" s="30">
        <f t="shared" si="137"/>
        <v>69.778711032143434</v>
      </c>
    </row>
    <row r="197" spans="1:24">
      <c r="A197" s="169" t="s">
        <v>521</v>
      </c>
      <c r="B197" s="47" t="s">
        <v>59</v>
      </c>
      <c r="C197" s="94" t="s">
        <v>57</v>
      </c>
      <c r="D197" s="157"/>
      <c r="E197" s="157"/>
      <c r="F197" s="45" t="s">
        <v>167</v>
      </c>
      <c r="G197" s="159"/>
      <c r="H197" s="51"/>
      <c r="I197" s="51"/>
      <c r="J197" s="50"/>
      <c r="K197" s="168"/>
      <c r="L197" s="162"/>
      <c r="M197" s="183"/>
      <c r="N197" s="184"/>
      <c r="O197" s="183"/>
      <c r="P197" s="185"/>
      <c r="Q197" s="71"/>
      <c r="R197" s="221"/>
      <c r="S197" s="188"/>
      <c r="T197" s="71"/>
      <c r="U197" s="221"/>
      <c r="V197" s="188"/>
      <c r="W197" s="65"/>
      <c r="X197" s="30"/>
    </row>
    <row r="198" spans="1:24">
      <c r="A198" s="169" t="s">
        <v>522</v>
      </c>
      <c r="B198" s="47" t="s">
        <v>59</v>
      </c>
      <c r="C198" s="94" t="s">
        <v>57</v>
      </c>
      <c r="D198" s="157" t="s">
        <v>147</v>
      </c>
      <c r="E198" s="157" t="s">
        <v>147</v>
      </c>
      <c r="F198" s="12" t="s">
        <v>523</v>
      </c>
      <c r="G198" s="159">
        <v>324.45</v>
      </c>
      <c r="H198" s="51" t="s">
        <v>531</v>
      </c>
      <c r="I198" s="51"/>
      <c r="J198" s="50"/>
      <c r="K198" s="168">
        <v>24</v>
      </c>
      <c r="L198" s="162">
        <v>45.3</v>
      </c>
      <c r="M198" s="183">
        <f t="shared" si="131"/>
        <v>139.62089690245031</v>
      </c>
      <c r="N198" s="184">
        <f t="shared" si="132"/>
        <v>45.3</v>
      </c>
      <c r="O198" s="183">
        <f t="shared" si="133"/>
        <v>139.62089690245031</v>
      </c>
      <c r="P198" s="185">
        <f t="shared" si="134"/>
        <v>13.518749999999999</v>
      </c>
      <c r="Q198" s="71">
        <v>3</v>
      </c>
      <c r="R198" s="221">
        <v>1.1240000000000001</v>
      </c>
      <c r="S198" s="188">
        <f t="shared" si="135"/>
        <v>3.4643242410232707E-3</v>
      </c>
      <c r="T198" s="71">
        <v>11</v>
      </c>
      <c r="U198" s="221">
        <v>3.6219999999999999</v>
      </c>
      <c r="V198" s="188">
        <f t="shared" si="136"/>
        <v>1.1163507474187085E-2</v>
      </c>
      <c r="W198" s="65">
        <v>23360</v>
      </c>
      <c r="X198" s="30">
        <f t="shared" si="137"/>
        <v>71.998767144398215</v>
      </c>
    </row>
    <row r="199" spans="1:24">
      <c r="A199" s="169" t="s">
        <v>526</v>
      </c>
      <c r="B199" s="47" t="s">
        <v>59</v>
      </c>
      <c r="C199" s="94" t="s">
        <v>57</v>
      </c>
      <c r="D199" s="157"/>
      <c r="E199" s="157"/>
      <c r="F199" s="12" t="s">
        <v>527</v>
      </c>
      <c r="G199" s="159"/>
      <c r="H199" s="51"/>
      <c r="I199" s="51"/>
      <c r="J199" s="50"/>
      <c r="K199" s="168"/>
      <c r="L199" s="162"/>
      <c r="M199" s="183"/>
      <c r="N199" s="184"/>
      <c r="O199" s="183"/>
      <c r="P199" s="185"/>
      <c r="Q199" s="71"/>
      <c r="R199" s="221"/>
      <c r="S199" s="188"/>
      <c r="T199" s="71"/>
      <c r="U199" s="221"/>
      <c r="V199" s="188"/>
      <c r="W199" s="65"/>
      <c r="X199" s="30"/>
    </row>
    <row r="200" spans="1:24">
      <c r="A200" s="169" t="s">
        <v>528</v>
      </c>
      <c r="B200" s="47" t="s">
        <v>59</v>
      </c>
      <c r="C200" s="94" t="s">
        <v>57</v>
      </c>
      <c r="D200" s="157" t="s">
        <v>147</v>
      </c>
      <c r="E200" s="157" t="s">
        <v>173</v>
      </c>
      <c r="F200" s="12" t="s">
        <v>529</v>
      </c>
      <c r="G200" s="159">
        <v>128.52000000000001</v>
      </c>
      <c r="H200" s="51" t="s">
        <v>531</v>
      </c>
      <c r="I200" s="51"/>
      <c r="J200" s="50"/>
      <c r="K200" s="168">
        <v>10</v>
      </c>
      <c r="L200" s="162">
        <v>18.3</v>
      </c>
      <c r="M200" s="183">
        <f t="shared" si="131"/>
        <v>142.39028944911297</v>
      </c>
      <c r="N200" s="184">
        <f t="shared" si="132"/>
        <v>18.3</v>
      </c>
      <c r="O200" s="183">
        <f t="shared" si="133"/>
        <v>142.39028944911297</v>
      </c>
      <c r="P200" s="185">
        <f t="shared" si="134"/>
        <v>12.852</v>
      </c>
      <c r="Q200" s="80"/>
      <c r="R200" s="162"/>
      <c r="S200" s="188">
        <f t="shared" si="135"/>
        <v>0</v>
      </c>
      <c r="T200" s="71"/>
      <c r="U200" s="221"/>
      <c r="V200" s="188">
        <f t="shared" si="136"/>
        <v>0</v>
      </c>
      <c r="W200" s="65">
        <v>9610</v>
      </c>
      <c r="X200" s="30">
        <f t="shared" si="137"/>
        <v>74.774354186118885</v>
      </c>
    </row>
    <row r="201" spans="1:24">
      <c r="A201" s="169" t="s">
        <v>533</v>
      </c>
      <c r="B201" s="47" t="s">
        <v>59</v>
      </c>
      <c r="C201" s="94" t="s">
        <v>57</v>
      </c>
      <c r="D201" s="157"/>
      <c r="E201" s="157"/>
      <c r="F201" s="45" t="s">
        <v>530</v>
      </c>
      <c r="G201" s="159"/>
      <c r="H201" s="51"/>
      <c r="I201" s="51"/>
      <c r="J201" s="50"/>
      <c r="K201" s="168"/>
      <c r="L201" s="162"/>
      <c r="M201" s="183"/>
      <c r="N201" s="184"/>
      <c r="O201" s="183"/>
      <c r="P201" s="185"/>
      <c r="Q201" s="80"/>
      <c r="R201" s="162"/>
      <c r="S201" s="188"/>
      <c r="T201" s="71"/>
      <c r="U201" s="221"/>
      <c r="V201" s="188"/>
      <c r="W201" s="65"/>
      <c r="X201" s="30"/>
    </row>
    <row r="202" spans="1:24">
      <c r="A202" s="169" t="s">
        <v>539</v>
      </c>
      <c r="B202" s="47" t="s">
        <v>59</v>
      </c>
      <c r="C202" s="94" t="s">
        <v>57</v>
      </c>
      <c r="D202" s="157" t="s">
        <v>147</v>
      </c>
      <c r="E202" s="157" t="s">
        <v>184</v>
      </c>
      <c r="F202" s="12" t="s">
        <v>486</v>
      </c>
      <c r="G202" s="159">
        <v>182.45</v>
      </c>
      <c r="H202" s="51" t="s">
        <v>540</v>
      </c>
      <c r="I202" s="51"/>
      <c r="J202" s="50"/>
      <c r="K202" s="168">
        <v>13</v>
      </c>
      <c r="L202" s="162">
        <v>24.9</v>
      </c>
      <c r="M202" s="183">
        <f t="shared" si="131"/>
        <v>136.4757467799397</v>
      </c>
      <c r="N202" s="184">
        <f t="shared" si="132"/>
        <v>24.9</v>
      </c>
      <c r="O202" s="183">
        <f t="shared" si="133"/>
        <v>136.4757467799397</v>
      </c>
      <c r="P202" s="185">
        <f t="shared" si="134"/>
        <v>14.034615384615384</v>
      </c>
      <c r="Q202" s="71">
        <v>2</v>
      </c>
      <c r="R202" s="221">
        <v>1.403</v>
      </c>
      <c r="S202" s="188">
        <f t="shared" si="135"/>
        <v>7.6897780213757202E-3</v>
      </c>
      <c r="T202" s="71"/>
      <c r="U202" s="221"/>
      <c r="V202" s="188">
        <f t="shared" si="136"/>
        <v>0</v>
      </c>
      <c r="W202" s="65">
        <v>11940</v>
      </c>
      <c r="X202" s="30">
        <f t="shared" si="137"/>
        <v>65.442587010139775</v>
      </c>
    </row>
    <row r="203" spans="1:24">
      <c r="A203" s="169" t="s">
        <v>541</v>
      </c>
      <c r="B203" s="47" t="s">
        <v>59</v>
      </c>
      <c r="C203" s="94" t="s">
        <v>57</v>
      </c>
      <c r="D203" s="157" t="s">
        <v>147</v>
      </c>
      <c r="E203" s="157" t="s">
        <v>184</v>
      </c>
      <c r="F203" s="12" t="s">
        <v>542</v>
      </c>
      <c r="G203" s="159">
        <v>226.68</v>
      </c>
      <c r="H203" s="51" t="s">
        <v>540</v>
      </c>
      <c r="I203" s="51"/>
      <c r="J203" s="50"/>
      <c r="K203" s="168">
        <v>13</v>
      </c>
      <c r="L203" s="162">
        <v>28.9</v>
      </c>
      <c r="M203" s="183">
        <f t="shared" si="131"/>
        <v>127.49250044115051</v>
      </c>
      <c r="N203" s="184">
        <f t="shared" si="132"/>
        <v>28.9</v>
      </c>
      <c r="O203" s="183">
        <f t="shared" si="133"/>
        <v>127.49250044115051</v>
      </c>
      <c r="P203" s="185">
        <f t="shared" si="134"/>
        <v>17.436923076923076</v>
      </c>
      <c r="Q203" s="80"/>
      <c r="R203" s="162"/>
      <c r="S203" s="188">
        <f t="shared" si="135"/>
        <v>0</v>
      </c>
      <c r="T203" s="71"/>
      <c r="U203" s="221"/>
      <c r="V203" s="188">
        <f t="shared" si="136"/>
        <v>0</v>
      </c>
      <c r="W203" s="65">
        <v>13870</v>
      </c>
      <c r="X203" s="30">
        <f t="shared" si="137"/>
        <v>61.187577201341092</v>
      </c>
    </row>
    <row r="204" spans="1:24">
      <c r="A204" s="169" t="s">
        <v>543</v>
      </c>
      <c r="B204" s="47" t="s">
        <v>59</v>
      </c>
      <c r="C204" s="94" t="s">
        <v>57</v>
      </c>
      <c r="D204" s="157"/>
      <c r="E204" s="157"/>
      <c r="F204" s="45" t="s">
        <v>167</v>
      </c>
      <c r="G204" s="159"/>
      <c r="H204" s="51"/>
      <c r="I204" s="51"/>
      <c r="J204" s="50"/>
      <c r="K204" s="168"/>
      <c r="L204" s="162"/>
      <c r="M204" s="183"/>
      <c r="N204" s="184"/>
      <c r="O204" s="183"/>
      <c r="P204" s="185"/>
      <c r="Q204" s="71"/>
      <c r="R204" s="221"/>
      <c r="S204" s="188"/>
      <c r="T204" s="71"/>
      <c r="U204" s="221"/>
      <c r="V204" s="188"/>
      <c r="W204" s="65"/>
      <c r="X204" s="30"/>
    </row>
    <row r="205" spans="1:24">
      <c r="A205" s="240" t="s">
        <v>544</v>
      </c>
      <c r="B205" s="47" t="s">
        <v>59</v>
      </c>
      <c r="C205" s="94" t="s">
        <v>57</v>
      </c>
      <c r="D205" s="157"/>
      <c r="E205" s="157"/>
      <c r="F205" s="45" t="s">
        <v>545</v>
      </c>
      <c r="G205" s="159"/>
      <c r="H205" s="51"/>
      <c r="I205" s="51"/>
      <c r="J205" s="50"/>
      <c r="K205" s="168"/>
      <c r="L205" s="162"/>
      <c r="M205" s="183"/>
      <c r="N205" s="184"/>
      <c r="O205" s="183"/>
      <c r="P205" s="185"/>
      <c r="Q205" s="71"/>
      <c r="R205" s="221"/>
      <c r="S205" s="188"/>
      <c r="T205" s="71"/>
      <c r="U205" s="221"/>
      <c r="V205" s="188"/>
      <c r="W205" s="65"/>
      <c r="X205" s="30"/>
    </row>
    <row r="206" spans="1:24">
      <c r="A206" s="169" t="s">
        <v>546</v>
      </c>
      <c r="B206" s="47" t="s">
        <v>59</v>
      </c>
      <c r="C206" s="94" t="s">
        <v>57</v>
      </c>
      <c r="D206" s="157" t="s">
        <v>147</v>
      </c>
      <c r="E206" s="157" t="s">
        <v>214</v>
      </c>
      <c r="F206" s="12" t="s">
        <v>547</v>
      </c>
      <c r="G206" s="159">
        <v>175.89</v>
      </c>
      <c r="H206" s="51" t="s">
        <v>540</v>
      </c>
      <c r="I206" s="51"/>
      <c r="J206" s="50"/>
      <c r="K206" s="168">
        <v>14</v>
      </c>
      <c r="L206" s="162">
        <v>27.6</v>
      </c>
      <c r="M206" s="183">
        <f t="shared" si="131"/>
        <v>156.9162544772301</v>
      </c>
      <c r="N206" s="184">
        <f t="shared" si="132"/>
        <v>27.6</v>
      </c>
      <c r="O206" s="183">
        <f t="shared" si="133"/>
        <v>156.9162544772301</v>
      </c>
      <c r="P206" s="185">
        <f t="shared" si="134"/>
        <v>12.563571428571427</v>
      </c>
      <c r="Q206" s="71">
        <v>3</v>
      </c>
      <c r="R206" s="221">
        <v>2.8769999999999998</v>
      </c>
      <c r="S206" s="188">
        <f t="shared" si="135"/>
        <v>1.6356813917789526E-2</v>
      </c>
      <c r="T206" s="71">
        <v>3</v>
      </c>
      <c r="U206" s="221">
        <v>2.2519999999999998</v>
      </c>
      <c r="V206" s="188">
        <f t="shared" si="136"/>
        <v>1.280345670589573E-2</v>
      </c>
      <c r="W206" s="65">
        <v>12120</v>
      </c>
      <c r="X206" s="30">
        <f t="shared" si="137"/>
        <v>68.906703053044524</v>
      </c>
    </row>
    <row r="207" spans="1:24">
      <c r="A207" s="169" t="s">
        <v>549</v>
      </c>
      <c r="B207" s="47" t="s">
        <v>59</v>
      </c>
      <c r="C207" s="94" t="s">
        <v>57</v>
      </c>
      <c r="D207" s="157" t="s">
        <v>147</v>
      </c>
      <c r="E207" s="157" t="s">
        <v>214</v>
      </c>
      <c r="F207" s="12" t="s">
        <v>550</v>
      </c>
      <c r="G207" s="159">
        <v>224.67</v>
      </c>
      <c r="H207" s="51" t="s">
        <v>540</v>
      </c>
      <c r="I207" s="51"/>
      <c r="J207" s="50"/>
      <c r="K207" s="168">
        <v>14</v>
      </c>
      <c r="L207" s="162">
        <v>29.6</v>
      </c>
      <c r="M207" s="183">
        <f t="shared" si="131"/>
        <v>131.74878710998357</v>
      </c>
      <c r="N207" s="184">
        <f t="shared" si="132"/>
        <v>29.6</v>
      </c>
      <c r="O207" s="183">
        <f t="shared" si="133"/>
        <v>131.74878710998357</v>
      </c>
      <c r="P207" s="185">
        <f t="shared" si="134"/>
        <v>16.047857142857143</v>
      </c>
      <c r="Q207" s="80"/>
      <c r="R207" s="162"/>
      <c r="S207" s="188">
        <f t="shared" si="135"/>
        <v>0</v>
      </c>
      <c r="T207" s="71">
        <v>3</v>
      </c>
      <c r="U207" s="221">
        <v>2.6160000000000001</v>
      </c>
      <c r="V207" s="188">
        <f t="shared" si="136"/>
        <v>1.1643744158098546E-2</v>
      </c>
      <c r="W207" s="65">
        <v>12600</v>
      </c>
      <c r="X207" s="30">
        <f t="shared" si="137"/>
        <v>56.082253972492992</v>
      </c>
    </row>
    <row r="208" spans="1:24">
      <c r="A208" s="240" t="s">
        <v>551</v>
      </c>
      <c r="B208" s="47" t="s">
        <v>59</v>
      </c>
      <c r="C208" s="94" t="s">
        <v>57</v>
      </c>
      <c r="D208" s="157"/>
      <c r="E208" s="157"/>
      <c r="F208" s="45" t="s">
        <v>167</v>
      </c>
      <c r="G208" s="159"/>
      <c r="H208" s="51"/>
      <c r="I208" s="51"/>
      <c r="J208" s="50"/>
      <c r="K208" s="168"/>
      <c r="L208" s="162"/>
      <c r="M208" s="183"/>
      <c r="N208" s="184"/>
      <c r="O208" s="183"/>
      <c r="P208" s="185"/>
      <c r="Q208" s="80"/>
      <c r="R208" s="162"/>
      <c r="S208" s="188"/>
      <c r="T208" s="71"/>
      <c r="U208" s="221"/>
      <c r="V208" s="188"/>
      <c r="W208" s="65"/>
      <c r="X208" s="30"/>
    </row>
    <row r="209" spans="1:24">
      <c r="A209" s="240" t="s">
        <v>554</v>
      </c>
      <c r="B209" s="47" t="s">
        <v>59</v>
      </c>
      <c r="C209" s="94" t="s">
        <v>57</v>
      </c>
      <c r="D209" s="157"/>
      <c r="E209" s="157"/>
      <c r="F209" s="45" t="s">
        <v>545</v>
      </c>
      <c r="G209" s="159"/>
      <c r="H209" s="51"/>
      <c r="I209" s="51"/>
      <c r="J209" s="50"/>
      <c r="K209" s="168"/>
      <c r="L209" s="162"/>
      <c r="M209" s="183"/>
      <c r="N209" s="184"/>
      <c r="O209" s="183"/>
      <c r="P209" s="185"/>
      <c r="Q209" s="80"/>
      <c r="R209" s="162"/>
      <c r="S209" s="188"/>
      <c r="T209" s="71"/>
      <c r="U209" s="221"/>
      <c r="V209" s="188"/>
      <c r="W209" s="65"/>
      <c r="X209" s="30"/>
    </row>
    <row r="210" spans="1:24">
      <c r="A210" s="169"/>
      <c r="B210" s="47" t="s">
        <v>59</v>
      </c>
      <c r="C210" s="94" t="s">
        <v>57</v>
      </c>
      <c r="D210" s="157"/>
      <c r="E210" s="157"/>
      <c r="F210" s="12"/>
      <c r="G210" s="159"/>
      <c r="H210" s="51"/>
      <c r="I210" s="51"/>
      <c r="J210" s="50"/>
      <c r="K210" s="168"/>
      <c r="L210" s="162"/>
      <c r="M210" s="183" t="e">
        <f t="shared" si="131"/>
        <v>#DIV/0!</v>
      </c>
      <c r="N210" s="184">
        <f t="shared" si="132"/>
        <v>0</v>
      </c>
      <c r="O210" s="183" t="e">
        <f t="shared" si="133"/>
        <v>#DIV/0!</v>
      </c>
      <c r="P210" s="185" t="e">
        <f t="shared" si="134"/>
        <v>#DIV/0!</v>
      </c>
      <c r="Q210" s="80"/>
      <c r="R210" s="162"/>
      <c r="S210" s="188" t="e">
        <f t="shared" si="135"/>
        <v>#DIV/0!</v>
      </c>
      <c r="T210" s="71"/>
      <c r="U210" s="221"/>
      <c r="V210" s="188" t="e">
        <f t="shared" si="136"/>
        <v>#DIV/0!</v>
      </c>
      <c r="W210" s="65"/>
      <c r="X210" s="30" t="e">
        <f t="shared" si="137"/>
        <v>#DIV/0!</v>
      </c>
    </row>
    <row r="211" spans="1:24">
      <c r="A211" s="169"/>
      <c r="B211" s="47" t="s">
        <v>59</v>
      </c>
      <c r="C211" s="94" t="s">
        <v>57</v>
      </c>
      <c r="D211" s="157"/>
      <c r="E211" s="157"/>
      <c r="F211" s="12"/>
      <c r="G211" s="159"/>
      <c r="H211" s="51"/>
      <c r="I211" s="51"/>
      <c r="J211" s="50"/>
      <c r="K211" s="168"/>
      <c r="L211" s="162"/>
      <c r="M211" s="183" t="e">
        <f t="shared" si="131"/>
        <v>#DIV/0!</v>
      </c>
      <c r="N211" s="184">
        <f t="shared" si="132"/>
        <v>0</v>
      </c>
      <c r="O211" s="183" t="e">
        <f t="shared" si="133"/>
        <v>#DIV/0!</v>
      </c>
      <c r="P211" s="185" t="e">
        <f t="shared" si="134"/>
        <v>#DIV/0!</v>
      </c>
      <c r="Q211" s="80"/>
      <c r="R211" s="162"/>
      <c r="S211" s="188" t="e">
        <f t="shared" si="135"/>
        <v>#DIV/0!</v>
      </c>
      <c r="T211" s="71"/>
      <c r="U211" s="221"/>
      <c r="V211" s="188" t="e">
        <f t="shared" si="136"/>
        <v>#DIV/0!</v>
      </c>
      <c r="W211" s="65"/>
      <c r="X211" s="30" t="e">
        <f t="shared" si="137"/>
        <v>#DIV/0!</v>
      </c>
    </row>
    <row r="212" spans="1:24">
      <c r="A212" s="169"/>
      <c r="B212" s="47" t="s">
        <v>59</v>
      </c>
      <c r="C212" s="94" t="s">
        <v>57</v>
      </c>
      <c r="D212" s="157"/>
      <c r="E212" s="157"/>
      <c r="F212" s="12"/>
      <c r="G212" s="159"/>
      <c r="H212" s="51"/>
      <c r="I212" s="51"/>
      <c r="J212" s="50"/>
      <c r="K212" s="168"/>
      <c r="L212" s="162"/>
      <c r="M212" s="183" t="e">
        <f t="shared" si="131"/>
        <v>#DIV/0!</v>
      </c>
      <c r="N212" s="184">
        <f t="shared" si="132"/>
        <v>0</v>
      </c>
      <c r="O212" s="183" t="e">
        <f t="shared" si="133"/>
        <v>#DIV/0!</v>
      </c>
      <c r="P212" s="185" t="e">
        <f t="shared" si="134"/>
        <v>#DIV/0!</v>
      </c>
      <c r="Q212" s="80"/>
      <c r="R212" s="162"/>
      <c r="S212" s="188" t="e">
        <f t="shared" si="135"/>
        <v>#DIV/0!</v>
      </c>
      <c r="T212" s="71"/>
      <c r="U212" s="221"/>
      <c r="V212" s="188" t="e">
        <f t="shared" si="136"/>
        <v>#DIV/0!</v>
      </c>
      <c r="W212" s="65"/>
      <c r="X212" s="30" t="e">
        <f t="shared" si="137"/>
        <v>#DIV/0!</v>
      </c>
    </row>
    <row r="213" spans="1:24">
      <c r="A213" s="169"/>
      <c r="B213" s="47" t="s">
        <v>59</v>
      </c>
      <c r="C213" s="94" t="s">
        <v>57</v>
      </c>
      <c r="D213" s="157"/>
      <c r="E213" s="157"/>
      <c r="F213" s="12"/>
      <c r="G213" s="159"/>
      <c r="H213" s="51"/>
      <c r="I213" s="51"/>
      <c r="J213" s="50"/>
      <c r="K213" s="168"/>
      <c r="L213" s="162"/>
      <c r="M213" s="183" t="e">
        <f t="shared" si="131"/>
        <v>#DIV/0!</v>
      </c>
      <c r="N213" s="184">
        <f t="shared" si="132"/>
        <v>0</v>
      </c>
      <c r="O213" s="183" t="e">
        <f t="shared" si="133"/>
        <v>#DIV/0!</v>
      </c>
      <c r="P213" s="185" t="e">
        <f t="shared" si="134"/>
        <v>#DIV/0!</v>
      </c>
      <c r="Q213" s="80"/>
      <c r="R213" s="162"/>
      <c r="S213" s="188" t="e">
        <f t="shared" si="135"/>
        <v>#DIV/0!</v>
      </c>
      <c r="T213" s="71"/>
      <c r="U213" s="221"/>
      <c r="V213" s="188" t="e">
        <f t="shared" si="136"/>
        <v>#DIV/0!</v>
      </c>
      <c r="W213" s="65"/>
      <c r="X213" s="30" t="e">
        <f t="shared" si="137"/>
        <v>#DIV/0!</v>
      </c>
    </row>
    <row r="214" spans="1:24">
      <c r="A214" s="169"/>
      <c r="B214" s="47" t="s">
        <v>59</v>
      </c>
      <c r="C214" s="94" t="s">
        <v>57</v>
      </c>
      <c r="D214" s="157"/>
      <c r="E214" s="157"/>
      <c r="F214" s="12"/>
      <c r="G214" s="159"/>
      <c r="H214" s="51"/>
      <c r="I214" s="51"/>
      <c r="J214" s="50"/>
      <c r="K214" s="168"/>
      <c r="L214" s="162"/>
      <c r="M214" s="183" t="e">
        <f t="shared" si="131"/>
        <v>#DIV/0!</v>
      </c>
      <c r="N214" s="184">
        <f t="shared" si="132"/>
        <v>0</v>
      </c>
      <c r="O214" s="183" t="e">
        <f t="shared" si="133"/>
        <v>#DIV/0!</v>
      </c>
      <c r="P214" s="185" t="e">
        <f t="shared" si="134"/>
        <v>#DIV/0!</v>
      </c>
      <c r="Q214" s="80"/>
      <c r="R214" s="162"/>
      <c r="S214" s="188" t="e">
        <f t="shared" si="135"/>
        <v>#DIV/0!</v>
      </c>
      <c r="T214" s="71"/>
      <c r="U214" s="221"/>
      <c r="V214" s="188" t="e">
        <f t="shared" si="136"/>
        <v>#DIV/0!</v>
      </c>
      <c r="W214" s="65"/>
      <c r="X214" s="30" t="e">
        <f t="shared" si="137"/>
        <v>#DIV/0!</v>
      </c>
    </row>
    <row r="215" spans="1:24">
      <c r="A215" s="169"/>
      <c r="B215" s="47" t="s">
        <v>59</v>
      </c>
      <c r="C215" s="94" t="s">
        <v>57</v>
      </c>
      <c r="D215" s="157"/>
      <c r="E215" s="157"/>
      <c r="F215" s="12"/>
      <c r="G215" s="159"/>
      <c r="H215" s="51"/>
      <c r="I215" s="51"/>
      <c r="J215" s="50"/>
      <c r="K215" s="168"/>
      <c r="L215" s="162"/>
      <c r="M215" s="183" t="e">
        <f t="shared" si="131"/>
        <v>#DIV/0!</v>
      </c>
      <c r="N215" s="184">
        <f t="shared" si="132"/>
        <v>0</v>
      </c>
      <c r="O215" s="183" t="e">
        <f t="shared" si="133"/>
        <v>#DIV/0!</v>
      </c>
      <c r="P215" s="185" t="e">
        <f t="shared" si="134"/>
        <v>#DIV/0!</v>
      </c>
      <c r="Q215" s="80"/>
      <c r="R215" s="162"/>
      <c r="S215" s="188" t="e">
        <f t="shared" si="135"/>
        <v>#DIV/0!</v>
      </c>
      <c r="T215" s="71"/>
      <c r="U215" s="221"/>
      <c r="V215" s="188" t="e">
        <f t="shared" si="136"/>
        <v>#DIV/0!</v>
      </c>
      <c r="W215" s="65"/>
      <c r="X215" s="30" t="e">
        <f t="shared" si="137"/>
        <v>#DIV/0!</v>
      </c>
    </row>
    <row r="216" spans="1:24" s="10" customFormat="1">
      <c r="A216" s="135"/>
      <c r="B216" s="47"/>
      <c r="C216" s="48"/>
      <c r="D216" s="129"/>
      <c r="E216" s="129"/>
      <c r="F216" s="57"/>
      <c r="G216" s="58">
        <f>SUM(G185:G215)</f>
        <v>2962.0949999999998</v>
      </c>
      <c r="H216" s="57"/>
      <c r="I216" s="59"/>
      <c r="J216" s="58">
        <f>SUM(J185:J215)</f>
        <v>0</v>
      </c>
      <c r="K216" s="194">
        <f>SUM(K185:K215)</f>
        <v>212.89999999999998</v>
      </c>
      <c r="L216" s="195">
        <f>SUM(L185:L215)</f>
        <v>398.4</v>
      </c>
      <c r="M216" s="196">
        <f>L216/G216*1000</f>
        <v>134.49939991796347</v>
      </c>
      <c r="N216" s="195">
        <f>SUM(N185:N215)</f>
        <v>398.4</v>
      </c>
      <c r="O216" s="196">
        <f t="shared" ref="O216" si="138">N216/G216*1000</f>
        <v>134.49939991796347</v>
      </c>
      <c r="P216" s="197">
        <f>G216/K216</f>
        <v>13.913081258806953</v>
      </c>
      <c r="Q216" s="198">
        <f>SUM(Q185:Q215)</f>
        <v>43</v>
      </c>
      <c r="R216" s="195">
        <f>SUM(R185:R215)</f>
        <v>18.39</v>
      </c>
      <c r="S216" s="199">
        <f t="shared" ref="S216" si="139">R216/G216</f>
        <v>6.20844368597226E-3</v>
      </c>
      <c r="T216" s="198">
        <f>SUM(T185:T215)</f>
        <v>46</v>
      </c>
      <c r="U216" s="195">
        <f>SUM(U185:U215)</f>
        <v>18.381999999999998</v>
      </c>
      <c r="V216" s="199">
        <f>U216/G216</f>
        <v>6.2057428948092477E-3</v>
      </c>
      <c r="W216" s="198">
        <f>SUM(W185:W215)</f>
        <v>209500</v>
      </c>
      <c r="X216" s="30">
        <f>W216/G216</f>
        <v>70.726968581358804</v>
      </c>
    </row>
    <row r="217" spans="1:24">
      <c r="A217" s="137"/>
      <c r="B217" s="65"/>
      <c r="C217" s="65"/>
      <c r="D217" s="130"/>
      <c r="E217" s="130"/>
      <c r="F217" s="65"/>
      <c r="G217" s="65"/>
      <c r="H217" s="65"/>
      <c r="I217" s="65"/>
      <c r="J217" s="66"/>
      <c r="K217" s="67"/>
      <c r="L217" s="68"/>
      <c r="M217" s="65"/>
      <c r="N217" s="66"/>
      <c r="O217" s="65"/>
      <c r="P217" s="65"/>
      <c r="Q217" s="65"/>
      <c r="R217" s="55"/>
      <c r="S217" s="56"/>
      <c r="T217" s="65"/>
      <c r="U217" s="55"/>
      <c r="V217" s="56"/>
      <c r="W217" s="93"/>
    </row>
    <row r="218" spans="1:24">
      <c r="A218" s="137"/>
      <c r="B218" s="65"/>
      <c r="C218" s="69" t="s">
        <v>52</v>
      </c>
      <c r="D218" s="130"/>
      <c r="E218" s="130"/>
      <c r="F218" s="65"/>
      <c r="G218" s="58">
        <f>+G216</f>
        <v>2962.0949999999998</v>
      </c>
      <c r="H218" s="65"/>
      <c r="I218" s="65"/>
      <c r="J218" s="58" t="e">
        <f>+#REF!+J216</f>
        <v>#REF!</v>
      </c>
      <c r="K218" s="60">
        <f t="shared" ref="K218:L218" si="140">+K216</f>
        <v>212.89999999999998</v>
      </c>
      <c r="L218" s="58">
        <f t="shared" si="140"/>
        <v>398.4</v>
      </c>
      <c r="M218" s="61">
        <f>+M216</f>
        <v>134.49939991796347</v>
      </c>
      <c r="N218" s="58">
        <f t="shared" ref="N218:P218" si="141">+N216</f>
        <v>398.4</v>
      </c>
      <c r="O218" s="61">
        <f t="shared" si="141"/>
        <v>134.49939991796347</v>
      </c>
      <c r="P218" s="62">
        <f t="shared" si="141"/>
        <v>13.913081258806953</v>
      </c>
      <c r="Q218" s="117">
        <f>+Q216</f>
        <v>43</v>
      </c>
      <c r="R218" s="63">
        <f>+R216</f>
        <v>18.39</v>
      </c>
      <c r="S218" s="64">
        <f>R218/G218</f>
        <v>6.20844368597226E-3</v>
      </c>
      <c r="T218" s="117">
        <f>+T216</f>
        <v>46</v>
      </c>
      <c r="U218" s="63">
        <f>+U216</f>
        <v>18.381999999999998</v>
      </c>
      <c r="V218" s="64">
        <f>U218/G218</f>
        <v>6.2057428948092477E-3</v>
      </c>
      <c r="W218" s="92">
        <f>+W216</f>
        <v>209500</v>
      </c>
      <c r="X218" s="90">
        <f>W218/G218</f>
        <v>70.726968581358804</v>
      </c>
    </row>
    <row r="220" spans="1:24" ht="57" customHeight="1">
      <c r="A220" s="134" t="s">
        <v>0</v>
      </c>
      <c r="B220" s="1" t="s">
        <v>20</v>
      </c>
      <c r="C220" s="118" t="s">
        <v>117</v>
      </c>
      <c r="D220" s="127" t="s">
        <v>2</v>
      </c>
      <c r="E220" s="127" t="s">
        <v>3</v>
      </c>
      <c r="F220" s="1" t="s">
        <v>4</v>
      </c>
      <c r="G220" s="1" t="s">
        <v>5</v>
      </c>
      <c r="H220" s="1" t="s">
        <v>6</v>
      </c>
      <c r="I220" s="1" t="s">
        <v>7</v>
      </c>
      <c r="J220" s="1" t="s">
        <v>8</v>
      </c>
      <c r="K220" s="1" t="s">
        <v>9</v>
      </c>
      <c r="L220" s="1" t="s">
        <v>132</v>
      </c>
      <c r="M220" s="1" t="s">
        <v>133</v>
      </c>
      <c r="N220" s="2" t="s">
        <v>12</v>
      </c>
      <c r="O220" s="2" t="s">
        <v>13</v>
      </c>
      <c r="P220" s="1" t="s">
        <v>14</v>
      </c>
      <c r="Q220" s="13" t="s">
        <v>115</v>
      </c>
      <c r="R220" s="13" t="s">
        <v>21</v>
      </c>
      <c r="S220" s="13" t="s">
        <v>24</v>
      </c>
      <c r="T220" s="13" t="s">
        <v>116</v>
      </c>
      <c r="U220" s="13" t="s">
        <v>22</v>
      </c>
      <c r="V220" s="13" t="s">
        <v>23</v>
      </c>
      <c r="W220" s="88" t="s">
        <v>54</v>
      </c>
      <c r="X220" s="89" t="s">
        <v>55</v>
      </c>
    </row>
    <row r="221" spans="1:24">
      <c r="A221" s="170" t="s">
        <v>553</v>
      </c>
      <c r="B221" s="47" t="s">
        <v>59</v>
      </c>
      <c r="C221" s="94" t="s">
        <v>57</v>
      </c>
      <c r="D221" s="157" t="s">
        <v>555</v>
      </c>
      <c r="E221" s="157" t="s">
        <v>184</v>
      </c>
      <c r="F221" s="12" t="s">
        <v>556</v>
      </c>
      <c r="G221" s="159">
        <v>161.61000000000001</v>
      </c>
      <c r="H221" s="51" t="s">
        <v>557</v>
      </c>
      <c r="I221" s="51"/>
      <c r="J221" s="50"/>
      <c r="K221" s="168">
        <v>13.3</v>
      </c>
      <c r="L221" s="162">
        <v>25</v>
      </c>
      <c r="M221" s="183">
        <f t="shared" ref="M221:M222" si="142">L221/G221*1000</f>
        <v>154.69339768578678</v>
      </c>
      <c r="N221" s="184">
        <f t="shared" ref="N221:N222" si="143">+J221+L221</f>
        <v>25</v>
      </c>
      <c r="O221" s="183">
        <f t="shared" ref="O221:O222" si="144">N221/G221*1000</f>
        <v>154.69339768578678</v>
      </c>
      <c r="P221" s="185">
        <f t="shared" ref="P221:P222" si="145">G221/K221</f>
        <v>12.151127819548872</v>
      </c>
      <c r="Q221" s="71">
        <v>5</v>
      </c>
      <c r="R221" s="221">
        <v>1.0429999999999999</v>
      </c>
      <c r="S221" s="188">
        <f t="shared" ref="S221:S222" si="146">R221/G221</f>
        <v>6.453808551451023E-3</v>
      </c>
      <c r="T221" s="71">
        <v>1</v>
      </c>
      <c r="U221" s="221">
        <v>0.187</v>
      </c>
      <c r="V221" s="188">
        <f t="shared" ref="V221:V222" si="147">U221/G221</f>
        <v>1.157106614689685E-3</v>
      </c>
      <c r="W221" s="65">
        <v>14520</v>
      </c>
      <c r="X221" s="30">
        <f t="shared" ref="X221:X222" si="148">W221/G221</f>
        <v>89.845925375904955</v>
      </c>
    </row>
    <row r="222" spans="1:24">
      <c r="A222" s="169" t="s">
        <v>561</v>
      </c>
      <c r="B222" s="47" t="s">
        <v>59</v>
      </c>
      <c r="C222" s="94" t="s">
        <v>57</v>
      </c>
      <c r="D222" s="157" t="s">
        <v>147</v>
      </c>
      <c r="E222" s="157" t="s">
        <v>562</v>
      </c>
      <c r="F222" s="12" t="s">
        <v>563</v>
      </c>
      <c r="G222" s="159">
        <v>151.91999999999999</v>
      </c>
      <c r="H222" s="51" t="s">
        <v>335</v>
      </c>
      <c r="I222" s="51"/>
      <c r="J222" s="50"/>
      <c r="K222" s="168">
        <v>14.2</v>
      </c>
      <c r="L222" s="162">
        <v>20.3</v>
      </c>
      <c r="M222" s="183">
        <f t="shared" si="142"/>
        <v>133.62295945234334</v>
      </c>
      <c r="N222" s="184">
        <f t="shared" si="143"/>
        <v>20.3</v>
      </c>
      <c r="O222" s="183">
        <f t="shared" si="144"/>
        <v>133.62295945234334</v>
      </c>
      <c r="P222" s="185">
        <f t="shared" si="145"/>
        <v>10.698591549295774</v>
      </c>
      <c r="Q222" s="71">
        <v>5</v>
      </c>
      <c r="R222" s="221">
        <v>1.2589999999999999</v>
      </c>
      <c r="S222" s="188">
        <f t="shared" si="146"/>
        <v>8.2872564507635599E-3</v>
      </c>
      <c r="T222" s="71">
        <v>7</v>
      </c>
      <c r="U222" s="221">
        <v>1.736</v>
      </c>
      <c r="V222" s="188">
        <f t="shared" si="147"/>
        <v>1.1427066877303846E-2</v>
      </c>
      <c r="W222" s="65">
        <v>14510</v>
      </c>
      <c r="X222" s="30">
        <f t="shared" si="148"/>
        <v>95.510795155344923</v>
      </c>
    </row>
    <row r="223" spans="1:24">
      <c r="A223" s="169" t="s">
        <v>565</v>
      </c>
      <c r="B223" s="47" t="s">
        <v>59</v>
      </c>
      <c r="C223" s="94" t="s">
        <v>57</v>
      </c>
      <c r="D223" s="157" t="s">
        <v>147</v>
      </c>
      <c r="E223" s="157" t="s">
        <v>492</v>
      </c>
      <c r="F223" s="12" t="s">
        <v>568</v>
      </c>
      <c r="G223" s="159">
        <v>186.61</v>
      </c>
      <c r="H223" s="51" t="s">
        <v>571</v>
      </c>
      <c r="I223" s="51"/>
      <c r="J223" s="50"/>
      <c r="K223" s="168">
        <v>16</v>
      </c>
      <c r="L223" s="162">
        <v>24.2</v>
      </c>
      <c r="M223" s="183">
        <f t="shared" ref="M223:M251" si="149">L223/G223*1000</f>
        <v>129.6822249611489</v>
      </c>
      <c r="N223" s="184">
        <f t="shared" ref="N223:N251" si="150">+J223+L223</f>
        <v>24.2</v>
      </c>
      <c r="O223" s="183">
        <f t="shared" ref="O223:O251" si="151">N223/G223*1000</f>
        <v>129.6822249611489</v>
      </c>
      <c r="P223" s="185">
        <f t="shared" ref="P223:P251" si="152">G223/K223</f>
        <v>11.663125000000001</v>
      </c>
      <c r="Q223" s="71">
        <v>11</v>
      </c>
      <c r="R223" s="221">
        <v>3.3220000000000001</v>
      </c>
      <c r="S223" s="188">
        <f t="shared" ref="S223:S251" si="153">R223/G223</f>
        <v>1.7801832699212261E-2</v>
      </c>
      <c r="T223" s="71">
        <v>13</v>
      </c>
      <c r="U223" s="221">
        <v>3.3210000000000002</v>
      </c>
      <c r="V223" s="188">
        <f t="shared" ref="V223:V251" si="154">U223/G223</f>
        <v>1.7796473929585766E-2</v>
      </c>
      <c r="W223" s="65">
        <v>16680</v>
      </c>
      <c r="X223" s="30">
        <f t="shared" ref="X223:X251" si="155">W223/G223</f>
        <v>89.384277369915864</v>
      </c>
    </row>
    <row r="224" spans="1:24">
      <c r="A224" s="169" t="s">
        <v>566</v>
      </c>
      <c r="B224" s="47" t="s">
        <v>59</v>
      </c>
      <c r="C224" s="94" t="s">
        <v>57</v>
      </c>
      <c r="D224" s="157" t="s">
        <v>147</v>
      </c>
      <c r="E224" s="157" t="s">
        <v>173</v>
      </c>
      <c r="F224" s="12" t="s">
        <v>569</v>
      </c>
      <c r="G224" s="159">
        <v>145.25</v>
      </c>
      <c r="H224" s="51" t="s">
        <v>154</v>
      </c>
      <c r="I224" s="51"/>
      <c r="J224" s="50"/>
      <c r="K224" s="168">
        <v>10</v>
      </c>
      <c r="L224" s="162">
        <v>19.5</v>
      </c>
      <c r="M224" s="183">
        <f t="shared" si="149"/>
        <v>134.25129087779692</v>
      </c>
      <c r="N224" s="184">
        <f t="shared" si="150"/>
        <v>19.5</v>
      </c>
      <c r="O224" s="183">
        <f t="shared" si="151"/>
        <v>134.25129087779692</v>
      </c>
      <c r="P224" s="185">
        <f t="shared" si="152"/>
        <v>14.525</v>
      </c>
      <c r="Q224" s="71">
        <v>1</v>
      </c>
      <c r="R224" s="221">
        <v>0.53500000000000003</v>
      </c>
      <c r="S224" s="188">
        <f t="shared" si="153"/>
        <v>3.6833046471600691E-3</v>
      </c>
      <c r="T224" s="71">
        <v>1</v>
      </c>
      <c r="U224" s="221">
        <v>0.52400000000000002</v>
      </c>
      <c r="V224" s="188">
        <f t="shared" si="154"/>
        <v>3.6075731497418246E-3</v>
      </c>
      <c r="W224" s="65">
        <v>9480</v>
      </c>
      <c r="X224" s="30">
        <f t="shared" si="155"/>
        <v>65.26678141135973</v>
      </c>
    </row>
    <row r="225" spans="1:24">
      <c r="A225" s="169" t="s">
        <v>567</v>
      </c>
      <c r="B225" s="47" t="s">
        <v>59</v>
      </c>
      <c r="C225" s="94" t="s">
        <v>57</v>
      </c>
      <c r="D225" s="157" t="s">
        <v>147</v>
      </c>
      <c r="E225" s="157" t="s">
        <v>259</v>
      </c>
      <c r="F225" s="12" t="s">
        <v>570</v>
      </c>
      <c r="G225" s="159">
        <v>157.44999999999999</v>
      </c>
      <c r="H225" s="51" t="s">
        <v>154</v>
      </c>
      <c r="I225" s="51"/>
      <c r="J225" s="50"/>
      <c r="K225" s="168">
        <v>11</v>
      </c>
      <c r="L225" s="162">
        <v>20.350000000000001</v>
      </c>
      <c r="M225" s="183">
        <f t="shared" si="149"/>
        <v>129.24738012067326</v>
      </c>
      <c r="N225" s="184">
        <f t="shared" si="150"/>
        <v>20.350000000000001</v>
      </c>
      <c r="O225" s="183">
        <f t="shared" si="151"/>
        <v>129.24738012067326</v>
      </c>
      <c r="P225" s="185">
        <f t="shared" si="152"/>
        <v>14.313636363636363</v>
      </c>
      <c r="Q225" s="71"/>
      <c r="R225" s="221"/>
      <c r="S225" s="188">
        <f t="shared" si="153"/>
        <v>0</v>
      </c>
      <c r="T225" s="71">
        <v>2</v>
      </c>
      <c r="U225" s="221">
        <v>0.432</v>
      </c>
      <c r="V225" s="188">
        <f t="shared" si="154"/>
        <v>2.7437281676722771E-3</v>
      </c>
      <c r="W225" s="65">
        <v>12180</v>
      </c>
      <c r="X225" s="30">
        <f t="shared" si="155"/>
        <v>77.357891394093372</v>
      </c>
    </row>
    <row r="226" spans="1:24">
      <c r="A226" s="169" t="s">
        <v>572</v>
      </c>
      <c r="B226" s="47" t="s">
        <v>59</v>
      </c>
      <c r="C226" s="94" t="s">
        <v>57</v>
      </c>
      <c r="D226" s="157" t="s">
        <v>147</v>
      </c>
      <c r="E226" s="157" t="s">
        <v>259</v>
      </c>
      <c r="F226" s="12" t="s">
        <v>573</v>
      </c>
      <c r="G226" s="159">
        <v>148.02000000000001</v>
      </c>
      <c r="H226" s="51" t="s">
        <v>154</v>
      </c>
      <c r="I226" s="51"/>
      <c r="J226" s="50"/>
      <c r="K226" s="168">
        <v>11</v>
      </c>
      <c r="L226" s="162">
        <v>21.1</v>
      </c>
      <c r="M226" s="183">
        <f t="shared" si="149"/>
        <v>142.54830428320497</v>
      </c>
      <c r="N226" s="184">
        <f t="shared" si="150"/>
        <v>21.1</v>
      </c>
      <c r="O226" s="183">
        <f t="shared" si="151"/>
        <v>142.54830428320497</v>
      </c>
      <c r="P226" s="185">
        <f t="shared" si="152"/>
        <v>13.456363636363637</v>
      </c>
      <c r="Q226" s="71">
        <v>4</v>
      </c>
      <c r="R226" s="221">
        <v>1.2270000000000001</v>
      </c>
      <c r="S226" s="188">
        <f t="shared" si="153"/>
        <v>8.2894203486015405E-3</v>
      </c>
      <c r="T226" s="71">
        <v>1</v>
      </c>
      <c r="U226" s="221">
        <v>0.30599999999999999</v>
      </c>
      <c r="V226" s="188">
        <f t="shared" si="154"/>
        <v>2.0672882042967163E-3</v>
      </c>
      <c r="W226" s="65">
        <v>12180</v>
      </c>
      <c r="X226" s="30">
        <f t="shared" si="155"/>
        <v>82.286177543575192</v>
      </c>
    </row>
    <row r="227" spans="1:24">
      <c r="A227" s="169" t="s">
        <v>585</v>
      </c>
      <c r="B227" s="47" t="s">
        <v>59</v>
      </c>
      <c r="C227" s="94" t="s">
        <v>57</v>
      </c>
      <c r="D227" s="157" t="s">
        <v>586</v>
      </c>
      <c r="E227" s="157" t="s">
        <v>214</v>
      </c>
      <c r="F227" s="12" t="s">
        <v>160</v>
      </c>
      <c r="G227" s="159">
        <v>127.74</v>
      </c>
      <c r="H227" s="51" t="s">
        <v>154</v>
      </c>
      <c r="I227" s="51"/>
      <c r="J227" s="50"/>
      <c r="K227" s="168">
        <v>6.35</v>
      </c>
      <c r="L227" s="162">
        <v>17.399999999999999</v>
      </c>
      <c r="M227" s="183">
        <f>L227/G227*1000</f>
        <v>136.21418506341004</v>
      </c>
      <c r="N227" s="184">
        <f t="shared" si="150"/>
        <v>17.399999999999999</v>
      </c>
      <c r="O227" s="183">
        <f t="shared" si="151"/>
        <v>136.21418506341004</v>
      </c>
      <c r="P227" s="185">
        <f t="shared" si="152"/>
        <v>20.116535433070865</v>
      </c>
      <c r="Q227" s="71"/>
      <c r="R227" s="221"/>
      <c r="S227" s="188">
        <f t="shared" si="153"/>
        <v>0</v>
      </c>
      <c r="T227" s="71"/>
      <c r="U227" s="221"/>
      <c r="V227" s="188">
        <f t="shared" si="154"/>
        <v>0</v>
      </c>
      <c r="W227" s="65">
        <v>9660</v>
      </c>
      <c r="X227" s="30">
        <f t="shared" si="155"/>
        <v>75.622357914513856</v>
      </c>
    </row>
    <row r="228" spans="1:24">
      <c r="A228" s="169" t="s">
        <v>574</v>
      </c>
      <c r="B228" s="47" t="s">
        <v>59</v>
      </c>
      <c r="C228" s="94" t="s">
        <v>57</v>
      </c>
      <c r="D228" s="157" t="s">
        <v>147</v>
      </c>
      <c r="E228" s="157" t="s">
        <v>150</v>
      </c>
      <c r="F228" s="12" t="s">
        <v>588</v>
      </c>
      <c r="G228" s="159">
        <v>156.11000000000001</v>
      </c>
      <c r="H228" s="51" t="s">
        <v>154</v>
      </c>
      <c r="I228" s="51"/>
      <c r="J228" s="50"/>
      <c r="K228" s="168">
        <v>12</v>
      </c>
      <c r="L228" s="162">
        <v>20.9</v>
      </c>
      <c r="M228" s="183">
        <f t="shared" si="149"/>
        <v>133.87995644097109</v>
      </c>
      <c r="N228" s="184">
        <f t="shared" si="150"/>
        <v>20.9</v>
      </c>
      <c r="O228" s="183">
        <f t="shared" si="151"/>
        <v>133.87995644097109</v>
      </c>
      <c r="P228" s="185">
        <f t="shared" si="152"/>
        <v>13.009166666666667</v>
      </c>
      <c r="Q228" s="228">
        <v>1</v>
      </c>
      <c r="R228" s="225">
        <v>0.40699999999999997</v>
      </c>
      <c r="S228" s="188">
        <f t="shared" si="153"/>
        <v>2.6071359938504898E-3</v>
      </c>
      <c r="T228" s="228">
        <v>1</v>
      </c>
      <c r="U228" s="225">
        <v>0.41</v>
      </c>
      <c r="V228" s="188">
        <f t="shared" si="154"/>
        <v>2.6263532124783801E-3</v>
      </c>
      <c r="W228" s="65">
        <v>12180</v>
      </c>
      <c r="X228" s="30">
        <f t="shared" si="155"/>
        <v>78.021907629235784</v>
      </c>
    </row>
    <row r="229" spans="1:24">
      <c r="A229" s="169" t="s">
        <v>575</v>
      </c>
      <c r="B229" s="47" t="s">
        <v>59</v>
      </c>
      <c r="C229" s="94" t="s">
        <v>57</v>
      </c>
      <c r="D229" s="157" t="s">
        <v>555</v>
      </c>
      <c r="E229" s="157" t="s">
        <v>382</v>
      </c>
      <c r="F229" s="12" t="s">
        <v>589</v>
      </c>
      <c r="G229" s="159">
        <v>184.55</v>
      </c>
      <c r="H229" s="51" t="s">
        <v>154</v>
      </c>
      <c r="I229" s="51"/>
      <c r="J229" s="50"/>
      <c r="K229" s="168">
        <v>15.3</v>
      </c>
      <c r="L229" s="162">
        <v>24.6</v>
      </c>
      <c r="M229" s="183">
        <f t="shared" si="149"/>
        <v>133.29720942833919</v>
      </c>
      <c r="N229" s="184">
        <f t="shared" si="150"/>
        <v>24.6</v>
      </c>
      <c r="O229" s="183">
        <f t="shared" si="151"/>
        <v>133.29720942833919</v>
      </c>
      <c r="P229" s="185">
        <f t="shared" si="152"/>
        <v>12.062091503267974</v>
      </c>
      <c r="Q229" s="71"/>
      <c r="R229" s="221"/>
      <c r="S229" s="188">
        <f t="shared" si="153"/>
        <v>0</v>
      </c>
      <c r="T229" s="71">
        <v>1</v>
      </c>
      <c r="U229" s="221">
        <v>0.44500000000000001</v>
      </c>
      <c r="V229" s="188">
        <f t="shared" si="154"/>
        <v>2.4112706583581684E-3</v>
      </c>
      <c r="W229" s="65">
        <v>11100</v>
      </c>
      <c r="X229" s="30">
        <f t="shared" si="155"/>
        <v>60.146301815226224</v>
      </c>
    </row>
    <row r="230" spans="1:24">
      <c r="A230" s="169" t="s">
        <v>576</v>
      </c>
      <c r="B230" s="47" t="s">
        <v>59</v>
      </c>
      <c r="C230" s="94" t="s">
        <v>57</v>
      </c>
      <c r="D230" s="157" t="s">
        <v>147</v>
      </c>
      <c r="E230" s="157" t="s">
        <v>382</v>
      </c>
      <c r="F230" s="12" t="s">
        <v>590</v>
      </c>
      <c r="G230" s="159">
        <v>207.47</v>
      </c>
      <c r="H230" s="51" t="s">
        <v>154</v>
      </c>
      <c r="I230" s="51"/>
      <c r="J230" s="50"/>
      <c r="K230" s="168">
        <v>15</v>
      </c>
      <c r="L230" s="162">
        <v>27.8</v>
      </c>
      <c r="M230" s="183">
        <f t="shared" si="149"/>
        <v>133.99527642550729</v>
      </c>
      <c r="N230" s="184">
        <f t="shared" si="150"/>
        <v>27.8</v>
      </c>
      <c r="O230" s="183">
        <f t="shared" si="151"/>
        <v>133.99527642550729</v>
      </c>
      <c r="P230" s="185">
        <f t="shared" si="152"/>
        <v>13.831333333333333</v>
      </c>
      <c r="Q230" s="71">
        <v>6</v>
      </c>
      <c r="R230" s="221">
        <v>1.5840000000000001</v>
      </c>
      <c r="S230" s="188">
        <f t="shared" si="153"/>
        <v>7.6348387718706322E-3</v>
      </c>
      <c r="T230" s="71">
        <v>4</v>
      </c>
      <c r="U230" s="221">
        <v>0.94499999999999995</v>
      </c>
      <c r="V230" s="188">
        <f t="shared" si="154"/>
        <v>4.5548754036728199E-3</v>
      </c>
      <c r="W230" s="65">
        <v>16920</v>
      </c>
      <c r="X230" s="30">
        <f t="shared" si="155"/>
        <v>81.553959608618115</v>
      </c>
    </row>
    <row r="231" spans="1:24">
      <c r="A231" s="169" t="s">
        <v>577</v>
      </c>
      <c r="B231" s="47" t="s">
        <v>59</v>
      </c>
      <c r="C231" s="94" t="s">
        <v>57</v>
      </c>
      <c r="D231" s="157"/>
      <c r="E231" s="157"/>
      <c r="F231" s="45" t="s">
        <v>167</v>
      </c>
      <c r="G231" s="159"/>
      <c r="H231" s="51"/>
      <c r="I231" s="51"/>
      <c r="J231" s="50"/>
      <c r="K231" s="168"/>
      <c r="L231" s="162"/>
      <c r="M231" s="183"/>
      <c r="N231" s="184"/>
      <c r="O231" s="183"/>
      <c r="P231" s="185"/>
      <c r="Q231" s="71"/>
      <c r="R231" s="221"/>
      <c r="S231" s="188"/>
      <c r="T231" s="71"/>
      <c r="U231" s="221"/>
      <c r="V231" s="188"/>
      <c r="W231" s="65"/>
      <c r="X231" s="30"/>
    </row>
    <row r="232" spans="1:24">
      <c r="A232" s="169" t="s">
        <v>578</v>
      </c>
      <c r="B232" s="47" t="s">
        <v>59</v>
      </c>
      <c r="C232" s="94" t="s">
        <v>57</v>
      </c>
      <c r="D232" s="157" t="s">
        <v>147</v>
      </c>
      <c r="E232" s="157" t="s">
        <v>184</v>
      </c>
      <c r="F232" s="12" t="s">
        <v>591</v>
      </c>
      <c r="G232" s="159">
        <v>206.41</v>
      </c>
      <c r="H232" s="51" t="s">
        <v>154</v>
      </c>
      <c r="I232" s="51"/>
      <c r="J232" s="50"/>
      <c r="K232" s="168">
        <v>13</v>
      </c>
      <c r="L232" s="162">
        <v>26.9</v>
      </c>
      <c r="M232" s="183">
        <f t="shared" si="149"/>
        <v>130.32314325856305</v>
      </c>
      <c r="N232" s="184">
        <f t="shared" si="150"/>
        <v>26.9</v>
      </c>
      <c r="O232" s="183">
        <f t="shared" si="151"/>
        <v>130.32314325856305</v>
      </c>
      <c r="P232" s="185">
        <f t="shared" si="152"/>
        <v>15.877692307692307</v>
      </c>
      <c r="Q232" s="71">
        <v>1</v>
      </c>
      <c r="R232" s="221">
        <v>0.36799999999999999</v>
      </c>
      <c r="S232" s="188">
        <f t="shared" si="153"/>
        <v>1.7828593575892641E-3</v>
      </c>
      <c r="T232" s="71"/>
      <c r="U232" s="221"/>
      <c r="V232" s="188">
        <f t="shared" si="154"/>
        <v>0</v>
      </c>
      <c r="W232" s="65">
        <v>12480</v>
      </c>
      <c r="X232" s="30">
        <f t="shared" si="155"/>
        <v>60.462186909548954</v>
      </c>
    </row>
    <row r="233" spans="1:24">
      <c r="A233" s="169" t="s">
        <v>579</v>
      </c>
      <c r="B233" s="47" t="s">
        <v>59</v>
      </c>
      <c r="C233" s="94" t="s">
        <v>57</v>
      </c>
      <c r="D233" s="157" t="s">
        <v>147</v>
      </c>
      <c r="E233" s="157" t="s">
        <v>382</v>
      </c>
      <c r="F233" s="12" t="s">
        <v>592</v>
      </c>
      <c r="G233" s="159">
        <v>156.22999999999999</v>
      </c>
      <c r="H233" s="51" t="s">
        <v>154</v>
      </c>
      <c r="I233" s="51"/>
      <c r="J233" s="50"/>
      <c r="K233" s="168">
        <v>15</v>
      </c>
      <c r="L233" s="162">
        <v>20.6</v>
      </c>
      <c r="M233" s="183">
        <f t="shared" si="149"/>
        <v>131.8568776803431</v>
      </c>
      <c r="N233" s="184">
        <f t="shared" si="150"/>
        <v>20.6</v>
      </c>
      <c r="O233" s="183">
        <f t="shared" si="151"/>
        <v>131.8568776803431</v>
      </c>
      <c r="P233" s="185">
        <f t="shared" si="152"/>
        <v>10.415333333333333</v>
      </c>
      <c r="Q233" s="71"/>
      <c r="R233" s="221"/>
      <c r="S233" s="188">
        <f t="shared" si="153"/>
        <v>0</v>
      </c>
      <c r="T233" s="71"/>
      <c r="U233" s="221"/>
      <c r="V233" s="188">
        <f t="shared" si="154"/>
        <v>0</v>
      </c>
      <c r="W233" s="65">
        <v>10560</v>
      </c>
      <c r="X233" s="30">
        <f t="shared" si="155"/>
        <v>67.592651859438007</v>
      </c>
    </row>
    <row r="234" spans="1:24">
      <c r="A234" s="169" t="s">
        <v>580</v>
      </c>
      <c r="B234" s="47" t="s">
        <v>59</v>
      </c>
      <c r="C234" s="94" t="s">
        <v>57</v>
      </c>
      <c r="D234" s="157" t="s">
        <v>149</v>
      </c>
      <c r="E234" s="157" t="s">
        <v>214</v>
      </c>
      <c r="F234" s="12" t="s">
        <v>593</v>
      </c>
      <c r="G234" s="159">
        <v>178.08</v>
      </c>
      <c r="H234" s="51" t="s">
        <v>154</v>
      </c>
      <c r="I234" s="51"/>
      <c r="J234" s="50"/>
      <c r="K234" s="168">
        <v>13</v>
      </c>
      <c r="L234" s="162">
        <v>24.2</v>
      </c>
      <c r="M234" s="183">
        <f t="shared" si="149"/>
        <v>135.89398023360286</v>
      </c>
      <c r="N234" s="184">
        <f t="shared" si="150"/>
        <v>24.2</v>
      </c>
      <c r="O234" s="183">
        <f t="shared" si="151"/>
        <v>135.89398023360286</v>
      </c>
      <c r="P234" s="185">
        <f t="shared" si="152"/>
        <v>13.69846153846154</v>
      </c>
      <c r="Q234" s="71">
        <v>3</v>
      </c>
      <c r="R234" s="221">
        <v>1.123</v>
      </c>
      <c r="S234" s="188">
        <f t="shared" si="153"/>
        <v>6.3061545372866123E-3</v>
      </c>
      <c r="T234" s="71"/>
      <c r="U234" s="221"/>
      <c r="V234" s="188">
        <f t="shared" si="154"/>
        <v>0</v>
      </c>
      <c r="W234" s="65">
        <v>15300</v>
      </c>
      <c r="X234" s="30">
        <f t="shared" si="155"/>
        <v>85.91644204851751</v>
      </c>
    </row>
    <row r="235" spans="1:24">
      <c r="A235" s="169" t="s">
        <v>581</v>
      </c>
      <c r="B235" s="47" t="s">
        <v>59</v>
      </c>
      <c r="C235" s="94" t="s">
        <v>57</v>
      </c>
      <c r="D235" s="157" t="s">
        <v>147</v>
      </c>
      <c r="E235" s="157" t="s">
        <v>150</v>
      </c>
      <c r="F235" s="12" t="s">
        <v>273</v>
      </c>
      <c r="G235" s="159">
        <v>202.7</v>
      </c>
      <c r="H235" s="51" t="s">
        <v>154</v>
      </c>
      <c r="I235" s="51"/>
      <c r="J235" s="50"/>
      <c r="K235" s="168">
        <v>12.3</v>
      </c>
      <c r="L235" s="162">
        <v>25.8</v>
      </c>
      <c r="M235" s="183">
        <f t="shared" si="149"/>
        <v>127.28169708929454</v>
      </c>
      <c r="N235" s="184">
        <f t="shared" si="150"/>
        <v>25.8</v>
      </c>
      <c r="O235" s="183">
        <f t="shared" si="151"/>
        <v>127.28169708929454</v>
      </c>
      <c r="P235" s="185">
        <f t="shared" si="152"/>
        <v>16.479674796747965</v>
      </c>
      <c r="Q235" s="71">
        <v>3</v>
      </c>
      <c r="R235" s="221">
        <v>0.66900000000000004</v>
      </c>
      <c r="S235" s="188">
        <f t="shared" si="153"/>
        <v>3.3004440059200791E-3</v>
      </c>
      <c r="T235" s="71"/>
      <c r="U235" s="221"/>
      <c r="V235" s="188">
        <f t="shared" si="154"/>
        <v>0</v>
      </c>
      <c r="W235" s="65">
        <v>16020</v>
      </c>
      <c r="X235" s="30">
        <f t="shared" si="155"/>
        <v>79.03305377405033</v>
      </c>
    </row>
    <row r="236" spans="1:24">
      <c r="A236" s="169" t="s">
        <v>582</v>
      </c>
      <c r="B236" s="47" t="s">
        <v>59</v>
      </c>
      <c r="C236" s="94" t="s">
        <v>57</v>
      </c>
      <c r="D236" s="157" t="s">
        <v>147</v>
      </c>
      <c r="E236" s="157" t="s">
        <v>184</v>
      </c>
      <c r="F236" s="12" t="s">
        <v>444</v>
      </c>
      <c r="G236" s="159">
        <v>188.25</v>
      </c>
      <c r="H236" s="51" t="s">
        <v>154</v>
      </c>
      <c r="I236" s="51"/>
      <c r="J236" s="50"/>
      <c r="K236" s="168">
        <v>13</v>
      </c>
      <c r="L236" s="162">
        <v>24.3</v>
      </c>
      <c r="M236" s="183">
        <f t="shared" si="149"/>
        <v>129.08366533864543</v>
      </c>
      <c r="N236" s="184">
        <f t="shared" si="150"/>
        <v>24.3</v>
      </c>
      <c r="O236" s="183">
        <f t="shared" si="151"/>
        <v>129.08366533864543</v>
      </c>
      <c r="P236" s="185">
        <f t="shared" si="152"/>
        <v>14.48076923076923</v>
      </c>
      <c r="Q236" s="71"/>
      <c r="R236" s="221"/>
      <c r="S236" s="188">
        <f t="shared" si="153"/>
        <v>0</v>
      </c>
      <c r="T236" s="71"/>
      <c r="U236" s="221"/>
      <c r="V236" s="188">
        <f t="shared" si="154"/>
        <v>0</v>
      </c>
      <c r="W236" s="65">
        <v>16500</v>
      </c>
      <c r="X236" s="30">
        <f t="shared" si="155"/>
        <v>87.64940239043824</v>
      </c>
    </row>
    <row r="237" spans="1:24">
      <c r="A237" s="169" t="s">
        <v>583</v>
      </c>
      <c r="B237" s="47" t="s">
        <v>59</v>
      </c>
      <c r="C237" s="94" t="s">
        <v>57</v>
      </c>
      <c r="D237" s="157" t="s">
        <v>147</v>
      </c>
      <c r="E237" s="157" t="s">
        <v>214</v>
      </c>
      <c r="F237" s="12" t="s">
        <v>594</v>
      </c>
      <c r="G237" s="159">
        <v>215.17</v>
      </c>
      <c r="H237" s="51" t="s">
        <v>154</v>
      </c>
      <c r="I237" s="51"/>
      <c r="J237" s="50"/>
      <c r="K237" s="168">
        <v>14</v>
      </c>
      <c r="L237" s="162">
        <v>27.4</v>
      </c>
      <c r="M237" s="183">
        <f t="shared" si="149"/>
        <v>127.34117209648186</v>
      </c>
      <c r="N237" s="184">
        <f t="shared" si="150"/>
        <v>27.4</v>
      </c>
      <c r="O237" s="183">
        <f t="shared" si="151"/>
        <v>127.34117209648186</v>
      </c>
      <c r="P237" s="185">
        <f t="shared" si="152"/>
        <v>15.369285714285713</v>
      </c>
      <c r="Q237" s="71"/>
      <c r="R237" s="221"/>
      <c r="S237" s="188">
        <f t="shared" si="153"/>
        <v>0</v>
      </c>
      <c r="T237" s="201">
        <v>2</v>
      </c>
      <c r="U237" s="202">
        <v>0.54300000000000004</v>
      </c>
      <c r="V237" s="188">
        <f t="shared" si="154"/>
        <v>2.5235860017660456E-3</v>
      </c>
      <c r="W237" s="65">
        <v>16620</v>
      </c>
      <c r="X237" s="30">
        <f t="shared" si="155"/>
        <v>77.24125110377841</v>
      </c>
    </row>
    <row r="238" spans="1:24">
      <c r="A238" s="169" t="s">
        <v>584</v>
      </c>
      <c r="B238" s="47" t="s">
        <v>59</v>
      </c>
      <c r="C238" s="94" t="s">
        <v>57</v>
      </c>
      <c r="D238" s="157"/>
      <c r="E238" s="157"/>
      <c r="F238" s="45" t="s">
        <v>167</v>
      </c>
      <c r="G238" s="159"/>
      <c r="H238" s="51"/>
      <c r="I238" s="51"/>
      <c r="J238" s="50"/>
      <c r="K238" s="168"/>
      <c r="L238" s="162"/>
      <c r="M238" s="183"/>
      <c r="N238" s="184"/>
      <c r="O238" s="183"/>
      <c r="P238" s="185"/>
      <c r="Q238" s="71"/>
      <c r="R238" s="221"/>
      <c r="S238" s="188"/>
      <c r="T238" s="71"/>
      <c r="U238" s="221"/>
      <c r="V238" s="188"/>
      <c r="W238" s="65"/>
      <c r="X238" s="30"/>
    </row>
    <row r="239" spans="1:24">
      <c r="A239" s="169" t="s">
        <v>596</v>
      </c>
      <c r="B239" s="47" t="s">
        <v>59</v>
      </c>
      <c r="C239" s="94" t="s">
        <v>57</v>
      </c>
      <c r="D239" s="157"/>
      <c r="E239" s="157"/>
      <c r="F239" s="45" t="s">
        <v>595</v>
      </c>
      <c r="G239" s="159"/>
      <c r="H239" s="51"/>
      <c r="I239" s="51"/>
      <c r="J239" s="50"/>
      <c r="K239" s="168"/>
      <c r="L239" s="162"/>
      <c r="M239" s="183"/>
      <c r="N239" s="184"/>
      <c r="O239" s="183"/>
      <c r="P239" s="185"/>
      <c r="Q239" s="71"/>
      <c r="R239" s="221"/>
      <c r="S239" s="188"/>
      <c r="T239" s="71"/>
      <c r="U239" s="221"/>
      <c r="V239" s="188"/>
      <c r="W239" s="65"/>
      <c r="X239" s="30"/>
    </row>
    <row r="240" spans="1:24">
      <c r="A240" s="169" t="s">
        <v>597</v>
      </c>
      <c r="B240" s="47" t="s">
        <v>59</v>
      </c>
      <c r="C240" s="94" t="s">
        <v>57</v>
      </c>
      <c r="D240" s="157"/>
      <c r="E240" s="157"/>
      <c r="F240" s="45" t="s">
        <v>595</v>
      </c>
      <c r="G240" s="159"/>
      <c r="H240" s="51"/>
      <c r="I240" s="51"/>
      <c r="J240" s="50"/>
      <c r="K240" s="168"/>
      <c r="L240" s="162"/>
      <c r="M240" s="183"/>
      <c r="N240" s="184"/>
      <c r="O240" s="183"/>
      <c r="P240" s="185"/>
      <c r="Q240" s="71"/>
      <c r="R240" s="221"/>
      <c r="S240" s="188"/>
      <c r="T240" s="71"/>
      <c r="U240" s="221"/>
      <c r="V240" s="188"/>
      <c r="W240" s="65"/>
      <c r="X240" s="30"/>
    </row>
    <row r="241" spans="1:24">
      <c r="A241" s="169" t="s">
        <v>598</v>
      </c>
      <c r="B241" s="47" t="s">
        <v>59</v>
      </c>
      <c r="C241" s="94" t="s">
        <v>57</v>
      </c>
      <c r="D241" s="157"/>
      <c r="E241" s="157"/>
      <c r="F241" s="45" t="s">
        <v>595</v>
      </c>
      <c r="G241" s="159"/>
      <c r="H241" s="51"/>
      <c r="I241" s="51"/>
      <c r="J241" s="50"/>
      <c r="K241" s="168"/>
      <c r="L241" s="162"/>
      <c r="M241" s="183"/>
      <c r="N241" s="184"/>
      <c r="O241" s="183"/>
      <c r="P241" s="185"/>
      <c r="Q241" s="71"/>
      <c r="R241" s="221"/>
      <c r="S241" s="188"/>
      <c r="T241" s="71"/>
      <c r="U241" s="221"/>
      <c r="V241" s="188"/>
      <c r="W241" s="65"/>
      <c r="X241" s="30"/>
    </row>
    <row r="242" spans="1:24">
      <c r="A242" s="169" t="s">
        <v>599</v>
      </c>
      <c r="B242" s="47" t="s">
        <v>59</v>
      </c>
      <c r="C242" s="94" t="s">
        <v>57</v>
      </c>
      <c r="D242" s="157"/>
      <c r="E242" s="157"/>
      <c r="F242" s="45" t="s">
        <v>595</v>
      </c>
      <c r="G242" s="159"/>
      <c r="H242" s="51"/>
      <c r="I242" s="51"/>
      <c r="J242" s="50"/>
      <c r="K242" s="168"/>
      <c r="L242" s="162"/>
      <c r="M242" s="183"/>
      <c r="N242" s="184"/>
      <c r="O242" s="183"/>
      <c r="P242" s="185"/>
      <c r="Q242" s="71"/>
      <c r="R242" s="221"/>
      <c r="S242" s="188"/>
      <c r="T242" s="71"/>
      <c r="U242" s="221"/>
      <c r="V242" s="188"/>
      <c r="W242" s="65"/>
      <c r="X242" s="30"/>
    </row>
    <row r="243" spans="1:24">
      <c r="A243" s="169" t="s">
        <v>600</v>
      </c>
      <c r="B243" s="47" t="s">
        <v>59</v>
      </c>
      <c r="C243" s="94" t="s">
        <v>57</v>
      </c>
      <c r="D243" s="157"/>
      <c r="E243" s="157"/>
      <c r="F243" s="45" t="s">
        <v>595</v>
      </c>
      <c r="G243" s="159"/>
      <c r="H243" s="51"/>
      <c r="I243" s="51"/>
      <c r="J243" s="50"/>
      <c r="K243" s="168"/>
      <c r="L243" s="162"/>
      <c r="M243" s="183"/>
      <c r="N243" s="184"/>
      <c r="O243" s="183"/>
      <c r="P243" s="185"/>
      <c r="Q243" s="71"/>
      <c r="R243" s="221"/>
      <c r="S243" s="188"/>
      <c r="T243" s="71"/>
      <c r="U243" s="221"/>
      <c r="V243" s="188"/>
      <c r="W243" s="65"/>
      <c r="X243" s="30"/>
    </row>
    <row r="244" spans="1:24">
      <c r="A244" s="169" t="s">
        <v>601</v>
      </c>
      <c r="B244" s="47" t="s">
        <v>59</v>
      </c>
      <c r="C244" s="94" t="s">
        <v>57</v>
      </c>
      <c r="D244" s="157"/>
      <c r="E244" s="157"/>
      <c r="F244" s="12" t="s">
        <v>606</v>
      </c>
      <c r="G244" s="159"/>
      <c r="H244" s="51"/>
      <c r="I244" s="51"/>
      <c r="J244" s="50"/>
      <c r="K244" s="168"/>
      <c r="L244" s="162"/>
      <c r="M244" s="183"/>
      <c r="N244" s="184"/>
      <c r="O244" s="183"/>
      <c r="P244" s="185"/>
      <c r="Q244" s="71"/>
      <c r="R244" s="221"/>
      <c r="S244" s="188"/>
      <c r="T244" s="71"/>
      <c r="U244" s="221"/>
      <c r="V244" s="188"/>
      <c r="W244" s="65"/>
      <c r="X244" s="30"/>
    </row>
    <row r="245" spans="1:24">
      <c r="A245" s="169" t="s">
        <v>602</v>
      </c>
      <c r="B245" s="47" t="s">
        <v>59</v>
      </c>
      <c r="C245" s="94" t="s">
        <v>57</v>
      </c>
      <c r="D245" s="157"/>
      <c r="E245" s="157"/>
      <c r="F245" s="45" t="s">
        <v>167</v>
      </c>
      <c r="G245" s="159"/>
      <c r="H245" s="51"/>
      <c r="I245" s="51"/>
      <c r="J245" s="50"/>
      <c r="K245" s="168"/>
      <c r="L245" s="162"/>
      <c r="M245" s="183"/>
      <c r="N245" s="184"/>
      <c r="O245" s="183"/>
      <c r="P245" s="185"/>
      <c r="Q245" s="71"/>
      <c r="R245" s="221"/>
      <c r="S245" s="188"/>
      <c r="T245" s="71"/>
      <c r="U245" s="221"/>
      <c r="V245" s="188"/>
      <c r="W245" s="65"/>
      <c r="X245" s="30"/>
    </row>
    <row r="246" spans="1:24">
      <c r="A246" s="169" t="s">
        <v>603</v>
      </c>
      <c r="B246" s="47" t="s">
        <v>59</v>
      </c>
      <c r="C246" s="94" t="s">
        <v>57</v>
      </c>
      <c r="D246" s="157" t="s">
        <v>147</v>
      </c>
      <c r="E246" s="157" t="s">
        <v>150</v>
      </c>
      <c r="F246" s="12" t="s">
        <v>607</v>
      </c>
      <c r="G246" s="159">
        <v>141.44499999999999</v>
      </c>
      <c r="H246" s="51" t="s">
        <v>154</v>
      </c>
      <c r="I246" s="51"/>
      <c r="J246" s="50"/>
      <c r="K246" s="168">
        <v>12</v>
      </c>
      <c r="L246" s="162">
        <v>23.3</v>
      </c>
      <c r="M246" s="183">
        <f t="shared" si="149"/>
        <v>164.72833963731486</v>
      </c>
      <c r="N246" s="184">
        <f t="shared" si="150"/>
        <v>23.3</v>
      </c>
      <c r="O246" s="183">
        <f t="shared" si="151"/>
        <v>164.72833963731486</v>
      </c>
      <c r="P246" s="185">
        <f t="shared" si="152"/>
        <v>11.787083333333333</v>
      </c>
      <c r="Q246" s="71">
        <v>1</v>
      </c>
      <c r="R246" s="221">
        <v>0.30299999999999999</v>
      </c>
      <c r="S246" s="188">
        <f t="shared" si="153"/>
        <v>2.1421754038672275E-3</v>
      </c>
      <c r="T246" s="71">
        <v>7</v>
      </c>
      <c r="U246" s="221">
        <v>2.1549999999999998</v>
      </c>
      <c r="V246" s="188">
        <f t="shared" si="154"/>
        <v>1.5235603944996288E-2</v>
      </c>
      <c r="W246" s="65">
        <v>10860</v>
      </c>
      <c r="X246" s="30">
        <f t="shared" si="155"/>
        <v>76.77896001979569</v>
      </c>
    </row>
    <row r="247" spans="1:24">
      <c r="A247" s="169" t="s">
        <v>604</v>
      </c>
      <c r="B247" s="47" t="s">
        <v>59</v>
      </c>
      <c r="C247" s="94" t="s">
        <v>57</v>
      </c>
      <c r="D247" s="157" t="s">
        <v>147</v>
      </c>
      <c r="E247" s="157" t="s">
        <v>214</v>
      </c>
      <c r="F247" s="12" t="s">
        <v>145</v>
      </c>
      <c r="G247" s="159">
        <v>197.55</v>
      </c>
      <c r="H247" s="51" t="s">
        <v>154</v>
      </c>
      <c r="I247" s="51"/>
      <c r="J247" s="50"/>
      <c r="K247" s="168">
        <v>14</v>
      </c>
      <c r="L247" s="162">
        <v>25.6</v>
      </c>
      <c r="M247" s="183">
        <f t="shared" si="149"/>
        <v>129.58744621614781</v>
      </c>
      <c r="N247" s="184">
        <f t="shared" si="150"/>
        <v>25.6</v>
      </c>
      <c r="O247" s="183">
        <f t="shared" si="151"/>
        <v>129.58744621614781</v>
      </c>
      <c r="P247" s="185">
        <f t="shared" si="152"/>
        <v>14.110714285714286</v>
      </c>
      <c r="Q247" s="71">
        <v>3</v>
      </c>
      <c r="R247" s="221">
        <v>0.70199999999999996</v>
      </c>
      <c r="S247" s="188">
        <f t="shared" si="153"/>
        <v>3.5535307517084278E-3</v>
      </c>
      <c r="T247" s="71"/>
      <c r="U247" s="221"/>
      <c r="V247" s="188">
        <f t="shared" si="154"/>
        <v>0</v>
      </c>
      <c r="W247" s="65">
        <v>18180</v>
      </c>
      <c r="X247" s="30">
        <f t="shared" si="155"/>
        <v>92.027334851936217</v>
      </c>
    </row>
    <row r="248" spans="1:24">
      <c r="A248" s="169" t="s">
        <v>605</v>
      </c>
      <c r="B248" s="47" t="s">
        <v>59</v>
      </c>
      <c r="C248" s="94" t="s">
        <v>57</v>
      </c>
      <c r="D248" s="157" t="s">
        <v>149</v>
      </c>
      <c r="E248" s="157" t="s">
        <v>382</v>
      </c>
      <c r="F248" s="12" t="s">
        <v>608</v>
      </c>
      <c r="G248" s="159">
        <v>171.86500000000001</v>
      </c>
      <c r="H248" s="51" t="s">
        <v>154</v>
      </c>
      <c r="I248" s="51"/>
      <c r="J248" s="50"/>
      <c r="K248" s="168">
        <v>14</v>
      </c>
      <c r="L248" s="162">
        <v>23.1</v>
      </c>
      <c r="M248" s="183">
        <f t="shared" si="149"/>
        <v>134.40782009135077</v>
      </c>
      <c r="N248" s="184">
        <f t="shared" si="150"/>
        <v>23.1</v>
      </c>
      <c r="O248" s="183">
        <f t="shared" si="151"/>
        <v>134.40782009135077</v>
      </c>
      <c r="P248" s="185">
        <f t="shared" si="152"/>
        <v>12.276071428571429</v>
      </c>
      <c r="Q248" s="71">
        <v>1</v>
      </c>
      <c r="R248" s="221">
        <v>0.222</v>
      </c>
      <c r="S248" s="188">
        <f t="shared" si="153"/>
        <v>1.2917115177610333E-3</v>
      </c>
      <c r="T248" s="71">
        <v>3</v>
      </c>
      <c r="U248" s="221">
        <v>0.67900000000000005</v>
      </c>
      <c r="V248" s="188">
        <f t="shared" si="154"/>
        <v>3.9507753178366746E-3</v>
      </c>
      <c r="W248" s="65">
        <v>17040</v>
      </c>
      <c r="X248" s="30">
        <f t="shared" si="155"/>
        <v>99.147586768684718</v>
      </c>
    </row>
    <row r="249" spans="1:24">
      <c r="A249" s="169" t="s">
        <v>610</v>
      </c>
      <c r="B249" s="47" t="s">
        <v>59</v>
      </c>
      <c r="C249" s="94" t="s">
        <v>57</v>
      </c>
      <c r="D249" s="157" t="s">
        <v>147</v>
      </c>
      <c r="E249" s="157" t="s">
        <v>184</v>
      </c>
      <c r="F249" s="12" t="s">
        <v>611</v>
      </c>
      <c r="G249" s="159">
        <v>200.12</v>
      </c>
      <c r="H249" s="51" t="s">
        <v>154</v>
      </c>
      <c r="I249" s="51"/>
      <c r="J249" s="50"/>
      <c r="K249" s="168">
        <v>13</v>
      </c>
      <c r="L249" s="162">
        <v>26.5</v>
      </c>
      <c r="M249" s="183">
        <f t="shared" si="149"/>
        <v>132.42054767139717</v>
      </c>
      <c r="N249" s="184">
        <f t="shared" si="150"/>
        <v>26.5</v>
      </c>
      <c r="O249" s="183">
        <f t="shared" si="151"/>
        <v>132.42054767139717</v>
      </c>
      <c r="P249" s="185">
        <f t="shared" si="152"/>
        <v>15.393846153846154</v>
      </c>
      <c r="Q249" s="71"/>
      <c r="R249" s="221"/>
      <c r="S249" s="188">
        <f t="shared" si="153"/>
        <v>0</v>
      </c>
      <c r="T249" s="71"/>
      <c r="U249" s="221"/>
      <c r="V249" s="188">
        <f t="shared" si="154"/>
        <v>0</v>
      </c>
      <c r="W249" s="65">
        <v>14340</v>
      </c>
      <c r="X249" s="30">
        <f t="shared" si="155"/>
        <v>71.657005796522085</v>
      </c>
    </row>
    <row r="250" spans="1:24">
      <c r="A250" s="169" t="s">
        <v>614</v>
      </c>
      <c r="B250" s="47" t="s">
        <v>59</v>
      </c>
      <c r="C250" s="94" t="s">
        <v>57</v>
      </c>
      <c r="D250" s="157" t="s">
        <v>147</v>
      </c>
      <c r="E250" s="157" t="s">
        <v>150</v>
      </c>
      <c r="F250" s="12" t="s">
        <v>570</v>
      </c>
      <c r="G250" s="159">
        <v>161.065</v>
      </c>
      <c r="H250" s="51" t="s">
        <v>154</v>
      </c>
      <c r="I250" s="51"/>
      <c r="J250" s="50"/>
      <c r="K250" s="168">
        <v>12</v>
      </c>
      <c r="L250" s="162">
        <v>22.1</v>
      </c>
      <c r="M250" s="183">
        <f t="shared" si="149"/>
        <v>137.21168472355882</v>
      </c>
      <c r="N250" s="184">
        <f t="shared" si="150"/>
        <v>22.1</v>
      </c>
      <c r="O250" s="183">
        <f t="shared" si="151"/>
        <v>137.21168472355882</v>
      </c>
      <c r="P250" s="185">
        <f t="shared" si="152"/>
        <v>13.422083333333333</v>
      </c>
      <c r="Q250" s="71">
        <v>6</v>
      </c>
      <c r="R250" s="221">
        <v>2.052</v>
      </c>
      <c r="S250" s="188">
        <f t="shared" si="153"/>
        <v>1.2740198056685189E-2</v>
      </c>
      <c r="T250" s="71">
        <v>2</v>
      </c>
      <c r="U250" s="221">
        <v>0.73799999999999999</v>
      </c>
      <c r="V250" s="188">
        <f t="shared" si="154"/>
        <v>4.5820010554744979E-3</v>
      </c>
      <c r="W250" s="65">
        <v>11400</v>
      </c>
      <c r="X250" s="30">
        <f t="shared" si="155"/>
        <v>70.778878092695493</v>
      </c>
    </row>
    <row r="251" spans="1:24">
      <c r="A251" s="169" t="s">
        <v>615</v>
      </c>
      <c r="B251" s="47" t="s">
        <v>59</v>
      </c>
      <c r="C251" s="94" t="s">
        <v>57</v>
      </c>
      <c r="D251" s="157" t="s">
        <v>147</v>
      </c>
      <c r="E251" s="157" t="s">
        <v>481</v>
      </c>
      <c r="F251" s="12" t="s">
        <v>460</v>
      </c>
      <c r="G251" s="159">
        <v>301.51</v>
      </c>
      <c r="H251" s="51" t="s">
        <v>616</v>
      </c>
      <c r="I251" s="51"/>
      <c r="J251" s="50"/>
      <c r="K251" s="168">
        <v>15.3</v>
      </c>
      <c r="L251" s="162">
        <v>38.4</v>
      </c>
      <c r="M251" s="183">
        <f t="shared" si="149"/>
        <v>127.35895990182746</v>
      </c>
      <c r="N251" s="184">
        <f t="shared" si="150"/>
        <v>38.4</v>
      </c>
      <c r="O251" s="183">
        <f t="shared" si="151"/>
        <v>127.35895990182746</v>
      </c>
      <c r="P251" s="185">
        <f t="shared" si="152"/>
        <v>19.706535947712418</v>
      </c>
      <c r="Q251" s="71">
        <v>3</v>
      </c>
      <c r="R251" s="221">
        <v>2.0880000000000001</v>
      </c>
      <c r="S251" s="188">
        <f t="shared" si="153"/>
        <v>6.9251434446618689E-3</v>
      </c>
      <c r="T251" s="71"/>
      <c r="U251" s="221"/>
      <c r="V251" s="188">
        <f t="shared" si="154"/>
        <v>0</v>
      </c>
      <c r="W251" s="65">
        <v>16680</v>
      </c>
      <c r="X251" s="30">
        <f t="shared" si="155"/>
        <v>55.321548207356308</v>
      </c>
    </row>
    <row r="252" spans="1:24" s="10" customFormat="1">
      <c r="A252" s="135"/>
      <c r="B252" s="47"/>
      <c r="C252" s="48"/>
      <c r="D252" s="129"/>
      <c r="E252" s="129"/>
      <c r="F252" s="57"/>
      <c r="G252" s="58">
        <f>SUM(G221:G251)</f>
        <v>3947.125</v>
      </c>
      <c r="H252" s="57"/>
      <c r="I252" s="59"/>
      <c r="J252" s="58">
        <f>SUM(J221:J251)</f>
        <v>0</v>
      </c>
      <c r="K252" s="194">
        <f>SUM(K221:K251)</f>
        <v>284.75</v>
      </c>
      <c r="L252" s="195">
        <f>SUM(L221:L251)</f>
        <v>529.35000000000014</v>
      </c>
      <c r="M252" s="196">
        <f>L252/G252*1000</f>
        <v>134.11027013332492</v>
      </c>
      <c r="N252" s="195">
        <f>SUM(N221:N251)</f>
        <v>529.35000000000014</v>
      </c>
      <c r="O252" s="196">
        <f t="shared" ref="O252" si="156">N252/G252*1000</f>
        <v>134.11027013332492</v>
      </c>
      <c r="P252" s="197">
        <f>G252/K252</f>
        <v>13.861720807726076</v>
      </c>
      <c r="Q252" s="198">
        <f>SUM(Q221:Q251)</f>
        <v>54</v>
      </c>
      <c r="R252" s="195">
        <f>SUM(R221:R251)</f>
        <v>16.904</v>
      </c>
      <c r="S252" s="199">
        <f t="shared" ref="S252" si="157">R252/G252</f>
        <v>4.2826107609969279E-3</v>
      </c>
      <c r="T252" s="198">
        <f>SUM(T221:T251)</f>
        <v>45</v>
      </c>
      <c r="U252" s="195">
        <f>SUM(U221:U251)</f>
        <v>12.420999999999999</v>
      </c>
      <c r="V252" s="199">
        <f>U252/G252</f>
        <v>3.1468473889223166E-3</v>
      </c>
      <c r="W252" s="198">
        <f>SUM(W221:W251)</f>
        <v>305390</v>
      </c>
      <c r="X252" s="30">
        <f>W252/G252</f>
        <v>77.370237831332929</v>
      </c>
    </row>
    <row r="253" spans="1:24">
      <c r="A253" s="137"/>
      <c r="B253" s="65"/>
      <c r="C253" s="65"/>
      <c r="D253" s="130"/>
      <c r="E253" s="130"/>
      <c r="F253" s="65"/>
      <c r="G253" s="65"/>
      <c r="H253" s="65"/>
      <c r="I253" s="65"/>
      <c r="J253" s="66"/>
      <c r="K253" s="67"/>
      <c r="L253" s="68"/>
      <c r="M253" s="65"/>
      <c r="N253" s="66"/>
      <c r="O253" s="65"/>
      <c r="P253" s="65"/>
      <c r="Q253" s="65"/>
      <c r="R253" s="55"/>
      <c r="S253" s="56"/>
      <c r="T253" s="65"/>
      <c r="U253" s="55"/>
      <c r="V253" s="56"/>
      <c r="W253" s="93"/>
    </row>
    <row r="254" spans="1:24">
      <c r="A254" s="137"/>
      <c r="B254" s="65"/>
      <c r="C254" s="69" t="s">
        <v>52</v>
      </c>
      <c r="D254" s="130"/>
      <c r="E254" s="130"/>
      <c r="F254" s="65"/>
      <c r="G254" s="58">
        <f>+G252</f>
        <v>3947.125</v>
      </c>
      <c r="H254" s="65"/>
      <c r="I254" s="65"/>
      <c r="J254" s="58" t="e">
        <f>+#REF!+J252</f>
        <v>#REF!</v>
      </c>
      <c r="K254" s="60">
        <f t="shared" ref="K254:L254" si="158">+K252</f>
        <v>284.75</v>
      </c>
      <c r="L254" s="58">
        <f t="shared" si="158"/>
        <v>529.35000000000014</v>
      </c>
      <c r="M254" s="61">
        <f>+M252</f>
        <v>134.11027013332492</v>
      </c>
      <c r="N254" s="58">
        <f t="shared" ref="N254:P254" si="159">+N252</f>
        <v>529.35000000000014</v>
      </c>
      <c r="O254" s="61">
        <f t="shared" si="159"/>
        <v>134.11027013332492</v>
      </c>
      <c r="P254" s="62">
        <f t="shared" si="159"/>
        <v>13.861720807726076</v>
      </c>
      <c r="Q254" s="117">
        <f>+Q252</f>
        <v>54</v>
      </c>
      <c r="R254" s="63">
        <f>+R252</f>
        <v>16.904</v>
      </c>
      <c r="S254" s="64">
        <f>R254/G254</f>
        <v>4.2826107609969279E-3</v>
      </c>
      <c r="T254" s="117">
        <f>+T252</f>
        <v>45</v>
      </c>
      <c r="U254" s="63">
        <f>+U252</f>
        <v>12.420999999999999</v>
      </c>
      <c r="V254" s="64">
        <f>U254/G254</f>
        <v>3.1468473889223166E-3</v>
      </c>
      <c r="W254" s="92">
        <f>+W252</f>
        <v>305390</v>
      </c>
      <c r="X254" s="90">
        <f>W254/G254</f>
        <v>77.370237831332929</v>
      </c>
    </row>
    <row r="256" spans="1:24" ht="57" customHeight="1">
      <c r="A256" s="134" t="s">
        <v>0</v>
      </c>
      <c r="B256" s="1" t="s">
        <v>20</v>
      </c>
      <c r="C256" s="118" t="s">
        <v>117</v>
      </c>
      <c r="D256" s="127" t="s">
        <v>2</v>
      </c>
      <c r="E256" s="127" t="s">
        <v>3</v>
      </c>
      <c r="F256" s="1" t="s">
        <v>4</v>
      </c>
      <c r="G256" s="1" t="s">
        <v>5</v>
      </c>
      <c r="H256" s="1" t="s">
        <v>6</v>
      </c>
      <c r="I256" s="1" t="s">
        <v>7</v>
      </c>
      <c r="J256" s="1" t="s">
        <v>8</v>
      </c>
      <c r="K256" s="1" t="s">
        <v>9</v>
      </c>
      <c r="L256" s="1" t="s">
        <v>132</v>
      </c>
      <c r="M256" s="1" t="s">
        <v>133</v>
      </c>
      <c r="N256" s="2" t="s">
        <v>12</v>
      </c>
      <c r="O256" s="2" t="s">
        <v>13</v>
      </c>
      <c r="P256" s="1" t="s">
        <v>14</v>
      </c>
      <c r="Q256" s="13" t="s">
        <v>115</v>
      </c>
      <c r="R256" s="13" t="s">
        <v>21</v>
      </c>
      <c r="S256" s="13" t="s">
        <v>24</v>
      </c>
      <c r="T256" s="13" t="s">
        <v>116</v>
      </c>
      <c r="U256" s="13" t="s">
        <v>22</v>
      </c>
      <c r="V256" s="13" t="s">
        <v>23</v>
      </c>
      <c r="W256" s="88" t="s">
        <v>54</v>
      </c>
      <c r="X256" s="89" t="s">
        <v>55</v>
      </c>
    </row>
    <row r="257" spans="1:24">
      <c r="A257" s="251" t="s">
        <v>617</v>
      </c>
      <c r="B257" s="47" t="s">
        <v>59</v>
      </c>
      <c r="C257" s="94" t="s">
        <v>57</v>
      </c>
      <c r="D257" s="157"/>
      <c r="E257" s="157"/>
      <c r="F257" s="45" t="s">
        <v>167</v>
      </c>
      <c r="G257" s="159"/>
      <c r="H257" s="51"/>
      <c r="I257" s="51"/>
      <c r="J257" s="50"/>
      <c r="K257" s="168"/>
      <c r="L257" s="162"/>
      <c r="M257" s="183"/>
      <c r="N257" s="184"/>
      <c r="O257" s="183"/>
      <c r="P257" s="185"/>
      <c r="Q257" s="71"/>
      <c r="R257" s="221"/>
      <c r="S257" s="188"/>
      <c r="T257" s="71"/>
      <c r="U257" s="221"/>
      <c r="V257" s="188"/>
      <c r="W257" s="65"/>
      <c r="X257" s="30"/>
    </row>
    <row r="258" spans="1:24">
      <c r="A258" s="250" t="s">
        <v>618</v>
      </c>
      <c r="B258" s="47" t="s">
        <v>59</v>
      </c>
      <c r="C258" s="94" t="s">
        <v>57</v>
      </c>
      <c r="D258" s="157" t="s">
        <v>147</v>
      </c>
      <c r="E258" s="157" t="s">
        <v>647</v>
      </c>
      <c r="F258" s="12" t="s">
        <v>648</v>
      </c>
      <c r="G258" s="159">
        <v>211.29499999999999</v>
      </c>
      <c r="H258" s="51" t="s">
        <v>616</v>
      </c>
      <c r="I258" s="51"/>
      <c r="J258" s="50"/>
      <c r="K258" s="168">
        <v>14</v>
      </c>
      <c r="L258" s="162">
        <v>27.5</v>
      </c>
      <c r="M258" s="183">
        <f t="shared" ref="M258:M259" si="160">L258/G258*1000</f>
        <v>130.14979057715516</v>
      </c>
      <c r="N258" s="184">
        <f t="shared" ref="N258:N259" si="161">+J258+L258</f>
        <v>27.5</v>
      </c>
      <c r="O258" s="183">
        <f t="shared" ref="O258:O259" si="162">N258/G258*1000</f>
        <v>130.14979057715516</v>
      </c>
      <c r="P258" s="185">
        <f t="shared" ref="P258:P259" si="163">G258/K258</f>
        <v>15.092499999999999</v>
      </c>
      <c r="Q258" s="71">
        <v>2</v>
      </c>
      <c r="R258" s="221">
        <v>1.4359999999999999</v>
      </c>
      <c r="S258" s="188">
        <f t="shared" ref="S258:S259" si="164">R258/G258</f>
        <v>6.7961854279561754E-3</v>
      </c>
      <c r="T258" s="71">
        <v>1</v>
      </c>
      <c r="U258" s="221">
        <v>0.76100000000000001</v>
      </c>
      <c r="V258" s="188">
        <f t="shared" ref="V258:V259" si="165">U258/G258</f>
        <v>3.6015996592441849E-3</v>
      </c>
      <c r="W258" s="65">
        <v>12540</v>
      </c>
      <c r="X258" s="30">
        <f t="shared" ref="X258:X259" si="166">W258/G258</f>
        <v>59.34830450318276</v>
      </c>
    </row>
    <row r="259" spans="1:24">
      <c r="A259" s="250" t="s">
        <v>619</v>
      </c>
      <c r="B259" s="47" t="s">
        <v>59</v>
      </c>
      <c r="C259" s="94" t="s">
        <v>57</v>
      </c>
      <c r="D259" s="157" t="s">
        <v>147</v>
      </c>
      <c r="E259" s="157" t="s">
        <v>214</v>
      </c>
      <c r="F259" s="12" t="s">
        <v>649</v>
      </c>
      <c r="G259" s="159">
        <v>239.505</v>
      </c>
      <c r="H259" s="51" t="s">
        <v>616</v>
      </c>
      <c r="I259" s="51"/>
      <c r="J259" s="50"/>
      <c r="K259" s="168">
        <v>14</v>
      </c>
      <c r="L259" s="162">
        <v>30.9</v>
      </c>
      <c r="M259" s="183">
        <f t="shared" si="160"/>
        <v>129.01609569737582</v>
      </c>
      <c r="N259" s="184">
        <f t="shared" si="161"/>
        <v>30.9</v>
      </c>
      <c r="O259" s="183">
        <f t="shared" si="162"/>
        <v>129.01609569737582</v>
      </c>
      <c r="P259" s="185">
        <f t="shared" si="163"/>
        <v>17.107499999999998</v>
      </c>
      <c r="Q259" s="71">
        <v>1</v>
      </c>
      <c r="R259" s="221">
        <v>0.93300000000000005</v>
      </c>
      <c r="S259" s="188">
        <f t="shared" si="164"/>
        <v>3.8955345399887269E-3</v>
      </c>
      <c r="T259" s="71">
        <v>1</v>
      </c>
      <c r="U259" s="221">
        <v>0.55000000000000004</v>
      </c>
      <c r="V259" s="188">
        <f t="shared" si="165"/>
        <v>2.296402997849732E-3</v>
      </c>
      <c r="W259" s="65">
        <v>14160</v>
      </c>
      <c r="X259" s="30">
        <f t="shared" si="166"/>
        <v>59.121938999185822</v>
      </c>
    </row>
    <row r="260" spans="1:24">
      <c r="A260" s="250" t="s">
        <v>620</v>
      </c>
      <c r="B260" s="47" t="s">
        <v>59</v>
      </c>
      <c r="C260" s="94" t="s">
        <v>57</v>
      </c>
      <c r="D260" s="157" t="s">
        <v>147</v>
      </c>
      <c r="E260" s="157" t="s">
        <v>150</v>
      </c>
      <c r="F260" s="12" t="s">
        <v>365</v>
      </c>
      <c r="G260" s="159">
        <v>175.31</v>
      </c>
      <c r="H260" s="51" t="s">
        <v>650</v>
      </c>
      <c r="I260" s="51"/>
      <c r="J260" s="50"/>
      <c r="K260" s="168">
        <v>12</v>
      </c>
      <c r="L260" s="162">
        <v>22.9</v>
      </c>
      <c r="M260" s="183">
        <f t="shared" ref="M260:M286" si="167">L260/G260*1000</f>
        <v>130.62574867377788</v>
      </c>
      <c r="N260" s="184">
        <f t="shared" ref="N260:N286" si="168">+J260+L260</f>
        <v>22.9</v>
      </c>
      <c r="O260" s="183">
        <f t="shared" ref="O260:O286" si="169">N260/G260*1000</f>
        <v>130.62574867377788</v>
      </c>
      <c r="P260" s="185">
        <f t="shared" ref="P260:P286" si="170">G260/K260</f>
        <v>14.609166666666667</v>
      </c>
      <c r="Q260" s="71">
        <v>2</v>
      </c>
      <c r="R260" s="221">
        <v>0.61599999999999999</v>
      </c>
      <c r="S260" s="188">
        <f t="shared" ref="S260:S286" si="171">R260/G260</f>
        <v>3.5137755975129768E-3</v>
      </c>
      <c r="T260" s="71">
        <v>1</v>
      </c>
      <c r="U260" s="221">
        <v>0.27500000000000002</v>
      </c>
      <c r="V260" s="188">
        <f t="shared" ref="V260:V286" si="172">U260/G260</f>
        <v>1.5686498203182934E-3</v>
      </c>
      <c r="W260" s="65">
        <v>13620</v>
      </c>
      <c r="X260" s="30">
        <f t="shared" ref="X260:X286" si="173">W260/G260</f>
        <v>77.690947464491472</v>
      </c>
    </row>
    <row r="261" spans="1:24">
      <c r="A261" s="250" t="s">
        <v>621</v>
      </c>
      <c r="B261" s="47" t="s">
        <v>59</v>
      </c>
      <c r="C261" s="94" t="s">
        <v>57</v>
      </c>
      <c r="D261" s="157" t="s">
        <v>147</v>
      </c>
      <c r="E261" s="157" t="s">
        <v>651</v>
      </c>
      <c r="F261" s="12" t="s">
        <v>160</v>
      </c>
      <c r="G261" s="159">
        <v>142.405</v>
      </c>
      <c r="H261" s="51" t="s">
        <v>650</v>
      </c>
      <c r="I261" s="51"/>
      <c r="J261" s="50"/>
      <c r="K261" s="168">
        <v>10.45</v>
      </c>
      <c r="L261" s="162">
        <v>19.600000000000001</v>
      </c>
      <c r="M261" s="183">
        <f t="shared" si="167"/>
        <v>137.63561672694078</v>
      </c>
      <c r="N261" s="184">
        <f t="shared" si="168"/>
        <v>19.600000000000001</v>
      </c>
      <c r="O261" s="183">
        <f t="shared" si="169"/>
        <v>137.63561672694078</v>
      </c>
      <c r="P261" s="185">
        <f t="shared" si="170"/>
        <v>13.627272727272729</v>
      </c>
      <c r="Q261" s="201">
        <v>1</v>
      </c>
      <c r="R261" s="202">
        <v>0.35499999999999998</v>
      </c>
      <c r="S261" s="188">
        <f t="shared" si="171"/>
        <v>2.4928899968399984E-3</v>
      </c>
      <c r="T261" s="71"/>
      <c r="U261" s="221"/>
      <c r="V261" s="188">
        <f t="shared" si="172"/>
        <v>0</v>
      </c>
      <c r="W261" s="65">
        <v>10920</v>
      </c>
      <c r="X261" s="30">
        <f t="shared" si="173"/>
        <v>76.682700747867003</v>
      </c>
    </row>
    <row r="262" spans="1:24">
      <c r="A262" s="250" t="s">
        <v>622</v>
      </c>
      <c r="B262" s="47" t="s">
        <v>59</v>
      </c>
      <c r="C262" s="94" t="s">
        <v>57</v>
      </c>
      <c r="D262" s="157" t="s">
        <v>147</v>
      </c>
      <c r="E262" s="157" t="s">
        <v>184</v>
      </c>
      <c r="F262" s="12" t="s">
        <v>652</v>
      </c>
      <c r="G262" s="159">
        <v>143.785</v>
      </c>
      <c r="H262" s="51" t="s">
        <v>650</v>
      </c>
      <c r="I262" s="51"/>
      <c r="J262" s="50"/>
      <c r="K262" s="168">
        <v>13</v>
      </c>
      <c r="L262" s="162">
        <v>19.2</v>
      </c>
      <c r="M262" s="183">
        <f t="shared" si="167"/>
        <v>133.53270508050213</v>
      </c>
      <c r="N262" s="184">
        <f t="shared" si="168"/>
        <v>19.2</v>
      </c>
      <c r="O262" s="183">
        <f t="shared" si="169"/>
        <v>133.53270508050213</v>
      </c>
      <c r="P262" s="185">
        <f t="shared" si="170"/>
        <v>11.060384615384615</v>
      </c>
      <c r="Q262" s="71">
        <v>3</v>
      </c>
      <c r="R262" s="221">
        <v>1.2170000000000001</v>
      </c>
      <c r="S262" s="188">
        <f t="shared" si="171"/>
        <v>8.4640261501547458E-3</v>
      </c>
      <c r="T262" s="71">
        <v>2</v>
      </c>
      <c r="U262" s="221">
        <v>0.79500000000000004</v>
      </c>
      <c r="V262" s="188">
        <f t="shared" si="172"/>
        <v>5.5290885697395417E-3</v>
      </c>
      <c r="W262" s="65">
        <v>12540</v>
      </c>
      <c r="X262" s="30">
        <f t="shared" si="173"/>
        <v>87.213548005702961</v>
      </c>
    </row>
    <row r="263" spans="1:24">
      <c r="A263" s="250" t="s">
        <v>623</v>
      </c>
      <c r="B263" s="47" t="s">
        <v>59</v>
      </c>
      <c r="C263" s="94" t="s">
        <v>57</v>
      </c>
      <c r="D263" s="157" t="s">
        <v>147</v>
      </c>
      <c r="E263" s="157" t="s">
        <v>259</v>
      </c>
      <c r="F263" s="12" t="s">
        <v>653</v>
      </c>
      <c r="G263" s="159">
        <v>130.405</v>
      </c>
      <c r="H263" s="51" t="s">
        <v>650</v>
      </c>
      <c r="I263" s="51"/>
      <c r="J263" s="50"/>
      <c r="K263" s="168">
        <v>11</v>
      </c>
      <c r="L263" s="162">
        <v>17.600000000000001</v>
      </c>
      <c r="M263" s="183">
        <f t="shared" si="167"/>
        <v>134.96415014761706</v>
      </c>
      <c r="N263" s="184">
        <f t="shared" si="168"/>
        <v>17.600000000000001</v>
      </c>
      <c r="O263" s="183">
        <f t="shared" si="169"/>
        <v>134.96415014761706</v>
      </c>
      <c r="P263" s="185">
        <f t="shared" si="170"/>
        <v>11.855</v>
      </c>
      <c r="Q263" s="71"/>
      <c r="R263" s="221"/>
      <c r="S263" s="188">
        <f t="shared" si="171"/>
        <v>0</v>
      </c>
      <c r="T263" s="71">
        <v>1</v>
      </c>
      <c r="U263" s="221">
        <v>0.34100000000000003</v>
      </c>
      <c r="V263" s="188">
        <f t="shared" si="172"/>
        <v>2.6149304091100801E-3</v>
      </c>
      <c r="W263" s="65">
        <v>10140</v>
      </c>
      <c r="X263" s="30">
        <f t="shared" si="173"/>
        <v>77.757754687320272</v>
      </c>
    </row>
    <row r="264" spans="1:24">
      <c r="A264" s="250" t="s">
        <v>624</v>
      </c>
      <c r="B264" s="47" t="s">
        <v>59</v>
      </c>
      <c r="C264" s="94" t="s">
        <v>57</v>
      </c>
      <c r="D264" s="157"/>
      <c r="E264" s="157"/>
      <c r="F264" s="45" t="s">
        <v>167</v>
      </c>
      <c r="G264" s="159"/>
      <c r="H264" s="51"/>
      <c r="I264" s="51"/>
      <c r="J264" s="50"/>
      <c r="K264" s="168"/>
      <c r="L264" s="162"/>
      <c r="M264" s="183"/>
      <c r="N264" s="184"/>
      <c r="O264" s="183"/>
      <c r="P264" s="185"/>
      <c r="Q264" s="71"/>
      <c r="R264" s="221"/>
      <c r="S264" s="188"/>
      <c r="T264" s="71"/>
      <c r="U264" s="221"/>
      <c r="V264" s="188"/>
      <c r="W264" s="65"/>
      <c r="X264" s="30"/>
    </row>
    <row r="265" spans="1:24">
      <c r="A265" s="250" t="s">
        <v>625</v>
      </c>
      <c r="B265" s="47" t="s">
        <v>59</v>
      </c>
      <c r="C265" s="94" t="s">
        <v>57</v>
      </c>
      <c r="D265" s="157" t="s">
        <v>147</v>
      </c>
      <c r="E265" s="157" t="s">
        <v>654</v>
      </c>
      <c r="F265" s="12" t="s">
        <v>655</v>
      </c>
      <c r="G265" s="159">
        <v>186.44</v>
      </c>
      <c r="H265" s="51" t="s">
        <v>650</v>
      </c>
      <c r="I265" s="51"/>
      <c r="J265" s="50"/>
      <c r="K265" s="168">
        <v>13.3</v>
      </c>
      <c r="L265" s="162">
        <v>24.7</v>
      </c>
      <c r="M265" s="183">
        <f t="shared" si="167"/>
        <v>132.48229993563612</v>
      </c>
      <c r="N265" s="184">
        <f t="shared" si="168"/>
        <v>24.7</v>
      </c>
      <c r="O265" s="183">
        <f t="shared" si="169"/>
        <v>132.48229993563612</v>
      </c>
      <c r="P265" s="185">
        <f t="shared" si="170"/>
        <v>14.018045112781953</v>
      </c>
      <c r="Q265" s="71">
        <v>3</v>
      </c>
      <c r="R265" s="221">
        <v>0.82699999999999996</v>
      </c>
      <c r="S265" s="188">
        <f t="shared" si="171"/>
        <v>4.435743402703282E-3</v>
      </c>
      <c r="T265" s="71">
        <v>1</v>
      </c>
      <c r="U265" s="221">
        <v>0.27</v>
      </c>
      <c r="V265" s="188">
        <f t="shared" si="172"/>
        <v>1.4481870843166703E-3</v>
      </c>
      <c r="W265" s="65">
        <v>16440</v>
      </c>
      <c r="X265" s="30">
        <f t="shared" si="173"/>
        <v>88.178502467281703</v>
      </c>
    </row>
    <row r="266" spans="1:24">
      <c r="A266" s="250" t="s">
        <v>626</v>
      </c>
      <c r="B266" s="47" t="s">
        <v>59</v>
      </c>
      <c r="C266" s="94" t="s">
        <v>57</v>
      </c>
      <c r="D266" s="157" t="s">
        <v>147</v>
      </c>
      <c r="E266" s="157" t="s">
        <v>173</v>
      </c>
      <c r="F266" s="12" t="s">
        <v>232</v>
      </c>
      <c r="G266" s="159">
        <v>158.83500000000001</v>
      </c>
      <c r="H266" s="51" t="s">
        <v>650</v>
      </c>
      <c r="I266" s="51"/>
      <c r="J266" s="50"/>
      <c r="K266" s="168">
        <v>10</v>
      </c>
      <c r="L266" s="162">
        <v>20.53</v>
      </c>
      <c r="M266" s="183">
        <f t="shared" si="167"/>
        <v>129.25362797872006</v>
      </c>
      <c r="N266" s="184">
        <f t="shared" si="168"/>
        <v>20.53</v>
      </c>
      <c r="O266" s="183">
        <f t="shared" si="169"/>
        <v>129.25362797872006</v>
      </c>
      <c r="P266" s="185">
        <f t="shared" si="170"/>
        <v>15.883500000000002</v>
      </c>
      <c r="Q266" s="71">
        <v>2</v>
      </c>
      <c r="R266" s="221">
        <v>0.56499999999999995</v>
      </c>
      <c r="S266" s="188">
        <f t="shared" si="171"/>
        <v>3.5571505020933667E-3</v>
      </c>
      <c r="T266" s="71">
        <v>2</v>
      </c>
      <c r="U266" s="221">
        <v>0.53600000000000003</v>
      </c>
      <c r="V266" s="188">
        <f t="shared" si="172"/>
        <v>3.3745710957912298E-3</v>
      </c>
      <c r="W266" s="65">
        <v>12720</v>
      </c>
      <c r="X266" s="30">
        <f t="shared" si="173"/>
        <v>80.083105109075447</v>
      </c>
    </row>
    <row r="267" spans="1:24">
      <c r="A267" s="250" t="s">
        <v>627</v>
      </c>
      <c r="B267" s="47" t="s">
        <v>59</v>
      </c>
      <c r="C267" s="94" t="s">
        <v>57</v>
      </c>
      <c r="D267" s="157" t="s">
        <v>147</v>
      </c>
      <c r="E267" s="157" t="s">
        <v>214</v>
      </c>
      <c r="F267" s="12" t="s">
        <v>656</v>
      </c>
      <c r="G267" s="159">
        <v>214.34</v>
      </c>
      <c r="H267" s="51" t="s">
        <v>650</v>
      </c>
      <c r="I267" s="51"/>
      <c r="J267" s="50"/>
      <c r="K267" s="168">
        <v>14</v>
      </c>
      <c r="L267" s="162">
        <v>27.9</v>
      </c>
      <c r="M267" s="183">
        <f t="shared" si="167"/>
        <v>130.16702435383036</v>
      </c>
      <c r="N267" s="184">
        <f t="shared" si="168"/>
        <v>27.9</v>
      </c>
      <c r="O267" s="183">
        <f t="shared" si="169"/>
        <v>130.16702435383036</v>
      </c>
      <c r="P267" s="185">
        <f t="shared" si="170"/>
        <v>15.31</v>
      </c>
      <c r="Q267" s="71">
        <v>2</v>
      </c>
      <c r="R267" s="221">
        <v>0.94</v>
      </c>
      <c r="S267" s="188">
        <f t="shared" si="171"/>
        <v>4.3855556592329939E-3</v>
      </c>
      <c r="T267" s="71">
        <v>4</v>
      </c>
      <c r="U267" s="221">
        <v>1.1619999999999999</v>
      </c>
      <c r="V267" s="188">
        <f t="shared" si="172"/>
        <v>5.4212932723709988E-3</v>
      </c>
      <c r="W267" s="65">
        <v>13920</v>
      </c>
      <c r="X267" s="30">
        <f t="shared" si="173"/>
        <v>64.943547634599227</v>
      </c>
    </row>
    <row r="268" spans="1:24">
      <c r="A268" s="250" t="s">
        <v>628</v>
      </c>
      <c r="B268" s="47" t="s">
        <v>59</v>
      </c>
      <c r="C268" s="94" t="s">
        <v>57</v>
      </c>
      <c r="D268" s="157"/>
      <c r="E268" s="157"/>
      <c r="F268" s="12" t="s">
        <v>657</v>
      </c>
      <c r="G268" s="159"/>
      <c r="H268" s="51"/>
      <c r="I268" s="51"/>
      <c r="J268" s="50"/>
      <c r="K268" s="168"/>
      <c r="L268" s="162"/>
      <c r="M268" s="183"/>
      <c r="N268" s="184"/>
      <c r="O268" s="183"/>
      <c r="P268" s="185"/>
      <c r="Q268" s="71"/>
      <c r="R268" s="221"/>
      <c r="S268" s="188"/>
      <c r="T268" s="71"/>
      <c r="U268" s="221"/>
      <c r="V268" s="188"/>
      <c r="W268" s="65"/>
      <c r="X268" s="30"/>
    </row>
    <row r="269" spans="1:24">
      <c r="A269" s="250" t="s">
        <v>629</v>
      </c>
      <c r="B269" s="47" t="s">
        <v>59</v>
      </c>
      <c r="C269" s="94" t="s">
        <v>57</v>
      </c>
      <c r="D269" s="157"/>
      <c r="E269" s="157"/>
      <c r="F269" s="12" t="s">
        <v>657</v>
      </c>
      <c r="G269" s="159"/>
      <c r="H269" s="51"/>
      <c r="I269" s="51"/>
      <c r="J269" s="50"/>
      <c r="K269" s="168"/>
      <c r="L269" s="162"/>
      <c r="M269" s="183"/>
      <c r="N269" s="184"/>
      <c r="O269" s="183"/>
      <c r="P269" s="185"/>
      <c r="Q269" s="71"/>
      <c r="R269" s="221"/>
      <c r="S269" s="188"/>
      <c r="T269" s="71"/>
      <c r="U269" s="221"/>
      <c r="V269" s="188"/>
      <c r="W269" s="65"/>
      <c r="X269" s="30"/>
    </row>
    <row r="270" spans="1:24">
      <c r="A270" s="250" t="s">
        <v>630</v>
      </c>
      <c r="B270" s="47" t="s">
        <v>59</v>
      </c>
      <c r="C270" s="94" t="s">
        <v>57</v>
      </c>
      <c r="D270" s="157"/>
      <c r="E270" s="157"/>
      <c r="F270" s="12" t="s">
        <v>657</v>
      </c>
      <c r="G270" s="159"/>
      <c r="H270" s="51"/>
      <c r="I270" s="51"/>
      <c r="J270" s="50"/>
      <c r="K270" s="168"/>
      <c r="L270" s="162"/>
      <c r="M270" s="183"/>
      <c r="N270" s="184"/>
      <c r="O270" s="183"/>
      <c r="P270" s="185"/>
      <c r="Q270" s="71"/>
      <c r="R270" s="221"/>
      <c r="S270" s="188"/>
      <c r="T270" s="71"/>
      <c r="U270" s="221"/>
      <c r="V270" s="188"/>
      <c r="W270" s="65"/>
      <c r="X270" s="30"/>
    </row>
    <row r="271" spans="1:24">
      <c r="A271" s="250" t="s">
        <v>631</v>
      </c>
      <c r="B271" s="47" t="s">
        <v>59</v>
      </c>
      <c r="C271" s="94" t="s">
        <v>57</v>
      </c>
      <c r="D271" s="157" t="s">
        <v>149</v>
      </c>
      <c r="E271" s="157" t="s">
        <v>173</v>
      </c>
      <c r="F271" s="12" t="s">
        <v>658</v>
      </c>
      <c r="G271" s="159">
        <v>129.61000000000001</v>
      </c>
      <c r="H271" s="51" t="s">
        <v>650</v>
      </c>
      <c r="I271" s="51"/>
      <c r="J271" s="50"/>
      <c r="K271" s="168">
        <v>9</v>
      </c>
      <c r="L271" s="162">
        <v>19.100000000000001</v>
      </c>
      <c r="M271" s="183">
        <f t="shared" si="167"/>
        <v>147.36517244039811</v>
      </c>
      <c r="N271" s="184">
        <f t="shared" si="168"/>
        <v>19.100000000000001</v>
      </c>
      <c r="O271" s="183">
        <f t="shared" si="169"/>
        <v>147.36517244039811</v>
      </c>
      <c r="P271" s="185">
        <f t="shared" si="170"/>
        <v>14.401111111111113</v>
      </c>
      <c r="Q271" s="71"/>
      <c r="R271" s="221"/>
      <c r="S271" s="188">
        <f t="shared" si="171"/>
        <v>0</v>
      </c>
      <c r="T271" s="71"/>
      <c r="U271" s="221"/>
      <c r="V271" s="188">
        <f t="shared" si="172"/>
        <v>0</v>
      </c>
      <c r="W271" s="65">
        <f>1380+9420</f>
        <v>10800</v>
      </c>
      <c r="X271" s="30">
        <f t="shared" si="173"/>
        <v>83.326903788287936</v>
      </c>
    </row>
    <row r="272" spans="1:24">
      <c r="A272" s="250" t="s">
        <v>632</v>
      </c>
      <c r="B272" s="47" t="s">
        <v>59</v>
      </c>
      <c r="C272" s="94" t="s">
        <v>57</v>
      </c>
      <c r="D272" s="157" t="s">
        <v>147</v>
      </c>
      <c r="E272" s="157" t="s">
        <v>287</v>
      </c>
      <c r="F272" s="12" t="s">
        <v>659</v>
      </c>
      <c r="G272" s="159">
        <v>130.52000000000001</v>
      </c>
      <c r="H272" s="51" t="s">
        <v>650</v>
      </c>
      <c r="I272" s="51"/>
      <c r="J272" s="50"/>
      <c r="K272" s="168">
        <v>9.3000000000000007</v>
      </c>
      <c r="L272" s="162">
        <v>16.8</v>
      </c>
      <c r="M272" s="183">
        <f t="shared" si="167"/>
        <v>128.71590560833587</v>
      </c>
      <c r="N272" s="184">
        <f t="shared" si="168"/>
        <v>16.8</v>
      </c>
      <c r="O272" s="183">
        <f t="shared" si="169"/>
        <v>128.71590560833587</v>
      </c>
      <c r="P272" s="185">
        <f t="shared" si="170"/>
        <v>14.034408602150538</v>
      </c>
      <c r="Q272" s="71"/>
      <c r="R272" s="221"/>
      <c r="S272" s="188">
        <f t="shared" si="171"/>
        <v>0</v>
      </c>
      <c r="T272" s="71"/>
      <c r="U272" s="221"/>
      <c r="V272" s="188">
        <f t="shared" si="172"/>
        <v>0</v>
      </c>
      <c r="W272" s="65">
        <v>8760</v>
      </c>
      <c r="X272" s="30">
        <f t="shared" si="173"/>
        <v>67.116150781489424</v>
      </c>
    </row>
    <row r="273" spans="1:24">
      <c r="A273" s="250" t="s">
        <v>633</v>
      </c>
      <c r="B273" s="47" t="s">
        <v>59</v>
      </c>
      <c r="C273" s="94" t="s">
        <v>57</v>
      </c>
      <c r="D273" s="157" t="s">
        <v>147</v>
      </c>
      <c r="E273" s="157" t="s">
        <v>214</v>
      </c>
      <c r="F273" s="12" t="s">
        <v>660</v>
      </c>
      <c r="G273" s="159">
        <v>246.11</v>
      </c>
      <c r="H273" s="51" t="s">
        <v>650</v>
      </c>
      <c r="I273" s="51"/>
      <c r="J273" s="50"/>
      <c r="K273" s="168">
        <v>14</v>
      </c>
      <c r="L273" s="162">
        <v>30.9</v>
      </c>
      <c r="M273" s="183">
        <f t="shared" si="167"/>
        <v>125.55361423753605</v>
      </c>
      <c r="N273" s="184">
        <f t="shared" si="168"/>
        <v>30.9</v>
      </c>
      <c r="O273" s="183">
        <f t="shared" si="169"/>
        <v>125.55361423753605</v>
      </c>
      <c r="P273" s="185">
        <f t="shared" si="170"/>
        <v>17.579285714285714</v>
      </c>
      <c r="Q273" s="71">
        <v>1</v>
      </c>
      <c r="R273" s="221">
        <v>0.49</v>
      </c>
      <c r="S273" s="188">
        <f t="shared" si="171"/>
        <v>1.9909796432489536E-3</v>
      </c>
      <c r="T273" s="71">
        <v>1</v>
      </c>
      <c r="U273" s="221">
        <v>0.64800000000000002</v>
      </c>
      <c r="V273" s="188">
        <f t="shared" si="172"/>
        <v>2.6329689976026978E-3</v>
      </c>
      <c r="W273" s="65">
        <v>14100</v>
      </c>
      <c r="X273" s="30">
        <f t="shared" si="173"/>
        <v>57.291455040429071</v>
      </c>
    </row>
    <row r="274" spans="1:24">
      <c r="A274" s="250" t="s">
        <v>634</v>
      </c>
      <c r="B274" s="47" t="s">
        <v>59</v>
      </c>
      <c r="C274" s="94" t="s">
        <v>57</v>
      </c>
      <c r="D274" s="157" t="s">
        <v>147</v>
      </c>
      <c r="E274" s="157" t="s">
        <v>184</v>
      </c>
      <c r="F274" s="12" t="s">
        <v>661</v>
      </c>
      <c r="G274" s="159">
        <v>193.215</v>
      </c>
      <c r="H274" s="51" t="s">
        <v>650</v>
      </c>
      <c r="I274" s="51"/>
      <c r="J274" s="50"/>
      <c r="K274" s="168">
        <v>13</v>
      </c>
      <c r="L274" s="162">
        <v>25</v>
      </c>
      <c r="M274" s="183">
        <f t="shared" si="167"/>
        <v>129.38954014957429</v>
      </c>
      <c r="N274" s="184">
        <f t="shared" si="168"/>
        <v>25</v>
      </c>
      <c r="O274" s="183">
        <f t="shared" si="169"/>
        <v>129.38954014957429</v>
      </c>
      <c r="P274" s="185">
        <f t="shared" si="170"/>
        <v>14.862692307692308</v>
      </c>
      <c r="Q274" s="71">
        <v>1</v>
      </c>
      <c r="R274" s="221">
        <v>0.55000000000000004</v>
      </c>
      <c r="S274" s="188">
        <f t="shared" si="171"/>
        <v>2.8465698832906348E-3</v>
      </c>
      <c r="T274" s="71"/>
      <c r="U274" s="221"/>
      <c r="V274" s="188">
        <f t="shared" si="172"/>
        <v>0</v>
      </c>
      <c r="W274" s="65">
        <v>12060</v>
      </c>
      <c r="X274" s="30">
        <f t="shared" si="173"/>
        <v>62.417514168154646</v>
      </c>
    </row>
    <row r="275" spans="1:24">
      <c r="A275" s="250" t="s">
        <v>635</v>
      </c>
      <c r="B275" s="47" t="s">
        <v>59</v>
      </c>
      <c r="C275" s="94" t="s">
        <v>57</v>
      </c>
      <c r="D275" s="157" t="s">
        <v>147</v>
      </c>
      <c r="E275" s="157" t="s">
        <v>184</v>
      </c>
      <c r="F275" s="12" t="s">
        <v>662</v>
      </c>
      <c r="G275" s="159">
        <v>156.38999999999999</v>
      </c>
      <c r="H275" s="51" t="s">
        <v>650</v>
      </c>
      <c r="I275" s="51"/>
      <c r="J275" s="50"/>
      <c r="K275" s="168">
        <v>13</v>
      </c>
      <c r="L275" s="162">
        <v>20.6</v>
      </c>
      <c r="M275" s="183">
        <f t="shared" si="167"/>
        <v>131.7219771085108</v>
      </c>
      <c r="N275" s="184">
        <f t="shared" si="168"/>
        <v>20.6</v>
      </c>
      <c r="O275" s="183">
        <f t="shared" si="169"/>
        <v>131.7219771085108</v>
      </c>
      <c r="P275" s="185">
        <f t="shared" si="170"/>
        <v>12.03</v>
      </c>
      <c r="Q275" s="71">
        <v>4</v>
      </c>
      <c r="R275" s="221">
        <v>0.96399999999999997</v>
      </c>
      <c r="S275" s="188">
        <f t="shared" si="171"/>
        <v>6.1640769870196311E-3</v>
      </c>
      <c r="T275" s="71"/>
      <c r="U275" s="221"/>
      <c r="V275" s="188">
        <f t="shared" si="172"/>
        <v>0</v>
      </c>
      <c r="W275" s="65">
        <v>15300</v>
      </c>
      <c r="X275" s="30">
        <f t="shared" si="173"/>
        <v>97.832342221369657</v>
      </c>
    </row>
    <row r="276" spans="1:24">
      <c r="A276" s="250" t="s">
        <v>636</v>
      </c>
      <c r="B276" s="47" t="s">
        <v>59</v>
      </c>
      <c r="C276" s="94" t="s">
        <v>57</v>
      </c>
      <c r="D276" s="157" t="s">
        <v>147</v>
      </c>
      <c r="E276" s="157" t="s">
        <v>214</v>
      </c>
      <c r="F276" s="12" t="s">
        <v>663</v>
      </c>
      <c r="G276" s="159">
        <v>164.17</v>
      </c>
      <c r="H276" s="51" t="s">
        <v>650</v>
      </c>
      <c r="I276" s="51"/>
      <c r="J276" s="50"/>
      <c r="K276" s="168">
        <v>14</v>
      </c>
      <c r="L276" s="162">
        <v>21.1</v>
      </c>
      <c r="M276" s="183">
        <f t="shared" si="167"/>
        <v>128.52530913077908</v>
      </c>
      <c r="N276" s="184">
        <f t="shared" si="168"/>
        <v>21.1</v>
      </c>
      <c r="O276" s="183">
        <f t="shared" si="169"/>
        <v>128.52530913077908</v>
      </c>
      <c r="P276" s="185">
        <f t="shared" si="170"/>
        <v>11.726428571428571</v>
      </c>
      <c r="Q276" s="71">
        <v>1</v>
      </c>
      <c r="R276" s="221">
        <v>0.25700000000000001</v>
      </c>
      <c r="S276" s="188">
        <f t="shared" si="171"/>
        <v>1.5654504477066458E-3</v>
      </c>
      <c r="T276" s="71">
        <v>1</v>
      </c>
      <c r="U276" s="221">
        <v>0.25700000000000001</v>
      </c>
      <c r="V276" s="188">
        <f t="shared" si="172"/>
        <v>1.5654504477066458E-3</v>
      </c>
      <c r="W276" s="65">
        <v>15000</v>
      </c>
      <c r="X276" s="30">
        <f t="shared" si="173"/>
        <v>91.368703173539629</v>
      </c>
    </row>
    <row r="277" spans="1:24">
      <c r="A277" s="250" t="s">
        <v>637</v>
      </c>
      <c r="B277" s="47" t="s">
        <v>59</v>
      </c>
      <c r="C277" s="94" t="s">
        <v>57</v>
      </c>
      <c r="D277" s="157" t="s">
        <v>492</v>
      </c>
      <c r="E277" s="157" t="s">
        <v>664</v>
      </c>
      <c r="F277" s="12" t="s">
        <v>333</v>
      </c>
      <c r="G277" s="159">
        <v>154.83799999999999</v>
      </c>
      <c r="H277" s="51" t="s">
        <v>650</v>
      </c>
      <c r="I277" s="51"/>
      <c r="J277" s="50"/>
      <c r="K277" s="168">
        <v>13</v>
      </c>
      <c r="L277" s="162">
        <v>19.899999999999999</v>
      </c>
      <c r="M277" s="183">
        <f t="shared" si="167"/>
        <v>128.52142238985263</v>
      </c>
      <c r="N277" s="184">
        <f t="shared" si="168"/>
        <v>19.899999999999999</v>
      </c>
      <c r="O277" s="183">
        <f t="shared" si="169"/>
        <v>128.52142238985263</v>
      </c>
      <c r="P277" s="185">
        <f t="shared" si="170"/>
        <v>11.910615384615385</v>
      </c>
      <c r="Q277" s="71">
        <v>4</v>
      </c>
      <c r="R277" s="221">
        <v>0.76400000000000001</v>
      </c>
      <c r="S277" s="188">
        <f t="shared" si="171"/>
        <v>4.9341892817008747E-3</v>
      </c>
      <c r="T277" s="71">
        <v>2</v>
      </c>
      <c r="U277" s="221">
        <v>0.36899999999999999</v>
      </c>
      <c r="V277" s="188">
        <f t="shared" si="172"/>
        <v>2.3831359227063126E-3</v>
      </c>
      <c r="W277" s="65">
        <v>15120</v>
      </c>
      <c r="X277" s="30">
        <f t="shared" si="173"/>
        <v>97.650447564551342</v>
      </c>
    </row>
    <row r="278" spans="1:24">
      <c r="A278" s="250" t="s">
        <v>638</v>
      </c>
      <c r="B278" s="47" t="s">
        <v>59</v>
      </c>
      <c r="C278" s="94" t="s">
        <v>57</v>
      </c>
      <c r="D278" s="157"/>
      <c r="E278" s="12"/>
      <c r="F278" s="45" t="s">
        <v>167</v>
      </c>
      <c r="G278" s="159"/>
      <c r="H278" s="51"/>
      <c r="I278" s="51"/>
      <c r="J278" s="50"/>
      <c r="K278" s="168"/>
      <c r="L278" s="162"/>
      <c r="M278" s="183"/>
      <c r="N278" s="184"/>
      <c r="O278" s="183"/>
      <c r="P278" s="185"/>
      <c r="Q278" s="71"/>
      <c r="R278" s="221"/>
      <c r="S278" s="188"/>
      <c r="T278" s="71"/>
      <c r="U278" s="221"/>
      <c r="V278" s="188"/>
      <c r="W278" s="65"/>
      <c r="X278" s="30"/>
    </row>
    <row r="279" spans="1:24">
      <c r="A279" s="250" t="s">
        <v>639</v>
      </c>
      <c r="B279" s="47" t="s">
        <v>59</v>
      </c>
      <c r="C279" s="94" t="s">
        <v>57</v>
      </c>
      <c r="D279" s="157" t="s">
        <v>147</v>
      </c>
      <c r="E279" s="157" t="s">
        <v>382</v>
      </c>
      <c r="F279" s="12" t="s">
        <v>302</v>
      </c>
      <c r="G279" s="159">
        <v>184.096</v>
      </c>
      <c r="H279" s="51" t="s">
        <v>650</v>
      </c>
      <c r="I279" s="51"/>
      <c r="J279" s="50"/>
      <c r="K279" s="168">
        <v>14.45</v>
      </c>
      <c r="L279" s="162">
        <v>23.5</v>
      </c>
      <c r="M279" s="183">
        <f t="shared" si="167"/>
        <v>127.65079089170867</v>
      </c>
      <c r="N279" s="184">
        <f t="shared" si="168"/>
        <v>23.5</v>
      </c>
      <c r="O279" s="183">
        <f t="shared" si="169"/>
        <v>127.65079089170867</v>
      </c>
      <c r="P279" s="185">
        <f t="shared" si="170"/>
        <v>12.740207612456748</v>
      </c>
      <c r="Q279" s="71">
        <v>4</v>
      </c>
      <c r="R279" s="221">
        <v>1.4159999999999999</v>
      </c>
      <c r="S279" s="188">
        <f t="shared" si="171"/>
        <v>7.6916391447940198E-3</v>
      </c>
      <c r="T279" s="71">
        <v>4</v>
      </c>
      <c r="U279" s="221">
        <v>1.1439999999999999</v>
      </c>
      <c r="V279" s="188">
        <f t="shared" si="172"/>
        <v>6.2141491395793494E-3</v>
      </c>
      <c r="W279" s="65">
        <v>14880</v>
      </c>
      <c r="X279" s="30">
        <f t="shared" si="173"/>
        <v>80.82739440292022</v>
      </c>
    </row>
    <row r="280" spans="1:24">
      <c r="A280" s="250" t="s">
        <v>640</v>
      </c>
      <c r="B280" s="47" t="s">
        <v>59</v>
      </c>
      <c r="C280" s="94" t="s">
        <v>57</v>
      </c>
      <c r="D280" s="157" t="s">
        <v>147</v>
      </c>
      <c r="E280" s="157" t="s">
        <v>184</v>
      </c>
      <c r="F280" s="12" t="s">
        <v>665</v>
      </c>
      <c r="G280" s="159">
        <v>174.61</v>
      </c>
      <c r="H280" s="51" t="s">
        <v>666</v>
      </c>
      <c r="I280" s="51"/>
      <c r="J280" s="50"/>
      <c r="K280" s="168">
        <v>13</v>
      </c>
      <c r="L280" s="162">
        <v>21.7</v>
      </c>
      <c r="M280" s="183">
        <f t="shared" si="167"/>
        <v>124.2769600824695</v>
      </c>
      <c r="N280" s="184">
        <f t="shared" si="168"/>
        <v>21.7</v>
      </c>
      <c r="O280" s="183">
        <f t="shared" si="169"/>
        <v>124.2769600824695</v>
      </c>
      <c r="P280" s="185">
        <f t="shared" si="170"/>
        <v>13.431538461538462</v>
      </c>
      <c r="Q280" s="71">
        <v>2</v>
      </c>
      <c r="R280" s="221">
        <v>1.5549999999999999</v>
      </c>
      <c r="S280" s="188">
        <f t="shared" si="171"/>
        <v>8.9055609644350248E-3</v>
      </c>
      <c r="T280" s="71"/>
      <c r="U280" s="221"/>
      <c r="V280" s="188">
        <f t="shared" si="172"/>
        <v>0</v>
      </c>
      <c r="W280" s="65">
        <v>11340</v>
      </c>
      <c r="X280" s="30">
        <f t="shared" si="173"/>
        <v>64.944733978580828</v>
      </c>
    </row>
    <row r="281" spans="1:24">
      <c r="A281" s="250" t="s">
        <v>641</v>
      </c>
      <c r="B281" s="47" t="s">
        <v>59</v>
      </c>
      <c r="C281" s="94" t="s">
        <v>57</v>
      </c>
      <c r="D281" s="157" t="s">
        <v>147</v>
      </c>
      <c r="E281" s="157" t="s">
        <v>354</v>
      </c>
      <c r="F281" s="12" t="s">
        <v>401</v>
      </c>
      <c r="G281" s="159">
        <v>118.25</v>
      </c>
      <c r="H281" s="51" t="s">
        <v>277</v>
      </c>
      <c r="I281" s="51"/>
      <c r="J281" s="50"/>
      <c r="K281" s="168">
        <v>12.3</v>
      </c>
      <c r="L281" s="162">
        <v>17.3</v>
      </c>
      <c r="M281" s="183">
        <f t="shared" si="167"/>
        <v>146.3002114164905</v>
      </c>
      <c r="N281" s="184">
        <f t="shared" si="168"/>
        <v>17.3</v>
      </c>
      <c r="O281" s="183">
        <f t="shared" si="169"/>
        <v>146.3002114164905</v>
      </c>
      <c r="P281" s="185">
        <f t="shared" si="170"/>
        <v>9.6138211382113816</v>
      </c>
      <c r="Q281" s="71"/>
      <c r="R281" s="221"/>
      <c r="S281" s="188">
        <f t="shared" si="171"/>
        <v>0</v>
      </c>
      <c r="T281" s="71"/>
      <c r="U281" s="221"/>
      <c r="V281" s="188">
        <f t="shared" si="172"/>
        <v>0</v>
      </c>
      <c r="W281" s="65">
        <v>9060</v>
      </c>
      <c r="X281" s="30">
        <f t="shared" si="173"/>
        <v>76.617336152219877</v>
      </c>
    </row>
    <row r="282" spans="1:24">
      <c r="A282" s="250" t="s">
        <v>642</v>
      </c>
      <c r="B282" s="47" t="s">
        <v>59</v>
      </c>
      <c r="C282" s="94" t="s">
        <v>57</v>
      </c>
      <c r="D282" s="157" t="s">
        <v>147</v>
      </c>
      <c r="E282" s="157" t="s">
        <v>214</v>
      </c>
      <c r="F282" s="12" t="s">
        <v>283</v>
      </c>
      <c r="G282" s="159">
        <v>205.72499999999999</v>
      </c>
      <c r="H282" s="51" t="s">
        <v>277</v>
      </c>
      <c r="I282" s="51"/>
      <c r="J282" s="50"/>
      <c r="K282" s="168">
        <v>14</v>
      </c>
      <c r="L282" s="162">
        <v>26.4</v>
      </c>
      <c r="M282" s="183">
        <f t="shared" si="167"/>
        <v>128.32664965366385</v>
      </c>
      <c r="N282" s="184">
        <f t="shared" si="168"/>
        <v>26.4</v>
      </c>
      <c r="O282" s="183">
        <f t="shared" si="169"/>
        <v>128.32664965366385</v>
      </c>
      <c r="P282" s="185">
        <f t="shared" si="170"/>
        <v>14.694642857142856</v>
      </c>
      <c r="Q282" s="71">
        <v>4</v>
      </c>
      <c r="R282" s="221">
        <v>2.3239999999999998</v>
      </c>
      <c r="S282" s="188">
        <f t="shared" si="171"/>
        <v>1.1296633855875562E-2</v>
      </c>
      <c r="T282" s="71">
        <v>1</v>
      </c>
      <c r="U282" s="221">
        <v>0.50800000000000001</v>
      </c>
      <c r="V282" s="188">
        <f t="shared" si="172"/>
        <v>2.4693158342447442E-3</v>
      </c>
      <c r="W282" s="65">
        <v>12180</v>
      </c>
      <c r="X282" s="30">
        <f t="shared" si="173"/>
        <v>59.205249726576746</v>
      </c>
    </row>
    <row r="283" spans="1:24">
      <c r="A283" s="250" t="s">
        <v>643</v>
      </c>
      <c r="B283" s="47" t="s">
        <v>59</v>
      </c>
      <c r="C283" s="94" t="s">
        <v>57</v>
      </c>
      <c r="D283" s="157" t="s">
        <v>147</v>
      </c>
      <c r="E283" s="157" t="s">
        <v>492</v>
      </c>
      <c r="F283" s="12" t="s">
        <v>667</v>
      </c>
      <c r="G283" s="159">
        <v>258.375</v>
      </c>
      <c r="H283" s="51" t="s">
        <v>277</v>
      </c>
      <c r="I283" s="159">
        <v>258.375</v>
      </c>
      <c r="J283" s="50"/>
      <c r="K283" s="168">
        <v>16</v>
      </c>
      <c r="L283" s="162">
        <v>32.5</v>
      </c>
      <c r="M283" s="183">
        <f t="shared" si="167"/>
        <v>125.78616352201257</v>
      </c>
      <c r="N283" s="184">
        <f t="shared" si="168"/>
        <v>32.5</v>
      </c>
      <c r="O283" s="183">
        <f t="shared" si="169"/>
        <v>125.78616352201257</v>
      </c>
      <c r="P283" s="185">
        <f t="shared" si="170"/>
        <v>16.1484375</v>
      </c>
      <c r="Q283" s="71">
        <v>1</v>
      </c>
      <c r="R283" s="221">
        <v>0.67600000000000005</v>
      </c>
      <c r="S283" s="188">
        <f t="shared" si="171"/>
        <v>2.6163522012578617E-3</v>
      </c>
      <c r="T283" s="71">
        <v>1</v>
      </c>
      <c r="U283" s="221">
        <v>0.68</v>
      </c>
      <c r="V283" s="188">
        <f t="shared" si="172"/>
        <v>2.6318335752298018E-3</v>
      </c>
      <c r="W283" s="65">
        <v>14160</v>
      </c>
      <c r="X283" s="30">
        <f t="shared" si="173"/>
        <v>54.804063860667632</v>
      </c>
    </row>
    <row r="284" spans="1:24">
      <c r="A284" s="250" t="s">
        <v>644</v>
      </c>
      <c r="B284" s="47" t="s">
        <v>59</v>
      </c>
      <c r="C284" s="94" t="s">
        <v>57</v>
      </c>
      <c r="D284" s="157" t="s">
        <v>387</v>
      </c>
      <c r="E284" s="157" t="s">
        <v>214</v>
      </c>
      <c r="F284" s="12" t="s">
        <v>307</v>
      </c>
      <c r="G284" s="159">
        <v>201.33</v>
      </c>
      <c r="H284" s="51" t="s">
        <v>650</v>
      </c>
      <c r="I284" s="159">
        <v>201.33</v>
      </c>
      <c r="J284" s="50"/>
      <c r="K284" s="168">
        <v>12</v>
      </c>
      <c r="L284" s="162">
        <v>26</v>
      </c>
      <c r="M284" s="183">
        <f t="shared" si="167"/>
        <v>129.1412109472011</v>
      </c>
      <c r="N284" s="184">
        <f t="shared" si="168"/>
        <v>26</v>
      </c>
      <c r="O284" s="183">
        <f t="shared" si="169"/>
        <v>129.1412109472011</v>
      </c>
      <c r="P284" s="185">
        <f t="shared" si="170"/>
        <v>16.7775</v>
      </c>
      <c r="Q284" s="71"/>
      <c r="R284" s="221"/>
      <c r="S284" s="188">
        <f t="shared" si="171"/>
        <v>0</v>
      </c>
      <c r="T284" s="71">
        <v>1</v>
      </c>
      <c r="U284" s="221">
        <v>0.41099999999999998</v>
      </c>
      <c r="V284" s="188">
        <f t="shared" si="172"/>
        <v>2.0414245268961404E-3</v>
      </c>
      <c r="W284" s="65">
        <v>13980</v>
      </c>
      <c r="X284" s="30">
        <f t="shared" si="173"/>
        <v>69.438235732379667</v>
      </c>
    </row>
    <row r="285" spans="1:24">
      <c r="A285" s="250" t="s">
        <v>645</v>
      </c>
      <c r="B285" s="47" t="s">
        <v>59</v>
      </c>
      <c r="C285" s="94" t="s">
        <v>57</v>
      </c>
      <c r="D285" s="157"/>
      <c r="E285" s="12"/>
      <c r="F285" s="45" t="s">
        <v>167</v>
      </c>
      <c r="G285" s="159"/>
      <c r="H285" s="51"/>
      <c r="I285" s="51"/>
      <c r="J285" s="50"/>
      <c r="K285" s="168"/>
      <c r="L285" s="162"/>
      <c r="M285" s="183"/>
      <c r="N285" s="184"/>
      <c r="O285" s="183"/>
      <c r="P285" s="185"/>
      <c r="Q285" s="71"/>
      <c r="R285" s="221"/>
      <c r="S285" s="188"/>
      <c r="T285" s="71"/>
      <c r="U285" s="221"/>
      <c r="V285" s="188"/>
      <c r="W285" s="65"/>
      <c r="X285" s="30"/>
    </row>
    <row r="286" spans="1:24">
      <c r="A286" s="250" t="s">
        <v>646</v>
      </c>
      <c r="B286" s="47" t="s">
        <v>59</v>
      </c>
      <c r="C286" s="94" t="s">
        <v>57</v>
      </c>
      <c r="D286" s="157" t="s">
        <v>147</v>
      </c>
      <c r="E286" s="157" t="s">
        <v>214</v>
      </c>
      <c r="F286" s="12" t="s">
        <v>668</v>
      </c>
      <c r="G286" s="159">
        <v>216.815</v>
      </c>
      <c r="H286" s="51" t="s">
        <v>650</v>
      </c>
      <c r="I286" s="51"/>
      <c r="J286" s="50"/>
      <c r="K286" s="168">
        <v>14</v>
      </c>
      <c r="L286" s="162">
        <v>28.6</v>
      </c>
      <c r="M286" s="183">
        <f t="shared" si="167"/>
        <v>131.90969259506954</v>
      </c>
      <c r="N286" s="184">
        <f t="shared" si="168"/>
        <v>28.6</v>
      </c>
      <c r="O286" s="183">
        <f t="shared" si="169"/>
        <v>131.90969259506954</v>
      </c>
      <c r="P286" s="185">
        <f t="shared" si="170"/>
        <v>15.486785714285714</v>
      </c>
      <c r="Q286" s="71"/>
      <c r="R286" s="221"/>
      <c r="S286" s="188">
        <f t="shared" si="171"/>
        <v>0</v>
      </c>
      <c r="T286" s="71">
        <v>1</v>
      </c>
      <c r="U286" s="221">
        <v>0.33300000000000002</v>
      </c>
      <c r="V286" s="188">
        <f t="shared" si="172"/>
        <v>1.5358715955999355E-3</v>
      </c>
      <c r="W286" s="65">
        <v>16200</v>
      </c>
      <c r="X286" s="30">
        <f t="shared" si="173"/>
        <v>74.718077623780644</v>
      </c>
    </row>
    <row r="287" spans="1:24">
      <c r="A287" s="250"/>
      <c r="B287" s="47"/>
      <c r="C287" s="94"/>
      <c r="D287" s="157"/>
      <c r="E287" s="157"/>
      <c r="F287" s="12"/>
      <c r="G287" s="159"/>
      <c r="H287" s="51"/>
      <c r="I287" s="51"/>
      <c r="J287" s="50"/>
      <c r="K287" s="168"/>
      <c r="L287" s="162"/>
      <c r="M287" s="183"/>
      <c r="N287" s="184"/>
      <c r="O287" s="183"/>
      <c r="P287" s="185"/>
      <c r="Q287" s="71"/>
      <c r="R287" s="221"/>
      <c r="S287" s="188"/>
      <c r="T287" s="71"/>
      <c r="U287" s="221"/>
      <c r="V287" s="188"/>
      <c r="W287" s="65"/>
      <c r="X287" s="30"/>
    </row>
    <row r="288" spans="1:24" s="10" customFormat="1">
      <c r="A288" s="135"/>
      <c r="B288" s="47"/>
      <c r="C288" s="48"/>
      <c r="D288" s="129"/>
      <c r="E288" s="129"/>
      <c r="F288" s="57"/>
      <c r="G288" s="58">
        <f>SUM(G257:G287)</f>
        <v>4136.3739999999998</v>
      </c>
      <c r="H288" s="57"/>
      <c r="I288" s="59"/>
      <c r="J288" s="58">
        <f>SUM(J257:J287)</f>
        <v>0</v>
      </c>
      <c r="K288" s="194">
        <f>SUM(K257:K287)</f>
        <v>292.8</v>
      </c>
      <c r="L288" s="195">
        <f>SUM(L257:L287)</f>
        <v>540.23</v>
      </c>
      <c r="M288" s="196">
        <f>L288/G288*1000</f>
        <v>130.60472771562729</v>
      </c>
      <c r="N288" s="195">
        <f>SUM(N257:N287)</f>
        <v>540.23</v>
      </c>
      <c r="O288" s="196">
        <f t="shared" ref="O288" si="174">N288/G288*1000</f>
        <v>130.60472771562729</v>
      </c>
      <c r="P288" s="197">
        <f>G288/K288</f>
        <v>14.12696038251366</v>
      </c>
      <c r="Q288" s="198">
        <f>SUM(Q257:Q287)</f>
        <v>38</v>
      </c>
      <c r="R288" s="195">
        <f>SUM(R257:R287)</f>
        <v>15.884999999999998</v>
      </c>
      <c r="S288" s="199">
        <f t="shared" ref="S288" si="175">R288/G288</f>
        <v>3.8403200484288893E-3</v>
      </c>
      <c r="T288" s="198">
        <f>SUM(T257:T287)</f>
        <v>25</v>
      </c>
      <c r="U288" s="195">
        <f>SUM(U257:U287)</f>
        <v>9.0399999999999991</v>
      </c>
      <c r="V288" s="199">
        <f>U288/G288</f>
        <v>2.1854890297637497E-3</v>
      </c>
      <c r="W288" s="198">
        <f>SUM(W257:W287)</f>
        <v>299940</v>
      </c>
      <c r="X288" s="30">
        <f>W288/G288</f>
        <v>72.512785352581759</v>
      </c>
    </row>
    <row r="289" spans="1:24">
      <c r="A289" s="137"/>
      <c r="B289" s="65"/>
      <c r="C289" s="65"/>
      <c r="D289" s="130"/>
      <c r="E289" s="130"/>
      <c r="F289" s="65"/>
      <c r="G289" s="65"/>
      <c r="H289" s="65"/>
      <c r="I289" s="65"/>
      <c r="J289" s="66"/>
      <c r="K289" s="67"/>
      <c r="L289" s="68"/>
      <c r="M289" s="65"/>
      <c r="N289" s="66"/>
      <c r="O289" s="65"/>
      <c r="P289" s="65"/>
      <c r="Q289" s="65"/>
      <c r="R289" s="55"/>
      <c r="S289" s="56"/>
      <c r="T289" s="65"/>
      <c r="U289" s="55"/>
      <c r="V289" s="56"/>
      <c r="W289" s="93"/>
    </row>
    <row r="290" spans="1:24">
      <c r="A290" s="137"/>
      <c r="B290" s="65"/>
      <c r="C290" s="69" t="s">
        <v>52</v>
      </c>
      <c r="D290" s="130"/>
      <c r="E290" s="130"/>
      <c r="F290" s="65"/>
      <c r="G290" s="58">
        <f>+G288</f>
        <v>4136.3739999999998</v>
      </c>
      <c r="H290" s="65"/>
      <c r="I290" s="65"/>
      <c r="J290" s="58" t="e">
        <f>+#REF!+J288</f>
        <v>#REF!</v>
      </c>
      <c r="K290" s="60">
        <f t="shared" ref="K290:L290" si="176">+K288</f>
        <v>292.8</v>
      </c>
      <c r="L290" s="58">
        <f t="shared" si="176"/>
        <v>540.23</v>
      </c>
      <c r="M290" s="61">
        <f>+M288</f>
        <v>130.60472771562729</v>
      </c>
      <c r="N290" s="58">
        <f t="shared" ref="N290:P290" si="177">+N288</f>
        <v>540.23</v>
      </c>
      <c r="O290" s="61">
        <f t="shared" si="177"/>
        <v>130.60472771562729</v>
      </c>
      <c r="P290" s="62">
        <f t="shared" si="177"/>
        <v>14.12696038251366</v>
      </c>
      <c r="Q290" s="117">
        <f>+Q288</f>
        <v>38</v>
      </c>
      <c r="R290" s="63">
        <f>+R288</f>
        <v>15.884999999999998</v>
      </c>
      <c r="S290" s="64">
        <f>R290/G290</f>
        <v>3.8403200484288893E-3</v>
      </c>
      <c r="T290" s="117">
        <f>+T288</f>
        <v>25</v>
      </c>
      <c r="U290" s="63">
        <f>+U288</f>
        <v>9.0399999999999991</v>
      </c>
      <c r="V290" s="64">
        <f>U290/G290</f>
        <v>2.1854890297637497E-3</v>
      </c>
      <c r="W290" s="92">
        <f>+W288</f>
        <v>299940</v>
      </c>
      <c r="X290" s="90">
        <f>W290/G290</f>
        <v>72.512785352581759</v>
      </c>
    </row>
    <row r="292" spans="1:24" ht="57" customHeight="1">
      <c r="A292" s="134" t="s">
        <v>0</v>
      </c>
      <c r="B292" s="1" t="s">
        <v>20</v>
      </c>
      <c r="C292" s="118" t="s">
        <v>117</v>
      </c>
      <c r="D292" s="127" t="s">
        <v>2</v>
      </c>
      <c r="E292" s="127" t="s">
        <v>3</v>
      </c>
      <c r="F292" s="1" t="s">
        <v>4</v>
      </c>
      <c r="G292" s="1" t="s">
        <v>5</v>
      </c>
      <c r="H292" s="1" t="s">
        <v>6</v>
      </c>
      <c r="I292" s="1" t="s">
        <v>7</v>
      </c>
      <c r="J292" s="1" t="s">
        <v>8</v>
      </c>
      <c r="K292" s="1" t="s">
        <v>9</v>
      </c>
      <c r="L292" s="1" t="s">
        <v>132</v>
      </c>
      <c r="M292" s="1" t="s">
        <v>133</v>
      </c>
      <c r="N292" s="2" t="s">
        <v>12</v>
      </c>
      <c r="O292" s="2" t="s">
        <v>13</v>
      </c>
      <c r="P292" s="1" t="s">
        <v>14</v>
      </c>
      <c r="Q292" s="13" t="s">
        <v>115</v>
      </c>
      <c r="R292" s="13" t="s">
        <v>21</v>
      </c>
      <c r="S292" s="13" t="s">
        <v>24</v>
      </c>
      <c r="T292" s="13" t="s">
        <v>116</v>
      </c>
      <c r="U292" s="13" t="s">
        <v>22</v>
      </c>
      <c r="V292" s="13" t="s">
        <v>23</v>
      </c>
      <c r="W292" s="88" t="s">
        <v>54</v>
      </c>
      <c r="X292" s="89" t="s">
        <v>55</v>
      </c>
    </row>
    <row r="293" spans="1:24">
      <c r="A293" s="253" t="s">
        <v>669</v>
      </c>
      <c r="B293" s="47" t="s">
        <v>59</v>
      </c>
      <c r="C293" s="94" t="s">
        <v>57</v>
      </c>
      <c r="D293" s="157" t="s">
        <v>147</v>
      </c>
      <c r="E293" s="157" t="s">
        <v>647</v>
      </c>
      <c r="F293" s="12" t="s">
        <v>700</v>
      </c>
      <c r="G293" s="159">
        <v>201.52500000000001</v>
      </c>
      <c r="H293" s="51" t="s">
        <v>650</v>
      </c>
      <c r="I293" s="51"/>
      <c r="J293" s="50"/>
      <c r="K293" s="168">
        <v>12</v>
      </c>
      <c r="L293" s="162">
        <v>25.5</v>
      </c>
      <c r="M293" s="183">
        <f t="shared" ref="M293:M294" si="178">L293/G293*1000</f>
        <v>126.53516933382954</v>
      </c>
      <c r="N293" s="184"/>
      <c r="O293" s="183"/>
      <c r="P293" s="185">
        <f t="shared" ref="P293:P294" si="179">G293/K293</f>
        <v>16.793749999999999</v>
      </c>
      <c r="Q293" s="71">
        <v>2</v>
      </c>
      <c r="R293" s="221">
        <v>0.57899999999999996</v>
      </c>
      <c r="S293" s="188">
        <f t="shared" ref="S293:S294" si="180">R293/G293</f>
        <v>2.8730926684034236E-3</v>
      </c>
      <c r="T293" s="71"/>
      <c r="U293" s="221"/>
      <c r="V293" s="188">
        <f t="shared" ref="V293:V294" si="181">U293/G293</f>
        <v>0</v>
      </c>
      <c r="W293" s="65">
        <v>15240</v>
      </c>
      <c r="X293" s="30">
        <f t="shared" ref="X293:X294" si="182">W293/G293</f>
        <v>75.623371790100478</v>
      </c>
    </row>
    <row r="294" spans="1:24">
      <c r="A294" s="252" t="s">
        <v>670</v>
      </c>
      <c r="B294" s="47" t="s">
        <v>59</v>
      </c>
      <c r="C294" s="94" t="s">
        <v>57</v>
      </c>
      <c r="D294" s="157" t="s">
        <v>147</v>
      </c>
      <c r="E294" s="157" t="s">
        <v>173</v>
      </c>
      <c r="F294" s="12" t="s">
        <v>701</v>
      </c>
      <c r="G294" s="159">
        <v>137.375</v>
      </c>
      <c r="H294" s="51" t="s">
        <v>650</v>
      </c>
      <c r="I294" s="51"/>
      <c r="J294" s="50"/>
      <c r="K294" s="168">
        <v>10</v>
      </c>
      <c r="L294" s="162">
        <v>17.899999999999999</v>
      </c>
      <c r="M294" s="183">
        <f t="shared" si="178"/>
        <v>130.30027297543219</v>
      </c>
      <c r="N294" s="184">
        <f t="shared" ref="N294" si="183">+J294+L294</f>
        <v>17.899999999999999</v>
      </c>
      <c r="O294" s="183">
        <f t="shared" ref="O294" si="184">N294/G294*1000</f>
        <v>130.30027297543219</v>
      </c>
      <c r="P294" s="185">
        <f t="shared" si="179"/>
        <v>13.737500000000001</v>
      </c>
      <c r="Q294" s="71"/>
      <c r="R294" s="221"/>
      <c r="S294" s="188">
        <f t="shared" si="180"/>
        <v>0</v>
      </c>
      <c r="T294" s="201">
        <v>11</v>
      </c>
      <c r="U294" s="201">
        <f>1.743+2.253</f>
        <v>3.9960000000000004</v>
      </c>
      <c r="V294" s="188">
        <f t="shared" si="181"/>
        <v>2.9088262056414925E-2</v>
      </c>
      <c r="W294" s="65">
        <v>11100</v>
      </c>
      <c r="X294" s="30">
        <f t="shared" si="182"/>
        <v>80.800727934485892</v>
      </c>
    </row>
    <row r="295" spans="1:24">
      <c r="A295" s="252" t="s">
        <v>671</v>
      </c>
      <c r="B295" s="47" t="s">
        <v>59</v>
      </c>
      <c r="C295" s="94" t="s">
        <v>57</v>
      </c>
      <c r="D295" s="157" t="s">
        <v>147</v>
      </c>
      <c r="E295" s="157" t="s">
        <v>184</v>
      </c>
      <c r="F295" s="12" t="s">
        <v>443</v>
      </c>
      <c r="G295" s="159">
        <v>196.12</v>
      </c>
      <c r="H295" s="51" t="s">
        <v>650</v>
      </c>
      <c r="I295" s="51"/>
      <c r="J295" s="50"/>
      <c r="K295" s="168">
        <v>13</v>
      </c>
      <c r="L295" s="162">
        <v>25.1</v>
      </c>
      <c r="M295" s="183">
        <f t="shared" ref="M295:M323" si="185">L295/G295*1000</f>
        <v>127.98286763206201</v>
      </c>
      <c r="N295" s="184">
        <f t="shared" ref="N295:N323" si="186">+J295+L295</f>
        <v>25.1</v>
      </c>
      <c r="O295" s="183">
        <f t="shared" ref="O295:O323" si="187">N295/G295*1000</f>
        <v>127.98286763206201</v>
      </c>
      <c r="P295" s="185">
        <f t="shared" ref="P295:P323" si="188">G295/K295</f>
        <v>15.086153846153847</v>
      </c>
      <c r="Q295" s="71">
        <v>1</v>
      </c>
      <c r="R295" s="221">
        <v>0.28499999999999998</v>
      </c>
      <c r="S295" s="188">
        <f t="shared" ref="S295:S323" si="189">R295/G295</f>
        <v>1.4531919233122575E-3</v>
      </c>
      <c r="T295" s="71"/>
      <c r="U295" s="221"/>
      <c r="V295" s="188">
        <f t="shared" ref="V295:V323" si="190">U295/G295</f>
        <v>0</v>
      </c>
      <c r="W295" s="65">
        <v>15360</v>
      </c>
      <c r="X295" s="30">
        <f t="shared" ref="X295:X323" si="191">W295/G295</f>
        <v>78.319396287986947</v>
      </c>
    </row>
    <row r="296" spans="1:24">
      <c r="A296" s="252" t="s">
        <v>672</v>
      </c>
      <c r="B296" s="47" t="s">
        <v>59</v>
      </c>
      <c r="C296" s="94" t="s">
        <v>57</v>
      </c>
      <c r="D296" s="157" t="s">
        <v>147</v>
      </c>
      <c r="E296" s="157" t="s">
        <v>214</v>
      </c>
      <c r="F296" s="12" t="s">
        <v>702</v>
      </c>
      <c r="G296" s="159">
        <v>146.91999999999999</v>
      </c>
      <c r="H296" s="51" t="s">
        <v>703</v>
      </c>
      <c r="I296" s="51"/>
      <c r="J296" s="50"/>
      <c r="K296" s="168">
        <v>14</v>
      </c>
      <c r="L296" s="162">
        <v>20.100000000000001</v>
      </c>
      <c r="M296" s="183">
        <f t="shared" si="185"/>
        <v>136.80914783555679</v>
      </c>
      <c r="N296" s="184">
        <f t="shared" si="186"/>
        <v>20.100000000000001</v>
      </c>
      <c r="O296" s="183">
        <f t="shared" si="187"/>
        <v>136.80914783555679</v>
      </c>
      <c r="P296" s="185">
        <f t="shared" si="188"/>
        <v>10.494285714285713</v>
      </c>
      <c r="Q296" s="71"/>
      <c r="R296" s="221"/>
      <c r="S296" s="188">
        <f t="shared" si="189"/>
        <v>0</v>
      </c>
      <c r="T296" s="71"/>
      <c r="U296" s="221"/>
      <c r="V296" s="188">
        <f t="shared" si="190"/>
        <v>0</v>
      </c>
      <c r="W296" s="65">
        <v>14040</v>
      </c>
      <c r="X296" s="30">
        <f t="shared" si="191"/>
        <v>95.562210726926224</v>
      </c>
    </row>
    <row r="297" spans="1:24">
      <c r="A297" s="252" t="s">
        <v>673</v>
      </c>
      <c r="B297" s="47" t="s">
        <v>59</v>
      </c>
      <c r="C297" s="94" t="s">
        <v>57</v>
      </c>
      <c r="D297" s="157" t="s">
        <v>147</v>
      </c>
      <c r="E297" s="157" t="s">
        <v>259</v>
      </c>
      <c r="F297" s="12" t="s">
        <v>704</v>
      </c>
      <c r="G297" s="159">
        <v>164.66</v>
      </c>
      <c r="H297" s="51" t="s">
        <v>705</v>
      </c>
      <c r="I297" s="51"/>
      <c r="J297" s="50"/>
      <c r="K297" s="168">
        <v>11</v>
      </c>
      <c r="L297" s="162">
        <v>21</v>
      </c>
      <c r="M297" s="183">
        <f t="shared" si="185"/>
        <v>127.53552775416007</v>
      </c>
      <c r="N297" s="184">
        <f t="shared" si="186"/>
        <v>21</v>
      </c>
      <c r="O297" s="183">
        <f t="shared" si="187"/>
        <v>127.53552775416007</v>
      </c>
      <c r="P297" s="185">
        <f t="shared" si="188"/>
        <v>14.969090909090909</v>
      </c>
      <c r="Q297" s="71">
        <v>3</v>
      </c>
      <c r="R297" s="221">
        <v>0.85899999999999999</v>
      </c>
      <c r="S297" s="188">
        <f t="shared" si="189"/>
        <v>5.2168103971820725E-3</v>
      </c>
      <c r="T297" s="71">
        <v>5</v>
      </c>
      <c r="U297" s="221">
        <v>1.35</v>
      </c>
      <c r="V297" s="188">
        <f t="shared" si="190"/>
        <v>8.1987124984817198E-3</v>
      </c>
      <c r="W297" s="65">
        <v>13560</v>
      </c>
      <c r="X297" s="30">
        <f t="shared" si="191"/>
        <v>82.351512206971947</v>
      </c>
    </row>
    <row r="298" spans="1:24">
      <c r="A298" s="252" t="s">
        <v>674</v>
      </c>
      <c r="B298" s="47" t="s">
        <v>59</v>
      </c>
      <c r="C298" s="94" t="s">
        <v>57</v>
      </c>
      <c r="D298" s="157"/>
      <c r="E298" s="12"/>
      <c r="F298" s="45" t="s">
        <v>167</v>
      </c>
      <c r="G298" s="159"/>
      <c r="H298" s="51"/>
      <c r="I298" s="51"/>
      <c r="J298" s="50"/>
      <c r="K298" s="168"/>
      <c r="L298" s="162"/>
      <c r="M298" s="183"/>
      <c r="N298" s="184"/>
      <c r="O298" s="183"/>
      <c r="P298" s="185"/>
      <c r="Q298" s="71"/>
      <c r="R298" s="221"/>
      <c r="S298" s="188"/>
      <c r="T298" s="71"/>
      <c r="U298" s="221"/>
      <c r="V298" s="188"/>
      <c r="W298" s="65"/>
      <c r="X298" s="30"/>
    </row>
    <row r="299" spans="1:24">
      <c r="A299" s="252" t="s">
        <v>675</v>
      </c>
      <c r="B299" s="47" t="s">
        <v>59</v>
      </c>
      <c r="C299" s="94" t="s">
        <v>57</v>
      </c>
      <c r="D299" s="157" t="s">
        <v>147</v>
      </c>
      <c r="E299" s="157" t="s">
        <v>214</v>
      </c>
      <c r="F299" s="12" t="s">
        <v>198</v>
      </c>
      <c r="G299" s="159">
        <v>183.67</v>
      </c>
      <c r="H299" s="51" t="s">
        <v>706</v>
      </c>
      <c r="I299" s="51"/>
      <c r="J299" s="50"/>
      <c r="K299" s="168">
        <v>14</v>
      </c>
      <c r="L299" s="162">
        <v>23.3</v>
      </c>
      <c r="M299" s="183">
        <f t="shared" si="185"/>
        <v>126.85795176131107</v>
      </c>
      <c r="N299" s="184">
        <f t="shared" si="186"/>
        <v>23.3</v>
      </c>
      <c r="O299" s="183">
        <f t="shared" si="187"/>
        <v>126.85795176131107</v>
      </c>
      <c r="P299" s="185">
        <f t="shared" si="188"/>
        <v>13.119285714285713</v>
      </c>
      <c r="Q299" s="71">
        <v>2</v>
      </c>
      <c r="R299" s="221">
        <v>0.34499999999999997</v>
      </c>
      <c r="S299" s="188">
        <f t="shared" si="189"/>
        <v>1.8783688136331464E-3</v>
      </c>
      <c r="T299" s="71"/>
      <c r="U299" s="221"/>
      <c r="V299" s="188">
        <f t="shared" si="190"/>
        <v>0</v>
      </c>
      <c r="W299" s="65">
        <v>16200</v>
      </c>
      <c r="X299" s="30">
        <f t="shared" si="191"/>
        <v>88.201666031469486</v>
      </c>
    </row>
    <row r="300" spans="1:24">
      <c r="A300" s="252" t="s">
        <v>676</v>
      </c>
      <c r="B300" s="47" t="s">
        <v>59</v>
      </c>
      <c r="C300" s="94" t="s">
        <v>57</v>
      </c>
      <c r="D300" s="157" t="s">
        <v>147</v>
      </c>
      <c r="E300" s="157" t="s">
        <v>150</v>
      </c>
      <c r="F300" s="12" t="s">
        <v>707</v>
      </c>
      <c r="G300" s="159">
        <v>186.7</v>
      </c>
      <c r="H300" s="51" t="s">
        <v>706</v>
      </c>
      <c r="I300" s="51"/>
      <c r="J300" s="50"/>
      <c r="K300" s="168">
        <v>12</v>
      </c>
      <c r="L300" s="162">
        <v>22.5</v>
      </c>
      <c r="M300" s="183">
        <f t="shared" si="185"/>
        <v>120.51419389394752</v>
      </c>
      <c r="N300" s="184">
        <f t="shared" si="186"/>
        <v>22.5</v>
      </c>
      <c r="O300" s="183">
        <f t="shared" si="187"/>
        <v>120.51419389394752</v>
      </c>
      <c r="P300" s="185">
        <f t="shared" si="188"/>
        <v>15.558333333333332</v>
      </c>
      <c r="Q300" s="71"/>
      <c r="R300" s="221"/>
      <c r="S300" s="188">
        <f t="shared" si="189"/>
        <v>0</v>
      </c>
      <c r="T300" s="71"/>
      <c r="U300" s="221"/>
      <c r="V300" s="188">
        <f t="shared" si="190"/>
        <v>0</v>
      </c>
      <c r="W300" s="65">
        <v>15240</v>
      </c>
      <c r="X300" s="30">
        <f t="shared" si="191"/>
        <v>81.628280664167121</v>
      </c>
    </row>
    <row r="301" spans="1:24">
      <c r="A301" s="252" t="s">
        <v>677</v>
      </c>
      <c r="B301" s="47" t="s">
        <v>59</v>
      </c>
      <c r="C301" s="94" t="s">
        <v>57</v>
      </c>
      <c r="D301" s="157" t="s">
        <v>147</v>
      </c>
      <c r="E301" s="157" t="s">
        <v>654</v>
      </c>
      <c r="F301" s="12" t="s">
        <v>708</v>
      </c>
      <c r="G301" s="254">
        <v>210.715</v>
      </c>
      <c r="H301" s="51" t="s">
        <v>706</v>
      </c>
      <c r="I301" s="51"/>
      <c r="J301" s="50"/>
      <c r="K301" s="168">
        <v>13.3</v>
      </c>
      <c r="L301" s="162">
        <v>25.7</v>
      </c>
      <c r="M301" s="183">
        <f t="shared" si="185"/>
        <v>121.96568825190423</v>
      </c>
      <c r="N301" s="184">
        <f t="shared" si="186"/>
        <v>25.7</v>
      </c>
      <c r="O301" s="183">
        <f t="shared" si="187"/>
        <v>121.96568825190423</v>
      </c>
      <c r="P301" s="185">
        <f t="shared" si="188"/>
        <v>15.843233082706766</v>
      </c>
      <c r="Q301" s="71">
        <v>2</v>
      </c>
      <c r="R301" s="221">
        <v>0.64800000000000002</v>
      </c>
      <c r="S301" s="188">
        <f t="shared" si="189"/>
        <v>3.0752438127328381E-3</v>
      </c>
      <c r="T301" s="71">
        <v>1</v>
      </c>
      <c r="U301" s="221">
        <v>0.33</v>
      </c>
      <c r="V301" s="188">
        <f t="shared" si="190"/>
        <v>1.5660963861139454E-3</v>
      </c>
      <c r="W301" s="65">
        <v>15660</v>
      </c>
      <c r="X301" s="30">
        <f t="shared" si="191"/>
        <v>74.318392141043589</v>
      </c>
    </row>
    <row r="302" spans="1:24">
      <c r="A302" s="252" t="s">
        <v>678</v>
      </c>
      <c r="B302" s="47" t="s">
        <v>59</v>
      </c>
      <c r="C302" s="94" t="s">
        <v>57</v>
      </c>
      <c r="D302" s="157" t="s">
        <v>147</v>
      </c>
      <c r="E302" s="157" t="s">
        <v>710</v>
      </c>
      <c r="F302" s="12" t="s">
        <v>709</v>
      </c>
      <c r="G302" s="254">
        <v>149.79499999999999</v>
      </c>
      <c r="H302" s="51" t="s">
        <v>706</v>
      </c>
      <c r="I302" s="51"/>
      <c r="J302" s="50"/>
      <c r="K302" s="168">
        <v>15.3</v>
      </c>
      <c r="L302" s="162">
        <v>18.600000000000001</v>
      </c>
      <c r="M302" s="183">
        <f t="shared" si="185"/>
        <v>124.16969858807037</v>
      </c>
      <c r="N302" s="184">
        <f t="shared" si="186"/>
        <v>18.600000000000001</v>
      </c>
      <c r="O302" s="183">
        <f t="shared" si="187"/>
        <v>124.16969858807037</v>
      </c>
      <c r="P302" s="185">
        <f t="shared" si="188"/>
        <v>9.7905228758169915</v>
      </c>
      <c r="Q302" s="71">
        <v>6</v>
      </c>
      <c r="R302" s="221">
        <v>1.651</v>
      </c>
      <c r="S302" s="188">
        <f t="shared" si="189"/>
        <v>1.1021729697252913E-2</v>
      </c>
      <c r="T302" s="71">
        <v>4</v>
      </c>
      <c r="U302" s="221">
        <v>0.745</v>
      </c>
      <c r="V302" s="188">
        <f t="shared" si="190"/>
        <v>4.9734637337694853E-3</v>
      </c>
      <c r="W302" s="65">
        <v>15180</v>
      </c>
      <c r="X302" s="30">
        <f t="shared" si="191"/>
        <v>101.33849594445743</v>
      </c>
    </row>
    <row r="303" spans="1:24">
      <c r="A303" s="252" t="s">
        <v>679</v>
      </c>
      <c r="B303" s="47" t="s">
        <v>59</v>
      </c>
      <c r="C303" s="94" t="s">
        <v>57</v>
      </c>
      <c r="D303" s="157" t="s">
        <v>147</v>
      </c>
      <c r="E303" s="157" t="s">
        <v>150</v>
      </c>
      <c r="F303" s="12" t="s">
        <v>656</v>
      </c>
      <c r="G303" s="159">
        <v>183.99</v>
      </c>
      <c r="H303" s="51" t="s">
        <v>716</v>
      </c>
      <c r="I303" s="51"/>
      <c r="J303" s="50"/>
      <c r="K303" s="168">
        <v>12</v>
      </c>
      <c r="L303" s="162">
        <v>21.9</v>
      </c>
      <c r="M303" s="183">
        <f t="shared" si="185"/>
        <v>119.02820805478558</v>
      </c>
      <c r="N303" s="184">
        <f t="shared" si="186"/>
        <v>21.9</v>
      </c>
      <c r="O303" s="183">
        <f t="shared" si="187"/>
        <v>119.02820805478558</v>
      </c>
      <c r="P303" s="185">
        <f t="shared" si="188"/>
        <v>15.332500000000001</v>
      </c>
      <c r="Q303" s="71">
        <v>1</v>
      </c>
      <c r="R303" s="221">
        <v>0.621</v>
      </c>
      <c r="S303" s="188">
        <f t="shared" si="189"/>
        <v>3.3751834338822759E-3</v>
      </c>
      <c r="T303" s="71"/>
      <c r="U303" s="221"/>
      <c r="V303" s="188">
        <f t="shared" si="190"/>
        <v>0</v>
      </c>
      <c r="W303" s="65">
        <v>10740</v>
      </c>
      <c r="X303" s="30">
        <f t="shared" si="191"/>
        <v>58.372737648785254</v>
      </c>
    </row>
    <row r="304" spans="1:24">
      <c r="A304" s="252" t="s">
        <v>680</v>
      </c>
      <c r="B304" s="47" t="s">
        <v>59</v>
      </c>
      <c r="C304" s="94" t="s">
        <v>57</v>
      </c>
      <c r="D304" s="157" t="s">
        <v>147</v>
      </c>
      <c r="E304" s="157" t="s">
        <v>382</v>
      </c>
      <c r="F304" s="12" t="s">
        <v>711</v>
      </c>
      <c r="G304" s="159">
        <v>203.97</v>
      </c>
      <c r="H304" s="51" t="s">
        <v>717</v>
      </c>
      <c r="I304" s="51"/>
      <c r="J304" s="50"/>
      <c r="K304" s="168">
        <v>15</v>
      </c>
      <c r="L304" s="162">
        <v>25.6</v>
      </c>
      <c r="M304" s="183">
        <f t="shared" si="185"/>
        <v>125.50865323331864</v>
      </c>
      <c r="N304" s="184">
        <f t="shared" si="186"/>
        <v>25.6</v>
      </c>
      <c r="O304" s="183">
        <f t="shared" si="187"/>
        <v>125.50865323331864</v>
      </c>
      <c r="P304" s="185">
        <f t="shared" si="188"/>
        <v>13.598000000000001</v>
      </c>
      <c r="Q304" s="71">
        <v>2</v>
      </c>
      <c r="R304" s="221">
        <v>0.878</v>
      </c>
      <c r="S304" s="188">
        <f t="shared" si="189"/>
        <v>4.3045545913614749E-3</v>
      </c>
      <c r="T304" s="71">
        <v>1</v>
      </c>
      <c r="U304" s="221">
        <v>0.56799999999999995</v>
      </c>
      <c r="V304" s="188">
        <f t="shared" si="190"/>
        <v>2.7847232436142566E-3</v>
      </c>
      <c r="W304" s="65">
        <v>14760</v>
      </c>
      <c r="X304" s="30">
        <f t="shared" si="191"/>
        <v>72.363582879835263</v>
      </c>
    </row>
    <row r="305" spans="1:24">
      <c r="A305" s="252" t="s">
        <v>681</v>
      </c>
      <c r="B305" s="47" t="s">
        <v>59</v>
      </c>
      <c r="C305" s="94" t="s">
        <v>57</v>
      </c>
      <c r="D305" s="157"/>
      <c r="E305" s="12"/>
      <c r="F305" s="45" t="s">
        <v>167</v>
      </c>
      <c r="G305" s="159"/>
      <c r="H305" s="51"/>
      <c r="I305" s="51"/>
      <c r="J305" s="50"/>
      <c r="K305" s="168"/>
      <c r="L305" s="162"/>
      <c r="M305" s="183"/>
      <c r="N305" s="184"/>
      <c r="O305" s="183"/>
      <c r="P305" s="185"/>
      <c r="Q305" s="71"/>
      <c r="R305" s="221"/>
      <c r="S305" s="188"/>
      <c r="T305" s="71"/>
      <c r="U305" s="221"/>
      <c r="V305" s="188"/>
      <c r="W305" s="65"/>
      <c r="X305" s="30"/>
    </row>
    <row r="306" spans="1:24">
      <c r="A306" s="252" t="s">
        <v>682</v>
      </c>
      <c r="B306" s="47" t="s">
        <v>59</v>
      </c>
      <c r="C306" s="94" t="s">
        <v>57</v>
      </c>
      <c r="D306" s="157" t="s">
        <v>147</v>
      </c>
      <c r="E306" s="157" t="s">
        <v>184</v>
      </c>
      <c r="F306" s="12" t="s">
        <v>712</v>
      </c>
      <c r="G306" s="159">
        <v>204.495</v>
      </c>
      <c r="H306" s="51" t="s">
        <v>717</v>
      </c>
      <c r="I306" s="51"/>
      <c r="J306" s="50"/>
      <c r="K306" s="168">
        <v>13</v>
      </c>
      <c r="L306" s="162">
        <v>25.5</v>
      </c>
      <c r="M306" s="183">
        <f t="shared" si="185"/>
        <v>124.69742536492335</v>
      </c>
      <c r="N306" s="184">
        <f t="shared" si="186"/>
        <v>25.5</v>
      </c>
      <c r="O306" s="183">
        <f t="shared" si="187"/>
        <v>124.69742536492335</v>
      </c>
      <c r="P306" s="185">
        <f t="shared" si="188"/>
        <v>15.730384615384615</v>
      </c>
      <c r="Q306" s="71">
        <v>2</v>
      </c>
      <c r="R306" s="221">
        <v>0.96</v>
      </c>
      <c r="S306" s="188">
        <f t="shared" si="189"/>
        <v>4.6944913078559372E-3</v>
      </c>
      <c r="T306" s="71">
        <v>1</v>
      </c>
      <c r="U306" s="221">
        <v>0.60799999999999998</v>
      </c>
      <c r="V306" s="188">
        <f t="shared" si="190"/>
        <v>2.9731778283087606E-3</v>
      </c>
      <c r="W306" s="65">
        <v>14220</v>
      </c>
      <c r="X306" s="30">
        <f t="shared" si="191"/>
        <v>69.537152497616077</v>
      </c>
    </row>
    <row r="307" spans="1:24">
      <c r="A307" s="252" t="s">
        <v>683</v>
      </c>
      <c r="B307" s="47" t="s">
        <v>59</v>
      </c>
      <c r="C307" s="94" t="s">
        <v>57</v>
      </c>
      <c r="D307" s="157" t="s">
        <v>147</v>
      </c>
      <c r="E307" s="157" t="s">
        <v>150</v>
      </c>
      <c r="F307" s="12" t="s">
        <v>591</v>
      </c>
      <c r="G307" s="159">
        <v>199.315</v>
      </c>
      <c r="H307" s="51" t="s">
        <v>717</v>
      </c>
      <c r="I307" s="51"/>
      <c r="J307" s="50"/>
      <c r="K307" s="168">
        <v>12</v>
      </c>
      <c r="L307" s="162">
        <v>25.1</v>
      </c>
      <c r="M307" s="183">
        <f t="shared" si="185"/>
        <v>125.93131475302913</v>
      </c>
      <c r="N307" s="184">
        <f t="shared" si="186"/>
        <v>25.1</v>
      </c>
      <c r="O307" s="183">
        <f t="shared" si="187"/>
        <v>125.93131475302913</v>
      </c>
      <c r="P307" s="185">
        <f t="shared" si="188"/>
        <v>16.609583333333333</v>
      </c>
      <c r="Q307" s="71">
        <v>1</v>
      </c>
      <c r="R307" s="221">
        <v>0.499</v>
      </c>
      <c r="S307" s="188">
        <f t="shared" si="189"/>
        <v>2.5035747434964755E-3</v>
      </c>
      <c r="T307" s="71"/>
      <c r="U307" s="221"/>
      <c r="V307" s="188">
        <f t="shared" si="190"/>
        <v>0</v>
      </c>
      <c r="W307" s="65">
        <v>12780</v>
      </c>
      <c r="X307" s="30">
        <f t="shared" si="191"/>
        <v>64.119609663096099</v>
      </c>
    </row>
    <row r="308" spans="1:24">
      <c r="A308" s="252" t="s">
        <v>684</v>
      </c>
      <c r="B308" s="47" t="s">
        <v>59</v>
      </c>
      <c r="C308" s="94" t="s">
        <v>57</v>
      </c>
      <c r="D308" s="157" t="s">
        <v>147</v>
      </c>
      <c r="E308" s="157" t="s">
        <v>148</v>
      </c>
      <c r="F308" s="12" t="s">
        <v>713</v>
      </c>
      <c r="G308" s="159">
        <v>210.69</v>
      </c>
      <c r="H308" s="51" t="s">
        <v>718</v>
      </c>
      <c r="I308" s="51"/>
      <c r="J308" s="50"/>
      <c r="K308" s="168">
        <v>13.45</v>
      </c>
      <c r="L308" s="162">
        <v>26.8</v>
      </c>
      <c r="M308" s="183">
        <f t="shared" si="185"/>
        <v>127.20110114386065</v>
      </c>
      <c r="N308" s="184">
        <f t="shared" si="186"/>
        <v>26.8</v>
      </c>
      <c r="O308" s="183">
        <f t="shared" si="187"/>
        <v>127.20110114386065</v>
      </c>
      <c r="P308" s="185">
        <f t="shared" si="188"/>
        <v>15.66468401486989</v>
      </c>
      <c r="Q308" s="71">
        <v>2</v>
      </c>
      <c r="R308" s="221">
        <v>0.72799999999999998</v>
      </c>
      <c r="S308" s="188">
        <f t="shared" si="189"/>
        <v>3.4553134937586028E-3</v>
      </c>
      <c r="T308" s="71"/>
      <c r="U308" s="221"/>
      <c r="V308" s="188">
        <f t="shared" si="190"/>
        <v>0</v>
      </c>
      <c r="W308" s="65">
        <v>15240</v>
      </c>
      <c r="X308" s="30">
        <f t="shared" si="191"/>
        <v>72.333760501210307</v>
      </c>
    </row>
    <row r="309" spans="1:24">
      <c r="A309" s="252" t="s">
        <v>685</v>
      </c>
      <c r="B309" s="47" t="s">
        <v>59</v>
      </c>
      <c r="C309" s="94" t="s">
        <v>57</v>
      </c>
      <c r="D309" s="157" t="s">
        <v>147</v>
      </c>
      <c r="E309" s="157" t="s">
        <v>214</v>
      </c>
      <c r="F309" s="12" t="s">
        <v>714</v>
      </c>
      <c r="G309" s="159">
        <v>204.98</v>
      </c>
      <c r="H309" s="51" t="s">
        <v>717</v>
      </c>
      <c r="I309" s="51"/>
      <c r="J309" s="50"/>
      <c r="K309" s="168">
        <v>14</v>
      </c>
      <c r="L309" s="162">
        <v>25.7</v>
      </c>
      <c r="M309" s="183">
        <f t="shared" si="185"/>
        <v>125.37808566689435</v>
      </c>
      <c r="N309" s="184">
        <f t="shared" si="186"/>
        <v>25.7</v>
      </c>
      <c r="O309" s="183">
        <f t="shared" si="187"/>
        <v>125.37808566689435</v>
      </c>
      <c r="P309" s="185">
        <f t="shared" si="188"/>
        <v>14.641428571428571</v>
      </c>
      <c r="Q309" s="71">
        <v>1</v>
      </c>
      <c r="R309" s="221">
        <v>0.30499999999999999</v>
      </c>
      <c r="S309" s="188">
        <f t="shared" si="189"/>
        <v>1.4879500439067227E-3</v>
      </c>
      <c r="T309" s="71">
        <v>2</v>
      </c>
      <c r="U309" s="221">
        <v>0.67500000000000004</v>
      </c>
      <c r="V309" s="188">
        <f t="shared" si="190"/>
        <v>3.2930041955312717E-3</v>
      </c>
      <c r="W309" s="65">
        <v>15300</v>
      </c>
      <c r="X309" s="30">
        <f t="shared" si="191"/>
        <v>74.641428432042147</v>
      </c>
    </row>
    <row r="310" spans="1:24">
      <c r="A310" s="252" t="s">
        <v>686</v>
      </c>
      <c r="B310" s="47" t="s">
        <v>59</v>
      </c>
      <c r="C310" s="94" t="s">
        <v>57</v>
      </c>
      <c r="D310" s="157" t="s">
        <v>147</v>
      </c>
      <c r="E310" s="157" t="s">
        <v>214</v>
      </c>
      <c r="F310" s="12" t="s">
        <v>365</v>
      </c>
      <c r="G310" s="159">
        <v>205.01</v>
      </c>
      <c r="H310" s="51" t="s">
        <v>717</v>
      </c>
      <c r="I310" s="51"/>
      <c r="J310" s="50"/>
      <c r="K310" s="168">
        <v>14</v>
      </c>
      <c r="L310" s="162">
        <v>25.1</v>
      </c>
      <c r="M310" s="183">
        <f t="shared" si="185"/>
        <v>122.43305204624167</v>
      </c>
      <c r="N310" s="184">
        <f t="shared" si="186"/>
        <v>25.1</v>
      </c>
      <c r="O310" s="183">
        <f t="shared" si="187"/>
        <v>122.43305204624167</v>
      </c>
      <c r="P310" s="185">
        <f t="shared" si="188"/>
        <v>14.643571428571429</v>
      </c>
      <c r="Q310" s="71"/>
      <c r="R310" s="221"/>
      <c r="S310" s="188">
        <f t="shared" si="189"/>
        <v>0</v>
      </c>
      <c r="T310" s="71"/>
      <c r="U310" s="221"/>
      <c r="V310" s="188">
        <f t="shared" si="190"/>
        <v>0</v>
      </c>
      <c r="W310" s="65">
        <v>14880</v>
      </c>
      <c r="X310" s="30">
        <f t="shared" si="191"/>
        <v>72.581825276815763</v>
      </c>
    </row>
    <row r="311" spans="1:24">
      <c r="A311" s="252" t="s">
        <v>687</v>
      </c>
      <c r="B311" s="47" t="s">
        <v>59</v>
      </c>
      <c r="C311" s="94" t="s">
        <v>57</v>
      </c>
      <c r="D311" s="157" t="s">
        <v>147</v>
      </c>
      <c r="E311" s="157" t="s">
        <v>72</v>
      </c>
      <c r="F311" s="12" t="s">
        <v>573</v>
      </c>
      <c r="G311" s="159">
        <v>193.6</v>
      </c>
      <c r="H311" s="51" t="s">
        <v>717</v>
      </c>
      <c r="I311" s="51"/>
      <c r="J311" s="50"/>
      <c r="K311" s="168">
        <v>12</v>
      </c>
      <c r="L311" s="162">
        <v>24.5</v>
      </c>
      <c r="M311" s="183">
        <f t="shared" si="185"/>
        <v>126.54958677685951</v>
      </c>
      <c r="N311" s="184">
        <f t="shared" si="186"/>
        <v>24.5</v>
      </c>
      <c r="O311" s="183">
        <f t="shared" si="187"/>
        <v>126.54958677685951</v>
      </c>
      <c r="P311" s="185">
        <f t="shared" si="188"/>
        <v>16.133333333333333</v>
      </c>
      <c r="Q311" s="71">
        <v>2</v>
      </c>
      <c r="R311" s="221">
        <v>0.66600000000000004</v>
      </c>
      <c r="S311" s="188">
        <f t="shared" si="189"/>
        <v>3.4400826446280993E-3</v>
      </c>
      <c r="T311" s="71">
        <v>4</v>
      </c>
      <c r="U311" s="221">
        <v>1.3320000000000001</v>
      </c>
      <c r="V311" s="188">
        <f t="shared" si="190"/>
        <v>6.8801652892561986E-3</v>
      </c>
      <c r="W311" s="65">
        <v>14100</v>
      </c>
      <c r="X311" s="30">
        <f t="shared" si="191"/>
        <v>72.830578512396698</v>
      </c>
    </row>
    <row r="312" spans="1:24">
      <c r="A312" s="252" t="s">
        <v>688</v>
      </c>
      <c r="B312" s="47" t="s">
        <v>59</v>
      </c>
      <c r="C312" s="94" t="s">
        <v>57</v>
      </c>
      <c r="D312" s="157"/>
      <c r="E312" s="12"/>
      <c r="F312" s="45" t="s">
        <v>167</v>
      </c>
      <c r="G312" s="159"/>
      <c r="H312" s="51"/>
      <c r="I312" s="51"/>
      <c r="J312" s="50"/>
      <c r="K312" s="168"/>
      <c r="L312" s="162"/>
      <c r="M312" s="183"/>
      <c r="N312" s="184"/>
      <c r="O312" s="183"/>
      <c r="P312" s="185"/>
      <c r="Q312" s="71"/>
      <c r="R312" s="221"/>
      <c r="S312" s="188"/>
      <c r="T312" s="71"/>
      <c r="U312" s="221"/>
      <c r="V312" s="188"/>
      <c r="W312" s="65"/>
      <c r="X312" s="30"/>
    </row>
    <row r="313" spans="1:24">
      <c r="A313" s="252" t="s">
        <v>689</v>
      </c>
      <c r="B313" s="47" t="s">
        <v>59</v>
      </c>
      <c r="C313" s="94" t="s">
        <v>57</v>
      </c>
      <c r="D313" s="157" t="s">
        <v>147</v>
      </c>
      <c r="E313" s="157" t="s">
        <v>72</v>
      </c>
      <c r="F313" s="12" t="s">
        <v>715</v>
      </c>
      <c r="G313" s="159">
        <v>221.95500000000001</v>
      </c>
      <c r="H313" s="51" t="s">
        <v>719</v>
      </c>
      <c r="I313" s="51"/>
      <c r="J313" s="50"/>
      <c r="K313" s="168">
        <v>12</v>
      </c>
      <c r="L313" s="162">
        <v>26.4</v>
      </c>
      <c r="M313" s="183">
        <f t="shared" si="185"/>
        <v>118.94302899236331</v>
      </c>
      <c r="N313" s="184">
        <f t="shared" si="186"/>
        <v>26.4</v>
      </c>
      <c r="O313" s="183">
        <f t="shared" si="187"/>
        <v>118.94302899236331</v>
      </c>
      <c r="P313" s="185">
        <f t="shared" si="188"/>
        <v>18.49625</v>
      </c>
      <c r="Q313" s="71">
        <v>3</v>
      </c>
      <c r="R313" s="221">
        <v>1.6240000000000001</v>
      </c>
      <c r="S313" s="188">
        <f t="shared" si="189"/>
        <v>7.3167984501362887E-3</v>
      </c>
      <c r="T313" s="71">
        <v>1</v>
      </c>
      <c r="U313" s="221">
        <v>0.59399999999999997</v>
      </c>
      <c r="V313" s="188">
        <f t="shared" si="190"/>
        <v>2.6762181523281746E-3</v>
      </c>
      <c r="W313" s="65">
        <v>12720</v>
      </c>
      <c r="X313" s="30">
        <f t="shared" si="191"/>
        <v>57.308913969047779</v>
      </c>
    </row>
    <row r="314" spans="1:24">
      <c r="A314" s="252" t="s">
        <v>690</v>
      </c>
      <c r="B314" s="47" t="s">
        <v>59</v>
      </c>
      <c r="C314" s="94" t="s">
        <v>57</v>
      </c>
      <c r="D314" s="157" t="s">
        <v>147</v>
      </c>
      <c r="E314" s="157" t="s">
        <v>720</v>
      </c>
      <c r="F314" s="12" t="s">
        <v>721</v>
      </c>
      <c r="G314" s="159">
        <v>207.96</v>
      </c>
      <c r="H314" s="51" t="s">
        <v>719</v>
      </c>
      <c r="I314" s="51"/>
      <c r="J314" s="50"/>
      <c r="K314" s="168">
        <v>13</v>
      </c>
      <c r="L314" s="162">
        <v>25.6</v>
      </c>
      <c r="M314" s="183">
        <f t="shared" si="185"/>
        <v>123.10059626851317</v>
      </c>
      <c r="N314" s="184">
        <f t="shared" si="186"/>
        <v>25.6</v>
      </c>
      <c r="O314" s="183">
        <f t="shared" si="187"/>
        <v>123.10059626851317</v>
      </c>
      <c r="P314" s="185">
        <f t="shared" si="188"/>
        <v>15.996923076923078</v>
      </c>
      <c r="Q314" s="71"/>
      <c r="R314" s="221"/>
      <c r="S314" s="188">
        <f t="shared" si="189"/>
        <v>0</v>
      </c>
      <c r="T314" s="71">
        <v>2</v>
      </c>
      <c r="U314" s="221">
        <v>0.72699999999999998</v>
      </c>
      <c r="V314" s="188">
        <f t="shared" si="190"/>
        <v>3.4958645893441043E-3</v>
      </c>
      <c r="W314" s="65">
        <v>13200</v>
      </c>
      <c r="X314" s="30">
        <f t="shared" si="191"/>
        <v>63.473744950952103</v>
      </c>
    </row>
    <row r="315" spans="1:24">
      <c r="A315" s="252" t="s">
        <v>691</v>
      </c>
      <c r="B315" s="47" t="s">
        <v>59</v>
      </c>
      <c r="C315" s="94" t="s">
        <v>57</v>
      </c>
      <c r="D315" s="157" t="s">
        <v>147</v>
      </c>
      <c r="E315" s="157" t="s">
        <v>214</v>
      </c>
      <c r="F315" s="12" t="s">
        <v>525</v>
      </c>
      <c r="G315" s="159">
        <v>215.95500000000001</v>
      </c>
      <c r="H315" s="51" t="s">
        <v>719</v>
      </c>
      <c r="I315" s="51"/>
      <c r="J315" s="50"/>
      <c r="K315" s="168">
        <v>14</v>
      </c>
      <c r="L315" s="162">
        <v>27.2</v>
      </c>
      <c r="M315" s="183">
        <f t="shared" si="185"/>
        <v>125.95216596050102</v>
      </c>
      <c r="N315" s="184">
        <f t="shared" si="186"/>
        <v>27.2</v>
      </c>
      <c r="O315" s="183">
        <f t="shared" si="187"/>
        <v>125.95216596050102</v>
      </c>
      <c r="P315" s="185">
        <f t="shared" si="188"/>
        <v>15.425357142857143</v>
      </c>
      <c r="Q315" s="71">
        <v>4</v>
      </c>
      <c r="R315" s="221">
        <v>1.8660000000000001</v>
      </c>
      <c r="S315" s="188">
        <f t="shared" si="189"/>
        <v>8.6406890324373133E-3</v>
      </c>
      <c r="T315" s="71"/>
      <c r="U315" s="221"/>
      <c r="V315" s="188">
        <f t="shared" si="190"/>
        <v>0</v>
      </c>
      <c r="W315" s="65">
        <v>14700</v>
      </c>
      <c r="X315" s="30">
        <f t="shared" si="191"/>
        <v>68.069736750711954</v>
      </c>
    </row>
    <row r="316" spans="1:24">
      <c r="A316" s="252" t="s">
        <v>692</v>
      </c>
      <c r="B316" s="47" t="s">
        <v>59</v>
      </c>
      <c r="C316" s="94" t="s">
        <v>57</v>
      </c>
      <c r="D316" s="157" t="s">
        <v>147</v>
      </c>
      <c r="E316" s="157" t="s">
        <v>184</v>
      </c>
      <c r="F316" s="12" t="s">
        <v>722</v>
      </c>
      <c r="G316" s="159">
        <v>203.065</v>
      </c>
      <c r="H316" s="51" t="s">
        <v>719</v>
      </c>
      <c r="I316" s="51"/>
      <c r="J316" s="50"/>
      <c r="K316" s="168">
        <v>13</v>
      </c>
      <c r="L316" s="162">
        <v>25.6</v>
      </c>
      <c r="M316" s="183">
        <f t="shared" si="185"/>
        <v>126.06800778075986</v>
      </c>
      <c r="N316" s="184">
        <f t="shared" si="186"/>
        <v>25.6</v>
      </c>
      <c r="O316" s="183">
        <f t="shared" si="187"/>
        <v>126.06800778075986</v>
      </c>
      <c r="P316" s="185">
        <f t="shared" si="188"/>
        <v>15.620384615384616</v>
      </c>
      <c r="Q316" s="71">
        <v>1</v>
      </c>
      <c r="R316" s="221">
        <v>0.379</v>
      </c>
      <c r="S316" s="188">
        <f t="shared" si="189"/>
        <v>1.8663974589417183E-3</v>
      </c>
      <c r="T316" s="71">
        <v>1</v>
      </c>
      <c r="U316" s="221">
        <v>0.38200000000000001</v>
      </c>
      <c r="V316" s="188">
        <f t="shared" si="190"/>
        <v>1.881171053603526E-3</v>
      </c>
      <c r="W316" s="65">
        <v>13500</v>
      </c>
      <c r="X316" s="30">
        <f t="shared" si="191"/>
        <v>66.481175978135084</v>
      </c>
    </row>
    <row r="317" spans="1:24">
      <c r="A317" s="252" t="s">
        <v>693</v>
      </c>
      <c r="B317" s="47" t="s">
        <v>59</v>
      </c>
      <c r="C317" s="94" t="s">
        <v>57</v>
      </c>
      <c r="D317" s="157" t="s">
        <v>147</v>
      </c>
      <c r="E317" s="157" t="s">
        <v>184</v>
      </c>
      <c r="F317" s="12" t="s">
        <v>723</v>
      </c>
      <c r="G317" s="159">
        <v>194.7</v>
      </c>
      <c r="H317" s="51" t="s">
        <v>719</v>
      </c>
      <c r="I317" s="51"/>
      <c r="J317" s="50"/>
      <c r="K317" s="168">
        <v>13</v>
      </c>
      <c r="L317" s="162">
        <v>24.7</v>
      </c>
      <c r="M317" s="183">
        <f t="shared" si="185"/>
        <v>126.86183872624551</v>
      </c>
      <c r="N317" s="184">
        <f t="shared" si="186"/>
        <v>24.7</v>
      </c>
      <c r="O317" s="183">
        <f t="shared" si="187"/>
        <v>126.86183872624551</v>
      </c>
      <c r="P317" s="185">
        <f t="shared" si="188"/>
        <v>14.976923076923075</v>
      </c>
      <c r="Q317" s="71">
        <v>7</v>
      </c>
      <c r="R317" s="221">
        <v>2.282</v>
      </c>
      <c r="S317" s="188">
        <f t="shared" si="189"/>
        <v>1.1720595788392399E-2</v>
      </c>
      <c r="T317" s="71">
        <v>2</v>
      </c>
      <c r="U317" s="221">
        <v>0.61199999999999999</v>
      </c>
      <c r="V317" s="188">
        <f t="shared" si="190"/>
        <v>3.1432973805855164E-3</v>
      </c>
      <c r="W317" s="65">
        <v>14340</v>
      </c>
      <c r="X317" s="30">
        <f t="shared" si="191"/>
        <v>73.651771956856706</v>
      </c>
    </row>
    <row r="318" spans="1:24">
      <c r="A318" s="252" t="s">
        <v>694</v>
      </c>
      <c r="B318" s="47" t="s">
        <v>59</v>
      </c>
      <c r="C318" s="94" t="s">
        <v>57</v>
      </c>
      <c r="D318" s="157" t="s">
        <v>147</v>
      </c>
      <c r="E318" s="157" t="s">
        <v>724</v>
      </c>
      <c r="F318" s="12" t="s">
        <v>725</v>
      </c>
      <c r="G318" s="159">
        <v>283.66000000000003</v>
      </c>
      <c r="H318" s="51" t="s">
        <v>726</v>
      </c>
      <c r="I318" s="51"/>
      <c r="J318" s="50"/>
      <c r="K318" s="168">
        <v>22</v>
      </c>
      <c r="L318" s="162">
        <v>36.5</v>
      </c>
      <c r="M318" s="183">
        <f t="shared" si="185"/>
        <v>128.6751745046887</v>
      </c>
      <c r="N318" s="184">
        <f t="shared" si="186"/>
        <v>36.5</v>
      </c>
      <c r="O318" s="183">
        <f t="shared" si="187"/>
        <v>128.6751745046887</v>
      </c>
      <c r="P318" s="185">
        <f t="shared" si="188"/>
        <v>12.893636363636364</v>
      </c>
      <c r="Q318" s="71">
        <v>4</v>
      </c>
      <c r="R318" s="221">
        <v>1.079</v>
      </c>
      <c r="S318" s="188">
        <f t="shared" si="189"/>
        <v>3.8038496791934001E-3</v>
      </c>
      <c r="T318" s="71">
        <v>3</v>
      </c>
      <c r="U318" s="221">
        <v>0.84499999999999997</v>
      </c>
      <c r="V318" s="188">
        <f t="shared" si="190"/>
        <v>2.9789184234647109E-3</v>
      </c>
      <c r="W318" s="65">
        <v>23580</v>
      </c>
      <c r="X318" s="30">
        <f t="shared" si="191"/>
        <v>83.127688077275607</v>
      </c>
    </row>
    <row r="319" spans="1:24">
      <c r="A319" s="252" t="s">
        <v>695</v>
      </c>
      <c r="B319" s="47" t="s">
        <v>59</v>
      </c>
      <c r="C319" s="94" t="s">
        <v>57</v>
      </c>
      <c r="D319" s="157"/>
      <c r="E319" s="157"/>
      <c r="F319" s="45" t="s">
        <v>167</v>
      </c>
      <c r="G319" s="159"/>
      <c r="H319" s="51"/>
      <c r="I319" s="51"/>
      <c r="J319" s="50"/>
      <c r="K319" s="168"/>
      <c r="L319" s="162"/>
      <c r="M319" s="183"/>
      <c r="N319" s="184"/>
      <c r="O319" s="183"/>
      <c r="P319" s="185"/>
      <c r="Q319" s="71"/>
      <c r="R319" s="221"/>
      <c r="S319" s="188"/>
      <c r="T319" s="71"/>
      <c r="U319" s="221"/>
      <c r="V319" s="188"/>
      <c r="W319" s="65"/>
      <c r="X319" s="30"/>
    </row>
    <row r="320" spans="1:24">
      <c r="A320" s="252" t="s">
        <v>696</v>
      </c>
      <c r="B320" s="47" t="s">
        <v>59</v>
      </c>
      <c r="C320" s="94" t="s">
        <v>57</v>
      </c>
      <c r="D320" s="157"/>
      <c r="E320" s="157"/>
      <c r="F320" s="45" t="s">
        <v>727</v>
      </c>
      <c r="G320" s="159"/>
      <c r="H320" s="51"/>
      <c r="I320" s="51"/>
      <c r="J320" s="50"/>
      <c r="K320" s="168"/>
      <c r="L320" s="162"/>
      <c r="M320" s="183"/>
      <c r="N320" s="184"/>
      <c r="O320" s="183"/>
      <c r="P320" s="185"/>
      <c r="Q320" s="71"/>
      <c r="R320" s="221"/>
      <c r="S320" s="188"/>
      <c r="T320" s="71"/>
      <c r="U320" s="221"/>
      <c r="V320" s="188"/>
      <c r="W320" s="65"/>
      <c r="X320" s="30"/>
    </row>
    <row r="321" spans="1:24">
      <c r="A321" s="252" t="s">
        <v>697</v>
      </c>
      <c r="B321" s="47" t="s">
        <v>59</v>
      </c>
      <c r="C321" s="94" t="s">
        <v>57</v>
      </c>
      <c r="D321" s="157"/>
      <c r="E321" s="157"/>
      <c r="F321" s="45" t="s">
        <v>727</v>
      </c>
      <c r="G321" s="159"/>
      <c r="H321" s="51"/>
      <c r="I321" s="51"/>
      <c r="J321" s="50"/>
      <c r="K321" s="168"/>
      <c r="L321" s="162"/>
      <c r="M321" s="183"/>
      <c r="N321" s="184"/>
      <c r="O321" s="183"/>
      <c r="P321" s="185"/>
      <c r="Q321" s="71"/>
      <c r="R321" s="221"/>
      <c r="S321" s="188"/>
      <c r="T321" s="71"/>
      <c r="U321" s="221"/>
      <c r="V321" s="188"/>
      <c r="W321" s="65"/>
      <c r="X321" s="30"/>
    </row>
    <row r="322" spans="1:24">
      <c r="A322" s="252" t="s">
        <v>698</v>
      </c>
      <c r="B322" s="47" t="s">
        <v>59</v>
      </c>
      <c r="C322" s="94" t="s">
        <v>57</v>
      </c>
      <c r="D322" s="157"/>
      <c r="E322" s="157"/>
      <c r="F322" s="45" t="s">
        <v>727</v>
      </c>
      <c r="G322" s="159"/>
      <c r="H322" s="51"/>
      <c r="I322" s="51"/>
      <c r="J322" s="50"/>
      <c r="K322" s="168"/>
      <c r="L322" s="162"/>
      <c r="M322" s="183"/>
      <c r="N322" s="184"/>
      <c r="O322" s="183"/>
      <c r="P322" s="185"/>
      <c r="Q322" s="71"/>
      <c r="R322" s="221"/>
      <c r="S322" s="188"/>
      <c r="T322" s="71"/>
      <c r="U322" s="221"/>
      <c r="V322" s="188"/>
      <c r="W322" s="65"/>
      <c r="X322" s="30"/>
    </row>
    <row r="323" spans="1:24">
      <c r="A323" s="252" t="s">
        <v>699</v>
      </c>
      <c r="B323" s="47" t="s">
        <v>59</v>
      </c>
      <c r="C323" s="94" t="s">
        <v>57</v>
      </c>
      <c r="D323" s="157" t="s">
        <v>149</v>
      </c>
      <c r="E323" s="157" t="s">
        <v>259</v>
      </c>
      <c r="F323" s="12" t="s">
        <v>702</v>
      </c>
      <c r="G323" s="159">
        <v>132.52500000000001</v>
      </c>
      <c r="H323" s="51" t="s">
        <v>728</v>
      </c>
      <c r="I323" s="51"/>
      <c r="J323" s="50"/>
      <c r="K323" s="168">
        <v>10</v>
      </c>
      <c r="L323" s="162">
        <v>27.5</v>
      </c>
      <c r="M323" s="183">
        <f t="shared" si="185"/>
        <v>207.508017355216</v>
      </c>
      <c r="N323" s="184">
        <f t="shared" si="186"/>
        <v>27.5</v>
      </c>
      <c r="O323" s="183">
        <f t="shared" si="187"/>
        <v>207.508017355216</v>
      </c>
      <c r="P323" s="185">
        <f t="shared" si="188"/>
        <v>13.252500000000001</v>
      </c>
      <c r="Q323" s="71">
        <v>4</v>
      </c>
      <c r="R323" s="221">
        <v>1.31</v>
      </c>
      <c r="S323" s="188">
        <f t="shared" si="189"/>
        <v>9.8849273721939249E-3</v>
      </c>
      <c r="T323" s="71"/>
      <c r="U323" s="221"/>
      <c r="V323" s="188">
        <f t="shared" si="190"/>
        <v>0</v>
      </c>
      <c r="W323" s="65">
        <v>11580</v>
      </c>
      <c r="X323" s="30">
        <f t="shared" si="191"/>
        <v>87.379739671760035</v>
      </c>
    </row>
    <row r="324" spans="1:24" s="10" customFormat="1">
      <c r="A324" s="135"/>
      <c r="B324" s="47"/>
      <c r="C324" s="48"/>
      <c r="D324" s="129"/>
      <c r="E324" s="129"/>
      <c r="F324" s="57"/>
      <c r="G324" s="58">
        <f>SUM(G293:G323)</f>
        <v>4643.3499999999995</v>
      </c>
      <c r="H324" s="57"/>
      <c r="I324" s="59"/>
      <c r="J324" s="58">
        <f>SUM(J293:J323)</f>
        <v>0</v>
      </c>
      <c r="K324" s="194">
        <f>SUM(K293:K323)</f>
        <v>317.04999999999995</v>
      </c>
      <c r="L324" s="195">
        <f>SUM(L293:L323)</f>
        <v>593.40000000000009</v>
      </c>
      <c r="M324" s="196">
        <f>L324/G324*1000</f>
        <v>127.7956647678939</v>
      </c>
      <c r="N324" s="195">
        <f>SUM(N293:N323)</f>
        <v>567.9</v>
      </c>
      <c r="O324" s="196">
        <f t="shared" ref="O324" si="192">N324/G324*1000</f>
        <v>122.30394004328772</v>
      </c>
      <c r="P324" s="197">
        <f>G324/K324</f>
        <v>14.64548178520738</v>
      </c>
      <c r="Q324" s="198">
        <f>SUM(Q293:Q323)</f>
        <v>50</v>
      </c>
      <c r="R324" s="195">
        <f>SUM(R293:R323)</f>
        <v>17.563999999999997</v>
      </c>
      <c r="S324" s="199">
        <f t="shared" ref="S324" si="193">R324/G324</f>
        <v>3.7826138456071583E-3</v>
      </c>
      <c r="T324" s="198">
        <f>SUM(T293:T323)</f>
        <v>38</v>
      </c>
      <c r="U324" s="195">
        <f>SUM(U293:U323)</f>
        <v>12.764000000000001</v>
      </c>
      <c r="V324" s="199">
        <f>U324/G324</f>
        <v>2.7488774268577647E-3</v>
      </c>
      <c r="W324" s="198">
        <f>SUM(W293:W323)</f>
        <v>347220</v>
      </c>
      <c r="X324" s="30">
        <f>W324/G324</f>
        <v>74.777908191284325</v>
      </c>
    </row>
    <row r="325" spans="1:24">
      <c r="A325" s="137"/>
      <c r="B325" s="65"/>
      <c r="C325" s="65"/>
      <c r="D325" s="130"/>
      <c r="E325" s="130"/>
      <c r="F325" s="65"/>
      <c r="G325" s="65"/>
      <c r="H325" s="65"/>
      <c r="I325" s="65"/>
      <c r="J325" s="66"/>
      <c r="K325" s="67"/>
      <c r="L325" s="68"/>
      <c r="M325" s="65"/>
      <c r="N325" s="66"/>
      <c r="O325" s="65"/>
      <c r="P325" s="65"/>
      <c r="Q325" s="65"/>
      <c r="R325" s="55"/>
      <c r="S325" s="56"/>
      <c r="T325" s="65"/>
      <c r="U325" s="55"/>
      <c r="V325" s="56"/>
      <c r="W325" s="93"/>
    </row>
    <row r="326" spans="1:24">
      <c r="A326" s="137"/>
      <c r="B326" s="65"/>
      <c r="C326" s="69" t="s">
        <v>52</v>
      </c>
      <c r="D326" s="130"/>
      <c r="E326" s="130"/>
      <c r="F326" s="65"/>
      <c r="G326" s="58">
        <f>+G324</f>
        <v>4643.3499999999995</v>
      </c>
      <c r="H326" s="65"/>
      <c r="I326" s="65"/>
      <c r="J326" s="58" t="e">
        <f>+#REF!+J324</f>
        <v>#REF!</v>
      </c>
      <c r="K326" s="60">
        <f t="shared" ref="K326:L326" si="194">+K324</f>
        <v>317.04999999999995</v>
      </c>
      <c r="L326" s="58">
        <f t="shared" si="194"/>
        <v>593.40000000000009</v>
      </c>
      <c r="M326" s="61">
        <f>+M324</f>
        <v>127.7956647678939</v>
      </c>
      <c r="N326" s="58">
        <f t="shared" ref="N326:P326" si="195">+N324</f>
        <v>567.9</v>
      </c>
      <c r="O326" s="61">
        <f t="shared" si="195"/>
        <v>122.30394004328772</v>
      </c>
      <c r="P326" s="62">
        <f t="shared" si="195"/>
        <v>14.64548178520738</v>
      </c>
      <c r="Q326" s="117">
        <f>+Q324</f>
        <v>50</v>
      </c>
      <c r="R326" s="63">
        <f>+R324</f>
        <v>17.563999999999997</v>
      </c>
      <c r="S326" s="64">
        <f>R326/G326</f>
        <v>3.7826138456071583E-3</v>
      </c>
      <c r="T326" s="117">
        <f>+T324</f>
        <v>38</v>
      </c>
      <c r="U326" s="63">
        <f>+U324</f>
        <v>12.764000000000001</v>
      </c>
      <c r="V326" s="64">
        <f>U326/G326</f>
        <v>2.7488774268577647E-3</v>
      </c>
      <c r="W326" s="92">
        <f>+W324</f>
        <v>347220</v>
      </c>
      <c r="X326" s="90">
        <f>W326/G326</f>
        <v>74.777908191284325</v>
      </c>
    </row>
    <row r="328" spans="1:24" ht="57" customHeight="1">
      <c r="A328" s="134" t="s">
        <v>0</v>
      </c>
      <c r="B328" s="1" t="s">
        <v>20</v>
      </c>
      <c r="C328" s="118" t="s">
        <v>117</v>
      </c>
      <c r="D328" s="127" t="s">
        <v>2</v>
      </c>
      <c r="E328" s="127" t="s">
        <v>3</v>
      </c>
      <c r="F328" s="1" t="s">
        <v>4</v>
      </c>
      <c r="G328" s="1" t="s">
        <v>5</v>
      </c>
      <c r="H328" s="1" t="s">
        <v>6</v>
      </c>
      <c r="I328" s="1" t="s">
        <v>7</v>
      </c>
      <c r="J328" s="1" t="s">
        <v>8</v>
      </c>
      <c r="K328" s="1" t="s">
        <v>9</v>
      </c>
      <c r="L328" s="1" t="s">
        <v>132</v>
      </c>
      <c r="M328" s="1" t="s">
        <v>133</v>
      </c>
      <c r="N328" s="2" t="s">
        <v>12</v>
      </c>
      <c r="O328" s="2" t="s">
        <v>13</v>
      </c>
      <c r="P328" s="1" t="s">
        <v>14</v>
      </c>
      <c r="Q328" s="13" t="s">
        <v>115</v>
      </c>
      <c r="R328" s="13" t="s">
        <v>21</v>
      </c>
      <c r="S328" s="13" t="s">
        <v>24</v>
      </c>
      <c r="T328" s="13" t="s">
        <v>116</v>
      </c>
      <c r="U328" s="13" t="s">
        <v>22</v>
      </c>
      <c r="V328" s="13" t="s">
        <v>23</v>
      </c>
      <c r="W328" s="88" t="s">
        <v>54</v>
      </c>
      <c r="X328" s="89" t="s">
        <v>55</v>
      </c>
    </row>
    <row r="329" spans="1:24">
      <c r="A329" s="256" t="s">
        <v>729</v>
      </c>
      <c r="B329" s="47" t="s">
        <v>59</v>
      </c>
      <c r="C329" s="94" t="s">
        <v>57</v>
      </c>
      <c r="D329" s="157" t="s">
        <v>147</v>
      </c>
      <c r="E329" s="157" t="s">
        <v>259</v>
      </c>
      <c r="F329" s="12" t="s">
        <v>702</v>
      </c>
      <c r="G329" s="159">
        <v>160.13499999999999</v>
      </c>
      <c r="H329" s="51" t="s">
        <v>728</v>
      </c>
      <c r="I329" s="51"/>
      <c r="J329" s="50"/>
      <c r="K329" s="168">
        <v>11</v>
      </c>
      <c r="L329" s="162">
        <v>20.7</v>
      </c>
      <c r="M329" s="183">
        <f t="shared" ref="M329" si="196">L329/G329*1000</f>
        <v>129.26593186998468</v>
      </c>
      <c r="N329" s="184"/>
      <c r="O329" s="183"/>
      <c r="P329" s="185">
        <f t="shared" ref="P329" si="197">G329/K329</f>
        <v>14.557727272727272</v>
      </c>
      <c r="Q329" s="71">
        <v>1</v>
      </c>
      <c r="R329" s="221">
        <v>0.23</v>
      </c>
      <c r="S329" s="188">
        <f t="shared" ref="S329" si="198">R329/G329</f>
        <v>1.4362881318887191E-3</v>
      </c>
      <c r="T329" s="71">
        <v>3</v>
      </c>
      <c r="U329" s="221">
        <v>0.84</v>
      </c>
      <c r="V329" s="188">
        <f t="shared" ref="V329" si="199">U329/G329</f>
        <v>5.2455740468979302E-3</v>
      </c>
      <c r="W329" s="65">
        <v>13920</v>
      </c>
      <c r="X329" s="30">
        <f t="shared" ref="X329" si="200">W329/G329</f>
        <v>86.92665563430856</v>
      </c>
    </row>
    <row r="330" spans="1:24">
      <c r="A330" s="256" t="s">
        <v>730</v>
      </c>
      <c r="B330" s="47" t="s">
        <v>59</v>
      </c>
      <c r="C330" s="94" t="s">
        <v>57</v>
      </c>
      <c r="D330" s="157" t="s">
        <v>147</v>
      </c>
      <c r="E330" s="157" t="s">
        <v>184</v>
      </c>
      <c r="F330" s="12" t="s">
        <v>760</v>
      </c>
      <c r="G330" s="159">
        <v>154.15</v>
      </c>
      <c r="H330" s="51" t="s">
        <v>728</v>
      </c>
      <c r="I330" s="51"/>
      <c r="J330" s="50"/>
      <c r="K330" s="168">
        <v>13</v>
      </c>
      <c r="L330" s="162">
        <v>19.899999999999999</v>
      </c>
      <c r="M330" s="183">
        <f t="shared" ref="M330:M359" si="201">L330/G330*1000</f>
        <v>129.09503730132985</v>
      </c>
      <c r="N330" s="184"/>
      <c r="O330" s="183"/>
      <c r="P330" s="185">
        <f t="shared" ref="P330:P359" si="202">G330/K330</f>
        <v>11.857692307692307</v>
      </c>
      <c r="Q330" s="71">
        <v>4</v>
      </c>
      <c r="R330" s="221">
        <v>0.80800000000000005</v>
      </c>
      <c r="S330" s="188">
        <f t="shared" ref="S330:S359" si="203">R330/G330</f>
        <v>5.2416477457022381E-3</v>
      </c>
      <c r="T330" s="71"/>
      <c r="U330" s="221"/>
      <c r="V330" s="188">
        <f t="shared" ref="V330:V359" si="204">U330/G330</f>
        <v>0</v>
      </c>
      <c r="W330" s="65">
        <v>14220</v>
      </c>
      <c r="X330" s="30">
        <f t="shared" ref="X330:X359" si="205">W330/G330</f>
        <v>92.247810574116116</v>
      </c>
    </row>
    <row r="331" spans="1:24">
      <c r="A331" s="256" t="s">
        <v>731</v>
      </c>
      <c r="B331" s="47" t="s">
        <v>59</v>
      </c>
      <c r="C331" s="94" t="s">
        <v>57</v>
      </c>
      <c r="D331" s="157"/>
      <c r="E331" s="157"/>
      <c r="F331" s="45" t="s">
        <v>167</v>
      </c>
      <c r="G331" s="159"/>
      <c r="H331" s="51"/>
      <c r="I331" s="51"/>
      <c r="J331" s="50"/>
      <c r="K331" s="168"/>
      <c r="L331" s="162"/>
      <c r="M331" s="183"/>
      <c r="N331" s="184"/>
      <c r="O331" s="183"/>
      <c r="P331" s="185"/>
      <c r="Q331" s="71"/>
      <c r="R331" s="221"/>
      <c r="S331" s="188"/>
      <c r="T331" s="71"/>
      <c r="U331" s="221"/>
      <c r="V331" s="188"/>
      <c r="W331" s="65"/>
      <c r="X331" s="30"/>
    </row>
    <row r="332" spans="1:24">
      <c r="A332" s="256" t="s">
        <v>732</v>
      </c>
      <c r="B332" s="47" t="s">
        <v>59</v>
      </c>
      <c r="C332" s="94" t="s">
        <v>57</v>
      </c>
      <c r="D332" s="157" t="s">
        <v>149</v>
      </c>
      <c r="E332" s="157" t="s">
        <v>214</v>
      </c>
      <c r="F332" s="12" t="s">
        <v>761</v>
      </c>
      <c r="G332" s="159">
        <v>218.35</v>
      </c>
      <c r="H332" s="51" t="s">
        <v>762</v>
      </c>
      <c r="I332" s="51"/>
      <c r="J332" s="50"/>
      <c r="K332" s="168">
        <v>13</v>
      </c>
      <c r="L332" s="162">
        <v>28.3</v>
      </c>
      <c r="M332" s="183">
        <f t="shared" si="201"/>
        <v>129.60842683764599</v>
      </c>
      <c r="N332" s="184"/>
      <c r="O332" s="183"/>
      <c r="P332" s="185">
        <f t="shared" si="202"/>
        <v>16.796153846153846</v>
      </c>
      <c r="Q332" s="71">
        <v>2</v>
      </c>
      <c r="R332" s="221">
        <v>1.879</v>
      </c>
      <c r="S332" s="188">
        <f t="shared" si="203"/>
        <v>8.6054499656514766E-3</v>
      </c>
      <c r="T332" s="71"/>
      <c r="U332" s="221"/>
      <c r="V332" s="188">
        <f t="shared" si="204"/>
        <v>0</v>
      </c>
      <c r="W332" s="65">
        <v>12840</v>
      </c>
      <c r="X332" s="30">
        <f t="shared" si="205"/>
        <v>58.804671399129838</v>
      </c>
    </row>
    <row r="333" spans="1:24">
      <c r="A333" s="256" t="s">
        <v>733</v>
      </c>
      <c r="B333" s="47" t="s">
        <v>59</v>
      </c>
      <c r="C333" s="94" t="s">
        <v>57</v>
      </c>
      <c r="D333" s="157" t="s">
        <v>147</v>
      </c>
      <c r="E333" s="157" t="s">
        <v>214</v>
      </c>
      <c r="F333" s="12" t="s">
        <v>763</v>
      </c>
      <c r="G333" s="159">
        <v>234.965</v>
      </c>
      <c r="H333" s="51" t="s">
        <v>762</v>
      </c>
      <c r="I333" s="51"/>
      <c r="J333" s="50"/>
      <c r="K333" s="168">
        <v>14</v>
      </c>
      <c r="L333" s="162">
        <v>29.3</v>
      </c>
      <c r="M333" s="183">
        <f t="shared" si="201"/>
        <v>124.69942331836657</v>
      </c>
      <c r="N333" s="184"/>
      <c r="O333" s="183"/>
      <c r="P333" s="185">
        <f t="shared" si="202"/>
        <v>16.783214285714287</v>
      </c>
      <c r="Q333" s="71">
        <v>3</v>
      </c>
      <c r="R333" s="221">
        <v>2.2639999999999998</v>
      </c>
      <c r="S333" s="188">
        <f t="shared" si="203"/>
        <v>9.6354776243270258E-3</v>
      </c>
      <c r="T333" s="201">
        <v>1</v>
      </c>
      <c r="U333" s="201">
        <v>0.88400000000000001</v>
      </c>
      <c r="V333" s="188">
        <f t="shared" si="204"/>
        <v>3.7622624646223906E-3</v>
      </c>
      <c r="W333" s="65">
        <v>13080</v>
      </c>
      <c r="X333" s="30">
        <f t="shared" si="205"/>
        <v>55.667865426765687</v>
      </c>
    </row>
    <row r="334" spans="1:24">
      <c r="A334" s="256" t="s">
        <v>734</v>
      </c>
      <c r="B334" s="47" t="s">
        <v>59</v>
      </c>
      <c r="C334" s="94" t="s">
        <v>57</v>
      </c>
      <c r="D334" s="157" t="s">
        <v>147</v>
      </c>
      <c r="E334" s="157" t="s">
        <v>720</v>
      </c>
      <c r="F334" s="12" t="s">
        <v>764</v>
      </c>
      <c r="G334" s="159">
        <v>204.51</v>
      </c>
      <c r="H334" s="51" t="s">
        <v>762</v>
      </c>
      <c r="I334" s="51"/>
      <c r="J334" s="50"/>
      <c r="K334" s="168">
        <v>13</v>
      </c>
      <c r="L334" s="162">
        <v>25.6</v>
      </c>
      <c r="M334" s="183">
        <f t="shared" si="201"/>
        <v>125.17725294606622</v>
      </c>
      <c r="N334" s="184"/>
      <c r="O334" s="183"/>
      <c r="P334" s="185">
        <f t="shared" si="202"/>
        <v>15.731538461538461</v>
      </c>
      <c r="Q334" s="71"/>
      <c r="R334" s="221"/>
      <c r="S334" s="188">
        <f t="shared" si="203"/>
        <v>0</v>
      </c>
      <c r="T334" s="201">
        <v>1</v>
      </c>
      <c r="U334" s="201">
        <v>0.55800000000000005</v>
      </c>
      <c r="V334" s="188">
        <f t="shared" si="204"/>
        <v>2.728472935308787E-3</v>
      </c>
      <c r="W334" s="65">
        <v>11640</v>
      </c>
      <c r="X334" s="30">
        <f t="shared" si="205"/>
        <v>56.916532198914481</v>
      </c>
    </row>
    <row r="335" spans="1:24">
      <c r="A335" s="256" t="s">
        <v>735</v>
      </c>
      <c r="B335" s="47" t="s">
        <v>59</v>
      </c>
      <c r="C335" s="94" t="s">
        <v>57</v>
      </c>
      <c r="D335" s="157" t="s">
        <v>147</v>
      </c>
      <c r="E335" s="157" t="s">
        <v>492</v>
      </c>
      <c r="F335" s="12" t="s">
        <v>765</v>
      </c>
      <c r="G335" s="159">
        <v>173.21</v>
      </c>
      <c r="H335" s="51" t="s">
        <v>728</v>
      </c>
      <c r="I335" s="51"/>
      <c r="J335" s="50"/>
      <c r="K335" s="168">
        <v>16</v>
      </c>
      <c r="L335" s="162">
        <v>24.3</v>
      </c>
      <c r="M335" s="183">
        <f t="shared" si="201"/>
        <v>140.29213093932222</v>
      </c>
      <c r="N335" s="184"/>
      <c r="O335" s="183"/>
      <c r="P335" s="185">
        <f t="shared" si="202"/>
        <v>10.825625</v>
      </c>
      <c r="Q335" s="71">
        <v>2</v>
      </c>
      <c r="R335" s="221">
        <v>0.46500000000000002</v>
      </c>
      <c r="S335" s="188">
        <f t="shared" si="203"/>
        <v>2.6846025056290052E-3</v>
      </c>
      <c r="T335" s="201">
        <v>9</v>
      </c>
      <c r="U335" s="201">
        <v>1.9139999999999999</v>
      </c>
      <c r="V335" s="188">
        <f t="shared" si="204"/>
        <v>1.1050170313492291E-2</v>
      </c>
      <c r="W335" s="65">
        <v>15240</v>
      </c>
      <c r="X335" s="30">
        <f t="shared" si="205"/>
        <v>87.985682119969979</v>
      </c>
    </row>
    <row r="336" spans="1:24">
      <c r="A336" s="256" t="s">
        <v>736</v>
      </c>
      <c r="B336" s="47" t="s">
        <v>59</v>
      </c>
      <c r="C336" s="94" t="s">
        <v>57</v>
      </c>
      <c r="D336" s="157" t="s">
        <v>147</v>
      </c>
      <c r="E336" s="157" t="s">
        <v>766</v>
      </c>
      <c r="F336" s="12" t="s">
        <v>441</v>
      </c>
      <c r="G336" s="159">
        <v>218.98</v>
      </c>
      <c r="H336" s="51" t="s">
        <v>728</v>
      </c>
      <c r="I336" s="51"/>
      <c r="J336" s="50"/>
      <c r="K336" s="168">
        <v>17</v>
      </c>
      <c r="L336" s="162">
        <v>28.2</v>
      </c>
      <c r="M336" s="183">
        <f t="shared" si="201"/>
        <v>128.7788839163394</v>
      </c>
      <c r="N336" s="184"/>
      <c r="O336" s="183"/>
      <c r="P336" s="185">
        <f t="shared" si="202"/>
        <v>12.881176470588235</v>
      </c>
      <c r="Q336" s="71">
        <v>1</v>
      </c>
      <c r="R336" s="221">
        <v>0.24</v>
      </c>
      <c r="S336" s="188">
        <f t="shared" si="203"/>
        <v>1.0959905014156545E-3</v>
      </c>
      <c r="T336" s="71"/>
      <c r="U336" s="221"/>
      <c r="V336" s="188">
        <f t="shared" si="204"/>
        <v>0</v>
      </c>
      <c r="W336" s="65">
        <v>18660</v>
      </c>
      <c r="X336" s="30">
        <f t="shared" si="205"/>
        <v>85.213261485067136</v>
      </c>
    </row>
    <row r="337" spans="1:24">
      <c r="A337" s="256" t="s">
        <v>737</v>
      </c>
      <c r="B337" s="47" t="s">
        <v>59</v>
      </c>
      <c r="C337" s="94" t="s">
        <v>57</v>
      </c>
      <c r="D337" s="157" t="s">
        <v>147</v>
      </c>
      <c r="E337" s="157" t="s">
        <v>214</v>
      </c>
      <c r="F337" s="12" t="s">
        <v>767</v>
      </c>
      <c r="G337" s="159">
        <v>194.22</v>
      </c>
      <c r="H337" s="51" t="s">
        <v>717</v>
      </c>
      <c r="I337" s="51"/>
      <c r="J337" s="50"/>
      <c r="K337" s="168">
        <v>14</v>
      </c>
      <c r="L337" s="162">
        <v>24.5</v>
      </c>
      <c r="M337" s="183">
        <f t="shared" si="201"/>
        <v>126.14560807331893</v>
      </c>
      <c r="N337" s="184"/>
      <c r="O337" s="183"/>
      <c r="P337" s="185">
        <f t="shared" si="202"/>
        <v>13.872857142857143</v>
      </c>
      <c r="Q337" s="71"/>
      <c r="R337" s="221"/>
      <c r="S337" s="188">
        <f t="shared" si="203"/>
        <v>0</v>
      </c>
      <c r="T337" s="71">
        <v>1</v>
      </c>
      <c r="U337" s="71">
        <v>0.25700000000000001</v>
      </c>
      <c r="V337" s="188">
        <f t="shared" si="204"/>
        <v>1.3232416846874679E-3</v>
      </c>
      <c r="W337" s="65">
        <v>14760</v>
      </c>
      <c r="X337" s="30">
        <f t="shared" si="205"/>
        <v>75.996292863762747</v>
      </c>
    </row>
    <row r="338" spans="1:24">
      <c r="A338" s="256" t="s">
        <v>738</v>
      </c>
      <c r="B338" s="47" t="s">
        <v>59</v>
      </c>
      <c r="C338" s="94" t="s">
        <v>57</v>
      </c>
      <c r="D338" s="157"/>
      <c r="E338" s="157"/>
      <c r="F338" s="45" t="s">
        <v>167</v>
      </c>
      <c r="G338" s="159"/>
      <c r="H338" s="51"/>
      <c r="I338" s="51"/>
      <c r="J338" s="50"/>
      <c r="K338" s="168"/>
      <c r="L338" s="162"/>
      <c r="M338" s="183"/>
      <c r="N338" s="184"/>
      <c r="O338" s="183"/>
      <c r="P338" s="185"/>
      <c r="Q338" s="71"/>
      <c r="R338" s="221"/>
      <c r="S338" s="188"/>
      <c r="T338" s="71"/>
      <c r="U338" s="221"/>
      <c r="V338" s="188"/>
      <c r="W338" s="65"/>
      <c r="X338" s="30"/>
    </row>
    <row r="339" spans="1:24">
      <c r="A339" s="256" t="s">
        <v>739</v>
      </c>
      <c r="B339" s="47" t="s">
        <v>59</v>
      </c>
      <c r="C339" s="94" t="s">
        <v>57</v>
      </c>
      <c r="D339" s="157" t="s">
        <v>147</v>
      </c>
      <c r="E339" s="157" t="s">
        <v>214</v>
      </c>
      <c r="F339" s="12" t="s">
        <v>768</v>
      </c>
      <c r="G339" s="159">
        <v>207.94499999999999</v>
      </c>
      <c r="H339" s="51" t="s">
        <v>717</v>
      </c>
      <c r="I339" s="51"/>
      <c r="J339" s="50"/>
      <c r="K339" s="168">
        <v>14</v>
      </c>
      <c r="L339" s="162">
        <v>27.3</v>
      </c>
      <c r="M339" s="183">
        <f t="shared" si="201"/>
        <v>131.28471470821611</v>
      </c>
      <c r="N339" s="184"/>
      <c r="O339" s="183"/>
      <c r="P339" s="185">
        <f t="shared" si="202"/>
        <v>14.853214285714285</v>
      </c>
      <c r="Q339" s="71">
        <v>3</v>
      </c>
      <c r="R339" s="221">
        <v>1.206</v>
      </c>
      <c r="S339" s="188">
        <f t="shared" si="203"/>
        <v>5.7996104739233929E-3</v>
      </c>
      <c r="T339" s="71">
        <v>4</v>
      </c>
      <c r="U339" s="71">
        <v>1.6080000000000001</v>
      </c>
      <c r="V339" s="188">
        <f t="shared" si="204"/>
        <v>7.7328139652311917E-3</v>
      </c>
      <c r="W339" s="65">
        <v>14820</v>
      </c>
      <c r="X339" s="30">
        <f t="shared" si="205"/>
        <v>71.26884512731732</v>
      </c>
    </row>
    <row r="340" spans="1:24">
      <c r="A340" s="256" t="s">
        <v>740</v>
      </c>
      <c r="B340" s="47" t="s">
        <v>59</v>
      </c>
      <c r="C340" s="94" t="s">
        <v>57</v>
      </c>
      <c r="D340" s="157" t="s">
        <v>147</v>
      </c>
      <c r="E340" s="157" t="s">
        <v>382</v>
      </c>
      <c r="F340" s="12" t="s">
        <v>769</v>
      </c>
      <c r="G340" s="159">
        <v>205.495</v>
      </c>
      <c r="H340" s="51" t="s">
        <v>717</v>
      </c>
      <c r="I340" s="51"/>
      <c r="J340" s="50"/>
      <c r="K340" s="168">
        <v>15</v>
      </c>
      <c r="L340" s="162">
        <v>26.7</v>
      </c>
      <c r="M340" s="183">
        <f t="shared" si="201"/>
        <v>129.93016861724129</v>
      </c>
      <c r="N340" s="184"/>
      <c r="O340" s="183"/>
      <c r="P340" s="185">
        <f t="shared" si="202"/>
        <v>13.699666666666667</v>
      </c>
      <c r="Q340" s="71">
        <v>5</v>
      </c>
      <c r="R340" s="221">
        <v>1.5680000000000001</v>
      </c>
      <c r="S340" s="188">
        <f t="shared" si="203"/>
        <v>7.6303559697316241E-3</v>
      </c>
      <c r="T340" s="71">
        <v>9</v>
      </c>
      <c r="U340" s="71">
        <v>2.8079999999999998</v>
      </c>
      <c r="V340" s="188">
        <f t="shared" si="204"/>
        <v>1.3664566047835712E-2</v>
      </c>
      <c r="W340" s="65">
        <v>16740</v>
      </c>
      <c r="X340" s="30">
        <f t="shared" si="205"/>
        <v>81.461836054405211</v>
      </c>
    </row>
    <row r="341" spans="1:24">
      <c r="A341" s="256" t="s">
        <v>741</v>
      </c>
      <c r="B341" s="47" t="s">
        <v>59</v>
      </c>
      <c r="C341" s="94" t="s">
        <v>57</v>
      </c>
      <c r="D341" s="157" t="s">
        <v>147</v>
      </c>
      <c r="E341" s="157" t="s">
        <v>214</v>
      </c>
      <c r="F341" s="12" t="s">
        <v>770</v>
      </c>
      <c r="G341" s="159">
        <v>168.18</v>
      </c>
      <c r="H341" s="51" t="s">
        <v>717</v>
      </c>
      <c r="I341" s="51"/>
      <c r="J341" s="50"/>
      <c r="K341" s="168">
        <v>14</v>
      </c>
      <c r="L341" s="162">
        <v>24.7</v>
      </c>
      <c r="M341" s="183">
        <f t="shared" si="201"/>
        <v>146.8664526102985</v>
      </c>
      <c r="N341" s="184"/>
      <c r="O341" s="183"/>
      <c r="P341" s="185">
        <f t="shared" si="202"/>
        <v>12.012857142857143</v>
      </c>
      <c r="Q341" s="71">
        <v>1</v>
      </c>
      <c r="R341" s="221">
        <v>0.38700000000000001</v>
      </c>
      <c r="S341" s="188">
        <f t="shared" si="203"/>
        <v>2.3011059579022474E-3</v>
      </c>
      <c r="T341" s="71">
        <v>2</v>
      </c>
      <c r="U341" s="71">
        <v>0.78</v>
      </c>
      <c r="V341" s="188">
        <f t="shared" si="204"/>
        <v>4.6378879771673204E-3</v>
      </c>
      <c r="W341" s="65">
        <v>13140</v>
      </c>
      <c r="X341" s="30">
        <f t="shared" si="205"/>
        <v>78.130574384587945</v>
      </c>
    </row>
    <row r="342" spans="1:24">
      <c r="A342" s="256" t="s">
        <v>742</v>
      </c>
      <c r="B342" s="47" t="s">
        <v>59</v>
      </c>
      <c r="C342" s="94" t="s">
        <v>57</v>
      </c>
      <c r="D342" s="157" t="s">
        <v>147</v>
      </c>
      <c r="E342" s="157" t="s">
        <v>492</v>
      </c>
      <c r="F342" s="12" t="s">
        <v>771</v>
      </c>
      <c r="G342" s="159">
        <v>246.19</v>
      </c>
      <c r="H342" s="51" t="s">
        <v>773</v>
      </c>
      <c r="I342" s="51"/>
      <c r="J342" s="50"/>
      <c r="K342" s="168">
        <v>16</v>
      </c>
      <c r="L342" s="162">
        <v>31.5</v>
      </c>
      <c r="M342" s="183">
        <f t="shared" si="201"/>
        <v>127.94995735001422</v>
      </c>
      <c r="N342" s="184"/>
      <c r="O342" s="183"/>
      <c r="P342" s="185">
        <f t="shared" si="202"/>
        <v>15.386875</v>
      </c>
      <c r="Q342" s="71"/>
      <c r="R342" s="221"/>
      <c r="S342" s="188">
        <f t="shared" si="203"/>
        <v>0</v>
      </c>
      <c r="T342" s="71"/>
      <c r="U342" s="221"/>
      <c r="V342" s="188">
        <f t="shared" si="204"/>
        <v>0</v>
      </c>
      <c r="W342" s="65">
        <v>16740</v>
      </c>
      <c r="X342" s="30">
        <f t="shared" si="205"/>
        <v>67.996263048864705</v>
      </c>
    </row>
    <row r="343" spans="1:24">
      <c r="A343" s="256" t="s">
        <v>743</v>
      </c>
      <c r="B343" s="47" t="s">
        <v>59</v>
      </c>
      <c r="C343" s="94" t="s">
        <v>57</v>
      </c>
      <c r="D343" s="157" t="s">
        <v>147</v>
      </c>
      <c r="E343" s="157" t="s">
        <v>72</v>
      </c>
      <c r="F343" s="12" t="s">
        <v>772</v>
      </c>
      <c r="G343" s="159">
        <v>196.36</v>
      </c>
      <c r="H343" s="51" t="s">
        <v>773</v>
      </c>
      <c r="I343" s="51"/>
      <c r="J343" s="50"/>
      <c r="K343" s="168">
        <v>12</v>
      </c>
      <c r="L343" s="162">
        <v>24.5</v>
      </c>
      <c r="M343" s="183">
        <f t="shared" si="201"/>
        <v>124.77082908942758</v>
      </c>
      <c r="N343" s="184"/>
      <c r="O343" s="183"/>
      <c r="P343" s="185">
        <f t="shared" si="202"/>
        <v>16.363333333333333</v>
      </c>
      <c r="Q343" s="71"/>
      <c r="R343" s="221"/>
      <c r="S343" s="188">
        <f t="shared" si="203"/>
        <v>0</v>
      </c>
      <c r="T343" s="71"/>
      <c r="U343" s="221"/>
      <c r="V343" s="188">
        <f t="shared" si="204"/>
        <v>0</v>
      </c>
      <c r="W343" s="65">
        <v>12060</v>
      </c>
      <c r="X343" s="30">
        <f t="shared" si="205"/>
        <v>61.417804033408025</v>
      </c>
    </row>
    <row r="344" spans="1:24">
      <c r="A344" s="256" t="s">
        <v>744</v>
      </c>
      <c r="B344" s="47" t="s">
        <v>59</v>
      </c>
      <c r="C344" s="94" t="s">
        <v>57</v>
      </c>
      <c r="D344" s="157" t="s">
        <v>147</v>
      </c>
      <c r="E344" s="157" t="s">
        <v>382</v>
      </c>
      <c r="F344" s="12" t="s">
        <v>774</v>
      </c>
      <c r="G344" s="159">
        <v>234.68</v>
      </c>
      <c r="H344" s="51" t="s">
        <v>775</v>
      </c>
      <c r="I344" s="51"/>
      <c r="J344" s="50"/>
      <c r="K344" s="168">
        <v>15</v>
      </c>
      <c r="L344" s="162">
        <v>29.8</v>
      </c>
      <c r="M344" s="183">
        <f t="shared" si="201"/>
        <v>126.98142151014147</v>
      </c>
      <c r="N344" s="184"/>
      <c r="O344" s="183"/>
      <c r="P344" s="185">
        <f t="shared" si="202"/>
        <v>15.645333333333333</v>
      </c>
      <c r="Q344" s="71">
        <v>1</v>
      </c>
      <c r="R344" s="221">
        <v>0.77500000000000002</v>
      </c>
      <c r="S344" s="188">
        <f t="shared" si="203"/>
        <v>3.3023691835691155E-3</v>
      </c>
      <c r="T344" s="71"/>
      <c r="U344" s="221"/>
      <c r="V344" s="188">
        <f t="shared" si="204"/>
        <v>0</v>
      </c>
      <c r="W344" s="65">
        <v>13500</v>
      </c>
      <c r="X344" s="30">
        <f t="shared" si="205"/>
        <v>57.525140617010393</v>
      </c>
    </row>
    <row r="345" spans="1:24">
      <c r="A345" s="256" t="s">
        <v>745</v>
      </c>
      <c r="B345" s="47" t="s">
        <v>59</v>
      </c>
      <c r="C345" s="94" t="s">
        <v>57</v>
      </c>
      <c r="D345" s="157"/>
      <c r="E345" s="157"/>
      <c r="F345" s="45" t="s">
        <v>167</v>
      </c>
      <c r="G345" s="159"/>
      <c r="H345" s="51"/>
      <c r="I345" s="51"/>
      <c r="J345" s="50"/>
      <c r="K345" s="168"/>
      <c r="L345" s="162"/>
      <c r="M345" s="183"/>
      <c r="N345" s="184"/>
      <c r="O345" s="183"/>
      <c r="P345" s="185"/>
      <c r="Q345" s="71"/>
      <c r="R345" s="221"/>
      <c r="S345" s="188"/>
      <c r="T345" s="71"/>
      <c r="U345" s="221"/>
      <c r="V345" s="188"/>
      <c r="W345" s="65"/>
      <c r="X345" s="30"/>
    </row>
    <row r="346" spans="1:24">
      <c r="A346" s="256" t="s">
        <v>746</v>
      </c>
      <c r="B346" s="47" t="s">
        <v>59</v>
      </c>
      <c r="C346" s="94" t="s">
        <v>57</v>
      </c>
      <c r="D346" s="157" t="s">
        <v>147</v>
      </c>
      <c r="E346" s="157" t="s">
        <v>720</v>
      </c>
      <c r="F346" s="12" t="s">
        <v>776</v>
      </c>
      <c r="G346" s="159">
        <v>201.6</v>
      </c>
      <c r="H346" s="51" t="s">
        <v>775</v>
      </c>
      <c r="I346" s="51"/>
      <c r="J346" s="50"/>
      <c r="K346" s="168">
        <v>13</v>
      </c>
      <c r="L346" s="162">
        <v>25.6</v>
      </c>
      <c r="M346" s="183">
        <f t="shared" si="201"/>
        <v>126.984126984127</v>
      </c>
      <c r="N346" s="184"/>
      <c r="O346" s="183"/>
      <c r="P346" s="185">
        <f t="shared" si="202"/>
        <v>15.507692307692308</v>
      </c>
      <c r="Q346" s="71"/>
      <c r="R346" s="221"/>
      <c r="S346" s="188">
        <f t="shared" si="203"/>
        <v>0</v>
      </c>
      <c r="T346" s="71">
        <v>2</v>
      </c>
      <c r="U346" s="71">
        <v>1.923</v>
      </c>
      <c r="V346" s="188">
        <f t="shared" si="204"/>
        <v>9.5386904761904766E-3</v>
      </c>
      <c r="W346" s="65">
        <v>12420</v>
      </c>
      <c r="X346" s="30">
        <f t="shared" si="205"/>
        <v>61.607142857142861</v>
      </c>
    </row>
    <row r="347" spans="1:24">
      <c r="A347" s="256" t="s">
        <v>747</v>
      </c>
      <c r="B347" s="47" t="s">
        <v>59</v>
      </c>
      <c r="C347" s="94" t="s">
        <v>57</v>
      </c>
      <c r="D347" s="157"/>
      <c r="E347" s="157"/>
      <c r="F347" s="12"/>
      <c r="G347" s="159"/>
      <c r="H347" s="51"/>
      <c r="I347" s="51"/>
      <c r="J347" s="50"/>
      <c r="K347" s="168"/>
      <c r="L347" s="162"/>
      <c r="M347" s="183" t="e">
        <f t="shared" si="201"/>
        <v>#DIV/0!</v>
      </c>
      <c r="N347" s="184"/>
      <c r="O347" s="183"/>
      <c r="P347" s="185" t="e">
        <f t="shared" si="202"/>
        <v>#DIV/0!</v>
      </c>
      <c r="Q347" s="71"/>
      <c r="R347" s="221"/>
      <c r="S347" s="188" t="e">
        <f t="shared" si="203"/>
        <v>#DIV/0!</v>
      </c>
      <c r="T347" s="71"/>
      <c r="U347" s="221"/>
      <c r="V347" s="188" t="e">
        <f t="shared" si="204"/>
        <v>#DIV/0!</v>
      </c>
      <c r="W347" s="65"/>
      <c r="X347" s="30" t="e">
        <f t="shared" si="205"/>
        <v>#DIV/0!</v>
      </c>
    </row>
    <row r="348" spans="1:24">
      <c r="A348" s="256" t="s">
        <v>748</v>
      </c>
      <c r="B348" s="47" t="s">
        <v>59</v>
      </c>
      <c r="C348" s="94" t="s">
        <v>57</v>
      </c>
      <c r="D348" s="157"/>
      <c r="E348" s="157"/>
      <c r="F348" s="12"/>
      <c r="G348" s="159"/>
      <c r="H348" s="51"/>
      <c r="I348" s="51"/>
      <c r="J348" s="50"/>
      <c r="K348" s="168"/>
      <c r="L348" s="162"/>
      <c r="M348" s="183" t="e">
        <f t="shared" si="201"/>
        <v>#DIV/0!</v>
      </c>
      <c r="N348" s="184"/>
      <c r="O348" s="183"/>
      <c r="P348" s="185" t="e">
        <f t="shared" si="202"/>
        <v>#DIV/0!</v>
      </c>
      <c r="Q348" s="71"/>
      <c r="R348" s="221"/>
      <c r="S348" s="188" t="e">
        <f t="shared" si="203"/>
        <v>#DIV/0!</v>
      </c>
      <c r="T348" s="71"/>
      <c r="U348" s="221"/>
      <c r="V348" s="188" t="e">
        <f t="shared" si="204"/>
        <v>#DIV/0!</v>
      </c>
      <c r="W348" s="65"/>
      <c r="X348" s="30" t="e">
        <f t="shared" si="205"/>
        <v>#DIV/0!</v>
      </c>
    </row>
    <row r="349" spans="1:24">
      <c r="A349" s="256" t="s">
        <v>749</v>
      </c>
      <c r="B349" s="47" t="s">
        <v>59</v>
      </c>
      <c r="C349" s="94" t="s">
        <v>57</v>
      </c>
      <c r="D349" s="157"/>
      <c r="E349" s="157"/>
      <c r="F349" s="12"/>
      <c r="G349" s="159"/>
      <c r="H349" s="51"/>
      <c r="I349" s="51"/>
      <c r="J349" s="50"/>
      <c r="K349" s="168"/>
      <c r="L349" s="162"/>
      <c r="M349" s="183" t="e">
        <f t="shared" si="201"/>
        <v>#DIV/0!</v>
      </c>
      <c r="N349" s="184"/>
      <c r="O349" s="183"/>
      <c r="P349" s="185" t="e">
        <f t="shared" si="202"/>
        <v>#DIV/0!</v>
      </c>
      <c r="Q349" s="71"/>
      <c r="R349" s="221"/>
      <c r="S349" s="188" t="e">
        <f t="shared" si="203"/>
        <v>#DIV/0!</v>
      </c>
      <c r="T349" s="71"/>
      <c r="U349" s="221"/>
      <c r="V349" s="188" t="e">
        <f t="shared" si="204"/>
        <v>#DIV/0!</v>
      </c>
      <c r="W349" s="65"/>
      <c r="X349" s="30" t="e">
        <f t="shared" si="205"/>
        <v>#DIV/0!</v>
      </c>
    </row>
    <row r="350" spans="1:24">
      <c r="A350" s="256" t="s">
        <v>750</v>
      </c>
      <c r="B350" s="47" t="s">
        <v>59</v>
      </c>
      <c r="C350" s="94" t="s">
        <v>57</v>
      </c>
      <c r="D350" s="157"/>
      <c r="E350" s="157"/>
      <c r="F350" s="12"/>
      <c r="G350" s="159"/>
      <c r="H350" s="51"/>
      <c r="I350" s="51"/>
      <c r="J350" s="50"/>
      <c r="K350" s="168"/>
      <c r="L350" s="162"/>
      <c r="M350" s="183" t="e">
        <f t="shared" si="201"/>
        <v>#DIV/0!</v>
      </c>
      <c r="N350" s="184"/>
      <c r="O350" s="183"/>
      <c r="P350" s="185" t="e">
        <f t="shared" si="202"/>
        <v>#DIV/0!</v>
      </c>
      <c r="Q350" s="71"/>
      <c r="R350" s="221"/>
      <c r="S350" s="188" t="e">
        <f t="shared" si="203"/>
        <v>#DIV/0!</v>
      </c>
      <c r="T350" s="71"/>
      <c r="U350" s="221"/>
      <c r="V350" s="188" t="e">
        <f t="shared" si="204"/>
        <v>#DIV/0!</v>
      </c>
      <c r="W350" s="65"/>
      <c r="X350" s="30" t="e">
        <f t="shared" si="205"/>
        <v>#DIV/0!</v>
      </c>
    </row>
    <row r="351" spans="1:24">
      <c r="A351" s="256" t="s">
        <v>751</v>
      </c>
      <c r="B351" s="47" t="s">
        <v>59</v>
      </c>
      <c r="C351" s="94" t="s">
        <v>57</v>
      </c>
      <c r="D351" s="157"/>
      <c r="E351" s="157"/>
      <c r="F351" s="12"/>
      <c r="G351" s="159"/>
      <c r="H351" s="51"/>
      <c r="I351" s="51"/>
      <c r="J351" s="50"/>
      <c r="K351" s="168"/>
      <c r="L351" s="162"/>
      <c r="M351" s="183" t="e">
        <f t="shared" si="201"/>
        <v>#DIV/0!</v>
      </c>
      <c r="N351" s="184"/>
      <c r="O351" s="183"/>
      <c r="P351" s="185" t="e">
        <f t="shared" si="202"/>
        <v>#DIV/0!</v>
      </c>
      <c r="Q351" s="71"/>
      <c r="R351" s="221"/>
      <c r="S351" s="188" t="e">
        <f t="shared" si="203"/>
        <v>#DIV/0!</v>
      </c>
      <c r="T351" s="71"/>
      <c r="U351" s="221"/>
      <c r="V351" s="188" t="e">
        <f t="shared" si="204"/>
        <v>#DIV/0!</v>
      </c>
      <c r="W351" s="65"/>
      <c r="X351" s="30" t="e">
        <f t="shared" si="205"/>
        <v>#DIV/0!</v>
      </c>
    </row>
    <row r="352" spans="1:24">
      <c r="A352" s="256" t="s">
        <v>752</v>
      </c>
      <c r="B352" s="47" t="s">
        <v>59</v>
      </c>
      <c r="C352" s="94" t="s">
        <v>57</v>
      </c>
      <c r="D352" s="157"/>
      <c r="E352" s="157"/>
      <c r="F352" s="12"/>
      <c r="G352" s="159"/>
      <c r="H352" s="51"/>
      <c r="I352" s="51"/>
      <c r="J352" s="50"/>
      <c r="K352" s="168"/>
      <c r="L352" s="162"/>
      <c r="M352" s="183" t="e">
        <f t="shared" si="201"/>
        <v>#DIV/0!</v>
      </c>
      <c r="N352" s="184"/>
      <c r="O352" s="183"/>
      <c r="P352" s="185" t="e">
        <f t="shared" si="202"/>
        <v>#DIV/0!</v>
      </c>
      <c r="Q352" s="71"/>
      <c r="R352" s="221"/>
      <c r="S352" s="188" t="e">
        <f t="shared" si="203"/>
        <v>#DIV/0!</v>
      </c>
      <c r="T352" s="71"/>
      <c r="U352" s="221"/>
      <c r="V352" s="188" t="e">
        <f t="shared" si="204"/>
        <v>#DIV/0!</v>
      </c>
      <c r="W352" s="65"/>
      <c r="X352" s="30" t="e">
        <f t="shared" si="205"/>
        <v>#DIV/0!</v>
      </c>
    </row>
    <row r="353" spans="1:24">
      <c r="A353" s="256" t="s">
        <v>753</v>
      </c>
      <c r="B353" s="47" t="s">
        <v>59</v>
      </c>
      <c r="C353" s="94" t="s">
        <v>57</v>
      </c>
      <c r="D353" s="157"/>
      <c r="E353" s="157"/>
      <c r="F353" s="12"/>
      <c r="G353" s="159"/>
      <c r="H353" s="51"/>
      <c r="I353" s="51"/>
      <c r="J353" s="50"/>
      <c r="K353" s="168"/>
      <c r="L353" s="162"/>
      <c r="M353" s="183" t="e">
        <f t="shared" si="201"/>
        <v>#DIV/0!</v>
      </c>
      <c r="N353" s="184"/>
      <c r="O353" s="183"/>
      <c r="P353" s="185" t="e">
        <f t="shared" si="202"/>
        <v>#DIV/0!</v>
      </c>
      <c r="Q353" s="71"/>
      <c r="R353" s="221"/>
      <c r="S353" s="188" t="e">
        <f t="shared" si="203"/>
        <v>#DIV/0!</v>
      </c>
      <c r="T353" s="71"/>
      <c r="U353" s="221"/>
      <c r="V353" s="188" t="e">
        <f t="shared" si="204"/>
        <v>#DIV/0!</v>
      </c>
      <c r="W353" s="65"/>
      <c r="X353" s="30" t="e">
        <f t="shared" si="205"/>
        <v>#DIV/0!</v>
      </c>
    </row>
    <row r="354" spans="1:24">
      <c r="A354" s="256" t="s">
        <v>754</v>
      </c>
      <c r="B354" s="47" t="s">
        <v>59</v>
      </c>
      <c r="C354" s="94" t="s">
        <v>57</v>
      </c>
      <c r="D354" s="157"/>
      <c r="E354" s="157"/>
      <c r="F354" s="12"/>
      <c r="G354" s="159"/>
      <c r="H354" s="51"/>
      <c r="I354" s="51"/>
      <c r="J354" s="50"/>
      <c r="K354" s="168"/>
      <c r="L354" s="162"/>
      <c r="M354" s="183" t="e">
        <f t="shared" si="201"/>
        <v>#DIV/0!</v>
      </c>
      <c r="N354" s="184"/>
      <c r="O354" s="183"/>
      <c r="P354" s="185" t="e">
        <f t="shared" si="202"/>
        <v>#DIV/0!</v>
      </c>
      <c r="Q354" s="71"/>
      <c r="R354" s="221"/>
      <c r="S354" s="188" t="e">
        <f t="shared" si="203"/>
        <v>#DIV/0!</v>
      </c>
      <c r="T354" s="71"/>
      <c r="U354" s="221"/>
      <c r="V354" s="188" t="e">
        <f t="shared" si="204"/>
        <v>#DIV/0!</v>
      </c>
      <c r="W354" s="65"/>
      <c r="X354" s="30" t="e">
        <f t="shared" si="205"/>
        <v>#DIV/0!</v>
      </c>
    </row>
    <row r="355" spans="1:24">
      <c r="A355" s="256" t="s">
        <v>755</v>
      </c>
      <c r="B355" s="47" t="s">
        <v>59</v>
      </c>
      <c r="C355" s="94" t="s">
        <v>57</v>
      </c>
      <c r="D355" s="157"/>
      <c r="E355" s="157"/>
      <c r="F355" s="12"/>
      <c r="G355" s="159"/>
      <c r="H355" s="51"/>
      <c r="I355" s="51"/>
      <c r="J355" s="50"/>
      <c r="K355" s="168"/>
      <c r="L355" s="162"/>
      <c r="M355" s="183" t="e">
        <f t="shared" si="201"/>
        <v>#DIV/0!</v>
      </c>
      <c r="N355" s="184"/>
      <c r="O355" s="183"/>
      <c r="P355" s="185" t="e">
        <f t="shared" si="202"/>
        <v>#DIV/0!</v>
      </c>
      <c r="Q355" s="71"/>
      <c r="R355" s="221"/>
      <c r="S355" s="188" t="e">
        <f t="shared" si="203"/>
        <v>#DIV/0!</v>
      </c>
      <c r="T355" s="71"/>
      <c r="U355" s="221"/>
      <c r="V355" s="188" t="e">
        <f t="shared" si="204"/>
        <v>#DIV/0!</v>
      </c>
      <c r="W355" s="65"/>
      <c r="X355" s="30" t="e">
        <f t="shared" si="205"/>
        <v>#DIV/0!</v>
      </c>
    </row>
    <row r="356" spans="1:24">
      <c r="A356" s="256" t="s">
        <v>756</v>
      </c>
      <c r="B356" s="47" t="s">
        <v>59</v>
      </c>
      <c r="C356" s="94" t="s">
        <v>57</v>
      </c>
      <c r="D356" s="157"/>
      <c r="E356" s="157"/>
      <c r="F356" s="12"/>
      <c r="G356" s="159"/>
      <c r="H356" s="51"/>
      <c r="I356" s="51"/>
      <c r="J356" s="50"/>
      <c r="K356" s="168"/>
      <c r="L356" s="162"/>
      <c r="M356" s="183" t="e">
        <f t="shared" si="201"/>
        <v>#DIV/0!</v>
      </c>
      <c r="N356" s="184"/>
      <c r="O356" s="183"/>
      <c r="P356" s="185" t="e">
        <f t="shared" si="202"/>
        <v>#DIV/0!</v>
      </c>
      <c r="Q356" s="71"/>
      <c r="R356" s="221"/>
      <c r="S356" s="188" t="e">
        <f t="shared" si="203"/>
        <v>#DIV/0!</v>
      </c>
      <c r="T356" s="71"/>
      <c r="U356" s="221"/>
      <c r="V356" s="188" t="e">
        <f t="shared" si="204"/>
        <v>#DIV/0!</v>
      </c>
      <c r="W356" s="65"/>
      <c r="X356" s="30" t="e">
        <f t="shared" si="205"/>
        <v>#DIV/0!</v>
      </c>
    </row>
    <row r="357" spans="1:24">
      <c r="A357" s="256" t="s">
        <v>757</v>
      </c>
      <c r="B357" s="47" t="s">
        <v>59</v>
      </c>
      <c r="C357" s="94" t="s">
        <v>57</v>
      </c>
      <c r="D357" s="157"/>
      <c r="E357" s="157"/>
      <c r="F357" s="12"/>
      <c r="G357" s="159"/>
      <c r="H357" s="51"/>
      <c r="I357" s="51"/>
      <c r="J357" s="50"/>
      <c r="K357" s="168"/>
      <c r="L357" s="162"/>
      <c r="M357" s="183" t="e">
        <f t="shared" si="201"/>
        <v>#DIV/0!</v>
      </c>
      <c r="N357" s="184"/>
      <c r="O357" s="183"/>
      <c r="P357" s="185" t="e">
        <f t="shared" si="202"/>
        <v>#DIV/0!</v>
      </c>
      <c r="Q357" s="71"/>
      <c r="R357" s="221"/>
      <c r="S357" s="188" t="e">
        <f t="shared" si="203"/>
        <v>#DIV/0!</v>
      </c>
      <c r="T357" s="71"/>
      <c r="U357" s="221"/>
      <c r="V357" s="188" t="e">
        <f t="shared" si="204"/>
        <v>#DIV/0!</v>
      </c>
      <c r="W357" s="65"/>
      <c r="X357" s="30" t="e">
        <f t="shared" si="205"/>
        <v>#DIV/0!</v>
      </c>
    </row>
    <row r="358" spans="1:24">
      <c r="A358" s="256" t="s">
        <v>758</v>
      </c>
      <c r="B358" s="47" t="s">
        <v>59</v>
      </c>
      <c r="C358" s="94" t="s">
        <v>57</v>
      </c>
      <c r="D358" s="157"/>
      <c r="E358" s="157"/>
      <c r="F358" s="12"/>
      <c r="G358" s="159"/>
      <c r="H358" s="51"/>
      <c r="I358" s="51"/>
      <c r="J358" s="50"/>
      <c r="K358" s="168"/>
      <c r="L358" s="162"/>
      <c r="M358" s="183" t="e">
        <f t="shared" si="201"/>
        <v>#DIV/0!</v>
      </c>
      <c r="N358" s="184"/>
      <c r="O358" s="183"/>
      <c r="P358" s="185" t="e">
        <f t="shared" si="202"/>
        <v>#DIV/0!</v>
      </c>
      <c r="Q358" s="71"/>
      <c r="R358" s="221"/>
      <c r="S358" s="188" t="e">
        <f t="shared" si="203"/>
        <v>#DIV/0!</v>
      </c>
      <c r="T358" s="71"/>
      <c r="U358" s="221"/>
      <c r="V358" s="188" t="e">
        <f t="shared" si="204"/>
        <v>#DIV/0!</v>
      </c>
      <c r="W358" s="65"/>
      <c r="X358" s="30" t="e">
        <f t="shared" si="205"/>
        <v>#DIV/0!</v>
      </c>
    </row>
    <row r="359" spans="1:24">
      <c r="A359" s="256" t="s">
        <v>759</v>
      </c>
      <c r="B359" s="47" t="s">
        <v>59</v>
      </c>
      <c r="C359" s="94" t="s">
        <v>57</v>
      </c>
      <c r="D359" s="157"/>
      <c r="E359" s="157"/>
      <c r="F359" s="12"/>
      <c r="G359" s="159"/>
      <c r="H359" s="51"/>
      <c r="I359" s="51"/>
      <c r="J359" s="50"/>
      <c r="K359" s="168"/>
      <c r="L359" s="162"/>
      <c r="M359" s="183" t="e">
        <f t="shared" si="201"/>
        <v>#DIV/0!</v>
      </c>
      <c r="N359" s="184"/>
      <c r="O359" s="183"/>
      <c r="P359" s="185" t="e">
        <f t="shared" si="202"/>
        <v>#DIV/0!</v>
      </c>
      <c r="Q359" s="71"/>
      <c r="R359" s="221"/>
      <c r="S359" s="188" t="e">
        <f t="shared" si="203"/>
        <v>#DIV/0!</v>
      </c>
      <c r="T359" s="71"/>
      <c r="U359" s="221"/>
      <c r="V359" s="188" t="e">
        <f t="shared" si="204"/>
        <v>#DIV/0!</v>
      </c>
      <c r="W359" s="65"/>
      <c r="X359" s="30" t="e">
        <f t="shared" si="205"/>
        <v>#DIV/0!</v>
      </c>
    </row>
    <row r="360" spans="1:24" s="10" customFormat="1">
      <c r="A360" s="135"/>
      <c r="B360" s="47"/>
      <c r="C360" s="48"/>
      <c r="D360" s="129"/>
      <c r="E360" s="129"/>
      <c r="F360" s="57"/>
      <c r="G360" s="58">
        <f>SUM(G329:G359)</f>
        <v>3018.97</v>
      </c>
      <c r="H360" s="57"/>
      <c r="I360" s="59"/>
      <c r="J360" s="58">
        <f>SUM(J329:J359)</f>
        <v>0</v>
      </c>
      <c r="K360" s="194">
        <f>SUM(K329:K359)</f>
        <v>210</v>
      </c>
      <c r="L360" s="195">
        <f>SUM(L329:L359)</f>
        <v>390.90000000000003</v>
      </c>
      <c r="M360" s="196">
        <f>L360/G360*1000</f>
        <v>129.48124691533869</v>
      </c>
      <c r="N360" s="195">
        <f>SUM(N329:N359)</f>
        <v>0</v>
      </c>
      <c r="O360" s="196">
        <f t="shared" ref="O360" si="206">N360/G360*1000</f>
        <v>0</v>
      </c>
      <c r="P360" s="197">
        <f>G360/K360</f>
        <v>14.376047619047618</v>
      </c>
      <c r="Q360" s="198">
        <f>SUM(Q329:Q359)</f>
        <v>23</v>
      </c>
      <c r="R360" s="195">
        <f>SUM(R329:R359)</f>
        <v>9.8219999999999992</v>
      </c>
      <c r="S360" s="199">
        <f t="shared" ref="S360" si="207">R360/G360</f>
        <v>3.2534274934828767E-3</v>
      </c>
      <c r="T360" s="198">
        <f>SUM(T329:T359)</f>
        <v>32</v>
      </c>
      <c r="U360" s="195">
        <f>SUM(U329:U359)</f>
        <v>11.571999999999999</v>
      </c>
      <c r="V360" s="199">
        <f>U360/G360</f>
        <v>3.8330953934620085E-3</v>
      </c>
      <c r="W360" s="198">
        <f>SUM(W329:W359)</f>
        <v>213780</v>
      </c>
      <c r="X360" s="30">
        <f>W360/G360</f>
        <v>70.812230661450769</v>
      </c>
    </row>
    <row r="361" spans="1:24">
      <c r="A361" s="137"/>
      <c r="B361" s="65"/>
      <c r="C361" s="65"/>
      <c r="D361" s="130"/>
      <c r="E361" s="130"/>
      <c r="F361" s="65"/>
      <c r="G361" s="65"/>
      <c r="H361" s="65"/>
      <c r="I361" s="65"/>
      <c r="J361" s="66"/>
      <c r="K361" s="67"/>
      <c r="L361" s="68"/>
      <c r="M361" s="65"/>
      <c r="N361" s="66"/>
      <c r="O361" s="65"/>
      <c r="P361" s="65"/>
      <c r="Q361" s="65"/>
      <c r="R361" s="55"/>
      <c r="S361" s="56"/>
      <c r="T361" s="65"/>
      <c r="U361" s="55"/>
      <c r="V361" s="56"/>
      <c r="W361" s="93"/>
    </row>
    <row r="362" spans="1:24">
      <c r="A362" s="137"/>
      <c r="B362" s="65"/>
      <c r="C362" s="69" t="s">
        <v>52</v>
      </c>
      <c r="D362" s="130"/>
      <c r="E362" s="130"/>
      <c r="F362" s="65"/>
      <c r="G362" s="58">
        <f>+G360</f>
        <v>3018.97</v>
      </c>
      <c r="H362" s="65"/>
      <c r="I362" s="65"/>
      <c r="J362" s="58" t="e">
        <f>+#REF!+J360</f>
        <v>#REF!</v>
      </c>
      <c r="K362" s="60">
        <f t="shared" ref="K362:L362" si="208">+K360</f>
        <v>210</v>
      </c>
      <c r="L362" s="58">
        <f t="shared" si="208"/>
        <v>390.90000000000003</v>
      </c>
      <c r="M362" s="61">
        <f>+M360</f>
        <v>129.48124691533869</v>
      </c>
      <c r="N362" s="58">
        <f t="shared" ref="N362:P362" si="209">+N360</f>
        <v>0</v>
      </c>
      <c r="O362" s="61">
        <f t="shared" si="209"/>
        <v>0</v>
      </c>
      <c r="P362" s="62">
        <f t="shared" si="209"/>
        <v>14.376047619047618</v>
      </c>
      <c r="Q362" s="117">
        <f>+Q360</f>
        <v>23</v>
      </c>
      <c r="R362" s="63">
        <f>+R360</f>
        <v>9.8219999999999992</v>
      </c>
      <c r="S362" s="64">
        <f>R362/G362</f>
        <v>3.2534274934828767E-3</v>
      </c>
      <c r="T362" s="117">
        <f>+T360</f>
        <v>32</v>
      </c>
      <c r="U362" s="63">
        <f>+U360</f>
        <v>11.571999999999999</v>
      </c>
      <c r="V362" s="64">
        <f>U362/G362</f>
        <v>3.8330953934620085E-3</v>
      </c>
      <c r="W362" s="92">
        <f>+W360</f>
        <v>213780</v>
      </c>
      <c r="X362" s="90">
        <f>W362/G362</f>
        <v>70.812230661450769</v>
      </c>
    </row>
    <row r="363" spans="1:24">
      <c r="A363" s="139"/>
      <c r="B363" s="119"/>
      <c r="C363" s="120"/>
      <c r="D363" s="132"/>
      <c r="E363" s="132"/>
      <c r="F363" s="119"/>
      <c r="G363" s="121"/>
      <c r="H363" s="119"/>
      <c r="I363" s="119"/>
      <c r="J363" s="121"/>
      <c r="K363" s="122"/>
      <c r="L363" s="121"/>
      <c r="M363" s="86"/>
      <c r="N363" s="121"/>
      <c r="O363" s="86"/>
      <c r="P363" s="87"/>
      <c r="Q363" s="255"/>
      <c r="R363" s="123"/>
      <c r="S363" s="124"/>
      <c r="T363" s="255"/>
      <c r="U363" s="123"/>
      <c r="V363" s="124"/>
      <c r="W363" s="125"/>
      <c r="X363" s="126"/>
    </row>
    <row r="364" spans="1:24">
      <c r="A364" s="139"/>
      <c r="B364" s="119"/>
      <c r="C364" s="120"/>
      <c r="D364" s="132"/>
      <c r="E364" s="132"/>
      <c r="F364" s="119"/>
      <c r="G364" s="121"/>
      <c r="H364" s="119"/>
      <c r="I364" s="119"/>
      <c r="J364" s="121"/>
      <c r="K364" s="122"/>
      <c r="L364" s="121"/>
      <c r="M364" s="86"/>
      <c r="N364" s="121"/>
      <c r="O364" s="86"/>
      <c r="P364" s="87"/>
      <c r="Q364" s="255"/>
      <c r="R364" s="123"/>
      <c r="S364" s="124"/>
      <c r="T364" s="255"/>
      <c r="U364" s="123"/>
      <c r="V364" s="124"/>
      <c r="W364" s="125"/>
      <c r="X364" s="126"/>
    </row>
    <row r="365" spans="1:24">
      <c r="A365" s="139"/>
      <c r="B365" s="119"/>
      <c r="C365" s="120"/>
      <c r="D365" s="132"/>
      <c r="E365" s="132"/>
      <c r="F365" s="119"/>
      <c r="G365" s="121"/>
      <c r="H365" s="119"/>
      <c r="I365" s="119"/>
      <c r="J365" s="121"/>
      <c r="K365" s="122"/>
      <c r="L365" s="121"/>
      <c r="M365" s="86"/>
      <c r="N365" s="121"/>
      <c r="O365" s="86"/>
      <c r="P365" s="87"/>
      <c r="Q365" s="255"/>
      <c r="R365" s="123"/>
      <c r="S365" s="124"/>
      <c r="T365" s="255"/>
      <c r="U365" s="123"/>
      <c r="V365" s="124"/>
      <c r="W365" s="125"/>
      <c r="X365" s="126"/>
    </row>
    <row r="366" spans="1:24">
      <c r="B366" s="10" t="s">
        <v>51</v>
      </c>
    </row>
    <row r="368" spans="1:24">
      <c r="F368" t="s">
        <v>59</v>
      </c>
      <c r="G368" s="3">
        <f>+G30+G73+G107+G180+G218+G254+G290+G326+G362</f>
        <v>28151.112000000001</v>
      </c>
      <c r="K368" s="3">
        <f>+K30+K73+K107+K180+K218+K254+K290+K326+K362</f>
        <v>2069.75</v>
      </c>
      <c r="P368" s="9">
        <f>G368/K368</f>
        <v>13.601213673148932</v>
      </c>
    </row>
    <row r="369" spans="6:19">
      <c r="F369" t="s">
        <v>45</v>
      </c>
      <c r="G369" s="3">
        <f>SUM(G368:G368)</f>
        <v>28151.112000000001</v>
      </c>
      <c r="K369" s="3">
        <f>SUM(K368:K368)</f>
        <v>2069.75</v>
      </c>
      <c r="P369" s="9">
        <f>G369/K369</f>
        <v>13.601213673148932</v>
      </c>
      <c r="S369" s="141"/>
    </row>
  </sheetData>
  <sortState ref="A90:W144">
    <sortCondition ref="U90:U144"/>
  </sortState>
  <mergeCells count="7">
    <mergeCell ref="A183:Q183"/>
    <mergeCell ref="A145:Q145"/>
    <mergeCell ref="A32:Q32"/>
    <mergeCell ref="A1:Q1"/>
    <mergeCell ref="A44:Q44"/>
    <mergeCell ref="A76:Q76"/>
    <mergeCell ref="A109:Q109"/>
  </mergeCells>
  <pageMargins left="0.27559055118110198" right="0.23622047244094499" top="1.3149606300000001" bottom="0.27559055118110198" header="0.31496062992126" footer="0.31496062992126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"/>
  <sheetViews>
    <sheetView workbookViewId="0">
      <selection activeCell="F18" sqref="F18"/>
    </sheetView>
  </sheetViews>
  <sheetFormatPr defaultRowHeight="15"/>
  <cols>
    <col min="1" max="1" width="12.7109375" customWidth="1"/>
    <col min="2" max="2" width="9.5703125" bestFit="1" customWidth="1"/>
    <col min="3" max="3" width="12.140625" customWidth="1"/>
    <col min="4" max="4" width="9.140625" hidden="1" customWidth="1"/>
    <col min="5" max="5" width="9.140625" customWidth="1"/>
    <col min="6" max="6" width="15.42578125" customWidth="1"/>
    <col min="7" max="7" width="13.140625" hidden="1" customWidth="1"/>
    <col min="8" max="8" width="14.85546875" hidden="1" customWidth="1"/>
    <col min="9" max="9" width="10.85546875" customWidth="1"/>
    <col min="14" max="14" width="10.7109375" customWidth="1"/>
    <col min="15" max="16" width="9.140625" customWidth="1"/>
  </cols>
  <sheetData>
    <row r="1" spans="1:17" ht="15.75">
      <c r="A1" s="258" t="s">
        <v>140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7"/>
      <c r="Q1" s="8"/>
    </row>
    <row r="2" spans="1:17" ht="38.25">
      <c r="A2" s="155" t="s">
        <v>16</v>
      </c>
      <c r="B2" s="155" t="s">
        <v>20</v>
      </c>
      <c r="C2" s="155" t="s">
        <v>17</v>
      </c>
      <c r="D2" s="96" t="s">
        <v>18</v>
      </c>
      <c r="E2" s="96" t="s">
        <v>132</v>
      </c>
      <c r="F2" s="96" t="s">
        <v>133</v>
      </c>
      <c r="G2" s="156" t="s">
        <v>12</v>
      </c>
      <c r="H2" s="156" t="s">
        <v>19</v>
      </c>
      <c r="I2" s="15" t="s">
        <v>14</v>
      </c>
      <c r="J2" s="15" t="s">
        <v>21</v>
      </c>
      <c r="K2" s="15" t="s">
        <v>24</v>
      </c>
      <c r="L2" s="15" t="s">
        <v>22</v>
      </c>
      <c r="M2" s="15" t="s">
        <v>23</v>
      </c>
      <c r="N2" s="88" t="s">
        <v>54</v>
      </c>
      <c r="O2" s="88" t="s">
        <v>55</v>
      </c>
    </row>
    <row r="3" spans="1:17">
      <c r="A3" s="149" t="s">
        <v>119</v>
      </c>
      <c r="B3" s="150" t="s">
        <v>59</v>
      </c>
      <c r="C3" s="11">
        <v>1802.9229999999998</v>
      </c>
      <c r="D3" s="5">
        <v>0</v>
      </c>
      <c r="E3" s="11">
        <v>260.10000000000002</v>
      </c>
      <c r="F3" s="6">
        <v>144.26572848646342</v>
      </c>
      <c r="G3" s="5">
        <v>227.1</v>
      </c>
      <c r="H3" s="6">
        <v>184.24543341486861</v>
      </c>
      <c r="I3" s="11">
        <v>13.726098210886899</v>
      </c>
      <c r="J3" s="11">
        <v>8.1069999999999993</v>
      </c>
      <c r="K3" s="151">
        <v>4.4965869313331741E-3</v>
      </c>
      <c r="L3" s="11">
        <v>12.547999999999998</v>
      </c>
      <c r="M3" s="151">
        <v>6.9598091543565596E-3</v>
      </c>
      <c r="N3" s="146">
        <v>126060</v>
      </c>
      <c r="O3" s="147">
        <v>69.919791361028743</v>
      </c>
    </row>
    <row r="4" spans="1:17">
      <c r="A4" s="149" t="s">
        <v>120</v>
      </c>
      <c r="B4" s="150" t="s">
        <v>59</v>
      </c>
      <c r="C4" s="11">
        <v>1321.317</v>
      </c>
      <c r="D4" s="5"/>
      <c r="E4" s="11">
        <v>190.89999999999998</v>
      </c>
      <c r="F4" s="6">
        <v>144.47706341475967</v>
      </c>
      <c r="G4" s="5">
        <v>227.1</v>
      </c>
      <c r="H4" s="6">
        <v>184.24543341486861</v>
      </c>
      <c r="I4" s="11">
        <v>11.459817866435387</v>
      </c>
      <c r="J4" s="11">
        <v>9.73</v>
      </c>
      <c r="K4" s="151">
        <v>7.3638649922766457E-3</v>
      </c>
      <c r="L4" s="11">
        <v>9.3180000000000014</v>
      </c>
      <c r="M4" s="151">
        <v>7.0520548816067601E-3</v>
      </c>
      <c r="N4" s="146">
        <v>105540</v>
      </c>
      <c r="O4" s="147">
        <v>79.874852136164151</v>
      </c>
    </row>
    <row r="5" spans="1:17">
      <c r="A5" s="149" t="s">
        <v>121</v>
      </c>
      <c r="B5" s="150" t="s">
        <v>59</v>
      </c>
      <c r="C5" s="11">
        <v>2294.8039999999996</v>
      </c>
      <c r="D5" s="5"/>
      <c r="E5" s="11">
        <v>334.70000000000005</v>
      </c>
      <c r="F5" s="6">
        <v>145.85123609685189</v>
      </c>
      <c r="G5" s="5"/>
      <c r="H5" s="6"/>
      <c r="I5" s="11">
        <v>11.177808085728202</v>
      </c>
      <c r="J5" s="11">
        <v>19.247</v>
      </c>
      <c r="K5" s="151">
        <v>8.3872086679298106E-3</v>
      </c>
      <c r="L5" s="11">
        <v>8.4080000000000013</v>
      </c>
      <c r="M5" s="151">
        <v>3.6639294684862002E-3</v>
      </c>
      <c r="N5" s="146">
        <v>182470</v>
      </c>
      <c r="O5" s="147">
        <v>79.514416045989122</v>
      </c>
    </row>
    <row r="6" spans="1:17">
      <c r="A6" s="149" t="s">
        <v>122</v>
      </c>
      <c r="B6" s="150" t="s">
        <v>59</v>
      </c>
      <c r="C6" s="11">
        <v>2819.069</v>
      </c>
      <c r="D6" s="5"/>
      <c r="E6" s="11">
        <v>413.1</v>
      </c>
      <c r="F6" s="6">
        <v>146.53773994180349</v>
      </c>
      <c r="G6" s="5"/>
      <c r="H6" s="6"/>
      <c r="I6" s="11">
        <v>13.033143781784558</v>
      </c>
      <c r="J6" s="11">
        <v>18.984999999999999</v>
      </c>
      <c r="K6" s="151">
        <v>6.734492841430983E-3</v>
      </c>
      <c r="L6" s="11">
        <v>3.0369999999999999</v>
      </c>
      <c r="M6" s="151">
        <v>1.07730601840537E-3</v>
      </c>
      <c r="N6" s="146">
        <v>234341</v>
      </c>
      <c r="O6" s="147">
        <v>83.127089120557173</v>
      </c>
    </row>
    <row r="7" spans="1:17">
      <c r="A7" s="149" t="s">
        <v>123</v>
      </c>
      <c r="B7" s="150" t="s">
        <v>59</v>
      </c>
      <c r="C7" s="11">
        <f>+'COAL DETAILS'!G180</f>
        <v>4024.1539999999995</v>
      </c>
      <c r="D7" s="5"/>
      <c r="E7" s="11">
        <f>+'COAL DETAILS'!L180</f>
        <v>535.70000000000005</v>
      </c>
      <c r="F7" s="6">
        <f>+'COAL DETAILS'!M180</f>
        <v>133.12114794811532</v>
      </c>
      <c r="G7" s="5"/>
      <c r="H7" s="6"/>
      <c r="I7" s="11">
        <f>+'COAL DETAILS'!P180</f>
        <v>13.400446220446218</v>
      </c>
      <c r="J7" s="11">
        <f>+'COAL DETAILS'!R180</f>
        <v>12.229000000000001</v>
      </c>
      <c r="K7" s="151">
        <f>+'COAL DETAILS'!S180</f>
        <v>3.0388996047367974E-3</v>
      </c>
      <c r="L7" s="11">
        <f>+'COAL DETAILS'!U180</f>
        <v>9.0670000000000002</v>
      </c>
      <c r="M7" s="151">
        <f>+'COAL DETAILS'!V180</f>
        <v>2.253144387615385E-3</v>
      </c>
      <c r="N7" s="146">
        <f>+'COAL DETAILS'!W180</f>
        <v>312348</v>
      </c>
      <c r="O7" s="147">
        <f>+'COAL DETAILS'!X180</f>
        <v>77.618301884073034</v>
      </c>
    </row>
    <row r="8" spans="1:17">
      <c r="A8" s="149" t="s">
        <v>124</v>
      </c>
      <c r="B8" s="150" t="s">
        <v>59</v>
      </c>
      <c r="C8" s="11">
        <f>+'COAL DETAILS'!G218</f>
        <v>2962.0949999999998</v>
      </c>
      <c r="D8" s="5"/>
      <c r="E8" s="11">
        <f>+'COAL DETAILS'!L218</f>
        <v>398.4</v>
      </c>
      <c r="F8" s="6">
        <f>+'COAL DETAILS'!M218</f>
        <v>134.49939991796347</v>
      </c>
      <c r="G8" s="5"/>
      <c r="H8" s="6"/>
      <c r="I8" s="11">
        <f>+'COAL DETAILS'!P218</f>
        <v>13.913081258806953</v>
      </c>
      <c r="J8" s="11">
        <f>+'COAL DETAILS'!R218</f>
        <v>18.39</v>
      </c>
      <c r="K8" s="151">
        <f>+'COAL DETAILS'!S218</f>
        <v>6.20844368597226E-3</v>
      </c>
      <c r="L8" s="11">
        <f>+'COAL DETAILS'!U218</f>
        <v>18.381999999999998</v>
      </c>
      <c r="M8" s="151">
        <f>+'COAL DETAILS'!V218</f>
        <v>6.2057428948092477E-3</v>
      </c>
      <c r="N8" s="146">
        <f>+'COAL DETAILS'!W218</f>
        <v>209500</v>
      </c>
      <c r="O8" s="147">
        <f>+'COAL DETAILS'!X218</f>
        <v>70.726968581358804</v>
      </c>
    </row>
    <row r="9" spans="1:17">
      <c r="A9" s="149" t="s">
        <v>125</v>
      </c>
      <c r="B9" s="150" t="s">
        <v>59</v>
      </c>
      <c r="C9" s="11">
        <f>+'COAL DETAILS'!G254</f>
        <v>3947.125</v>
      </c>
      <c r="D9" s="5"/>
      <c r="E9" s="11">
        <f>+'COAL DETAILS'!L254</f>
        <v>529.35000000000014</v>
      </c>
      <c r="F9" s="6">
        <f>+'COAL DETAILS'!M254</f>
        <v>134.11027013332492</v>
      </c>
      <c r="G9" s="5"/>
      <c r="H9" s="6"/>
      <c r="I9" s="11">
        <f>+'COAL DETAILS'!P254</f>
        <v>13.861720807726076</v>
      </c>
      <c r="J9" s="11">
        <f>+'COAL DETAILS'!R254</f>
        <v>16.904</v>
      </c>
      <c r="K9" s="151">
        <f>+'COAL DETAILS'!S254</f>
        <v>4.2826107609969279E-3</v>
      </c>
      <c r="L9" s="11">
        <f>+'COAL DETAILS'!U254</f>
        <v>12.420999999999999</v>
      </c>
      <c r="M9" s="151">
        <f>+'COAL DETAILS'!V254</f>
        <v>3.1468473889223166E-3</v>
      </c>
      <c r="N9" s="146">
        <f>+'COAL DETAILS'!W254</f>
        <v>305390</v>
      </c>
      <c r="O9" s="147">
        <f>+'COAL DETAILS'!X254</f>
        <v>77.370237831332929</v>
      </c>
    </row>
    <row r="10" spans="1:17">
      <c r="A10" s="149" t="s">
        <v>126</v>
      </c>
      <c r="B10" s="150" t="s">
        <v>59</v>
      </c>
      <c r="C10" s="11">
        <f>+'COAL DETAILS'!G290</f>
        <v>4136.3739999999998</v>
      </c>
      <c r="D10" s="5"/>
      <c r="E10" s="11">
        <f>+'COAL DETAILS'!L290</f>
        <v>540.23</v>
      </c>
      <c r="F10" s="6">
        <f>+'COAL DETAILS'!M290</f>
        <v>130.60472771562729</v>
      </c>
      <c r="G10" s="5"/>
      <c r="H10" s="6"/>
      <c r="I10" s="11">
        <f>+'COAL DETAILS'!P290</f>
        <v>14.12696038251366</v>
      </c>
      <c r="J10" s="11">
        <f>+'COAL DETAILS'!R290</f>
        <v>15.884999999999998</v>
      </c>
      <c r="K10" s="151">
        <f>+'COAL DETAILS'!S290</f>
        <v>3.8403200484288893E-3</v>
      </c>
      <c r="L10" s="11">
        <f>+'COAL DETAILS'!U290</f>
        <v>9.0399999999999991</v>
      </c>
      <c r="M10" s="151">
        <f>+'COAL DETAILS'!V290</f>
        <v>2.1854890297637497E-3</v>
      </c>
      <c r="N10" s="146">
        <f>+'COAL DETAILS'!W290</f>
        <v>299940</v>
      </c>
      <c r="O10" s="147">
        <f>+'COAL DETAILS'!X290</f>
        <v>72.512785352581759</v>
      </c>
    </row>
    <row r="11" spans="1:17">
      <c r="A11" s="149" t="s">
        <v>127</v>
      </c>
      <c r="B11" s="150" t="s">
        <v>59</v>
      </c>
      <c r="C11" s="11">
        <f>+'COAL DETAILS'!G326</f>
        <v>4643.3499999999995</v>
      </c>
      <c r="D11" s="14"/>
      <c r="E11" s="11">
        <f>+'COAL DETAILS'!L324</f>
        <v>593.40000000000009</v>
      </c>
      <c r="F11" s="6">
        <f>++'COAL DETAILS'!M326</f>
        <v>127.7956647678939</v>
      </c>
      <c r="G11" s="11"/>
      <c r="H11" s="142"/>
      <c r="I11" s="11">
        <f>+'COAL DETAILS'!P326</f>
        <v>14.64548178520738</v>
      </c>
      <c r="J11" s="11">
        <f>+'COAL DETAILS'!R326</f>
        <v>17.563999999999997</v>
      </c>
      <c r="K11" s="151">
        <f>+'COAL DETAILS'!S326</f>
        <v>3.7826138456071583E-3</v>
      </c>
      <c r="L11" s="11">
        <f>+'COAL DETAILS'!U326</f>
        <v>12.764000000000001</v>
      </c>
      <c r="M11" s="151">
        <f>+'COAL DETAILS'!V326</f>
        <v>2.7488774268577647E-3</v>
      </c>
      <c r="N11" s="146">
        <f>+'COAL DETAILS'!W326</f>
        <v>347220</v>
      </c>
      <c r="O11" s="147">
        <f>+'COAL DETAILS'!X326</f>
        <v>74.777908191284325</v>
      </c>
    </row>
    <row r="12" spans="1:17">
      <c r="A12" s="149" t="s">
        <v>128</v>
      </c>
      <c r="B12" s="150" t="s">
        <v>59</v>
      </c>
      <c r="C12" s="11">
        <f>+'COAL DETAILS'!G362</f>
        <v>3018.97</v>
      </c>
      <c r="D12" s="14"/>
      <c r="E12" s="11">
        <f>+'COAL DETAILS'!L362</f>
        <v>390.90000000000003</v>
      </c>
      <c r="F12" s="6">
        <f>+'COAL DETAILS'!M362</f>
        <v>129.48124691533869</v>
      </c>
      <c r="G12" s="11"/>
      <c r="H12" s="142"/>
      <c r="I12" s="11">
        <f>+'COAL DETAILS'!P362</f>
        <v>14.376047619047618</v>
      </c>
      <c r="J12" s="11">
        <f>+'COAL DETAILS'!R362</f>
        <v>9.8219999999999992</v>
      </c>
      <c r="K12" s="151">
        <f>+'COAL DETAILS'!S362</f>
        <v>3.2534274934828767E-3</v>
      </c>
      <c r="L12" s="11">
        <f>+'COAL DETAILS'!U362</f>
        <v>11.571999999999999</v>
      </c>
      <c r="M12" s="151">
        <f>+'COAL DETAILS'!V362</f>
        <v>3.8330953934620085E-3</v>
      </c>
      <c r="N12" s="146">
        <f>+'COAL DETAILS'!W362</f>
        <v>213780</v>
      </c>
      <c r="O12" s="147">
        <f>+'COAL DETAILS'!X360</f>
        <v>70.812230661450769</v>
      </c>
    </row>
    <row r="13" spans="1:17">
      <c r="A13" s="149" t="s">
        <v>139</v>
      </c>
      <c r="B13" s="150" t="s">
        <v>59</v>
      </c>
      <c r="C13" s="11"/>
      <c r="D13" s="14"/>
      <c r="E13" s="145"/>
      <c r="F13" s="6"/>
      <c r="G13" s="11"/>
      <c r="H13" s="142"/>
      <c r="I13" s="11"/>
      <c r="J13" s="11"/>
      <c r="K13" s="151"/>
      <c r="L13" s="11"/>
      <c r="M13" s="151"/>
      <c r="N13" s="146"/>
      <c r="O13" s="147"/>
    </row>
    <row r="14" spans="1:17">
      <c r="A14" s="149" t="s">
        <v>130</v>
      </c>
      <c r="B14" s="150" t="s">
        <v>59</v>
      </c>
      <c r="C14" s="11"/>
      <c r="D14" s="14"/>
      <c r="E14" s="145"/>
      <c r="F14" s="6"/>
      <c r="G14" s="11"/>
      <c r="H14" s="142"/>
      <c r="I14" s="11"/>
      <c r="J14" s="11"/>
      <c r="K14" s="151"/>
      <c r="L14" s="11"/>
      <c r="M14" s="151"/>
      <c r="N14" s="146"/>
      <c r="O14" s="147"/>
    </row>
    <row r="15" spans="1:17">
      <c r="A15" s="153" t="s">
        <v>118</v>
      </c>
      <c r="B15" s="153"/>
      <c r="C15" s="14">
        <f>SUM(C3:C14)</f>
        <v>30970.181</v>
      </c>
      <c r="D15" s="14" t="e">
        <f>+#REF!+#REF!</f>
        <v>#REF!</v>
      </c>
      <c r="E15" s="14">
        <f>SUM(E3:E14)</f>
        <v>4186.78</v>
      </c>
      <c r="F15" s="148">
        <f>E15/C15*1000</f>
        <v>135.18745660543604</v>
      </c>
      <c r="G15" s="14" t="e">
        <f>#REF!+#REF!+#REF!+#REF!+G14</f>
        <v>#REF!</v>
      </c>
      <c r="H15" s="14" t="e">
        <f>(#REF!+#REF!+#REF!+#REF!+H14)/5</f>
        <v>#REF!</v>
      </c>
      <c r="I15" s="14">
        <f>+'COAL DETAILS'!P368</f>
        <v>13.601213673148932</v>
      </c>
      <c r="J15" s="14">
        <f>SUM(J3:J14)</f>
        <v>146.863</v>
      </c>
      <c r="K15" s="152">
        <f>J15/C15</f>
        <v>4.7420775487233991E-3</v>
      </c>
      <c r="L15" s="14">
        <f>SUM(L3:L14)</f>
        <v>106.557</v>
      </c>
      <c r="M15" s="152">
        <f>L15/C15</f>
        <v>3.4406321357953961E-3</v>
      </c>
      <c r="N15" s="91">
        <f>SUM(N3:N14)</f>
        <v>2336589</v>
      </c>
      <c r="O15" s="147">
        <f>N15/C15</f>
        <v>75.446410855654989</v>
      </c>
    </row>
  </sheetData>
  <mergeCells count="1">
    <mergeCell ref="A1:O1"/>
  </mergeCells>
  <pageMargins left="0.24" right="0.16" top="0.44" bottom="0.38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86"/>
  <sheetViews>
    <sheetView workbookViewId="0">
      <pane ySplit="3" topLeftCell="A69" activePane="bottomLeft" state="frozen"/>
      <selection pane="bottomLeft" activeCell="B90" sqref="B90"/>
    </sheetView>
  </sheetViews>
  <sheetFormatPr defaultRowHeight="15"/>
  <cols>
    <col min="1" max="2" width="10.85546875" bestFit="1" customWidth="1"/>
    <col min="3" max="3" width="13.42578125" bestFit="1" customWidth="1"/>
    <col min="5" max="5" width="3.28515625" customWidth="1"/>
    <col min="6" max="6" width="10.5703125" bestFit="1" customWidth="1"/>
    <col min="8" max="8" width="19.85546875" bestFit="1" customWidth="1"/>
    <col min="10" max="10" width="3.42578125" customWidth="1"/>
    <col min="11" max="11" width="9.5703125" bestFit="1" customWidth="1"/>
    <col min="13" max="13" width="12" bestFit="1" customWidth="1"/>
    <col min="15" max="15" width="3.85546875" customWidth="1"/>
    <col min="18" max="18" width="19.85546875" bestFit="1" customWidth="1"/>
  </cols>
  <sheetData>
    <row r="1" spans="1:20">
      <c r="A1" s="263" t="s">
        <v>77</v>
      </c>
      <c r="B1" s="263"/>
      <c r="C1" s="263"/>
      <c r="D1" s="263"/>
      <c r="E1" s="263"/>
      <c r="F1" s="263"/>
      <c r="G1" s="263"/>
      <c r="H1" s="263"/>
      <c r="I1" s="263"/>
      <c r="J1" s="102"/>
      <c r="K1" s="263" t="s">
        <v>78</v>
      </c>
      <c r="L1" s="263"/>
      <c r="M1" s="263"/>
      <c r="N1" s="263"/>
      <c r="O1" s="263"/>
      <c r="P1" s="263"/>
      <c r="Q1" s="263"/>
      <c r="R1" s="263"/>
      <c r="S1" s="263"/>
    </row>
    <row r="2" spans="1:20">
      <c r="A2" s="265" t="s">
        <v>32</v>
      </c>
      <c r="B2" s="266"/>
      <c r="C2" s="266"/>
      <c r="D2" s="267"/>
      <c r="E2" s="103"/>
      <c r="F2" s="265" t="s">
        <v>79</v>
      </c>
      <c r="G2" s="266"/>
      <c r="H2" s="266"/>
      <c r="I2" s="267"/>
      <c r="J2" s="104"/>
      <c r="K2" s="265" t="s">
        <v>32</v>
      </c>
      <c r="L2" s="266"/>
      <c r="M2" s="266"/>
      <c r="N2" s="267"/>
      <c r="O2" s="103"/>
      <c r="P2" s="265" t="s">
        <v>79</v>
      </c>
      <c r="Q2" s="266"/>
      <c r="R2" s="266"/>
      <c r="S2" s="267"/>
    </row>
    <row r="3" spans="1:20">
      <c r="A3" s="105" t="s">
        <v>80</v>
      </c>
      <c r="B3" s="105" t="s">
        <v>81</v>
      </c>
      <c r="C3" s="105" t="s">
        <v>107</v>
      </c>
      <c r="D3" s="105" t="s">
        <v>15</v>
      </c>
      <c r="E3" s="106"/>
      <c r="F3" s="105" t="s">
        <v>80</v>
      </c>
      <c r="G3" s="105" t="s">
        <v>81</v>
      </c>
      <c r="H3" s="105" t="s">
        <v>107</v>
      </c>
      <c r="I3" s="105" t="s">
        <v>15</v>
      </c>
      <c r="J3" s="104"/>
      <c r="K3" s="105" t="s">
        <v>80</v>
      </c>
      <c r="L3" s="105" t="s">
        <v>81</v>
      </c>
      <c r="M3" s="105" t="s">
        <v>107</v>
      </c>
      <c r="N3" s="105" t="s">
        <v>15</v>
      </c>
      <c r="O3" s="106"/>
      <c r="P3" s="105" t="s">
        <v>80</v>
      </c>
      <c r="Q3" s="105" t="s">
        <v>81</v>
      </c>
      <c r="R3" s="105" t="s">
        <v>107</v>
      </c>
      <c r="S3" s="105" t="s">
        <v>15</v>
      </c>
    </row>
    <row r="4" spans="1:20">
      <c r="A4" s="107" t="s">
        <v>82</v>
      </c>
      <c r="B4" s="105"/>
      <c r="C4" s="105"/>
      <c r="D4" s="105">
        <f>SUM(B4:C4)</f>
        <v>0</v>
      </c>
      <c r="E4" s="106"/>
      <c r="F4" s="107" t="s">
        <v>82</v>
      </c>
      <c r="G4" s="108"/>
      <c r="H4" s="108"/>
      <c r="I4" s="105">
        <f>SUM(G4:H4)</f>
        <v>0</v>
      </c>
      <c r="J4" s="104"/>
      <c r="K4" s="107" t="s">
        <v>85</v>
      </c>
      <c r="L4" s="109"/>
      <c r="M4" s="109"/>
      <c r="N4" s="109">
        <f t="shared" ref="N4:N13" si="0">SUM(L4:M4)</f>
        <v>0</v>
      </c>
      <c r="O4" s="106"/>
      <c r="P4" s="107" t="s">
        <v>85</v>
      </c>
      <c r="Q4" s="108"/>
      <c r="R4" s="108"/>
      <c r="S4" s="105">
        <f>SUM(Q4:R4)</f>
        <v>0</v>
      </c>
    </row>
    <row r="5" spans="1:20">
      <c r="A5" s="107" t="s">
        <v>83</v>
      </c>
      <c r="B5" s="105"/>
      <c r="C5" s="105"/>
      <c r="D5" s="105">
        <f t="shared" ref="D5:D15" si="1">SUM(B5:C5)</f>
        <v>0</v>
      </c>
      <c r="E5" s="106"/>
      <c r="F5" s="107" t="s">
        <v>83</v>
      </c>
      <c r="G5" s="108"/>
      <c r="H5" s="108"/>
      <c r="I5" s="105">
        <f t="shared" ref="I5:I14" si="2">SUM(G5:H5)</f>
        <v>0</v>
      </c>
      <c r="J5" s="104"/>
      <c r="K5" s="107" t="s">
        <v>86</v>
      </c>
      <c r="L5" s="109"/>
      <c r="M5" s="109"/>
      <c r="N5" s="109">
        <f t="shared" si="0"/>
        <v>0</v>
      </c>
      <c r="O5" s="106"/>
      <c r="P5" s="107" t="s">
        <v>86</v>
      </c>
      <c r="Q5" s="108"/>
      <c r="R5" s="108"/>
      <c r="S5" s="105">
        <f t="shared" ref="S5:S15" si="3">SUM(Q5:R5)</f>
        <v>0</v>
      </c>
    </row>
    <row r="6" spans="1:20">
      <c r="A6" s="107" t="s">
        <v>84</v>
      </c>
      <c r="B6" s="105"/>
      <c r="C6" s="105"/>
      <c r="D6" s="105">
        <f t="shared" si="1"/>
        <v>0</v>
      </c>
      <c r="E6" s="106"/>
      <c r="F6" s="107" t="s">
        <v>84</v>
      </c>
      <c r="G6" s="108"/>
      <c r="H6" s="108"/>
      <c r="I6" s="105">
        <f t="shared" si="2"/>
        <v>0</v>
      </c>
      <c r="J6" s="104"/>
      <c r="K6" s="107" t="s">
        <v>87</v>
      </c>
      <c r="L6" s="109"/>
      <c r="M6" s="109"/>
      <c r="N6" s="109">
        <f t="shared" si="0"/>
        <v>0</v>
      </c>
      <c r="O6" s="106"/>
      <c r="P6" s="107" t="s">
        <v>87</v>
      </c>
      <c r="Q6" s="108"/>
      <c r="R6" s="108"/>
      <c r="S6" s="105">
        <f t="shared" si="3"/>
        <v>0</v>
      </c>
    </row>
    <row r="7" spans="1:20">
      <c r="A7" s="107" t="s">
        <v>85</v>
      </c>
      <c r="B7" s="109"/>
      <c r="C7" s="109"/>
      <c r="D7" s="105">
        <f t="shared" si="1"/>
        <v>0</v>
      </c>
      <c r="E7" s="106"/>
      <c r="F7" s="107" t="s">
        <v>85</v>
      </c>
      <c r="G7" s="108"/>
      <c r="H7" s="108"/>
      <c r="I7" s="105">
        <f t="shared" si="2"/>
        <v>0</v>
      </c>
      <c r="J7" s="104"/>
      <c r="K7" s="107" t="s">
        <v>88</v>
      </c>
      <c r="L7" s="109"/>
      <c r="M7" s="109"/>
      <c r="N7" s="109">
        <f t="shared" si="0"/>
        <v>0</v>
      </c>
      <c r="O7" s="106"/>
      <c r="P7" s="107" t="s">
        <v>88</v>
      </c>
      <c r="Q7" s="108"/>
      <c r="R7" s="108"/>
      <c r="S7" s="105">
        <f t="shared" si="3"/>
        <v>0</v>
      </c>
    </row>
    <row r="8" spans="1:20">
      <c r="A8" s="107" t="s">
        <v>86</v>
      </c>
      <c r="B8" s="109"/>
      <c r="C8" s="109"/>
      <c r="D8" s="105">
        <f t="shared" si="1"/>
        <v>0</v>
      </c>
      <c r="E8" s="106"/>
      <c r="F8" s="107" t="s">
        <v>86</v>
      </c>
      <c r="G8" s="108"/>
      <c r="H8" s="108"/>
      <c r="I8" s="105">
        <f t="shared" si="2"/>
        <v>0</v>
      </c>
      <c r="J8" s="104"/>
      <c r="K8" s="107" t="s">
        <v>89</v>
      </c>
      <c r="L8" s="109"/>
      <c r="M8" s="109"/>
      <c r="N8" s="109">
        <f t="shared" si="0"/>
        <v>0</v>
      </c>
      <c r="O8" s="106"/>
      <c r="P8" s="107" t="s">
        <v>89</v>
      </c>
      <c r="Q8" s="108"/>
      <c r="R8" s="108"/>
      <c r="S8" s="105">
        <f t="shared" si="3"/>
        <v>0</v>
      </c>
    </row>
    <row r="9" spans="1:20">
      <c r="A9" s="107" t="s">
        <v>87</v>
      </c>
      <c r="B9" s="109"/>
      <c r="C9" s="109"/>
      <c r="D9" s="105">
        <f t="shared" si="1"/>
        <v>0</v>
      </c>
      <c r="E9" s="106"/>
      <c r="F9" s="107" t="s">
        <v>87</v>
      </c>
      <c r="G9" s="108"/>
      <c r="H9" s="108"/>
      <c r="I9" s="105">
        <f t="shared" si="2"/>
        <v>0</v>
      </c>
      <c r="J9" s="104"/>
      <c r="K9" s="107" t="s">
        <v>90</v>
      </c>
      <c r="L9" s="109"/>
      <c r="M9" s="109"/>
      <c r="N9" s="109">
        <f t="shared" si="0"/>
        <v>0</v>
      </c>
      <c r="O9" s="106"/>
      <c r="P9" s="107" t="s">
        <v>90</v>
      </c>
      <c r="Q9" s="109"/>
      <c r="R9" s="109"/>
      <c r="S9" s="105">
        <f t="shared" si="3"/>
        <v>0</v>
      </c>
    </row>
    <row r="10" spans="1:20">
      <c r="A10" s="107" t="s">
        <v>88</v>
      </c>
      <c r="B10" s="109"/>
      <c r="C10" s="109"/>
      <c r="D10" s="105">
        <f t="shared" si="1"/>
        <v>0</v>
      </c>
      <c r="E10" s="106"/>
      <c r="F10" s="107" t="s">
        <v>88</v>
      </c>
      <c r="G10" s="108"/>
      <c r="H10" s="108"/>
      <c r="I10" s="105">
        <f t="shared" si="2"/>
        <v>0</v>
      </c>
      <c r="J10" s="104"/>
      <c r="K10" s="107" t="s">
        <v>91</v>
      </c>
      <c r="L10" s="109"/>
      <c r="M10" s="109"/>
      <c r="N10" s="109">
        <f t="shared" si="0"/>
        <v>0</v>
      </c>
      <c r="O10" s="106"/>
      <c r="P10" s="107" t="s">
        <v>91</v>
      </c>
      <c r="Q10" s="109"/>
      <c r="R10" s="109"/>
      <c r="S10" s="105">
        <f t="shared" si="3"/>
        <v>0</v>
      </c>
      <c r="T10" s="10"/>
    </row>
    <row r="11" spans="1:20">
      <c r="A11" s="107" t="s">
        <v>89</v>
      </c>
      <c r="B11" s="109"/>
      <c r="C11" s="109"/>
      <c r="D11" s="105">
        <f t="shared" si="1"/>
        <v>0</v>
      </c>
      <c r="E11" s="106"/>
      <c r="F11" s="107" t="s">
        <v>89</v>
      </c>
      <c r="G11" s="108"/>
      <c r="H11" s="108"/>
      <c r="I11" s="105">
        <f t="shared" si="2"/>
        <v>0</v>
      </c>
      <c r="J11" s="104"/>
      <c r="K11" s="107" t="s">
        <v>92</v>
      </c>
      <c r="L11" s="109"/>
      <c r="M11" s="109"/>
      <c r="N11" s="109">
        <f t="shared" si="0"/>
        <v>0</v>
      </c>
      <c r="O11" s="106"/>
      <c r="P11" s="107" t="s">
        <v>92</v>
      </c>
      <c r="Q11" s="108"/>
      <c r="R11" s="108"/>
      <c r="S11" s="105">
        <f t="shared" si="3"/>
        <v>0</v>
      </c>
      <c r="T11" s="10"/>
    </row>
    <row r="12" spans="1:20">
      <c r="A12" s="107" t="s">
        <v>90</v>
      </c>
      <c r="B12" s="109"/>
      <c r="C12" s="109"/>
      <c r="D12" s="105">
        <f t="shared" si="1"/>
        <v>0</v>
      </c>
      <c r="E12" s="106"/>
      <c r="F12" s="107" t="s">
        <v>90</v>
      </c>
      <c r="G12" s="108"/>
      <c r="H12" s="108"/>
      <c r="I12" s="105">
        <f t="shared" si="2"/>
        <v>0</v>
      </c>
      <c r="J12" s="104"/>
      <c r="K12" s="107" t="s">
        <v>93</v>
      </c>
      <c r="L12" s="109"/>
      <c r="M12" s="109"/>
      <c r="N12" s="109">
        <f t="shared" si="0"/>
        <v>0</v>
      </c>
      <c r="O12" s="106"/>
      <c r="P12" s="107" t="s">
        <v>93</v>
      </c>
      <c r="Q12" s="109"/>
      <c r="R12" s="108"/>
      <c r="S12" s="105">
        <f t="shared" si="3"/>
        <v>0</v>
      </c>
      <c r="T12" s="10"/>
    </row>
    <row r="13" spans="1:20">
      <c r="A13" s="107" t="s">
        <v>91</v>
      </c>
      <c r="B13" s="109"/>
      <c r="C13" s="109"/>
      <c r="D13" s="105">
        <f t="shared" si="1"/>
        <v>0</v>
      </c>
      <c r="E13" s="106"/>
      <c r="F13" s="107" t="s">
        <v>91</v>
      </c>
      <c r="G13" s="109"/>
      <c r="H13" s="109"/>
      <c r="I13" s="105">
        <f t="shared" si="2"/>
        <v>0</v>
      </c>
      <c r="J13" s="104"/>
      <c r="K13" s="107" t="s">
        <v>94</v>
      </c>
      <c r="L13" s="105"/>
      <c r="M13" s="109"/>
      <c r="N13" s="109">
        <f t="shared" si="0"/>
        <v>0</v>
      </c>
      <c r="O13" s="106"/>
      <c r="P13" s="107" t="s">
        <v>94</v>
      </c>
      <c r="Q13" s="108"/>
      <c r="R13" s="108"/>
      <c r="S13" s="105">
        <f t="shared" si="3"/>
        <v>0</v>
      </c>
      <c r="T13" s="10"/>
    </row>
    <row r="14" spans="1:20">
      <c r="A14" s="107" t="s">
        <v>92</v>
      </c>
      <c r="B14" s="109"/>
      <c r="C14" s="109"/>
      <c r="D14" s="105">
        <f t="shared" si="1"/>
        <v>0</v>
      </c>
      <c r="E14" s="106"/>
      <c r="F14" s="107" t="s">
        <v>92</v>
      </c>
      <c r="G14" s="108"/>
      <c r="H14" s="108"/>
      <c r="I14" s="105">
        <f t="shared" si="2"/>
        <v>0</v>
      </c>
      <c r="J14" s="104"/>
      <c r="K14" s="107" t="s">
        <v>95</v>
      </c>
      <c r="L14" s="115">
        <v>87.164000000000001</v>
      </c>
      <c r="M14" s="109"/>
      <c r="N14" s="109">
        <f>SUM(L14:M14)</f>
        <v>87.164000000000001</v>
      </c>
      <c r="O14" s="106"/>
      <c r="P14" s="107" t="s">
        <v>95</v>
      </c>
      <c r="Q14" s="108"/>
      <c r="R14" s="109"/>
      <c r="S14" s="105">
        <f t="shared" si="3"/>
        <v>0</v>
      </c>
    </row>
    <row r="15" spans="1:20">
      <c r="A15" s="107" t="s">
        <v>93</v>
      </c>
      <c r="B15" s="109"/>
      <c r="C15" s="109"/>
      <c r="D15" s="105">
        <f t="shared" si="1"/>
        <v>0</v>
      </c>
      <c r="E15" s="106"/>
      <c r="F15" s="107" t="s">
        <v>93</v>
      </c>
      <c r="G15" s="109"/>
      <c r="H15" s="108"/>
      <c r="I15" s="105">
        <f>SUM(G15:H15)</f>
        <v>0</v>
      </c>
      <c r="J15" s="104"/>
      <c r="K15" s="107" t="s">
        <v>96</v>
      </c>
      <c r="L15" s="115">
        <v>894.47</v>
      </c>
      <c r="M15" s="109"/>
      <c r="N15" s="109">
        <f>SUM(L15:M15)</f>
        <v>894.47</v>
      </c>
      <c r="O15" s="106"/>
      <c r="P15" s="107" t="s">
        <v>96</v>
      </c>
      <c r="Q15" s="105">
        <v>813.84299999999996</v>
      </c>
      <c r="R15" s="109"/>
      <c r="S15" s="105">
        <f t="shared" si="3"/>
        <v>813.84299999999996</v>
      </c>
    </row>
    <row r="16" spans="1:20">
      <c r="A16" s="105" t="s">
        <v>15</v>
      </c>
      <c r="B16" s="105">
        <f>SUM(B4:B15)</f>
        <v>0</v>
      </c>
      <c r="C16" s="105">
        <f>SUM(C4:C15)</f>
        <v>0</v>
      </c>
      <c r="D16" s="105">
        <f>SUM(D4:D15)</f>
        <v>0</v>
      </c>
      <c r="E16" s="110"/>
      <c r="F16" s="105" t="s">
        <v>15</v>
      </c>
      <c r="G16" s="105">
        <f>SUM(G4:G15)</f>
        <v>0</v>
      </c>
      <c r="H16" s="105">
        <f>SUM(H4:H15)</f>
        <v>0</v>
      </c>
      <c r="I16" s="105">
        <f>SUM(I4:I15)</f>
        <v>0</v>
      </c>
      <c r="J16" s="111"/>
      <c r="K16" s="105" t="s">
        <v>15</v>
      </c>
      <c r="L16" s="105">
        <f>SUM(L4:L15)</f>
        <v>981.63400000000001</v>
      </c>
      <c r="M16" s="105">
        <f>SUM(M4:M15)</f>
        <v>0</v>
      </c>
      <c r="N16" s="105">
        <f>SUM(N4:N15)</f>
        <v>981.63400000000001</v>
      </c>
      <c r="O16" s="110"/>
      <c r="P16" s="105" t="s">
        <v>15</v>
      </c>
      <c r="Q16" s="105">
        <f>SUM(Q4:Q15)</f>
        <v>813.84299999999996</v>
      </c>
      <c r="R16" s="105">
        <f>SUM(R4:R15)</f>
        <v>0</v>
      </c>
      <c r="S16" s="105">
        <f>SUM(S4:S15)</f>
        <v>813.84299999999996</v>
      </c>
    </row>
    <row r="18" spans="1:20">
      <c r="A18" s="105" t="s">
        <v>80</v>
      </c>
      <c r="B18" s="105" t="s">
        <v>81</v>
      </c>
      <c r="C18" s="105" t="s">
        <v>107</v>
      </c>
      <c r="D18" s="105" t="s">
        <v>15</v>
      </c>
      <c r="E18" s="106"/>
      <c r="F18" s="105" t="s">
        <v>80</v>
      </c>
      <c r="G18" s="105" t="s">
        <v>81</v>
      </c>
      <c r="H18" s="105" t="s">
        <v>107</v>
      </c>
      <c r="I18" s="105" t="s">
        <v>15</v>
      </c>
      <c r="J18" s="104"/>
      <c r="K18" s="105" t="s">
        <v>80</v>
      </c>
      <c r="L18" s="105" t="s">
        <v>81</v>
      </c>
      <c r="M18" s="105" t="s">
        <v>107</v>
      </c>
      <c r="N18" s="105" t="s">
        <v>15</v>
      </c>
      <c r="O18" s="106"/>
      <c r="P18" s="105" t="s">
        <v>80</v>
      </c>
      <c r="Q18" s="105" t="s">
        <v>81</v>
      </c>
      <c r="R18" s="105" t="s">
        <v>107</v>
      </c>
      <c r="S18" s="105" t="s">
        <v>15</v>
      </c>
    </row>
    <row r="19" spans="1:20">
      <c r="A19" s="107" t="s">
        <v>94</v>
      </c>
      <c r="B19" s="105"/>
      <c r="C19" s="105"/>
      <c r="D19" s="105">
        <f>SUM(B19:C19)</f>
        <v>0</v>
      </c>
      <c r="E19" s="106"/>
      <c r="F19" s="107" t="s">
        <v>94</v>
      </c>
      <c r="G19" s="108"/>
      <c r="H19" s="108"/>
      <c r="I19" s="105">
        <f>SUM(G19:H19)</f>
        <v>0</v>
      </c>
      <c r="J19" s="104"/>
      <c r="K19" s="107" t="s">
        <v>66</v>
      </c>
      <c r="L19" s="115">
        <v>1232.595</v>
      </c>
      <c r="M19" s="109"/>
      <c r="N19" s="109">
        <f t="shared" ref="N19:N28" si="4">SUM(L19:M19)</f>
        <v>1232.595</v>
      </c>
      <c r="O19" s="106"/>
      <c r="P19" s="107" t="s">
        <v>66</v>
      </c>
      <c r="Q19" s="105">
        <v>729.95399999999995</v>
      </c>
      <c r="R19" s="108"/>
      <c r="S19" s="105">
        <f>SUM(Q19:R19)</f>
        <v>729.95399999999995</v>
      </c>
    </row>
    <row r="20" spans="1:20">
      <c r="A20" s="107" t="s">
        <v>95</v>
      </c>
      <c r="B20" s="105">
        <v>87.164000000000001</v>
      </c>
      <c r="C20" s="105"/>
      <c r="D20" s="105">
        <f t="shared" ref="D20:D30" si="5">SUM(B20:C20)</f>
        <v>87.164000000000001</v>
      </c>
      <c r="E20" s="106"/>
      <c r="F20" s="107" t="s">
        <v>95</v>
      </c>
      <c r="G20" s="108"/>
      <c r="H20" s="108"/>
      <c r="I20" s="105">
        <f t="shared" ref="I20:I29" si="6">SUM(G20:H20)</f>
        <v>0</v>
      </c>
      <c r="J20" s="104"/>
      <c r="K20" s="107" t="s">
        <v>67</v>
      </c>
      <c r="L20" s="109"/>
      <c r="M20" s="109"/>
      <c r="N20" s="109">
        <f t="shared" si="4"/>
        <v>0</v>
      </c>
      <c r="O20" s="106"/>
      <c r="P20" s="107" t="s">
        <v>67</v>
      </c>
      <c r="Q20" s="114">
        <f>327.425+100.358+4.838+30.665+15.413</f>
        <v>478.69900000000007</v>
      </c>
      <c r="R20" s="108"/>
      <c r="S20" s="105">
        <f t="shared" ref="S20:S30" si="7">SUM(Q20:R20)</f>
        <v>478.69900000000007</v>
      </c>
    </row>
    <row r="21" spans="1:20">
      <c r="A21" s="107" t="s">
        <v>96</v>
      </c>
      <c r="B21" s="105">
        <v>894.47</v>
      </c>
      <c r="C21" s="105"/>
      <c r="D21" s="105">
        <f t="shared" si="5"/>
        <v>894.47</v>
      </c>
      <c r="E21" s="106"/>
      <c r="F21" s="107" t="s">
        <v>96</v>
      </c>
      <c r="G21" s="105">
        <v>813.84299999999996</v>
      </c>
      <c r="H21" s="108"/>
      <c r="I21" s="105">
        <f t="shared" si="6"/>
        <v>813.84299999999996</v>
      </c>
      <c r="J21" s="104"/>
      <c r="K21" s="107" t="s">
        <v>97</v>
      </c>
      <c r="L21" s="109"/>
      <c r="M21" s="109"/>
      <c r="N21" s="109">
        <f t="shared" si="4"/>
        <v>0</v>
      </c>
      <c r="O21" s="106"/>
      <c r="P21" s="107" t="s">
        <v>97</v>
      </c>
      <c r="Q21" s="108"/>
      <c r="R21" s="108"/>
      <c r="S21" s="105">
        <f t="shared" si="7"/>
        <v>0</v>
      </c>
    </row>
    <row r="22" spans="1:20">
      <c r="A22" s="107" t="s">
        <v>66</v>
      </c>
      <c r="B22" s="105">
        <v>1232.595</v>
      </c>
      <c r="C22" s="109"/>
      <c r="D22" s="105">
        <f t="shared" si="5"/>
        <v>1232.595</v>
      </c>
      <c r="E22" s="106"/>
      <c r="F22" s="107" t="s">
        <v>66</v>
      </c>
      <c r="G22" s="105">
        <v>729.95399999999995</v>
      </c>
      <c r="H22" s="108"/>
      <c r="I22" s="105">
        <f t="shared" si="6"/>
        <v>729.95399999999995</v>
      </c>
      <c r="J22" s="104"/>
      <c r="K22" s="107" t="s">
        <v>98</v>
      </c>
      <c r="L22" s="109"/>
      <c r="M22" s="109"/>
      <c r="N22" s="109">
        <f t="shared" si="4"/>
        <v>0</v>
      </c>
      <c r="O22" s="106"/>
      <c r="P22" s="107" t="s">
        <v>98</v>
      </c>
      <c r="Q22" s="108"/>
      <c r="R22" s="108"/>
      <c r="S22" s="105">
        <f t="shared" si="7"/>
        <v>0</v>
      </c>
    </row>
    <row r="23" spans="1:20">
      <c r="A23" s="107" t="s">
        <v>67</v>
      </c>
      <c r="B23" s="109"/>
      <c r="C23" s="109"/>
      <c r="D23" s="105">
        <f t="shared" si="5"/>
        <v>0</v>
      </c>
      <c r="E23" s="106"/>
      <c r="F23" s="107" t="s">
        <v>67</v>
      </c>
      <c r="G23" s="114">
        <f>327.425+100.358+4.838+30.665+15.413</f>
        <v>478.69900000000007</v>
      </c>
      <c r="H23" s="108"/>
      <c r="I23" s="105">
        <f t="shared" si="6"/>
        <v>478.69900000000007</v>
      </c>
      <c r="J23" s="104"/>
      <c r="K23" s="107" t="s">
        <v>99</v>
      </c>
      <c r="L23" s="109"/>
      <c r="M23" s="109"/>
      <c r="N23" s="109">
        <f t="shared" si="4"/>
        <v>0</v>
      </c>
      <c r="O23" s="106"/>
      <c r="P23" s="107" t="s">
        <v>99</v>
      </c>
      <c r="Q23" s="108"/>
      <c r="R23" s="108"/>
      <c r="S23" s="105">
        <f t="shared" si="7"/>
        <v>0</v>
      </c>
    </row>
    <row r="24" spans="1:20">
      <c r="A24" s="107" t="s">
        <v>97</v>
      </c>
      <c r="B24" s="109"/>
      <c r="C24" s="109"/>
      <c r="D24" s="105">
        <f t="shared" si="5"/>
        <v>0</v>
      </c>
      <c r="E24" s="106"/>
      <c r="F24" s="107" t="s">
        <v>97</v>
      </c>
      <c r="G24" s="108"/>
      <c r="H24" s="108"/>
      <c r="I24" s="105">
        <f t="shared" si="6"/>
        <v>0</v>
      </c>
      <c r="J24" s="104"/>
      <c r="K24" s="107" t="s">
        <v>100</v>
      </c>
      <c r="L24" s="109"/>
      <c r="M24" s="109"/>
      <c r="N24" s="109">
        <f t="shared" si="4"/>
        <v>0</v>
      </c>
      <c r="O24" s="106"/>
      <c r="P24" s="107" t="s">
        <v>100</v>
      </c>
      <c r="Q24" s="109"/>
      <c r="R24" s="109"/>
      <c r="S24" s="105">
        <f t="shared" si="7"/>
        <v>0</v>
      </c>
    </row>
    <row r="25" spans="1:20">
      <c r="A25" s="107" t="s">
        <v>98</v>
      </c>
      <c r="B25" s="109"/>
      <c r="C25" s="109"/>
      <c r="D25" s="105">
        <f t="shared" si="5"/>
        <v>0</v>
      </c>
      <c r="E25" s="106"/>
      <c r="F25" s="107" t="s">
        <v>98</v>
      </c>
      <c r="G25" s="108"/>
      <c r="H25" s="108"/>
      <c r="I25" s="105">
        <f t="shared" si="6"/>
        <v>0</v>
      </c>
      <c r="J25" s="104"/>
      <c r="K25" s="107" t="s">
        <v>101</v>
      </c>
      <c r="L25" s="109"/>
      <c r="M25" s="109"/>
      <c r="N25" s="109">
        <f t="shared" si="4"/>
        <v>0</v>
      </c>
      <c r="O25" s="106"/>
      <c r="P25" s="107" t="s">
        <v>101</v>
      </c>
      <c r="Q25" s="109"/>
      <c r="R25" s="109"/>
      <c r="S25" s="105">
        <f t="shared" si="7"/>
        <v>0</v>
      </c>
      <c r="T25" s="10"/>
    </row>
    <row r="26" spans="1:20">
      <c r="A26" s="107" t="s">
        <v>99</v>
      </c>
      <c r="B26" s="109"/>
      <c r="C26" s="109"/>
      <c r="D26" s="105">
        <f t="shared" si="5"/>
        <v>0</v>
      </c>
      <c r="E26" s="106"/>
      <c r="F26" s="107" t="s">
        <v>99</v>
      </c>
      <c r="G26" s="108"/>
      <c r="H26" s="108"/>
      <c r="I26" s="105">
        <f t="shared" si="6"/>
        <v>0</v>
      </c>
      <c r="J26" s="104"/>
      <c r="K26" s="107" t="s">
        <v>102</v>
      </c>
      <c r="L26" s="109">
        <v>797.41</v>
      </c>
      <c r="M26" s="109"/>
      <c r="N26" s="109">
        <f t="shared" si="4"/>
        <v>797.41</v>
      </c>
      <c r="O26" s="106"/>
      <c r="P26" s="107" t="s">
        <v>102</v>
      </c>
      <c r="Q26" s="108">
        <v>357.09300000000002</v>
      </c>
      <c r="R26" s="108"/>
      <c r="S26" s="105">
        <f t="shared" si="7"/>
        <v>357.09300000000002</v>
      </c>
      <c r="T26" s="10"/>
    </row>
    <row r="27" spans="1:20">
      <c r="A27" s="107" t="s">
        <v>100</v>
      </c>
      <c r="B27" s="109"/>
      <c r="C27" s="109"/>
      <c r="D27" s="105">
        <f t="shared" si="5"/>
        <v>0</v>
      </c>
      <c r="E27" s="106"/>
      <c r="F27" s="107" t="s">
        <v>100</v>
      </c>
      <c r="G27" s="108"/>
      <c r="H27" s="108"/>
      <c r="I27" s="105">
        <f t="shared" si="6"/>
        <v>0</v>
      </c>
      <c r="J27" s="104"/>
      <c r="K27" s="107" t="s">
        <v>103</v>
      </c>
      <c r="L27" s="109">
        <v>2515.0050000000001</v>
      </c>
      <c r="M27" s="109"/>
      <c r="N27" s="109">
        <f t="shared" si="4"/>
        <v>2515.0050000000001</v>
      </c>
      <c r="O27" s="106"/>
      <c r="P27" s="107" t="s">
        <v>103</v>
      </c>
      <c r="Q27" s="109">
        <v>2386.7179999999998</v>
      </c>
      <c r="R27" s="108"/>
      <c r="S27" s="105">
        <f t="shared" si="7"/>
        <v>2386.7179999999998</v>
      </c>
      <c r="T27" s="10"/>
    </row>
    <row r="28" spans="1:20">
      <c r="A28" s="107" t="s">
        <v>101</v>
      </c>
      <c r="B28" s="109"/>
      <c r="C28" s="109"/>
      <c r="D28" s="105">
        <f t="shared" si="5"/>
        <v>0</v>
      </c>
      <c r="E28" s="106"/>
      <c r="F28" s="107" t="s">
        <v>101</v>
      </c>
      <c r="G28" s="109"/>
      <c r="H28" s="109"/>
      <c r="I28" s="105">
        <f t="shared" si="6"/>
        <v>0</v>
      </c>
      <c r="J28" s="104"/>
      <c r="K28" s="107" t="s">
        <v>104</v>
      </c>
      <c r="L28" s="108">
        <v>2736.6050000000005</v>
      </c>
      <c r="M28" s="109"/>
      <c r="N28" s="109">
        <f t="shared" si="4"/>
        <v>2736.6050000000005</v>
      </c>
      <c r="O28" s="106"/>
      <c r="P28" s="107" t="s">
        <v>104</v>
      </c>
      <c r="Q28" s="108">
        <v>1975.6949999999999</v>
      </c>
      <c r="R28" s="108"/>
      <c r="S28" s="105">
        <f t="shared" si="7"/>
        <v>1975.6949999999999</v>
      </c>
      <c r="T28" s="10"/>
    </row>
    <row r="29" spans="1:20">
      <c r="A29" s="107" t="s">
        <v>102</v>
      </c>
      <c r="B29" s="109">
        <v>797.41</v>
      </c>
      <c r="C29" s="109"/>
      <c r="D29" s="105">
        <f t="shared" si="5"/>
        <v>797.41</v>
      </c>
      <c r="E29" s="106"/>
      <c r="F29" s="107" t="s">
        <v>102</v>
      </c>
      <c r="G29" s="108">
        <v>357.09300000000002</v>
      </c>
      <c r="H29" s="108"/>
      <c r="I29" s="105">
        <f t="shared" si="6"/>
        <v>357.09300000000002</v>
      </c>
      <c r="J29" s="104"/>
      <c r="K29" s="107" t="s">
        <v>105</v>
      </c>
      <c r="L29" s="108">
        <v>2972.848</v>
      </c>
      <c r="M29" s="109"/>
      <c r="N29" s="109">
        <f>SUM(L29:M29)</f>
        <v>2972.848</v>
      </c>
      <c r="O29" s="106"/>
      <c r="P29" s="107" t="s">
        <v>105</v>
      </c>
      <c r="Q29" s="108">
        <v>3247.1669999999999</v>
      </c>
      <c r="R29" s="109"/>
      <c r="S29" s="105">
        <f t="shared" si="7"/>
        <v>3247.1669999999999</v>
      </c>
    </row>
    <row r="30" spans="1:20">
      <c r="A30" s="107" t="s">
        <v>103</v>
      </c>
      <c r="B30" s="109">
        <v>2515.0050000000001</v>
      </c>
      <c r="C30" s="109"/>
      <c r="D30" s="105">
        <f t="shared" si="5"/>
        <v>2515.0050000000001</v>
      </c>
      <c r="E30" s="106"/>
      <c r="F30" s="107" t="s">
        <v>103</v>
      </c>
      <c r="G30" s="109">
        <v>2386.7179999999998</v>
      </c>
      <c r="H30" s="108"/>
      <c r="I30" s="105">
        <f>SUM(G30:H30)</f>
        <v>2386.7179999999998</v>
      </c>
      <c r="J30" s="104"/>
      <c r="K30" s="107" t="s">
        <v>106</v>
      </c>
      <c r="L30" s="154">
        <v>1282.5930000000001</v>
      </c>
      <c r="M30" s="109"/>
      <c r="N30" s="109">
        <f>SUM(L30:M30)</f>
        <v>1282.5930000000001</v>
      </c>
      <c r="O30" s="106"/>
      <c r="P30" s="107" t="s">
        <v>106</v>
      </c>
      <c r="Q30" s="154">
        <v>1521.356</v>
      </c>
      <c r="R30" s="109"/>
      <c r="S30" s="105">
        <f t="shared" si="7"/>
        <v>1521.356</v>
      </c>
    </row>
    <row r="31" spans="1:20">
      <c r="A31" s="105" t="s">
        <v>15</v>
      </c>
      <c r="B31" s="105">
        <f>SUM(B19:B30)</f>
        <v>5526.6440000000002</v>
      </c>
      <c r="C31" s="105">
        <f>SUM(C19:C30)</f>
        <v>0</v>
      </c>
      <c r="D31" s="105">
        <f>SUM(D19:D30)</f>
        <v>5526.6440000000002</v>
      </c>
      <c r="E31" s="110"/>
      <c r="F31" s="105" t="s">
        <v>15</v>
      </c>
      <c r="G31" s="105">
        <f>SUM(G19:G30)</f>
        <v>4766.3069999999998</v>
      </c>
      <c r="H31" s="105">
        <f>SUM(H19:H30)</f>
        <v>0</v>
      </c>
      <c r="I31" s="105">
        <f>SUM(I19:I30)</f>
        <v>4766.3069999999998</v>
      </c>
      <c r="J31" s="111"/>
      <c r="K31" s="105" t="s">
        <v>15</v>
      </c>
      <c r="L31" s="105">
        <f>SUM(L19:L30)</f>
        <v>11537.056</v>
      </c>
      <c r="M31" s="105">
        <f>SUM(M19:M30)</f>
        <v>0</v>
      </c>
      <c r="N31" s="105">
        <f>SUM(N19:N30)</f>
        <v>11537.056</v>
      </c>
      <c r="O31" s="110"/>
      <c r="P31" s="105" t="s">
        <v>15</v>
      </c>
      <c r="Q31" s="105">
        <f>SUM(Q19:Q30)</f>
        <v>10696.681999999999</v>
      </c>
      <c r="R31" s="105">
        <f>SUM(R19:R30)</f>
        <v>0</v>
      </c>
      <c r="S31" s="105">
        <f>SUM(S19:S30)</f>
        <v>10696.681999999999</v>
      </c>
    </row>
    <row r="34" spans="1:20">
      <c r="A34" s="143" t="s">
        <v>80</v>
      </c>
      <c r="B34" s="143" t="s">
        <v>81</v>
      </c>
      <c r="C34" s="143" t="s">
        <v>107</v>
      </c>
      <c r="D34" s="143" t="s">
        <v>15</v>
      </c>
      <c r="E34" s="106"/>
      <c r="F34" s="143" t="s">
        <v>80</v>
      </c>
      <c r="G34" s="143" t="s">
        <v>81</v>
      </c>
      <c r="H34" s="143" t="s">
        <v>107</v>
      </c>
      <c r="I34" s="143" t="s">
        <v>15</v>
      </c>
      <c r="J34" s="104"/>
      <c r="K34" s="143" t="s">
        <v>80</v>
      </c>
      <c r="L34" s="143" t="s">
        <v>81</v>
      </c>
      <c r="M34" s="143" t="s">
        <v>107</v>
      </c>
      <c r="N34" s="143" t="s">
        <v>15</v>
      </c>
      <c r="O34" s="106"/>
      <c r="P34" s="143" t="s">
        <v>80</v>
      </c>
      <c r="Q34" s="143" t="s">
        <v>81</v>
      </c>
      <c r="R34" s="143" t="s">
        <v>107</v>
      </c>
      <c r="S34" s="143" t="s">
        <v>15</v>
      </c>
    </row>
    <row r="35" spans="1:20">
      <c r="A35" s="107" t="s">
        <v>104</v>
      </c>
      <c r="B35" s="108">
        <v>2736.6050000000005</v>
      </c>
      <c r="C35" s="143"/>
      <c r="D35" s="143">
        <f>SUM(B35:C35)</f>
        <v>2736.6050000000005</v>
      </c>
      <c r="E35" s="106"/>
      <c r="F35" s="107" t="s">
        <v>104</v>
      </c>
      <c r="G35" s="108">
        <v>1975.6949999999999</v>
      </c>
      <c r="H35" s="108"/>
      <c r="I35" s="143">
        <f>SUM(G35:H35)</f>
        <v>1975.6949999999999</v>
      </c>
      <c r="J35" s="104"/>
      <c r="K35" s="107" t="s">
        <v>119</v>
      </c>
      <c r="L35" s="167">
        <f>1822.923-20</f>
        <v>1802.923</v>
      </c>
      <c r="M35" s="109"/>
      <c r="N35" s="109">
        <f t="shared" ref="N35:N44" si="8">SUM(L35:M35)</f>
        <v>1802.923</v>
      </c>
      <c r="O35" s="106"/>
      <c r="P35" s="107" t="s">
        <v>119</v>
      </c>
      <c r="Q35" s="164">
        <v>2100.5720000000001</v>
      </c>
      <c r="R35" s="108"/>
      <c r="S35" s="143">
        <f>SUM(Q35:R35)</f>
        <v>2100.5720000000001</v>
      </c>
    </row>
    <row r="36" spans="1:20">
      <c r="A36" s="107" t="s">
        <v>105</v>
      </c>
      <c r="B36" s="108">
        <v>2972.848</v>
      </c>
      <c r="C36" s="143"/>
      <c r="D36" s="143">
        <f t="shared" ref="D36:D46" si="9">SUM(B36:C36)</f>
        <v>2972.848</v>
      </c>
      <c r="E36" s="106"/>
      <c r="F36" s="107" t="s">
        <v>105</v>
      </c>
      <c r="G36" s="108">
        <v>3247.1669999999999</v>
      </c>
      <c r="H36" s="108"/>
      <c r="I36" s="143">
        <f t="shared" ref="I36:I45" si="10">SUM(G36:H36)</f>
        <v>3247.1669999999999</v>
      </c>
      <c r="J36" s="104"/>
      <c r="K36" s="107" t="s">
        <v>120</v>
      </c>
      <c r="L36" s="176">
        <f>1323.186-1.869</f>
        <v>1321.317</v>
      </c>
      <c r="M36" s="109"/>
      <c r="N36" s="109">
        <f t="shared" si="8"/>
        <v>1321.317</v>
      </c>
      <c r="O36" s="106"/>
      <c r="P36" s="107" t="s">
        <v>120</v>
      </c>
      <c r="Q36" s="175">
        <v>717.3</v>
      </c>
      <c r="R36" s="108"/>
      <c r="S36" s="143">
        <f t="shared" ref="S36:S46" si="11">SUM(Q36:R36)</f>
        <v>717.3</v>
      </c>
    </row>
    <row r="37" spans="1:20">
      <c r="A37" s="107" t="s">
        <v>106</v>
      </c>
      <c r="B37" s="143">
        <v>1282.5930000000001</v>
      </c>
      <c r="C37" s="143"/>
      <c r="D37" s="143">
        <f t="shared" si="9"/>
        <v>1282.5930000000001</v>
      </c>
      <c r="E37" s="106"/>
      <c r="F37" s="107" t="s">
        <v>106</v>
      </c>
      <c r="G37" s="143">
        <v>1521.356</v>
      </c>
      <c r="H37" s="108"/>
      <c r="I37" s="143">
        <f t="shared" si="10"/>
        <v>1521.356</v>
      </c>
      <c r="J37" s="104"/>
      <c r="K37" s="107" t="s">
        <v>121</v>
      </c>
      <c r="L37" s="109">
        <v>2294.8040000000001</v>
      </c>
      <c r="M37" s="109"/>
      <c r="N37" s="109">
        <f t="shared" si="8"/>
        <v>2294.8040000000001</v>
      </c>
      <c r="O37" s="106"/>
      <c r="P37" s="107" t="s">
        <v>121</v>
      </c>
      <c r="Q37" s="108">
        <v>2546.7620000000002</v>
      </c>
      <c r="R37" s="108"/>
      <c r="S37" s="143">
        <f t="shared" si="11"/>
        <v>2546.7620000000002</v>
      </c>
    </row>
    <row r="38" spans="1:20">
      <c r="A38" s="107" t="s">
        <v>119</v>
      </c>
      <c r="B38" s="143">
        <f>1822.923-20</f>
        <v>1802.923</v>
      </c>
      <c r="C38" s="109"/>
      <c r="D38" s="143">
        <f t="shared" si="9"/>
        <v>1802.923</v>
      </c>
      <c r="E38" s="106"/>
      <c r="F38" s="107" t="s">
        <v>119</v>
      </c>
      <c r="G38" s="143">
        <v>2100.5720000000001</v>
      </c>
      <c r="H38" s="108"/>
      <c r="I38" s="143">
        <f t="shared" si="10"/>
        <v>2100.5720000000001</v>
      </c>
      <c r="J38" s="104"/>
      <c r="K38" s="107" t="s">
        <v>122</v>
      </c>
      <c r="L38" s="109">
        <v>2819.069</v>
      </c>
      <c r="M38" s="109"/>
      <c r="N38" s="109">
        <f t="shared" si="8"/>
        <v>2819.069</v>
      </c>
      <c r="O38" s="106"/>
      <c r="P38" s="107" t="s">
        <v>122</v>
      </c>
      <c r="Q38" s="108">
        <v>2561.7379999999998</v>
      </c>
      <c r="R38" s="108">
        <v>16.922999999999998</v>
      </c>
      <c r="S38" s="143">
        <f t="shared" si="11"/>
        <v>2578.6609999999996</v>
      </c>
    </row>
    <row r="39" spans="1:20">
      <c r="A39" s="107" t="s">
        <v>120</v>
      </c>
      <c r="B39" s="171">
        <f>1323.186-1.869</f>
        <v>1321.317</v>
      </c>
      <c r="C39" s="109"/>
      <c r="D39" s="143">
        <f t="shared" si="9"/>
        <v>1321.317</v>
      </c>
      <c r="E39" s="106"/>
      <c r="F39" s="107" t="s">
        <v>120</v>
      </c>
      <c r="G39" s="175">
        <v>717.3</v>
      </c>
      <c r="H39" s="108"/>
      <c r="I39" s="143">
        <f t="shared" si="10"/>
        <v>717.3</v>
      </c>
      <c r="J39" s="104"/>
      <c r="K39" s="107" t="s">
        <v>123</v>
      </c>
      <c r="L39" s="109">
        <v>4024.1539999999977</v>
      </c>
      <c r="M39" s="109"/>
      <c r="N39" s="109">
        <f t="shared" si="8"/>
        <v>4024.1539999999977</v>
      </c>
      <c r="O39" s="106"/>
      <c r="P39" s="107" t="s">
        <v>123</v>
      </c>
      <c r="Q39" s="109">
        <f>3801.575-33.751</f>
        <v>3767.8239999999996</v>
      </c>
      <c r="R39" s="108">
        <f>4.966+28.785</f>
        <v>33.750999999999998</v>
      </c>
      <c r="S39" s="143">
        <f t="shared" si="11"/>
        <v>3801.5749999999998</v>
      </c>
    </row>
    <row r="40" spans="1:20">
      <c r="A40" s="107" t="s">
        <v>121</v>
      </c>
      <c r="B40" s="109">
        <v>2294.8040000000001</v>
      </c>
      <c r="C40" s="109"/>
      <c r="D40" s="143">
        <f t="shared" si="9"/>
        <v>2294.8040000000001</v>
      </c>
      <c r="E40" s="106"/>
      <c r="F40" s="107" t="s">
        <v>121</v>
      </c>
      <c r="G40" s="108">
        <v>2546.7620000000002</v>
      </c>
      <c r="H40" s="108"/>
      <c r="I40" s="143">
        <f t="shared" si="10"/>
        <v>2546.7620000000002</v>
      </c>
      <c r="J40" s="104"/>
      <c r="K40" s="107" t="s">
        <v>124</v>
      </c>
      <c r="L40" s="109">
        <v>2962.0950000000007</v>
      </c>
      <c r="M40" s="109"/>
      <c r="N40" s="109">
        <f t="shared" si="8"/>
        <v>2962.0950000000007</v>
      </c>
      <c r="O40" s="106"/>
      <c r="P40" s="107" t="s">
        <v>124</v>
      </c>
      <c r="Q40" s="108">
        <v>2821.393</v>
      </c>
      <c r="R40" s="108">
        <v>114.42100000000001</v>
      </c>
      <c r="S40" s="143">
        <f t="shared" si="11"/>
        <v>2935.8139999999999</v>
      </c>
    </row>
    <row r="41" spans="1:20">
      <c r="A41" s="107" t="s">
        <v>122</v>
      </c>
      <c r="B41" s="109">
        <v>2819.069</v>
      </c>
      <c r="C41" s="109"/>
      <c r="D41" s="143">
        <f t="shared" si="9"/>
        <v>2819.069</v>
      </c>
      <c r="E41" s="106"/>
      <c r="F41" s="107" t="s">
        <v>122</v>
      </c>
      <c r="G41" s="108">
        <v>2561.7379999999998</v>
      </c>
      <c r="H41" s="108">
        <v>16.922999999999998</v>
      </c>
      <c r="I41" s="143">
        <f t="shared" si="10"/>
        <v>2578.6609999999996</v>
      </c>
      <c r="J41" s="104"/>
      <c r="K41" s="107" t="s">
        <v>125</v>
      </c>
      <c r="L41" s="109"/>
      <c r="M41" s="109"/>
      <c r="N41" s="109">
        <f t="shared" si="8"/>
        <v>0</v>
      </c>
      <c r="O41" s="106"/>
      <c r="P41" s="107" t="s">
        <v>125</v>
      </c>
      <c r="Q41" s="109"/>
      <c r="R41" s="109"/>
      <c r="S41" s="143">
        <f t="shared" si="11"/>
        <v>0</v>
      </c>
      <c r="T41" s="10"/>
    </row>
    <row r="42" spans="1:20">
      <c r="A42" s="107" t="s">
        <v>123</v>
      </c>
      <c r="B42" s="109">
        <v>4024.1539999999977</v>
      </c>
      <c r="C42" s="109"/>
      <c r="D42" s="143">
        <f t="shared" si="9"/>
        <v>4024.1539999999977</v>
      </c>
      <c r="E42" s="106"/>
      <c r="F42" s="107" t="s">
        <v>123</v>
      </c>
      <c r="G42" s="109">
        <f>3801.575-33.751</f>
        <v>3767.8239999999996</v>
      </c>
      <c r="H42" s="108">
        <f>4.966+28.785</f>
        <v>33.750999999999998</v>
      </c>
      <c r="I42" s="143">
        <f t="shared" si="10"/>
        <v>3801.5749999999998</v>
      </c>
      <c r="J42" s="104"/>
      <c r="K42" s="107" t="s">
        <v>126</v>
      </c>
      <c r="L42" s="109"/>
      <c r="M42" s="109"/>
      <c r="N42" s="109">
        <f t="shared" si="8"/>
        <v>0</v>
      </c>
      <c r="O42" s="106"/>
      <c r="P42" s="107" t="s">
        <v>126</v>
      </c>
      <c r="Q42" s="108"/>
      <c r="R42" s="108"/>
      <c r="S42" s="143">
        <f t="shared" si="11"/>
        <v>0</v>
      </c>
      <c r="T42" s="10"/>
    </row>
    <row r="43" spans="1:20">
      <c r="A43" s="107" t="s">
        <v>124</v>
      </c>
      <c r="B43" s="109">
        <v>2962.0950000000007</v>
      </c>
      <c r="C43" s="109"/>
      <c r="D43" s="143">
        <f t="shared" si="9"/>
        <v>2962.0950000000007</v>
      </c>
      <c r="E43" s="106"/>
      <c r="F43" s="107" t="s">
        <v>124</v>
      </c>
      <c r="G43" s="108">
        <v>2821.393</v>
      </c>
      <c r="H43" s="108">
        <v>114.42100000000001</v>
      </c>
      <c r="I43" s="143">
        <f t="shared" si="10"/>
        <v>2935.8139999999999</v>
      </c>
      <c r="J43" s="104"/>
      <c r="K43" s="107" t="s">
        <v>127</v>
      </c>
      <c r="L43" s="109"/>
      <c r="M43" s="109"/>
      <c r="N43" s="109">
        <f t="shared" si="8"/>
        <v>0</v>
      </c>
      <c r="O43" s="106"/>
      <c r="P43" s="107" t="s">
        <v>127</v>
      </c>
      <c r="Q43" s="109"/>
      <c r="R43" s="108"/>
      <c r="S43" s="143">
        <f t="shared" si="11"/>
        <v>0</v>
      </c>
      <c r="T43" s="10"/>
    </row>
    <row r="44" spans="1:20">
      <c r="A44" s="107" t="s">
        <v>125</v>
      </c>
      <c r="B44" s="109"/>
      <c r="C44" s="109"/>
      <c r="D44" s="143">
        <f t="shared" si="9"/>
        <v>0</v>
      </c>
      <c r="E44" s="106"/>
      <c r="F44" s="107" t="s">
        <v>125</v>
      </c>
      <c r="G44" s="109"/>
      <c r="H44" s="109"/>
      <c r="I44" s="143">
        <f t="shared" si="10"/>
        <v>0</v>
      </c>
      <c r="J44" s="104"/>
      <c r="K44" s="107" t="s">
        <v>128</v>
      </c>
      <c r="L44" s="143"/>
      <c r="M44" s="109"/>
      <c r="N44" s="109">
        <f t="shared" si="8"/>
        <v>0</v>
      </c>
      <c r="O44" s="106"/>
      <c r="P44" s="107" t="s">
        <v>128</v>
      </c>
      <c r="Q44" s="108"/>
      <c r="R44" s="108"/>
      <c r="S44" s="143">
        <f t="shared" si="11"/>
        <v>0</v>
      </c>
      <c r="T44" s="10"/>
    </row>
    <row r="45" spans="1:20">
      <c r="A45" s="107" t="s">
        <v>126</v>
      </c>
      <c r="B45" s="109"/>
      <c r="C45" s="109"/>
      <c r="D45" s="143">
        <f t="shared" si="9"/>
        <v>0</v>
      </c>
      <c r="E45" s="106"/>
      <c r="F45" s="107" t="s">
        <v>126</v>
      </c>
      <c r="G45" s="108"/>
      <c r="H45" s="108"/>
      <c r="I45" s="143">
        <f t="shared" si="10"/>
        <v>0</v>
      </c>
      <c r="J45" s="104"/>
      <c r="K45" s="107" t="s">
        <v>129</v>
      </c>
      <c r="L45" s="143"/>
      <c r="M45" s="109"/>
      <c r="N45" s="109">
        <f>SUM(L45:M45)</f>
        <v>0</v>
      </c>
      <c r="O45" s="106"/>
      <c r="P45" s="107" t="s">
        <v>129</v>
      </c>
      <c r="Q45" s="108"/>
      <c r="R45" s="109"/>
      <c r="S45" s="143">
        <f t="shared" si="11"/>
        <v>0</v>
      </c>
    </row>
    <row r="46" spans="1:20">
      <c r="A46" s="107" t="s">
        <v>127</v>
      </c>
      <c r="B46" s="109"/>
      <c r="C46" s="109"/>
      <c r="D46" s="143">
        <f t="shared" si="9"/>
        <v>0</v>
      </c>
      <c r="E46" s="106"/>
      <c r="F46" s="107" t="s">
        <v>127</v>
      </c>
      <c r="G46" s="109"/>
      <c r="H46" s="108"/>
      <c r="I46" s="143">
        <f>SUM(G46:H46)</f>
        <v>0</v>
      </c>
      <c r="J46" s="104"/>
      <c r="K46" s="107" t="s">
        <v>130</v>
      </c>
      <c r="L46" s="109"/>
      <c r="M46" s="109"/>
      <c r="N46" s="109">
        <f>SUM(L46:M46)</f>
        <v>0</v>
      </c>
      <c r="O46" s="106"/>
      <c r="P46" s="107" t="s">
        <v>130</v>
      </c>
      <c r="Q46" s="108"/>
      <c r="R46" s="109"/>
      <c r="S46" s="143">
        <f t="shared" si="11"/>
        <v>0</v>
      </c>
    </row>
    <row r="47" spans="1:20">
      <c r="A47" s="143" t="s">
        <v>15</v>
      </c>
      <c r="B47" s="143">
        <f>SUM(B35:B46)</f>
        <v>22216.407999999999</v>
      </c>
      <c r="C47" s="143">
        <f>SUM(C35:C46)</f>
        <v>0</v>
      </c>
      <c r="D47" s="143">
        <f>SUM(D35:D46)</f>
        <v>22216.407999999999</v>
      </c>
      <c r="E47" s="110"/>
      <c r="F47" s="143" t="s">
        <v>15</v>
      </c>
      <c r="G47" s="143">
        <f>SUM(G35:G46)</f>
        <v>21259.807000000001</v>
      </c>
      <c r="H47" s="143">
        <f>SUM(H35:H46)</f>
        <v>165.095</v>
      </c>
      <c r="I47" s="143">
        <f>SUM(I35:I46)</f>
        <v>21424.901999999998</v>
      </c>
      <c r="J47" s="111"/>
      <c r="K47" s="143" t="s">
        <v>15</v>
      </c>
      <c r="L47" s="143">
        <f>SUM(L35:L46)</f>
        <v>15224.361999999997</v>
      </c>
      <c r="M47" s="143">
        <f>SUM(M35:M46)</f>
        <v>0</v>
      </c>
      <c r="N47" s="143">
        <f>SUM(N35:N46)</f>
        <v>15224.361999999997</v>
      </c>
      <c r="O47" s="110"/>
      <c r="P47" s="143" t="s">
        <v>15</v>
      </c>
      <c r="Q47" s="143">
        <f>SUM(Q35:Q46)</f>
        <v>14515.589</v>
      </c>
      <c r="R47" s="143">
        <f>SUM(R35:R46)</f>
        <v>165.095</v>
      </c>
      <c r="S47" s="143">
        <f>SUM(S35:S46)</f>
        <v>14680.683999999999</v>
      </c>
    </row>
    <row r="49" spans="1:14" ht="15.75" thickBot="1"/>
    <row r="50" spans="1:14" ht="15.75" thickBot="1">
      <c r="A50" s="260" t="s">
        <v>108</v>
      </c>
      <c r="B50" s="261"/>
      <c r="C50" s="261"/>
      <c r="D50" s="261"/>
      <c r="E50" s="261"/>
      <c r="F50" s="261"/>
      <c r="G50" s="262"/>
      <c r="I50" s="263" t="s">
        <v>109</v>
      </c>
      <c r="J50" s="263"/>
      <c r="K50" s="263"/>
      <c r="L50" s="263"/>
      <c r="M50" s="263"/>
      <c r="N50" s="263"/>
    </row>
    <row r="51" spans="1:14">
      <c r="A51" s="113"/>
      <c r="B51" s="105" t="s">
        <v>81</v>
      </c>
      <c r="C51" s="264" t="s">
        <v>114</v>
      </c>
      <c r="D51" s="264"/>
      <c r="E51" s="264"/>
      <c r="F51" s="264"/>
      <c r="G51" s="113"/>
      <c r="I51" s="105"/>
      <c r="J51" s="105"/>
      <c r="K51" s="263" t="s">
        <v>113</v>
      </c>
      <c r="L51" s="263"/>
      <c r="M51" s="263"/>
      <c r="N51" s="263"/>
    </row>
    <row r="52" spans="1:14">
      <c r="A52" s="105" t="s">
        <v>80</v>
      </c>
      <c r="B52" s="105" t="s">
        <v>110</v>
      </c>
      <c r="C52" s="105" t="s">
        <v>110</v>
      </c>
      <c r="D52" s="105" t="s">
        <v>111</v>
      </c>
      <c r="E52" s="112"/>
      <c r="F52" s="105" t="s">
        <v>112</v>
      </c>
      <c r="G52" s="105" t="s">
        <v>45</v>
      </c>
      <c r="I52" s="105" t="s">
        <v>80</v>
      </c>
      <c r="J52" s="105"/>
      <c r="K52" s="105" t="s">
        <v>110</v>
      </c>
      <c r="L52" s="105" t="s">
        <v>111</v>
      </c>
      <c r="M52" s="105" t="s">
        <v>112</v>
      </c>
      <c r="N52" s="105" t="s">
        <v>45</v>
      </c>
    </row>
    <row r="53" spans="1:14">
      <c r="A53" s="107" t="s">
        <v>94</v>
      </c>
      <c r="B53" s="105">
        <v>2411.04</v>
      </c>
      <c r="C53" s="105"/>
      <c r="D53" s="105"/>
      <c r="E53" s="112"/>
      <c r="F53" s="105"/>
      <c r="G53" s="105">
        <f t="shared" ref="G53:G64" si="12">SUM(B53:F53)</f>
        <v>2411.04</v>
      </c>
      <c r="I53" s="107" t="s">
        <v>94</v>
      </c>
      <c r="J53" s="105"/>
      <c r="K53" s="105"/>
      <c r="L53" s="105"/>
      <c r="M53" s="112"/>
      <c r="N53" s="105">
        <f>SUM(J53:M53)</f>
        <v>0</v>
      </c>
    </row>
    <row r="54" spans="1:14">
      <c r="A54" s="107" t="s">
        <v>95</v>
      </c>
      <c r="B54" s="105">
        <v>1411.09</v>
      </c>
      <c r="C54" s="105"/>
      <c r="D54" s="105"/>
      <c r="E54" s="112"/>
      <c r="F54" s="105"/>
      <c r="G54" s="105">
        <f t="shared" si="12"/>
        <v>1411.09</v>
      </c>
      <c r="I54" s="107" t="s">
        <v>95</v>
      </c>
      <c r="J54" s="105"/>
      <c r="K54" s="105">
        <v>1537.59</v>
      </c>
      <c r="L54" s="105"/>
      <c r="M54" s="112"/>
      <c r="N54" s="105">
        <f t="shared" ref="N54:N64" si="13">SUM(I54:M54)</f>
        <v>1537.59</v>
      </c>
    </row>
    <row r="55" spans="1:14">
      <c r="A55" s="107" t="s">
        <v>96</v>
      </c>
      <c r="B55" s="105"/>
      <c r="C55" s="105">
        <v>1362.22</v>
      </c>
      <c r="D55" s="105">
        <v>573.13</v>
      </c>
      <c r="E55" s="112"/>
      <c r="F55" s="105">
        <v>926.63</v>
      </c>
      <c r="G55" s="105">
        <f t="shared" si="12"/>
        <v>2861.98</v>
      </c>
      <c r="I55" s="107" t="s">
        <v>96</v>
      </c>
      <c r="J55" s="105"/>
      <c r="K55" s="105">
        <v>737.81700000000001</v>
      </c>
      <c r="L55" s="105"/>
      <c r="M55" s="112"/>
      <c r="N55" s="105">
        <f t="shared" si="13"/>
        <v>737.81700000000001</v>
      </c>
    </row>
    <row r="56" spans="1:14">
      <c r="A56" s="107" t="s">
        <v>66</v>
      </c>
      <c r="B56" s="105"/>
      <c r="C56" s="105">
        <v>437.31200000000001</v>
      </c>
      <c r="D56" s="105">
        <v>392.608</v>
      </c>
      <c r="E56" s="112"/>
      <c r="F56" s="105"/>
      <c r="G56" s="105">
        <f t="shared" si="12"/>
        <v>829.92000000000007</v>
      </c>
      <c r="I56" s="107" t="s">
        <v>66</v>
      </c>
      <c r="J56" s="105"/>
      <c r="K56" s="105">
        <f>1108.87-181.72</f>
        <v>927.14999999999986</v>
      </c>
      <c r="L56" s="105">
        <v>181.72</v>
      </c>
      <c r="M56" s="112"/>
      <c r="N56" s="105">
        <f t="shared" si="13"/>
        <v>1108.8699999999999</v>
      </c>
    </row>
    <row r="57" spans="1:14">
      <c r="A57" s="107" t="s">
        <v>67</v>
      </c>
      <c r="B57" s="109"/>
      <c r="C57" s="109"/>
      <c r="D57" s="109"/>
      <c r="E57" s="112"/>
      <c r="F57" s="109">
        <v>318.5</v>
      </c>
      <c r="G57" s="105">
        <f t="shared" si="12"/>
        <v>318.5</v>
      </c>
      <c r="I57" s="107" t="s">
        <v>67</v>
      </c>
      <c r="J57" s="109"/>
      <c r="K57" s="109"/>
      <c r="L57" s="109"/>
      <c r="M57" s="112"/>
      <c r="N57" s="105">
        <f t="shared" si="13"/>
        <v>0</v>
      </c>
    </row>
    <row r="58" spans="1:14">
      <c r="A58" s="107" t="s">
        <v>97</v>
      </c>
      <c r="B58" s="109">
        <f>1242.62+1020.1</f>
        <v>2262.7199999999998</v>
      </c>
      <c r="C58" s="109"/>
      <c r="D58" s="109"/>
      <c r="E58" s="112"/>
      <c r="F58" s="109"/>
      <c r="G58" s="105">
        <f t="shared" si="12"/>
        <v>2262.7199999999998</v>
      </c>
      <c r="I58" s="107" t="s">
        <v>97</v>
      </c>
      <c r="J58" s="109"/>
      <c r="K58" s="109"/>
      <c r="L58" s="109"/>
      <c r="M58" s="112"/>
      <c r="N58" s="105">
        <f t="shared" si="13"/>
        <v>0</v>
      </c>
    </row>
    <row r="59" spans="1:14">
      <c r="A59" s="107" t="s">
        <v>98</v>
      </c>
      <c r="B59" s="109">
        <v>728.2</v>
      </c>
      <c r="C59" s="109"/>
      <c r="D59" s="109"/>
      <c r="E59" s="112"/>
      <c r="F59" s="109"/>
      <c r="G59" s="105">
        <f t="shared" si="12"/>
        <v>728.2</v>
      </c>
      <c r="I59" s="107" t="s">
        <v>98</v>
      </c>
      <c r="J59" s="109"/>
      <c r="K59" s="109"/>
      <c r="L59" s="109"/>
      <c r="M59" s="112"/>
      <c r="N59" s="105">
        <f t="shared" si="13"/>
        <v>0</v>
      </c>
    </row>
    <row r="60" spans="1:14">
      <c r="A60" s="107" t="s">
        <v>99</v>
      </c>
      <c r="B60" s="109"/>
      <c r="C60" s="109"/>
      <c r="D60" s="109"/>
      <c r="E60" s="112"/>
      <c r="F60" s="109">
        <v>61.3</v>
      </c>
      <c r="G60" s="105">
        <f t="shared" si="12"/>
        <v>61.3</v>
      </c>
      <c r="I60" s="107" t="s">
        <v>99</v>
      </c>
      <c r="J60" s="109"/>
      <c r="K60" s="109"/>
      <c r="L60" s="109"/>
      <c r="M60" s="112"/>
      <c r="N60" s="105">
        <f t="shared" si="13"/>
        <v>0</v>
      </c>
    </row>
    <row r="61" spans="1:14">
      <c r="A61" s="107" t="s">
        <v>100</v>
      </c>
      <c r="B61" s="109"/>
      <c r="C61" s="109"/>
      <c r="D61" s="109"/>
      <c r="E61" s="112"/>
      <c r="F61" s="109"/>
      <c r="G61" s="105">
        <f t="shared" si="12"/>
        <v>0</v>
      </c>
      <c r="I61" s="107" t="s">
        <v>100</v>
      </c>
      <c r="J61" s="109"/>
      <c r="K61" s="109"/>
      <c r="L61" s="109"/>
      <c r="M61" s="112"/>
      <c r="N61" s="105">
        <f t="shared" si="13"/>
        <v>0</v>
      </c>
    </row>
    <row r="62" spans="1:14">
      <c r="A62" s="107" t="s">
        <v>101</v>
      </c>
      <c r="B62" s="109"/>
      <c r="C62" s="109"/>
      <c r="D62" s="109"/>
      <c r="E62" s="112"/>
      <c r="F62" s="109"/>
      <c r="G62" s="105">
        <f t="shared" si="12"/>
        <v>0</v>
      </c>
      <c r="I62" s="107" t="s">
        <v>101</v>
      </c>
      <c r="J62" s="109"/>
      <c r="K62" s="109"/>
      <c r="L62" s="109"/>
      <c r="M62" s="112"/>
      <c r="N62" s="105">
        <f t="shared" si="13"/>
        <v>0</v>
      </c>
    </row>
    <row r="63" spans="1:14">
      <c r="A63" s="107" t="s">
        <v>102</v>
      </c>
      <c r="B63" s="109"/>
      <c r="C63" s="109"/>
      <c r="D63" s="109"/>
      <c r="E63" s="112"/>
      <c r="F63" s="109"/>
      <c r="G63" s="105">
        <f t="shared" si="12"/>
        <v>0</v>
      </c>
      <c r="I63" s="107" t="s">
        <v>102</v>
      </c>
      <c r="J63" s="109"/>
      <c r="K63" s="109"/>
      <c r="L63" s="109"/>
      <c r="M63" s="112"/>
      <c r="N63" s="105">
        <f t="shared" si="13"/>
        <v>0</v>
      </c>
    </row>
    <row r="64" spans="1:14">
      <c r="A64" s="107" t="s">
        <v>103</v>
      </c>
      <c r="B64" s="109">
        <v>2772.2759999999998</v>
      </c>
      <c r="C64" s="109"/>
      <c r="D64" s="109"/>
      <c r="E64" s="112"/>
      <c r="F64" s="109"/>
      <c r="G64" s="105">
        <f t="shared" si="12"/>
        <v>2772.2759999999998</v>
      </c>
      <c r="I64" s="107" t="s">
        <v>103</v>
      </c>
      <c r="J64" s="109"/>
      <c r="K64" s="109"/>
      <c r="L64" s="109"/>
      <c r="M64" s="112"/>
      <c r="N64" s="105">
        <f t="shared" si="13"/>
        <v>0</v>
      </c>
    </row>
    <row r="65" spans="1:14">
      <c r="A65" s="105" t="s">
        <v>15</v>
      </c>
      <c r="B65" s="105">
        <f>SUM(B53:B64)</f>
        <v>9585.3260000000009</v>
      </c>
      <c r="C65" s="105">
        <f>SUM(C53:C64)</f>
        <v>1799.5320000000002</v>
      </c>
      <c r="D65" s="105">
        <f>SUM(D53:D64)</f>
        <v>965.73800000000006</v>
      </c>
      <c r="E65" s="112"/>
      <c r="F65" s="105">
        <f>SUM(F53:F64)</f>
        <v>1306.43</v>
      </c>
      <c r="G65" s="105">
        <f>SUM(G53:G64)</f>
        <v>13657.026</v>
      </c>
      <c r="I65" s="105" t="s">
        <v>15</v>
      </c>
      <c r="J65" s="105"/>
      <c r="K65" s="105">
        <f>SUM(K53:K64)</f>
        <v>3202.5569999999998</v>
      </c>
      <c r="L65" s="105">
        <f>SUM(L53:L64)</f>
        <v>181.72</v>
      </c>
      <c r="M65" s="112"/>
      <c r="N65" s="105">
        <f>SUM(N53:N64)</f>
        <v>3384.277</v>
      </c>
    </row>
    <row r="67" spans="1:14" ht="15.75" thickBot="1"/>
    <row r="68" spans="1:14" ht="15.75" thickBot="1">
      <c r="A68" s="260" t="s">
        <v>108</v>
      </c>
      <c r="B68" s="261"/>
      <c r="C68" s="261"/>
      <c r="D68" s="261"/>
      <c r="E68" s="261"/>
      <c r="F68" s="261"/>
      <c r="G68" s="262"/>
      <c r="I68" s="263" t="s">
        <v>109</v>
      </c>
      <c r="J68" s="263"/>
      <c r="K68" s="263"/>
      <c r="L68" s="263"/>
      <c r="M68" s="263"/>
      <c r="N68" s="263"/>
    </row>
    <row r="69" spans="1:14">
      <c r="A69" s="144"/>
      <c r="B69" s="143" t="s">
        <v>81</v>
      </c>
      <c r="C69" s="264" t="s">
        <v>114</v>
      </c>
      <c r="D69" s="264"/>
      <c r="E69" s="264"/>
      <c r="F69" s="264"/>
      <c r="G69" s="144"/>
      <c r="I69" s="143"/>
      <c r="J69" s="143"/>
      <c r="K69" s="263" t="s">
        <v>113</v>
      </c>
      <c r="L69" s="263"/>
      <c r="M69" s="263"/>
      <c r="N69" s="263"/>
    </row>
    <row r="70" spans="1:14">
      <c r="A70" s="143" t="s">
        <v>80</v>
      </c>
      <c r="B70" s="143" t="s">
        <v>110</v>
      </c>
      <c r="C70" s="143" t="s">
        <v>110</v>
      </c>
      <c r="D70" s="143" t="s">
        <v>111</v>
      </c>
      <c r="E70" s="112"/>
      <c r="F70" s="143" t="s">
        <v>112</v>
      </c>
      <c r="G70" s="143" t="s">
        <v>45</v>
      </c>
      <c r="I70" s="143" t="s">
        <v>80</v>
      </c>
      <c r="J70" s="143"/>
      <c r="K70" s="143" t="s">
        <v>110</v>
      </c>
      <c r="L70" s="143" t="s">
        <v>111</v>
      </c>
      <c r="M70" s="143" t="s">
        <v>112</v>
      </c>
      <c r="N70" s="143" t="s">
        <v>45</v>
      </c>
    </row>
    <row r="71" spans="1:14">
      <c r="A71" s="107" t="s">
        <v>104</v>
      </c>
      <c r="B71" s="108">
        <f>1903.05+0.413</f>
        <v>1903.463</v>
      </c>
      <c r="C71" s="143"/>
      <c r="D71" s="143"/>
      <c r="E71" s="112"/>
      <c r="F71" s="143"/>
      <c r="G71" s="143">
        <f t="shared" ref="G71:G82" si="14">SUM(B71:F71)</f>
        <v>1903.463</v>
      </c>
      <c r="I71" s="107" t="s">
        <v>104</v>
      </c>
      <c r="J71" s="143"/>
      <c r="K71" s="143"/>
      <c r="L71" s="143"/>
      <c r="M71" s="112"/>
      <c r="N71" s="143">
        <f>SUM(J71:M71)</f>
        <v>0</v>
      </c>
    </row>
    <row r="72" spans="1:14">
      <c r="A72" s="107" t="s">
        <v>105</v>
      </c>
      <c r="B72" s="108">
        <v>3997.7289999999998</v>
      </c>
      <c r="C72" s="143"/>
      <c r="D72" s="143"/>
      <c r="E72" s="112"/>
      <c r="F72" s="143">
        <v>186.3</v>
      </c>
      <c r="G72" s="143">
        <f t="shared" si="14"/>
        <v>4184.0289999999995</v>
      </c>
      <c r="I72" s="107" t="s">
        <v>105</v>
      </c>
      <c r="J72" s="143"/>
      <c r="K72" s="143"/>
      <c r="L72" s="143"/>
      <c r="M72" s="112"/>
      <c r="N72" s="143">
        <f t="shared" ref="N72:N82" si="15">SUM(I72:M72)</f>
        <v>0</v>
      </c>
    </row>
    <row r="73" spans="1:14">
      <c r="A73" s="107" t="s">
        <v>106</v>
      </c>
      <c r="B73" s="108">
        <v>76.290000000000006</v>
      </c>
      <c r="C73" s="143"/>
      <c r="D73" s="143"/>
      <c r="E73" s="112"/>
      <c r="F73" s="143"/>
      <c r="G73" s="143">
        <f t="shared" si="14"/>
        <v>76.290000000000006</v>
      </c>
      <c r="I73" s="107" t="s">
        <v>106</v>
      </c>
      <c r="J73" s="143"/>
      <c r="K73" s="143"/>
      <c r="L73" s="143"/>
      <c r="M73" s="112"/>
      <c r="N73" s="143">
        <f t="shared" si="15"/>
        <v>0</v>
      </c>
    </row>
    <row r="74" spans="1:14">
      <c r="A74" s="107" t="s">
        <v>119</v>
      </c>
      <c r="B74" s="108">
        <f>1658.574+2.125</f>
        <v>1660.6990000000001</v>
      </c>
      <c r="C74" s="143"/>
      <c r="D74" s="143"/>
      <c r="E74" s="112"/>
      <c r="F74" s="143"/>
      <c r="G74" s="143">
        <f t="shared" si="14"/>
        <v>1660.6990000000001</v>
      </c>
      <c r="I74" s="107" t="s">
        <v>119</v>
      </c>
      <c r="J74" s="143"/>
      <c r="K74" s="143"/>
      <c r="L74" s="143"/>
      <c r="M74" s="112"/>
      <c r="N74" s="143">
        <f t="shared" si="15"/>
        <v>0</v>
      </c>
    </row>
    <row r="75" spans="1:14">
      <c r="A75" s="107" t="s">
        <v>120</v>
      </c>
      <c r="B75" s="108">
        <f>1198.68+767.1+315.66+512.5</f>
        <v>2793.94</v>
      </c>
      <c r="C75" s="109"/>
      <c r="D75" s="109"/>
      <c r="E75" s="112"/>
      <c r="F75" s="109"/>
      <c r="G75" s="143">
        <f t="shared" si="14"/>
        <v>2793.94</v>
      </c>
      <c r="I75" s="107" t="s">
        <v>120</v>
      </c>
      <c r="J75" s="109"/>
      <c r="K75" s="109"/>
      <c r="L75" s="109"/>
      <c r="M75" s="112"/>
      <c r="N75" s="143">
        <f t="shared" si="15"/>
        <v>0</v>
      </c>
    </row>
    <row r="76" spans="1:14">
      <c r="A76" s="107" t="s">
        <v>121</v>
      </c>
      <c r="B76" s="108">
        <f>528.839+543.442</f>
        <v>1072.2809999999999</v>
      </c>
      <c r="C76" s="109"/>
      <c r="D76" s="109"/>
      <c r="E76" s="112"/>
      <c r="F76" s="109"/>
      <c r="G76" s="143">
        <f t="shared" si="14"/>
        <v>1072.2809999999999</v>
      </c>
      <c r="I76" s="107" t="s">
        <v>121</v>
      </c>
      <c r="J76" s="109"/>
      <c r="K76" s="109"/>
      <c r="L76" s="109"/>
      <c r="M76" s="112"/>
      <c r="N76" s="143">
        <f t="shared" si="15"/>
        <v>0</v>
      </c>
    </row>
    <row r="77" spans="1:14">
      <c r="A77" s="107" t="s">
        <v>122</v>
      </c>
      <c r="B77" s="108">
        <v>7684.1</v>
      </c>
      <c r="C77" s="109"/>
      <c r="D77" s="109"/>
      <c r="E77" s="112"/>
      <c r="F77" s="109"/>
      <c r="G77" s="143">
        <f t="shared" si="14"/>
        <v>7684.1</v>
      </c>
      <c r="I77" s="107" t="s">
        <v>122</v>
      </c>
      <c r="J77" s="109"/>
      <c r="K77" s="109"/>
      <c r="L77" s="109"/>
      <c r="M77" s="112"/>
      <c r="N77" s="143">
        <f t="shared" si="15"/>
        <v>0</v>
      </c>
    </row>
    <row r="78" spans="1:14">
      <c r="A78" s="107" t="s">
        <v>123</v>
      </c>
      <c r="B78" s="109">
        <v>1815.808</v>
      </c>
      <c r="C78" s="109"/>
      <c r="D78" s="109"/>
      <c r="E78" s="112"/>
      <c r="F78" s="109"/>
      <c r="G78" s="143">
        <f t="shared" si="14"/>
        <v>1815.808</v>
      </c>
      <c r="I78" s="107" t="s">
        <v>123</v>
      </c>
      <c r="J78" s="109"/>
      <c r="K78" s="109">
        <v>461.07</v>
      </c>
      <c r="L78" s="109"/>
      <c r="M78" s="112"/>
      <c r="N78" s="143">
        <f t="shared" si="15"/>
        <v>461.07</v>
      </c>
    </row>
    <row r="79" spans="1:14">
      <c r="A79" s="107" t="s">
        <v>124</v>
      </c>
      <c r="B79" s="109">
        <v>765.12</v>
      </c>
      <c r="C79" s="109"/>
      <c r="D79" s="109"/>
      <c r="E79" s="112"/>
      <c r="F79" s="109"/>
      <c r="G79" s="143">
        <f t="shared" si="14"/>
        <v>765.12</v>
      </c>
      <c r="I79" s="107" t="s">
        <v>124</v>
      </c>
      <c r="J79" s="109"/>
      <c r="K79" s="109"/>
      <c r="L79" s="109"/>
      <c r="M79" s="112"/>
      <c r="N79" s="143">
        <f t="shared" si="15"/>
        <v>0</v>
      </c>
    </row>
    <row r="80" spans="1:14">
      <c r="A80" s="107" t="s">
        <v>125</v>
      </c>
      <c r="B80" s="109"/>
      <c r="C80" s="109"/>
      <c r="D80" s="109"/>
      <c r="E80" s="112"/>
      <c r="F80" s="109"/>
      <c r="G80" s="143">
        <f t="shared" si="14"/>
        <v>0</v>
      </c>
      <c r="I80" s="107" t="s">
        <v>125</v>
      </c>
      <c r="J80" s="109"/>
      <c r="K80" s="109"/>
      <c r="L80" s="109"/>
      <c r="M80" s="112"/>
      <c r="N80" s="143">
        <f t="shared" si="15"/>
        <v>0</v>
      </c>
    </row>
    <row r="81" spans="1:14">
      <c r="A81" s="107" t="s">
        <v>126</v>
      </c>
      <c r="B81" s="109"/>
      <c r="C81" s="109"/>
      <c r="D81" s="109"/>
      <c r="E81" s="112"/>
      <c r="F81" s="109"/>
      <c r="G81" s="143">
        <f t="shared" si="14"/>
        <v>0</v>
      </c>
      <c r="I81" s="107" t="s">
        <v>126</v>
      </c>
      <c r="J81" s="109"/>
      <c r="K81" s="109"/>
      <c r="L81" s="109"/>
      <c r="M81" s="112"/>
      <c r="N81" s="143">
        <f t="shared" si="15"/>
        <v>0</v>
      </c>
    </row>
    <row r="82" spans="1:14">
      <c r="A82" s="107" t="s">
        <v>127</v>
      </c>
      <c r="B82" s="109"/>
      <c r="C82" s="109"/>
      <c r="D82" s="109"/>
      <c r="E82" s="112"/>
      <c r="F82" s="109"/>
      <c r="G82" s="143">
        <f t="shared" si="14"/>
        <v>0</v>
      </c>
      <c r="I82" s="107" t="s">
        <v>127</v>
      </c>
      <c r="J82" s="109"/>
      <c r="K82" s="109"/>
      <c r="L82" s="109"/>
      <c r="M82" s="112"/>
      <c r="N82" s="143">
        <f t="shared" si="15"/>
        <v>0</v>
      </c>
    </row>
    <row r="83" spans="1:14">
      <c r="A83" s="143" t="s">
        <v>15</v>
      </c>
      <c r="B83" s="143">
        <f>SUM(B71:B82)</f>
        <v>21769.43</v>
      </c>
      <c r="C83" s="143">
        <f>SUM(C71:C82)</f>
        <v>0</v>
      </c>
      <c r="D83" s="143">
        <f>SUM(D71:D82)</f>
        <v>0</v>
      </c>
      <c r="E83" s="112"/>
      <c r="F83" s="143">
        <f>SUM(F71:F82)</f>
        <v>186.3</v>
      </c>
      <c r="G83" s="143">
        <f>SUM(G71:G82)</f>
        <v>21955.730000000003</v>
      </c>
      <c r="I83" s="143" t="s">
        <v>15</v>
      </c>
      <c r="J83" s="143"/>
      <c r="K83" s="143">
        <f>SUM(K71:K82)</f>
        <v>461.07</v>
      </c>
      <c r="L83" s="143">
        <f>SUM(L71:L82)</f>
        <v>0</v>
      </c>
      <c r="M83" s="112"/>
      <c r="N83" s="143">
        <f>SUM(N71:N82)</f>
        <v>461.07</v>
      </c>
    </row>
    <row r="86" spans="1:14">
      <c r="A86" t="s">
        <v>131</v>
      </c>
    </row>
  </sheetData>
  <mergeCells count="14">
    <mergeCell ref="A50:G50"/>
    <mergeCell ref="I50:N50"/>
    <mergeCell ref="A1:I1"/>
    <mergeCell ref="K1:S1"/>
    <mergeCell ref="A2:D2"/>
    <mergeCell ref="F2:I2"/>
    <mergeCell ref="K2:N2"/>
    <mergeCell ref="P2:S2"/>
    <mergeCell ref="A68:G68"/>
    <mergeCell ref="I68:N68"/>
    <mergeCell ref="C69:F69"/>
    <mergeCell ref="K69:N69"/>
    <mergeCell ref="K51:N51"/>
    <mergeCell ref="C51:F51"/>
  </mergeCells>
  <pageMargins left="0.24" right="0.16" top="0.28999999999999998" bottom="0.31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9" sqref="C9"/>
    </sheetView>
  </sheetViews>
  <sheetFormatPr defaultRowHeight="15"/>
  <cols>
    <col min="2" max="2" width="11.140625" bestFit="1" customWidth="1"/>
    <col min="3" max="3" width="11.28515625" bestFit="1" customWidth="1"/>
  </cols>
  <sheetData>
    <row r="1" spans="1:3">
      <c r="A1" s="10" t="s">
        <v>241</v>
      </c>
    </row>
    <row r="2" spans="1:3">
      <c r="A2" s="171" t="s">
        <v>80</v>
      </c>
      <c r="B2" s="174" t="s">
        <v>17</v>
      </c>
      <c r="C2" s="174" t="s">
        <v>240</v>
      </c>
    </row>
    <row r="3" spans="1:3">
      <c r="A3" s="107" t="s">
        <v>102</v>
      </c>
      <c r="B3" s="108">
        <v>797.41</v>
      </c>
      <c r="C3" s="108">
        <v>357.09300000000002</v>
      </c>
    </row>
    <row r="4" spans="1:3">
      <c r="A4" s="107" t="s">
        <v>103</v>
      </c>
      <c r="B4" s="108">
        <v>2515.0050000000001</v>
      </c>
      <c r="C4" s="109">
        <v>2386.7179999999998</v>
      </c>
    </row>
    <row r="5" spans="1:3">
      <c r="A5" s="107" t="s">
        <v>104</v>
      </c>
      <c r="B5" s="108">
        <v>2736.605</v>
      </c>
      <c r="C5" s="108">
        <v>1975.6949999999999</v>
      </c>
    </row>
    <row r="6" spans="1:3">
      <c r="A6" s="107" t="s">
        <v>105</v>
      </c>
      <c r="B6" s="108">
        <v>2972.848</v>
      </c>
      <c r="C6" s="108">
        <v>3247.1669999999999</v>
      </c>
    </row>
    <row r="7" spans="1:3">
      <c r="A7" s="107" t="s">
        <v>106</v>
      </c>
      <c r="B7" s="108">
        <v>1282.5930000000001</v>
      </c>
      <c r="C7" s="174">
        <v>1521.356</v>
      </c>
    </row>
    <row r="8" spans="1:3">
      <c r="A8" s="107" t="s">
        <v>119</v>
      </c>
      <c r="B8" s="108">
        <f>1822.923-20</f>
        <v>1802.923</v>
      </c>
      <c r="C8" s="174">
        <v>2100.5720000000001</v>
      </c>
    </row>
    <row r="9" spans="1:3">
      <c r="A9" s="107" t="s">
        <v>120</v>
      </c>
      <c r="B9" s="108">
        <v>1144.1510000000001</v>
      </c>
      <c r="C9" s="175">
        <v>621.04700000000003</v>
      </c>
    </row>
    <row r="10" spans="1:3">
      <c r="A10" s="171" t="s">
        <v>15</v>
      </c>
      <c r="B10" s="171">
        <f>SUM(B3:B9)</f>
        <v>13251.535000000002</v>
      </c>
      <c r="C10" s="174">
        <f>SUM(C3:C9)</f>
        <v>12209.647999999999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1:T645"/>
  <sheetViews>
    <sheetView topLeftCell="A617" zoomScale="75" zoomScaleNormal="75" workbookViewId="0">
      <selection activeCell="P623" sqref="P623"/>
    </sheetView>
  </sheetViews>
  <sheetFormatPr defaultRowHeight="15"/>
  <cols>
    <col min="2" max="2" width="10.5703125" customWidth="1"/>
    <col min="3" max="3" width="26.28515625" bestFit="1" customWidth="1"/>
    <col min="4" max="4" width="20.5703125" customWidth="1"/>
    <col min="5" max="5" width="26.7109375" customWidth="1"/>
    <col min="6" max="6" width="12.85546875" bestFit="1" customWidth="1"/>
    <col min="7" max="7" width="10.42578125" hidden="1" customWidth="1"/>
    <col min="8" max="8" width="12" hidden="1" customWidth="1"/>
    <col min="9" max="9" width="14.5703125" bestFit="1" customWidth="1"/>
    <col min="10" max="10" width="12.140625" customWidth="1"/>
    <col min="11" max="11" width="13.5703125" customWidth="1"/>
    <col min="12" max="12" width="12.7109375" customWidth="1"/>
    <col min="13" max="13" width="9" bestFit="1" customWidth="1"/>
    <col min="14" max="14" width="10" bestFit="1" customWidth="1"/>
  </cols>
  <sheetData>
    <row r="1" spans="2:20">
      <c r="B1" s="16" t="s">
        <v>264</v>
      </c>
      <c r="C1" s="16"/>
      <c r="F1" s="17"/>
      <c r="G1" s="18"/>
      <c r="H1" s="18"/>
      <c r="I1" s="18"/>
      <c r="J1" s="18"/>
      <c r="K1" s="18"/>
      <c r="L1" s="18"/>
      <c r="M1" s="18"/>
    </row>
    <row r="2" spans="2:20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20" ht="21.75" thickBot="1">
      <c r="B3" s="19" t="s">
        <v>20</v>
      </c>
      <c r="C3" s="19" t="s">
        <v>25</v>
      </c>
      <c r="D3" s="19" t="s">
        <v>26</v>
      </c>
      <c r="E3" s="19" t="s">
        <v>27</v>
      </c>
      <c r="F3" s="20" t="s">
        <v>28</v>
      </c>
      <c r="G3" s="21"/>
      <c r="H3" s="22"/>
      <c r="I3" s="22"/>
      <c r="J3" s="21"/>
      <c r="K3" s="21"/>
      <c r="L3" s="21"/>
    </row>
    <row r="4" spans="2:20" ht="16.5" thickBot="1">
      <c r="B4" s="70" t="s">
        <v>59</v>
      </c>
      <c r="C4" s="71" t="s">
        <v>200</v>
      </c>
      <c r="D4" s="72">
        <f>74.786+56.669+171.088+136.491+164.158+103.355+93.493+216.819+117.038+154.791+181.445+108.675+167.749+76.366-20</f>
        <v>1802.9229999999998</v>
      </c>
      <c r="E4" s="71" t="s">
        <v>60</v>
      </c>
      <c r="F4" s="278">
        <f>+I75</f>
        <v>260.10000000000002</v>
      </c>
      <c r="G4" s="21"/>
      <c r="H4" s="21"/>
      <c r="I4" s="23"/>
      <c r="J4" s="23"/>
      <c r="K4" s="21"/>
      <c r="L4" s="21"/>
      <c r="N4" s="4"/>
      <c r="T4" s="32">
        <f>+F4/D6</f>
        <v>0.14426572848646341</v>
      </c>
    </row>
    <row r="5" spans="2:20">
      <c r="B5" s="70"/>
      <c r="C5" s="71"/>
      <c r="D5" s="72"/>
      <c r="E5" s="71" t="s">
        <v>61</v>
      </c>
      <c r="F5" s="279"/>
      <c r="G5" s="21"/>
      <c r="H5" s="22"/>
      <c r="I5" s="22"/>
      <c r="J5" s="21"/>
      <c r="K5" s="21"/>
      <c r="L5" s="21"/>
      <c r="N5" s="4"/>
    </row>
    <row r="6" spans="2:20">
      <c r="B6" s="70" t="s">
        <v>15</v>
      </c>
      <c r="C6" s="71" t="str">
        <f>+C4</f>
        <v xml:space="preserve">14  Day    ( 14  Shifts )  </v>
      </c>
      <c r="D6" s="72">
        <f>SUM(D4:D5)</f>
        <v>1802.9229999999998</v>
      </c>
      <c r="E6" s="71"/>
      <c r="F6" s="73">
        <f>SUM(F4:F5)</f>
        <v>260.10000000000002</v>
      </c>
      <c r="G6" s="21"/>
      <c r="H6" s="23"/>
      <c r="I6" s="23"/>
      <c r="J6" s="23"/>
      <c r="K6" s="21"/>
      <c r="L6" s="21"/>
    </row>
    <row r="7" spans="2:20">
      <c r="B7" s="74"/>
      <c r="C7" s="75" t="s">
        <v>29</v>
      </c>
      <c r="D7" s="76"/>
      <c r="E7" s="77" t="s">
        <v>30</v>
      </c>
      <c r="F7" s="74"/>
      <c r="G7" s="21"/>
      <c r="H7" s="21"/>
      <c r="I7" s="21"/>
      <c r="J7" s="21"/>
      <c r="K7" s="21"/>
      <c r="L7" s="21"/>
    </row>
    <row r="8" spans="2:20">
      <c r="B8" s="71"/>
      <c r="C8" s="71"/>
      <c r="D8" s="78"/>
      <c r="E8" s="79"/>
      <c r="F8" s="71"/>
      <c r="G8" s="21"/>
      <c r="H8" s="21"/>
      <c r="I8" s="21"/>
      <c r="J8" s="21"/>
      <c r="K8" s="21"/>
      <c r="L8" s="21"/>
    </row>
    <row r="9" spans="2:20">
      <c r="B9" s="71"/>
      <c r="C9" s="71" t="s">
        <v>64</v>
      </c>
      <c r="D9" s="78"/>
      <c r="E9" s="79" t="s">
        <v>63</v>
      </c>
      <c r="F9" s="71"/>
      <c r="G9" s="21"/>
      <c r="H9" s="21"/>
      <c r="I9" s="21"/>
      <c r="J9" s="21"/>
      <c r="K9" s="21"/>
      <c r="L9" s="21"/>
    </row>
    <row r="10" spans="2:20">
      <c r="B10" s="71"/>
      <c r="C10" s="71"/>
      <c r="D10" s="80"/>
      <c r="E10" s="80"/>
      <c r="F10" s="71"/>
      <c r="G10" s="21"/>
      <c r="H10" s="21"/>
      <c r="I10" s="21"/>
      <c r="J10" s="21"/>
      <c r="K10" s="21"/>
      <c r="L10" s="21"/>
    </row>
    <row r="11" spans="2:20">
      <c r="B11" s="71"/>
      <c r="C11" s="71" t="s">
        <v>195</v>
      </c>
      <c r="D11" s="80"/>
      <c r="E11" s="99" t="s">
        <v>62</v>
      </c>
      <c r="F11" s="24"/>
      <c r="G11" s="21"/>
      <c r="H11" s="21"/>
      <c r="I11" s="21"/>
      <c r="J11" s="21"/>
      <c r="K11" s="21"/>
      <c r="L11" s="21"/>
    </row>
    <row r="12" spans="2:20" ht="39">
      <c r="B12" s="71"/>
      <c r="C12" s="71" t="s">
        <v>205</v>
      </c>
      <c r="D12" s="80"/>
      <c r="E12" s="13" t="s">
        <v>204</v>
      </c>
      <c r="F12" s="24"/>
      <c r="G12" s="21"/>
      <c r="H12" s="21"/>
      <c r="I12" s="21"/>
      <c r="J12" s="21"/>
      <c r="K12" s="21"/>
      <c r="L12" s="21"/>
    </row>
    <row r="13" spans="2:20">
      <c r="B13" s="71"/>
      <c r="C13" s="71"/>
      <c r="D13" s="80"/>
      <c r="E13" s="100"/>
      <c r="F13" s="24"/>
      <c r="G13" s="21"/>
      <c r="H13" s="21"/>
      <c r="I13" s="21"/>
      <c r="J13" s="21"/>
      <c r="K13" s="21"/>
      <c r="L13" s="21"/>
    </row>
    <row r="14" spans="2:20">
      <c r="B14" s="71"/>
      <c r="C14" s="71"/>
      <c r="D14" s="80"/>
      <c r="E14" s="100"/>
      <c r="F14" s="24"/>
      <c r="G14" s="21"/>
      <c r="H14" s="21"/>
      <c r="I14" s="21"/>
      <c r="J14" s="21"/>
      <c r="K14" s="21"/>
      <c r="L14" s="21"/>
    </row>
    <row r="15" spans="2:20">
      <c r="B15" s="71"/>
      <c r="C15" s="71"/>
      <c r="D15" s="80"/>
      <c r="E15" s="101"/>
      <c r="F15" s="71"/>
      <c r="G15" s="18"/>
      <c r="H15" s="18"/>
      <c r="I15" s="18"/>
      <c r="J15" s="18"/>
      <c r="K15" s="18"/>
      <c r="L15" s="18"/>
    </row>
    <row r="16" spans="2:20">
      <c r="B16" s="71"/>
      <c r="C16" s="71"/>
      <c r="D16" s="80"/>
      <c r="E16" s="41"/>
      <c r="F16" s="71"/>
      <c r="G16" s="18"/>
      <c r="H16" s="18"/>
      <c r="I16" s="18"/>
      <c r="J16" s="18"/>
      <c r="K16" s="18"/>
      <c r="L16" s="18"/>
    </row>
    <row r="17" spans="2:12">
      <c r="B17" s="71"/>
      <c r="C17" s="71" t="s">
        <v>206</v>
      </c>
      <c r="D17" s="12"/>
      <c r="E17" s="45" t="s">
        <v>31</v>
      </c>
      <c r="F17" s="71"/>
      <c r="G17" s="18"/>
      <c r="H17" s="18"/>
      <c r="I17" s="18"/>
      <c r="J17" s="18"/>
      <c r="K17" s="18"/>
      <c r="L17" s="18"/>
    </row>
    <row r="18" spans="2:12">
      <c r="B18" s="71"/>
      <c r="C18" s="71"/>
      <c r="D18" s="80"/>
      <c r="E18" s="45"/>
      <c r="F18" s="71"/>
      <c r="G18" s="18"/>
      <c r="H18" s="18"/>
      <c r="I18" s="18"/>
      <c r="J18" s="18"/>
      <c r="K18" s="18"/>
      <c r="L18" s="18"/>
    </row>
    <row r="19" spans="2:12">
      <c r="B19" s="71"/>
      <c r="C19" s="71"/>
      <c r="D19" s="12"/>
      <c r="E19" s="12"/>
      <c r="F19" s="71"/>
      <c r="G19" s="18"/>
      <c r="H19" s="18"/>
      <c r="I19" s="31"/>
      <c r="J19" s="31"/>
      <c r="K19" s="18"/>
      <c r="L19" s="18"/>
    </row>
    <row r="20" spans="2:12">
      <c r="B20" s="71"/>
      <c r="C20" s="71"/>
      <c r="D20" s="12"/>
      <c r="E20" s="12"/>
      <c r="F20" s="71"/>
      <c r="G20" s="18"/>
      <c r="H20" s="18"/>
      <c r="I20" s="18"/>
      <c r="J20" s="18"/>
      <c r="K20" s="18"/>
      <c r="L20" s="18"/>
    </row>
    <row r="21" spans="2:12">
      <c r="B21" s="71"/>
      <c r="C21" s="71"/>
      <c r="D21" s="81"/>
      <c r="E21" s="12"/>
      <c r="F21" s="24"/>
      <c r="G21" s="18"/>
      <c r="H21" s="18"/>
      <c r="I21" s="18"/>
      <c r="J21" s="18"/>
      <c r="K21" s="18"/>
      <c r="L21" s="18"/>
    </row>
    <row r="22" spans="2:12">
      <c r="B22" s="71"/>
      <c r="C22" s="71"/>
      <c r="D22" s="80"/>
      <c r="E22" s="80"/>
      <c r="F22" s="71"/>
      <c r="G22" s="18"/>
      <c r="H22" s="18"/>
      <c r="I22" s="18"/>
      <c r="J22" s="18"/>
      <c r="K22" s="18"/>
      <c r="L22" s="18"/>
    </row>
    <row r="23" spans="2:12">
      <c r="B23" s="82"/>
      <c r="C23" s="82"/>
      <c r="D23" s="83"/>
      <c r="E23" s="83"/>
      <c r="F23" s="83"/>
      <c r="G23" s="18"/>
      <c r="H23" s="18"/>
      <c r="I23" s="18"/>
      <c r="J23" s="18"/>
      <c r="K23" s="18"/>
      <c r="L23" s="44"/>
    </row>
    <row r="24" spans="2:12">
      <c r="B24" s="18"/>
      <c r="C24" s="18"/>
      <c r="D24" s="18"/>
      <c r="E24" s="18"/>
      <c r="F24" s="18"/>
      <c r="G24" s="18"/>
      <c r="H24" s="18"/>
      <c r="I24" s="18"/>
      <c r="J24" s="43"/>
      <c r="K24" s="18"/>
      <c r="L24" s="18"/>
    </row>
    <row r="25" spans="2:12">
      <c r="B25" s="18"/>
      <c r="C25" s="71"/>
      <c r="D25" s="84" t="s">
        <v>32</v>
      </c>
      <c r="E25" s="71"/>
      <c r="F25" s="84" t="s">
        <v>33</v>
      </c>
      <c r="G25" s="18"/>
      <c r="H25" s="18" t="s">
        <v>34</v>
      </c>
      <c r="I25" s="18"/>
      <c r="J25" s="18"/>
      <c r="K25" s="18"/>
      <c r="L25" s="18"/>
    </row>
    <row r="26" spans="2:12">
      <c r="B26" s="44" t="s">
        <v>58</v>
      </c>
      <c r="C26" s="70" t="s">
        <v>35</v>
      </c>
      <c r="D26" s="41">
        <f>D6/13</f>
        <v>138.68638461538461</v>
      </c>
      <c r="E26" s="84" t="s">
        <v>36</v>
      </c>
      <c r="F26" s="85">
        <f>+T4*1000</f>
        <v>144.26572848646342</v>
      </c>
      <c r="G26" s="18"/>
      <c r="H26" s="18"/>
      <c r="I26" s="18"/>
      <c r="J26" s="18"/>
      <c r="K26" s="18"/>
      <c r="L26" s="18"/>
    </row>
    <row r="27" spans="2:12">
      <c r="B27" s="44" t="s">
        <v>56</v>
      </c>
      <c r="C27" s="70" t="s">
        <v>37</v>
      </c>
      <c r="D27" s="41">
        <f>+D26</f>
        <v>138.68638461538461</v>
      </c>
      <c r="E27" s="71"/>
      <c r="F27" s="71"/>
      <c r="G27" s="18"/>
      <c r="H27" s="18"/>
      <c r="I27" s="18"/>
      <c r="J27" s="18"/>
      <c r="K27" s="18"/>
      <c r="L27" s="18"/>
    </row>
    <row r="28" spans="2:12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2:12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2:12">
      <c r="B30" s="25" t="s">
        <v>142</v>
      </c>
      <c r="C30" s="25"/>
      <c r="D30" s="280" t="s">
        <v>32</v>
      </c>
      <c r="E30" s="281"/>
      <c r="F30" s="282"/>
      <c r="G30" s="283" t="s">
        <v>38</v>
      </c>
      <c r="H30" s="283"/>
      <c r="I30" s="283"/>
      <c r="J30" s="283"/>
      <c r="K30" s="18"/>
      <c r="L30" s="18"/>
    </row>
    <row r="31" spans="2:12">
      <c r="B31" s="45" t="s">
        <v>39</v>
      </c>
      <c r="C31" s="98" t="s">
        <v>40</v>
      </c>
      <c r="D31" s="98" t="s">
        <v>20</v>
      </c>
      <c r="E31" s="98" t="s">
        <v>41</v>
      </c>
      <c r="F31" s="98" t="s">
        <v>42</v>
      </c>
      <c r="G31" s="284" t="s">
        <v>43</v>
      </c>
      <c r="H31" s="98" t="s">
        <v>44</v>
      </c>
      <c r="I31" s="98" t="s">
        <v>45</v>
      </c>
      <c r="J31" s="98" t="s">
        <v>46</v>
      </c>
      <c r="K31" s="98" t="s">
        <v>45</v>
      </c>
      <c r="L31" s="98" t="s">
        <v>46</v>
      </c>
    </row>
    <row r="32" spans="2:12">
      <c r="B32" s="45"/>
      <c r="C32" s="98"/>
      <c r="D32" s="98" t="s">
        <v>47</v>
      </c>
      <c r="E32" s="98"/>
      <c r="F32" s="98"/>
      <c r="G32" s="284"/>
      <c r="H32" s="98" t="s">
        <v>53</v>
      </c>
      <c r="I32" s="98" t="s">
        <v>48</v>
      </c>
      <c r="J32" s="98" t="s">
        <v>33</v>
      </c>
      <c r="K32" s="98" t="s">
        <v>49</v>
      </c>
      <c r="L32" s="98" t="s">
        <v>50</v>
      </c>
    </row>
    <row r="33" spans="2:12">
      <c r="B33" s="268" t="s">
        <v>141</v>
      </c>
      <c r="C33" s="285" t="s">
        <v>68</v>
      </c>
      <c r="D33" s="286"/>
      <c r="E33" s="26"/>
      <c r="F33" s="270">
        <f t="shared" ref="F33" si="0">+E33+E34</f>
        <v>0</v>
      </c>
      <c r="G33" s="272"/>
      <c r="H33" s="274"/>
      <c r="I33" s="270"/>
      <c r="J33" s="275"/>
      <c r="K33" s="277"/>
      <c r="L33" s="275"/>
    </row>
    <row r="34" spans="2:12">
      <c r="B34" s="269"/>
      <c r="C34" s="285" t="s">
        <v>69</v>
      </c>
      <c r="D34" s="286"/>
      <c r="E34" s="26"/>
      <c r="F34" s="271"/>
      <c r="G34" s="273"/>
      <c r="H34" s="274"/>
      <c r="I34" s="271"/>
      <c r="J34" s="276"/>
      <c r="K34" s="277"/>
      <c r="L34" s="276"/>
    </row>
    <row r="35" spans="2:12">
      <c r="B35" s="289" t="s">
        <v>136</v>
      </c>
      <c r="C35" s="285" t="s">
        <v>162</v>
      </c>
      <c r="D35" s="286"/>
      <c r="E35" s="26">
        <v>74.786000000000001</v>
      </c>
      <c r="F35" s="270">
        <f t="shared" ref="F35" si="1">+E35+E36</f>
        <v>74.786000000000001</v>
      </c>
      <c r="G35" s="272"/>
      <c r="H35" s="274"/>
      <c r="I35" s="270">
        <v>13.6</v>
      </c>
      <c r="J35" s="275">
        <f t="shared" ref="J35" si="2">I35/F35*1000</f>
        <v>181.8522183296339</v>
      </c>
      <c r="K35" s="277">
        <v>8940</v>
      </c>
      <c r="L35" s="275">
        <f t="shared" ref="L35" si="3">K35/F35</f>
        <v>119.54109057845051</v>
      </c>
    </row>
    <row r="36" spans="2:12">
      <c r="B36" s="289"/>
      <c r="C36" s="285"/>
      <c r="D36" s="286"/>
      <c r="E36" s="26"/>
      <c r="F36" s="271"/>
      <c r="G36" s="273"/>
      <c r="H36" s="274"/>
      <c r="I36" s="271"/>
      <c r="J36" s="276"/>
      <c r="K36" s="277"/>
      <c r="L36" s="276"/>
    </row>
    <row r="37" spans="2:12">
      <c r="B37" s="289" t="s">
        <v>143</v>
      </c>
      <c r="C37" s="285" t="s">
        <v>163</v>
      </c>
      <c r="D37" s="286"/>
      <c r="E37" s="26">
        <v>56.668999999999997</v>
      </c>
      <c r="F37" s="270">
        <f t="shared" ref="F37" si="4">+E37+E38</f>
        <v>56.668999999999997</v>
      </c>
      <c r="G37" s="272"/>
      <c r="H37" s="274"/>
      <c r="I37" s="270">
        <v>8.1999999999999993</v>
      </c>
      <c r="J37" s="275">
        <f t="shared" ref="J37" si="5">I37/F37*1000</f>
        <v>144.69992412077147</v>
      </c>
      <c r="K37" s="277">
        <v>5760</v>
      </c>
      <c r="L37" s="275">
        <f t="shared" ref="L37" si="6">K37/F37</f>
        <v>101.64287352873706</v>
      </c>
    </row>
    <row r="38" spans="2:12">
      <c r="B38" s="289"/>
      <c r="C38" s="285"/>
      <c r="D38" s="286"/>
      <c r="E38" s="26"/>
      <c r="F38" s="271"/>
      <c r="G38" s="273"/>
      <c r="H38" s="274"/>
      <c r="I38" s="271"/>
      <c r="J38" s="276"/>
      <c r="K38" s="277"/>
      <c r="L38" s="276"/>
    </row>
    <row r="39" spans="2:12">
      <c r="B39" s="289" t="s">
        <v>146</v>
      </c>
      <c r="C39" s="285" t="s">
        <v>70</v>
      </c>
      <c r="D39" s="286"/>
      <c r="E39" s="26">
        <v>171.08799999999999</v>
      </c>
      <c r="F39" s="270">
        <f t="shared" ref="F39" si="7">+E39+E40</f>
        <v>171.08799999999999</v>
      </c>
      <c r="G39" s="272"/>
      <c r="H39" s="274"/>
      <c r="I39" s="270">
        <v>23.2</v>
      </c>
      <c r="J39" s="275">
        <f t="shared" ref="J39" si="8">I39/F39*1000</f>
        <v>135.60273075844009</v>
      </c>
      <c r="K39" s="277">
        <v>14760</v>
      </c>
      <c r="L39" s="275">
        <f t="shared" ref="L39" si="9">K39/F39</f>
        <v>86.271392499766208</v>
      </c>
    </row>
    <row r="40" spans="2:12">
      <c r="B40" s="289"/>
      <c r="C40" s="285"/>
      <c r="D40" s="286"/>
      <c r="E40" s="26"/>
      <c r="F40" s="271"/>
      <c r="G40" s="273"/>
      <c r="H40" s="274"/>
      <c r="I40" s="271"/>
      <c r="J40" s="276"/>
      <c r="K40" s="277"/>
      <c r="L40" s="276"/>
    </row>
    <row r="41" spans="2:12">
      <c r="B41" s="289" t="s">
        <v>151</v>
      </c>
      <c r="C41" s="285" t="s">
        <v>70</v>
      </c>
      <c r="D41" s="286"/>
      <c r="E41" s="26">
        <f>136.491-5</f>
        <v>131.49100000000001</v>
      </c>
      <c r="F41" s="270">
        <f t="shared" ref="F41" si="10">+E41+E42</f>
        <v>131.49100000000001</v>
      </c>
      <c r="G41" s="272"/>
      <c r="H41" s="274"/>
      <c r="I41" s="270">
        <v>18.7</v>
      </c>
      <c r="J41" s="275">
        <f t="shared" ref="J41" si="11">I41/F41*1000</f>
        <v>142.21505654379385</v>
      </c>
      <c r="K41" s="277">
        <v>11040</v>
      </c>
      <c r="L41" s="275">
        <f t="shared" ref="L41" si="12">K41/F41</f>
        <v>83.960118943501826</v>
      </c>
    </row>
    <row r="42" spans="2:12">
      <c r="B42" s="289"/>
      <c r="C42" s="285"/>
      <c r="D42" s="286"/>
      <c r="E42" s="26"/>
      <c r="F42" s="271"/>
      <c r="G42" s="273"/>
      <c r="H42" s="274"/>
      <c r="I42" s="271"/>
      <c r="J42" s="276"/>
      <c r="K42" s="277"/>
      <c r="L42" s="276"/>
    </row>
    <row r="43" spans="2:12">
      <c r="B43" s="289" t="s">
        <v>155</v>
      </c>
      <c r="C43" s="285" t="s">
        <v>70</v>
      </c>
      <c r="D43" s="286"/>
      <c r="E43" s="26">
        <v>164.15799999999999</v>
      </c>
      <c r="F43" s="270">
        <f t="shared" ref="F43" si="13">+E43+E44</f>
        <v>164.15799999999999</v>
      </c>
      <c r="G43" s="272"/>
      <c r="H43" s="274"/>
      <c r="I43" s="270">
        <v>22.3</v>
      </c>
      <c r="J43" s="275">
        <f t="shared" ref="J43" si="14">I43/F43*1000</f>
        <v>135.84473495047456</v>
      </c>
      <c r="K43" s="277">
        <v>10980</v>
      </c>
      <c r="L43" s="275">
        <f t="shared" ref="L43" si="15">K43/F43</f>
        <v>66.88677980969554</v>
      </c>
    </row>
    <row r="44" spans="2:12">
      <c r="B44" s="289"/>
      <c r="C44" s="285"/>
      <c r="D44" s="286"/>
      <c r="E44" s="26"/>
      <c r="F44" s="271"/>
      <c r="G44" s="273"/>
      <c r="H44" s="274"/>
      <c r="I44" s="271"/>
      <c r="J44" s="276"/>
      <c r="K44" s="277"/>
      <c r="L44" s="276"/>
    </row>
    <row r="45" spans="2:12">
      <c r="B45" s="289" t="s">
        <v>156</v>
      </c>
      <c r="C45" s="285" t="s">
        <v>161</v>
      </c>
      <c r="D45" s="286"/>
      <c r="E45" s="26">
        <f>103.355-5</f>
        <v>98.355000000000004</v>
      </c>
      <c r="F45" s="270">
        <f t="shared" ref="F45" si="16">+E45+E46</f>
        <v>98.355000000000004</v>
      </c>
      <c r="G45" s="272"/>
      <c r="H45" s="274"/>
      <c r="I45" s="270">
        <v>15.2</v>
      </c>
      <c r="J45" s="275">
        <f t="shared" ref="J45" si="17">I45/F45*1000</f>
        <v>154.54221951095519</v>
      </c>
      <c r="K45" s="277">
        <v>8280</v>
      </c>
      <c r="L45" s="275">
        <f t="shared" ref="L45" si="18">K45/F45</f>
        <v>84.184840628336133</v>
      </c>
    </row>
    <row r="46" spans="2:12">
      <c r="B46" s="289"/>
      <c r="C46" s="285"/>
      <c r="D46" s="286"/>
      <c r="E46" s="26"/>
      <c r="F46" s="271"/>
      <c r="G46" s="273"/>
      <c r="H46" s="274"/>
      <c r="I46" s="271"/>
      <c r="J46" s="276"/>
      <c r="K46" s="277"/>
      <c r="L46" s="276"/>
    </row>
    <row r="47" spans="2:12">
      <c r="B47" s="289" t="s">
        <v>164</v>
      </c>
      <c r="C47" s="285" t="s">
        <v>167</v>
      </c>
      <c r="D47" s="286"/>
      <c r="E47" s="26"/>
      <c r="F47" s="270"/>
      <c r="G47" s="272"/>
      <c r="H47" s="274"/>
      <c r="I47" s="270"/>
      <c r="J47" s="275"/>
      <c r="K47" s="277"/>
      <c r="L47" s="275"/>
    </row>
    <row r="48" spans="2:12">
      <c r="B48" s="289"/>
      <c r="C48" s="285"/>
      <c r="D48" s="286"/>
      <c r="E48" s="26"/>
      <c r="F48" s="271"/>
      <c r="G48" s="273"/>
      <c r="H48" s="274"/>
      <c r="I48" s="271"/>
      <c r="J48" s="276"/>
      <c r="K48" s="277"/>
      <c r="L48" s="276"/>
    </row>
    <row r="49" spans="2:12">
      <c r="B49" s="289" t="s">
        <v>165</v>
      </c>
      <c r="C49" s="285" t="s">
        <v>70</v>
      </c>
      <c r="D49" s="286"/>
      <c r="E49" s="26">
        <f>93.493-5</f>
        <v>88.492999999999995</v>
      </c>
      <c r="F49" s="270">
        <f t="shared" ref="F49" si="19">+E49+E50</f>
        <v>88.492999999999995</v>
      </c>
      <c r="G49" s="272"/>
      <c r="H49" s="274"/>
      <c r="I49" s="270">
        <v>13.1</v>
      </c>
      <c r="J49" s="275">
        <f t="shared" ref="J49" si="20">I49/F49*1000</f>
        <v>148.03430779835693</v>
      </c>
      <c r="K49" s="277">
        <v>6300</v>
      </c>
      <c r="L49" s="275">
        <f t="shared" ref="L49" si="21">K49/F49</f>
        <v>71.192071689286166</v>
      </c>
    </row>
    <row r="50" spans="2:12">
      <c r="B50" s="289"/>
      <c r="C50" s="285" t="s">
        <v>170</v>
      </c>
      <c r="D50" s="286"/>
      <c r="E50" s="26"/>
      <c r="F50" s="271"/>
      <c r="G50" s="273"/>
      <c r="H50" s="274"/>
      <c r="I50" s="271"/>
      <c r="J50" s="276"/>
      <c r="K50" s="277"/>
      <c r="L50" s="276"/>
    </row>
    <row r="51" spans="2:12">
      <c r="B51" s="289" t="s">
        <v>168</v>
      </c>
      <c r="C51" s="285" t="s">
        <v>70</v>
      </c>
      <c r="D51" s="286"/>
      <c r="E51" s="26">
        <v>216.81899999999999</v>
      </c>
      <c r="F51" s="270">
        <f t="shared" ref="F51" si="22">+E51+E52</f>
        <v>216.81899999999999</v>
      </c>
      <c r="G51" s="272"/>
      <c r="H51" s="274"/>
      <c r="I51" s="270">
        <v>28.4</v>
      </c>
      <c r="J51" s="275">
        <f t="shared" ref="J51" si="23">I51/F51*1000</f>
        <v>130.98483066520922</v>
      </c>
      <c r="K51" s="277">
        <v>11340</v>
      </c>
      <c r="L51" s="275">
        <f t="shared" ref="L51" si="24">K51/F51</f>
        <v>52.301689427587071</v>
      </c>
    </row>
    <row r="52" spans="2:12">
      <c r="B52" s="289"/>
      <c r="C52" s="285"/>
      <c r="D52" s="286"/>
      <c r="E52" s="26"/>
      <c r="F52" s="271"/>
      <c r="G52" s="273"/>
      <c r="H52" s="274"/>
      <c r="I52" s="271"/>
      <c r="J52" s="276"/>
      <c r="K52" s="277"/>
      <c r="L52" s="276"/>
    </row>
    <row r="53" spans="2:12">
      <c r="B53" s="289" t="s">
        <v>171</v>
      </c>
      <c r="C53" s="285" t="s">
        <v>70</v>
      </c>
      <c r="D53" s="286"/>
      <c r="E53" s="26">
        <v>117.038</v>
      </c>
      <c r="F53" s="270">
        <f t="shared" ref="F53" si="25">+E53+E54</f>
        <v>117.038</v>
      </c>
      <c r="G53" s="272"/>
      <c r="H53" s="274"/>
      <c r="I53" s="270">
        <v>16.3</v>
      </c>
      <c r="J53" s="275">
        <f t="shared" ref="J53" si="26">I53/F53*1000</f>
        <v>139.27100599805192</v>
      </c>
      <c r="K53" s="277">
        <v>6840</v>
      </c>
      <c r="L53" s="275">
        <f t="shared" ref="L53" si="27">K53/F53</f>
        <v>58.442557118200931</v>
      </c>
    </row>
    <row r="54" spans="2:12">
      <c r="B54" s="289"/>
      <c r="C54" s="285" t="s">
        <v>179</v>
      </c>
      <c r="D54" s="286"/>
      <c r="E54" s="26"/>
      <c r="F54" s="271"/>
      <c r="G54" s="273"/>
      <c r="H54" s="274"/>
      <c r="I54" s="271"/>
      <c r="J54" s="276"/>
      <c r="K54" s="277"/>
      <c r="L54" s="276"/>
    </row>
    <row r="55" spans="2:12">
      <c r="B55" s="289" t="s">
        <v>175</v>
      </c>
      <c r="C55" s="285" t="s">
        <v>180</v>
      </c>
      <c r="D55" s="286"/>
      <c r="E55" s="26"/>
      <c r="F55" s="270">
        <f t="shared" ref="F55" si="28">+E55+E56</f>
        <v>0</v>
      </c>
      <c r="G55" s="272"/>
      <c r="H55" s="274"/>
      <c r="I55" s="270"/>
      <c r="J55" s="275"/>
      <c r="K55" s="277"/>
      <c r="L55" s="275"/>
    </row>
    <row r="56" spans="2:12">
      <c r="B56" s="289"/>
      <c r="C56" s="285"/>
      <c r="D56" s="286"/>
      <c r="E56" s="26"/>
      <c r="F56" s="271"/>
      <c r="G56" s="273"/>
      <c r="H56" s="274"/>
      <c r="I56" s="271"/>
      <c r="J56" s="276"/>
      <c r="K56" s="277"/>
      <c r="L56" s="276"/>
    </row>
    <row r="57" spans="2:12">
      <c r="B57" s="289" t="s">
        <v>176</v>
      </c>
      <c r="C57" s="285" t="s">
        <v>70</v>
      </c>
      <c r="D57" s="286"/>
      <c r="E57" s="26">
        <v>154.791</v>
      </c>
      <c r="F57" s="270">
        <f t="shared" ref="F57" si="29">+E57+E58</f>
        <v>154.791</v>
      </c>
      <c r="G57" s="272"/>
      <c r="H57" s="274"/>
      <c r="I57" s="270">
        <v>23.4</v>
      </c>
      <c r="J57" s="275">
        <f t="shared" ref="J57" si="30">I57/F57*1000</f>
        <v>151.17157974300832</v>
      </c>
      <c r="K57" s="277">
        <v>7980</v>
      </c>
      <c r="L57" s="275">
        <f t="shared" ref="L57" si="31">K57/F57</f>
        <v>51.55338488671822</v>
      </c>
    </row>
    <row r="58" spans="2:12">
      <c r="B58" s="289"/>
      <c r="C58" s="285" t="s">
        <v>181</v>
      </c>
      <c r="D58" s="286"/>
      <c r="E58" s="26"/>
      <c r="F58" s="271"/>
      <c r="G58" s="273"/>
      <c r="H58" s="274"/>
      <c r="I58" s="271"/>
      <c r="J58" s="276"/>
      <c r="K58" s="277"/>
      <c r="L58" s="276"/>
    </row>
    <row r="59" spans="2:12">
      <c r="B59" s="289" t="s">
        <v>182</v>
      </c>
      <c r="C59" s="285" t="s">
        <v>70</v>
      </c>
      <c r="D59" s="286"/>
      <c r="E59" s="26">
        <v>181.44499999999999</v>
      </c>
      <c r="F59" s="270">
        <f t="shared" ref="F59" si="32">+E59+E60</f>
        <v>181.44499999999999</v>
      </c>
      <c r="G59" s="272"/>
      <c r="H59" s="274"/>
      <c r="I59" s="270">
        <v>25.8</v>
      </c>
      <c r="J59" s="275">
        <f t="shared" ref="J59" si="33">I59/F59*1000</f>
        <v>142.1918487695996</v>
      </c>
      <c r="K59" s="277">
        <v>10320</v>
      </c>
      <c r="L59" s="275">
        <f t="shared" ref="L59" si="34">K59/F59</f>
        <v>56.876739507839844</v>
      </c>
    </row>
    <row r="60" spans="2:12">
      <c r="B60" s="289"/>
      <c r="C60" s="285"/>
      <c r="D60" s="286"/>
      <c r="E60" s="26"/>
      <c r="F60" s="271"/>
      <c r="G60" s="273"/>
      <c r="H60" s="274"/>
      <c r="I60" s="271"/>
      <c r="J60" s="276"/>
      <c r="K60" s="277"/>
      <c r="L60" s="276"/>
    </row>
    <row r="61" spans="2:12">
      <c r="B61" s="289" t="s">
        <v>183</v>
      </c>
      <c r="C61" s="285" t="s">
        <v>167</v>
      </c>
      <c r="D61" s="286"/>
      <c r="E61" s="26"/>
      <c r="F61" s="270">
        <f t="shared" ref="F61" si="35">+E61+E62</f>
        <v>0</v>
      </c>
      <c r="G61" s="272"/>
      <c r="H61" s="274"/>
      <c r="I61" s="270"/>
      <c r="J61" s="275"/>
      <c r="K61" s="277"/>
      <c r="L61" s="275"/>
    </row>
    <row r="62" spans="2:12">
      <c r="B62" s="289"/>
      <c r="C62" s="285"/>
      <c r="D62" s="286"/>
      <c r="E62" s="26"/>
      <c r="F62" s="271"/>
      <c r="G62" s="273"/>
      <c r="H62" s="274"/>
      <c r="I62" s="271"/>
      <c r="J62" s="276"/>
      <c r="K62" s="277"/>
      <c r="L62" s="276"/>
    </row>
    <row r="63" spans="2:12">
      <c r="B63" s="289" t="s">
        <v>186</v>
      </c>
      <c r="C63" s="285" t="s">
        <v>62</v>
      </c>
      <c r="D63" s="286"/>
      <c r="E63" s="26"/>
      <c r="F63" s="270">
        <f t="shared" ref="F63" si="36">+E63+E64</f>
        <v>0</v>
      </c>
      <c r="G63" s="272"/>
      <c r="H63" s="274"/>
      <c r="I63" s="270"/>
      <c r="J63" s="275"/>
      <c r="K63" s="277"/>
      <c r="L63" s="275"/>
    </row>
    <row r="64" spans="2:12">
      <c r="B64" s="289"/>
      <c r="C64" s="285"/>
      <c r="D64" s="286"/>
      <c r="E64" s="26"/>
      <c r="F64" s="271"/>
      <c r="G64" s="273"/>
      <c r="H64" s="274"/>
      <c r="I64" s="271"/>
      <c r="J64" s="276"/>
      <c r="K64" s="277"/>
      <c r="L64" s="276"/>
    </row>
    <row r="65" spans="2:13" ht="15" customHeight="1">
      <c r="B65" s="289" t="s">
        <v>187</v>
      </c>
      <c r="C65" s="285" t="s">
        <v>70</v>
      </c>
      <c r="D65" s="286"/>
      <c r="E65" s="26">
        <v>108.675</v>
      </c>
      <c r="F65" s="270">
        <f t="shared" ref="F65" si="37">+E65+E66</f>
        <v>108.675</v>
      </c>
      <c r="G65" s="272"/>
      <c r="H65" s="274"/>
      <c r="I65" s="270">
        <v>15.7</v>
      </c>
      <c r="J65" s="275">
        <f t="shared" ref="J65" si="38">I65/F65*1000</f>
        <v>144.46744881527491</v>
      </c>
      <c r="K65" s="277">
        <v>5640</v>
      </c>
      <c r="L65" s="275">
        <f t="shared" ref="L65" si="39">K65/F65</f>
        <v>51.897860593512767</v>
      </c>
    </row>
    <row r="66" spans="2:13">
      <c r="B66" s="289"/>
      <c r="C66" s="285"/>
      <c r="D66" s="286"/>
      <c r="E66" s="26"/>
      <c r="F66" s="271"/>
      <c r="G66" s="273"/>
      <c r="H66" s="274"/>
      <c r="I66" s="271"/>
      <c r="J66" s="276"/>
      <c r="K66" s="277"/>
      <c r="L66" s="276"/>
    </row>
    <row r="67" spans="2:13">
      <c r="B67" s="289" t="s">
        <v>191</v>
      </c>
      <c r="C67" s="285" t="s">
        <v>62</v>
      </c>
      <c r="D67" s="286"/>
      <c r="E67" s="26"/>
      <c r="F67" s="270">
        <f t="shared" ref="F67" si="40">+E67+E68</f>
        <v>0</v>
      </c>
      <c r="G67" s="272"/>
      <c r="H67" s="274"/>
      <c r="I67" s="270"/>
      <c r="J67" s="275"/>
      <c r="K67" s="277"/>
      <c r="L67" s="275"/>
    </row>
    <row r="68" spans="2:13">
      <c r="B68" s="289"/>
      <c r="C68" s="285"/>
      <c r="D68" s="286"/>
      <c r="E68" s="26"/>
      <c r="F68" s="271"/>
      <c r="G68" s="273"/>
      <c r="H68" s="274"/>
      <c r="I68" s="271"/>
      <c r="J68" s="276"/>
      <c r="K68" s="277"/>
      <c r="L68" s="276"/>
    </row>
    <row r="69" spans="2:13">
      <c r="B69" s="289" t="s">
        <v>193</v>
      </c>
      <c r="C69" s="285" t="s">
        <v>70</v>
      </c>
      <c r="D69" s="286"/>
      <c r="E69" s="26">
        <v>167.749</v>
      </c>
      <c r="F69" s="270">
        <f t="shared" ref="F69" si="41">+E69+E70</f>
        <v>167.749</v>
      </c>
      <c r="G69" s="272"/>
      <c r="H69" s="274"/>
      <c r="I69" s="270">
        <v>25.3</v>
      </c>
      <c r="J69" s="275">
        <f t="shared" ref="J69" si="42">I69/F69*1000</f>
        <v>150.82057121055865</v>
      </c>
      <c r="K69" s="277">
        <v>9720</v>
      </c>
      <c r="L69" s="275">
        <f t="shared" ref="L69" si="43">K69/F69</f>
        <v>57.943713524372725</v>
      </c>
    </row>
    <row r="70" spans="2:13">
      <c r="B70" s="289"/>
      <c r="C70" s="285"/>
      <c r="D70" s="286"/>
      <c r="E70" s="26"/>
      <c r="F70" s="271"/>
      <c r="G70" s="273"/>
      <c r="H70" s="274"/>
      <c r="I70" s="271"/>
      <c r="J70" s="276"/>
      <c r="K70" s="277"/>
      <c r="L70" s="276"/>
    </row>
    <row r="71" spans="2:13">
      <c r="B71" s="289" t="s">
        <v>196</v>
      </c>
      <c r="C71" s="285" t="s">
        <v>70</v>
      </c>
      <c r="D71" s="286"/>
      <c r="E71" s="26">
        <f>76.366-5</f>
        <v>71.366</v>
      </c>
      <c r="F71" s="270">
        <f t="shared" ref="F71" si="44">+E71+E72</f>
        <v>71.366</v>
      </c>
      <c r="G71" s="272"/>
      <c r="H71" s="274"/>
      <c r="I71" s="270">
        <v>10.9</v>
      </c>
      <c r="J71" s="275">
        <f t="shared" ref="J71" si="45">I71/F71*1000</f>
        <v>152.73379480424853</v>
      </c>
      <c r="K71" s="277">
        <v>8160</v>
      </c>
      <c r="L71" s="275">
        <f t="shared" ref="L71" si="46">K71/F71</f>
        <v>114.34016198189614</v>
      </c>
    </row>
    <row r="72" spans="2:13">
      <c r="B72" s="289"/>
      <c r="C72" s="285" t="s">
        <v>199</v>
      </c>
      <c r="D72" s="286"/>
      <c r="E72" s="26"/>
      <c r="F72" s="271"/>
      <c r="G72" s="273"/>
      <c r="H72" s="274"/>
      <c r="I72" s="271"/>
      <c r="J72" s="276"/>
      <c r="K72" s="277"/>
      <c r="L72" s="276"/>
    </row>
    <row r="73" spans="2:13">
      <c r="B73" s="289" t="s">
        <v>202</v>
      </c>
      <c r="C73" s="285" t="s">
        <v>203</v>
      </c>
      <c r="D73" s="286"/>
      <c r="E73" s="163"/>
      <c r="F73" s="290"/>
      <c r="G73" s="272"/>
      <c r="H73" s="274"/>
      <c r="I73" s="270"/>
      <c r="J73" s="275" t="e">
        <f t="shared" ref="J73" si="47">I73/F73*1000</f>
        <v>#DIV/0!</v>
      </c>
      <c r="K73" s="277"/>
      <c r="L73" s="275" t="e">
        <f t="shared" ref="L73" si="48">K73/F73</f>
        <v>#DIV/0!</v>
      </c>
    </row>
    <row r="74" spans="2:13">
      <c r="B74" s="289"/>
      <c r="C74" s="285"/>
      <c r="D74" s="286"/>
      <c r="E74" s="26"/>
      <c r="F74" s="291"/>
      <c r="G74" s="273"/>
      <c r="H74" s="274"/>
      <c r="I74" s="271"/>
      <c r="J74" s="276"/>
      <c r="K74" s="277"/>
      <c r="L74" s="276"/>
    </row>
    <row r="75" spans="2:13">
      <c r="B75" s="27"/>
      <c r="C75" s="28"/>
      <c r="D75" s="28" t="s">
        <v>15</v>
      </c>
      <c r="E75" s="29">
        <f>SUM(E33:E74)</f>
        <v>1802.9229999999998</v>
      </c>
      <c r="F75" s="29">
        <f>SUM(F33:F74)</f>
        <v>1802.9229999999998</v>
      </c>
      <c r="G75" s="29">
        <f>SUM(G33:G74)</f>
        <v>0</v>
      </c>
      <c r="H75" s="29">
        <f>SUM(H33:H74)</f>
        <v>0</v>
      </c>
      <c r="I75" s="29">
        <f>SUM(I33:I74)</f>
        <v>260.10000000000002</v>
      </c>
      <c r="J75" s="97">
        <f>I75/F75*1000</f>
        <v>144.26572848646342</v>
      </c>
      <c r="K75" s="42">
        <f>SUM(K33:K74)</f>
        <v>126060</v>
      </c>
      <c r="L75" s="30">
        <f>K75/F75</f>
        <v>69.919791361028743</v>
      </c>
    </row>
    <row r="76" spans="2:13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2:13">
      <c r="B77" s="18"/>
      <c r="C77" s="18"/>
      <c r="D77" s="18"/>
      <c r="E77" s="18"/>
      <c r="F77" s="18"/>
      <c r="G77" s="18"/>
      <c r="H77" s="31"/>
      <c r="I77" s="18"/>
      <c r="J77" s="18"/>
      <c r="K77" s="18"/>
      <c r="L77" s="18"/>
    </row>
    <row r="80" spans="2:13">
      <c r="B80" s="16" t="s">
        <v>265</v>
      </c>
      <c r="C80" s="16"/>
      <c r="F80" s="17"/>
      <c r="G80" s="18"/>
      <c r="H80" s="18"/>
      <c r="I80" s="18"/>
      <c r="J80" s="18"/>
      <c r="K80" s="18"/>
      <c r="L80" s="18"/>
      <c r="M80" s="18"/>
    </row>
    <row r="81" spans="2:20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2:20" ht="21.75" thickBot="1">
      <c r="B82" s="19" t="s">
        <v>20</v>
      </c>
      <c r="C82" s="19" t="s">
        <v>25</v>
      </c>
      <c r="D82" s="19" t="s">
        <v>26</v>
      </c>
      <c r="E82" s="19" t="s">
        <v>27</v>
      </c>
      <c r="F82" s="20" t="s">
        <v>28</v>
      </c>
      <c r="G82" s="21"/>
      <c r="H82" s="22"/>
      <c r="I82" s="22"/>
      <c r="J82" s="21"/>
      <c r="K82" s="21"/>
      <c r="L82" s="21"/>
    </row>
    <row r="83" spans="2:20" ht="16.5" thickBot="1">
      <c r="B83" s="70" t="s">
        <v>59</v>
      </c>
      <c r="C83" s="71" t="s">
        <v>248</v>
      </c>
      <c r="D83" s="72">
        <f>872.311+120.913+150.927+179.035-1.869</f>
        <v>1321.3170000000002</v>
      </c>
      <c r="E83" s="71" t="s">
        <v>60</v>
      </c>
      <c r="F83" s="278">
        <f>+I164</f>
        <v>193.89999999999998</v>
      </c>
      <c r="G83" s="21"/>
      <c r="H83" s="21"/>
      <c r="I83" s="23"/>
      <c r="J83" s="23"/>
      <c r="K83" s="21"/>
      <c r="L83" s="21"/>
      <c r="N83" s="4"/>
      <c r="T83" s="32">
        <f>+F83/D85</f>
        <v>0.14674752538565683</v>
      </c>
    </row>
    <row r="84" spans="2:20">
      <c r="B84" s="70"/>
      <c r="C84" s="71"/>
      <c r="D84" s="72"/>
      <c r="E84" s="71" t="s">
        <v>61</v>
      </c>
      <c r="F84" s="279"/>
      <c r="G84" s="21"/>
      <c r="H84" s="22"/>
      <c r="I84" s="22"/>
      <c r="J84" s="21"/>
      <c r="K84" s="21"/>
      <c r="L84" s="21"/>
      <c r="N84" s="4"/>
    </row>
    <row r="85" spans="2:20">
      <c r="B85" s="70" t="s">
        <v>15</v>
      </c>
      <c r="C85" s="71" t="str">
        <f>+C83</f>
        <v xml:space="preserve">  10 Day    (  10  Shifts )  </v>
      </c>
      <c r="D85" s="72">
        <f>SUM(D83:D84)</f>
        <v>1321.3170000000002</v>
      </c>
      <c r="E85" s="71"/>
      <c r="F85" s="73">
        <f>SUM(F83:F84)</f>
        <v>193.89999999999998</v>
      </c>
      <c r="G85" s="21"/>
      <c r="H85" s="23"/>
      <c r="I85" s="23"/>
      <c r="J85" s="23"/>
      <c r="K85" s="21"/>
      <c r="L85" s="21"/>
    </row>
    <row r="86" spans="2:20">
      <c r="B86" s="74"/>
      <c r="C86" s="75" t="s">
        <v>29</v>
      </c>
      <c r="D86" s="76"/>
      <c r="E86" s="77" t="s">
        <v>30</v>
      </c>
      <c r="F86" s="74"/>
      <c r="G86" s="21"/>
      <c r="H86" s="21"/>
      <c r="I86" s="21"/>
      <c r="J86" s="21"/>
      <c r="K86" s="21"/>
      <c r="L86" s="21"/>
    </row>
    <row r="87" spans="2:20">
      <c r="B87" s="71"/>
      <c r="C87" s="71"/>
      <c r="D87" s="78"/>
      <c r="E87" s="79"/>
      <c r="F87" s="71"/>
      <c r="G87" s="21"/>
      <c r="H87" s="21"/>
      <c r="I87" s="21"/>
      <c r="J87" s="21"/>
      <c r="K87" s="21"/>
      <c r="L87" s="21"/>
    </row>
    <row r="88" spans="2:20">
      <c r="B88" s="71"/>
      <c r="C88" s="71" t="s">
        <v>205</v>
      </c>
      <c r="D88" s="78"/>
      <c r="E88" s="79" t="s">
        <v>63</v>
      </c>
      <c r="F88" s="71"/>
      <c r="G88" s="21"/>
      <c r="H88" s="21"/>
      <c r="I88" s="21"/>
      <c r="J88" s="21"/>
      <c r="K88" s="21"/>
      <c r="L88" s="21"/>
    </row>
    <row r="89" spans="2:20">
      <c r="B89" s="71"/>
      <c r="C89" s="71"/>
      <c r="D89" s="80"/>
      <c r="E89" s="80"/>
      <c r="F89" s="71"/>
      <c r="G89" s="21"/>
      <c r="H89" s="21"/>
      <c r="I89" s="21"/>
      <c r="J89" s="21"/>
      <c r="K89" s="21"/>
      <c r="L89" s="21"/>
    </row>
    <row r="90" spans="2:20">
      <c r="B90" s="71"/>
      <c r="C90" s="71" t="s">
        <v>210</v>
      </c>
      <c r="D90" s="80"/>
      <c r="E90" s="166" t="s">
        <v>209</v>
      </c>
      <c r="F90" s="24"/>
      <c r="G90" s="21"/>
      <c r="H90" s="21"/>
      <c r="I90" s="21"/>
      <c r="J90" s="21"/>
      <c r="K90" s="21"/>
      <c r="L90" s="21"/>
    </row>
    <row r="91" spans="2:20">
      <c r="B91" s="71"/>
      <c r="C91" s="71" t="s">
        <v>224</v>
      </c>
      <c r="D91" s="80"/>
      <c r="E91" s="166" t="s">
        <v>62</v>
      </c>
      <c r="F91" s="24"/>
      <c r="G91" s="21"/>
      <c r="H91" s="21"/>
      <c r="I91" s="21"/>
      <c r="J91" s="21"/>
      <c r="K91" s="21"/>
      <c r="L91" s="21"/>
    </row>
    <row r="92" spans="2:20">
      <c r="B92" s="71"/>
      <c r="C92" s="71"/>
      <c r="D92" s="80"/>
      <c r="E92" s="166"/>
      <c r="F92" s="24"/>
      <c r="G92" s="21"/>
      <c r="H92" s="21"/>
      <c r="I92" s="21"/>
      <c r="J92" s="21"/>
      <c r="K92" s="21"/>
      <c r="L92" s="21"/>
    </row>
    <row r="93" spans="2:20">
      <c r="B93" s="71"/>
      <c r="C93" s="71"/>
      <c r="D93" s="80"/>
      <c r="E93" s="166"/>
      <c r="F93" s="24"/>
      <c r="G93" s="21"/>
      <c r="H93" s="21"/>
      <c r="I93" s="21"/>
      <c r="J93" s="21"/>
      <c r="K93" s="21"/>
      <c r="L93" s="21"/>
    </row>
    <row r="94" spans="2:20">
      <c r="B94" s="71"/>
      <c r="C94" s="71"/>
      <c r="D94" s="80"/>
      <c r="E94" s="166"/>
      <c r="F94" s="71"/>
      <c r="G94" s="18"/>
      <c r="H94" s="18"/>
      <c r="I94" s="18"/>
      <c r="J94" s="18"/>
      <c r="K94" s="18"/>
      <c r="L94" s="18"/>
    </row>
    <row r="95" spans="2:20">
      <c r="B95" s="71"/>
      <c r="C95" s="71"/>
      <c r="D95" s="80"/>
      <c r="E95" s="41"/>
      <c r="F95" s="71"/>
      <c r="G95" s="18"/>
      <c r="H95" s="18"/>
      <c r="I95" s="18"/>
      <c r="J95" s="18"/>
      <c r="K95" s="18"/>
      <c r="L95" s="18"/>
    </row>
    <row r="96" spans="2:20">
      <c r="B96" s="71"/>
      <c r="C96" s="71" t="s">
        <v>249</v>
      </c>
      <c r="D96" s="12"/>
      <c r="E96" s="45" t="s">
        <v>31</v>
      </c>
      <c r="F96" s="71"/>
      <c r="G96" s="18"/>
      <c r="H96" s="18"/>
      <c r="I96" s="18"/>
      <c r="J96" s="18"/>
      <c r="K96" s="18"/>
      <c r="L96" s="18"/>
    </row>
    <row r="97" spans="2:12">
      <c r="B97" s="71"/>
      <c r="C97" s="71"/>
      <c r="D97" s="80"/>
      <c r="E97" s="45"/>
      <c r="F97" s="71"/>
      <c r="G97" s="18"/>
      <c r="H97" s="18"/>
      <c r="I97" s="18"/>
      <c r="J97" s="18"/>
      <c r="K97" s="18"/>
      <c r="L97" s="18"/>
    </row>
    <row r="98" spans="2:12">
      <c r="B98" s="71"/>
      <c r="C98" s="71"/>
      <c r="D98" s="12"/>
      <c r="E98" s="12"/>
      <c r="F98" s="71"/>
      <c r="G98" s="18"/>
      <c r="H98" s="18"/>
      <c r="I98" s="31"/>
      <c r="J98" s="31"/>
      <c r="K98" s="18"/>
      <c r="L98" s="18"/>
    </row>
    <row r="99" spans="2:12">
      <c r="B99" s="71"/>
      <c r="C99" s="71"/>
      <c r="D99" s="12"/>
      <c r="E99" s="12"/>
      <c r="F99" s="71"/>
      <c r="G99" s="18"/>
      <c r="H99" s="18"/>
      <c r="I99" s="18"/>
      <c r="J99" s="18"/>
      <c r="K99" s="18"/>
      <c r="L99" s="18"/>
    </row>
    <row r="100" spans="2:12">
      <c r="B100" s="71"/>
      <c r="C100" s="71"/>
      <c r="D100" s="81"/>
      <c r="E100" s="12"/>
      <c r="F100" s="24"/>
      <c r="G100" s="18"/>
      <c r="H100" s="18"/>
      <c r="I100" s="18"/>
      <c r="J100" s="18"/>
      <c r="K100" s="18"/>
      <c r="L100" s="18"/>
    </row>
    <row r="101" spans="2:12">
      <c r="B101" s="71"/>
      <c r="C101" s="71"/>
      <c r="D101" s="80"/>
      <c r="E101" s="80"/>
      <c r="F101" s="71"/>
      <c r="G101" s="18"/>
      <c r="H101" s="18"/>
      <c r="I101" s="18"/>
      <c r="J101" s="18"/>
      <c r="K101" s="18"/>
      <c r="L101" s="18"/>
    </row>
    <row r="102" spans="2:12">
      <c r="B102" s="82"/>
      <c r="C102" s="82"/>
      <c r="D102" s="83"/>
      <c r="E102" s="83"/>
      <c r="F102" s="83"/>
      <c r="G102" s="18"/>
      <c r="H102" s="18"/>
      <c r="I102" s="18"/>
      <c r="J102" s="18"/>
      <c r="K102" s="18"/>
      <c r="L102" s="44"/>
    </row>
    <row r="103" spans="2:12">
      <c r="B103" s="18"/>
      <c r="C103" s="18"/>
      <c r="D103" s="18"/>
      <c r="E103" s="18"/>
      <c r="F103" s="18"/>
      <c r="G103" s="18"/>
      <c r="H103" s="18"/>
      <c r="I103" s="18"/>
      <c r="J103" s="43"/>
      <c r="K103" s="18"/>
      <c r="L103" s="18"/>
    </row>
    <row r="104" spans="2:12">
      <c r="B104" s="18"/>
      <c r="C104" s="71"/>
      <c r="D104" s="84" t="s">
        <v>32</v>
      </c>
      <c r="E104" s="71"/>
      <c r="F104" s="84" t="s">
        <v>33</v>
      </c>
      <c r="G104" s="18"/>
      <c r="H104" s="18" t="s">
        <v>34</v>
      </c>
      <c r="I104" s="18"/>
      <c r="J104" s="18"/>
      <c r="K104" s="18"/>
      <c r="L104" s="18"/>
    </row>
    <row r="105" spans="2:12">
      <c r="B105" s="44" t="s">
        <v>58</v>
      </c>
      <c r="C105" s="70" t="s">
        <v>35</v>
      </c>
      <c r="D105" s="41">
        <f>D85/10</f>
        <v>132.13170000000002</v>
      </c>
      <c r="E105" s="84" t="s">
        <v>36</v>
      </c>
      <c r="F105" s="85">
        <f>+T83*1000</f>
        <v>146.74752538565684</v>
      </c>
      <c r="G105" s="18"/>
      <c r="H105" s="18"/>
      <c r="I105" s="18"/>
      <c r="J105" s="18"/>
      <c r="K105" s="18"/>
      <c r="L105" s="18"/>
    </row>
    <row r="106" spans="2:12">
      <c r="B106" s="44" t="s">
        <v>56</v>
      </c>
      <c r="C106" s="70" t="s">
        <v>37</v>
      </c>
      <c r="D106" s="41">
        <f>+D105</f>
        <v>132.13170000000002</v>
      </c>
      <c r="E106" s="71"/>
      <c r="F106" s="71"/>
      <c r="G106" s="18"/>
      <c r="H106" s="18"/>
      <c r="I106" s="18"/>
      <c r="J106" s="18"/>
      <c r="K106" s="18"/>
      <c r="L106" s="18"/>
    </row>
    <row r="107" spans="2:12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2:12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2:12">
      <c r="B109" s="25" t="s">
        <v>211</v>
      </c>
      <c r="C109" s="25"/>
      <c r="D109" s="280" t="s">
        <v>32</v>
      </c>
      <c r="E109" s="281"/>
      <c r="F109" s="282"/>
      <c r="G109" s="283" t="s">
        <v>38</v>
      </c>
      <c r="H109" s="283"/>
      <c r="I109" s="283"/>
      <c r="J109" s="283"/>
      <c r="K109" s="18"/>
      <c r="L109" s="18"/>
    </row>
    <row r="110" spans="2:12">
      <c r="B110" s="45" t="s">
        <v>39</v>
      </c>
      <c r="C110" s="166" t="s">
        <v>40</v>
      </c>
      <c r="D110" s="166" t="s">
        <v>20</v>
      </c>
      <c r="E110" s="166" t="s">
        <v>41</v>
      </c>
      <c r="F110" s="166" t="s">
        <v>42</v>
      </c>
      <c r="G110" s="284" t="s">
        <v>43</v>
      </c>
      <c r="H110" s="166" t="s">
        <v>44</v>
      </c>
      <c r="I110" s="166" t="s">
        <v>45</v>
      </c>
      <c r="J110" s="166" t="s">
        <v>46</v>
      </c>
      <c r="K110" s="166" t="s">
        <v>45</v>
      </c>
      <c r="L110" s="166" t="s">
        <v>46</v>
      </c>
    </row>
    <row r="111" spans="2:12">
      <c r="B111" s="45"/>
      <c r="C111" s="166"/>
      <c r="D111" s="166" t="s">
        <v>47</v>
      </c>
      <c r="E111" s="166"/>
      <c r="F111" s="166"/>
      <c r="G111" s="284"/>
      <c r="H111" s="166" t="s">
        <v>53</v>
      </c>
      <c r="I111" s="166" t="s">
        <v>48</v>
      </c>
      <c r="J111" s="166" t="s">
        <v>33</v>
      </c>
      <c r="K111" s="166" t="s">
        <v>49</v>
      </c>
      <c r="L111" s="166" t="s">
        <v>50</v>
      </c>
    </row>
    <row r="112" spans="2:12">
      <c r="B112" s="268" t="s">
        <v>208</v>
      </c>
      <c r="C112" s="285"/>
      <c r="D112" s="286"/>
      <c r="E112" s="26"/>
      <c r="F112" s="270">
        <f t="shared" ref="F112" si="49">+E112+E113</f>
        <v>0</v>
      </c>
      <c r="G112" s="272"/>
      <c r="H112" s="274"/>
      <c r="I112" s="270"/>
      <c r="J112" s="275"/>
      <c r="K112" s="277"/>
      <c r="L112" s="275"/>
    </row>
    <row r="113" spans="2:12">
      <c r="B113" s="269"/>
      <c r="C113" s="285" t="s">
        <v>209</v>
      </c>
      <c r="D113" s="286"/>
      <c r="E113" s="26"/>
      <c r="F113" s="271"/>
      <c r="G113" s="273"/>
      <c r="H113" s="274"/>
      <c r="I113" s="271"/>
      <c r="J113" s="276"/>
      <c r="K113" s="277"/>
      <c r="L113" s="276"/>
    </row>
    <row r="114" spans="2:12">
      <c r="B114" s="268" t="s">
        <v>223</v>
      </c>
      <c r="C114" s="285" t="s">
        <v>68</v>
      </c>
      <c r="D114" s="286"/>
      <c r="E114" s="26"/>
      <c r="F114" s="270">
        <f t="shared" ref="F114" si="50">+E114+E115</f>
        <v>0</v>
      </c>
      <c r="G114" s="272"/>
      <c r="H114" s="274"/>
      <c r="I114" s="270"/>
      <c r="J114" s="275">
        <v>0</v>
      </c>
      <c r="K114" s="277"/>
      <c r="L114" s="275">
        <v>0</v>
      </c>
    </row>
    <row r="115" spans="2:12">
      <c r="B115" s="269"/>
      <c r="C115" s="285" t="s">
        <v>69</v>
      </c>
      <c r="D115" s="286"/>
      <c r="E115" s="26"/>
      <c r="F115" s="271"/>
      <c r="G115" s="273"/>
      <c r="H115" s="274"/>
      <c r="I115" s="271"/>
      <c r="J115" s="276"/>
      <c r="K115" s="277"/>
      <c r="L115" s="276"/>
    </row>
    <row r="116" spans="2:12">
      <c r="B116" s="289" t="s">
        <v>213</v>
      </c>
      <c r="C116" s="285" t="s">
        <v>70</v>
      </c>
      <c r="D116" s="286"/>
      <c r="E116" s="26">
        <v>135.73400000000001</v>
      </c>
      <c r="F116" s="270">
        <f t="shared" ref="F116" si="51">+E116+E117</f>
        <v>135.73400000000001</v>
      </c>
      <c r="G116" s="272"/>
      <c r="H116" s="274"/>
      <c r="I116" s="270">
        <v>22.5</v>
      </c>
      <c r="J116" s="275">
        <f t="shared" ref="J116" si="52">I116/F116*1000</f>
        <v>165.76539407959683</v>
      </c>
      <c r="K116" s="277">
        <v>10260</v>
      </c>
      <c r="L116" s="275">
        <f t="shared" ref="L116" si="53">K116/F116</f>
        <v>75.589019700296163</v>
      </c>
    </row>
    <row r="117" spans="2:12">
      <c r="B117" s="289"/>
      <c r="C117" s="285"/>
      <c r="D117" s="286"/>
      <c r="E117" s="26"/>
      <c r="F117" s="271"/>
      <c r="G117" s="273"/>
      <c r="H117" s="274"/>
      <c r="I117" s="271"/>
      <c r="J117" s="276"/>
      <c r="K117" s="277"/>
      <c r="L117" s="276"/>
    </row>
    <row r="118" spans="2:12">
      <c r="B118" s="289" t="s">
        <v>225</v>
      </c>
      <c r="C118" s="285" t="s">
        <v>70</v>
      </c>
      <c r="D118" s="286"/>
      <c r="E118" s="26">
        <f>117.46-1.5</f>
        <v>115.96</v>
      </c>
      <c r="F118" s="270">
        <f t="shared" ref="F118" si="54">+E118+E119</f>
        <v>115.96</v>
      </c>
      <c r="G118" s="272"/>
      <c r="H118" s="274"/>
      <c r="I118" s="270">
        <v>16.3</v>
      </c>
      <c r="J118" s="275">
        <f t="shared" ref="J118" si="55">I118/F118*1000</f>
        <v>140.56571231459125</v>
      </c>
      <c r="K118" s="277">
        <v>10380</v>
      </c>
      <c r="L118" s="275">
        <f t="shared" ref="L118" si="56">K118/F118</f>
        <v>89.513625388064852</v>
      </c>
    </row>
    <row r="119" spans="2:12">
      <c r="B119" s="289"/>
      <c r="C119" s="285"/>
      <c r="D119" s="286"/>
      <c r="E119" s="26"/>
      <c r="F119" s="271"/>
      <c r="G119" s="273"/>
      <c r="H119" s="274"/>
      <c r="I119" s="271"/>
      <c r="J119" s="276"/>
      <c r="K119" s="277"/>
      <c r="L119" s="276"/>
    </row>
    <row r="120" spans="2:12">
      <c r="B120" s="289" t="s">
        <v>226</v>
      </c>
      <c r="C120" s="285" t="s">
        <v>70</v>
      </c>
      <c r="D120" s="286"/>
      <c r="E120" s="26">
        <f>135.708-0.7</f>
        <v>135.00800000000001</v>
      </c>
      <c r="F120" s="270">
        <f t="shared" ref="F120" si="57">+E120+E121</f>
        <v>135.00800000000001</v>
      </c>
      <c r="G120" s="272"/>
      <c r="H120" s="274"/>
      <c r="I120" s="270">
        <v>18.2</v>
      </c>
      <c r="J120" s="275">
        <f t="shared" ref="J120" si="58">I120/F120*1000</f>
        <v>134.80682626214741</v>
      </c>
      <c r="K120" s="277">
        <v>10980</v>
      </c>
      <c r="L120" s="275">
        <f t="shared" ref="L120" si="59">K120/F120</f>
        <v>81.328513865844982</v>
      </c>
    </row>
    <row r="121" spans="2:12">
      <c r="B121" s="289"/>
      <c r="C121" s="285"/>
      <c r="D121" s="286"/>
      <c r="E121" s="26"/>
      <c r="F121" s="271"/>
      <c r="G121" s="273"/>
      <c r="H121" s="274"/>
      <c r="I121" s="271"/>
      <c r="J121" s="276"/>
      <c r="K121" s="277"/>
      <c r="L121" s="276"/>
    </row>
    <row r="122" spans="2:12">
      <c r="B122" s="289" t="s">
        <v>227</v>
      </c>
      <c r="C122" s="285" t="s">
        <v>70</v>
      </c>
      <c r="D122" s="286"/>
      <c r="E122" s="26">
        <f>139.326-1</f>
        <v>138.32599999999999</v>
      </c>
      <c r="F122" s="270">
        <f t="shared" ref="F122" si="60">+E122+E123</f>
        <v>138.32599999999999</v>
      </c>
      <c r="G122" s="272"/>
      <c r="H122" s="274"/>
      <c r="I122" s="270">
        <v>18.600000000000001</v>
      </c>
      <c r="J122" s="275">
        <f t="shared" ref="J122" si="61">I122/F122*1000</f>
        <v>134.46495958821916</v>
      </c>
      <c r="K122" s="277">
        <v>9900</v>
      </c>
      <c r="L122" s="275">
        <f t="shared" ref="L122" si="62">K122/F122</f>
        <v>71.570059135665034</v>
      </c>
    </row>
    <row r="123" spans="2:12">
      <c r="B123" s="289"/>
      <c r="C123" s="285"/>
      <c r="D123" s="286"/>
      <c r="E123" s="26"/>
      <c r="F123" s="271"/>
      <c r="G123" s="273"/>
      <c r="H123" s="274"/>
      <c r="I123" s="271"/>
      <c r="J123" s="276"/>
      <c r="K123" s="277"/>
      <c r="L123" s="276"/>
    </row>
    <row r="124" spans="2:12">
      <c r="B124" s="289" t="s">
        <v>228</v>
      </c>
      <c r="C124" s="285" t="s">
        <v>166</v>
      </c>
      <c r="D124" s="286"/>
      <c r="E124" s="26"/>
      <c r="F124" s="270">
        <f t="shared" ref="F124" si="63">+E124+E125</f>
        <v>0</v>
      </c>
      <c r="G124" s="272"/>
      <c r="H124" s="274"/>
      <c r="I124" s="270"/>
      <c r="J124" s="275">
        <v>0</v>
      </c>
      <c r="K124" s="277"/>
      <c r="L124" s="275">
        <v>0</v>
      </c>
    </row>
    <row r="125" spans="2:12">
      <c r="B125" s="289"/>
      <c r="C125" s="285"/>
      <c r="D125" s="286"/>
      <c r="E125" s="26"/>
      <c r="F125" s="271"/>
      <c r="G125" s="273"/>
      <c r="H125" s="274"/>
      <c r="I125" s="271"/>
      <c r="J125" s="276"/>
      <c r="K125" s="277"/>
      <c r="L125" s="276"/>
    </row>
    <row r="126" spans="2:12">
      <c r="B126" s="289" t="s">
        <v>229</v>
      </c>
      <c r="C126" s="285" t="s">
        <v>70</v>
      </c>
      <c r="D126" s="286"/>
      <c r="E126" s="26">
        <f>144.609-0.45</f>
        <v>144.15900000000002</v>
      </c>
      <c r="F126" s="270">
        <f t="shared" ref="F126" si="64">+E126+E127</f>
        <v>144.15900000000002</v>
      </c>
      <c r="G126" s="272"/>
      <c r="H126" s="274"/>
      <c r="I126" s="270">
        <v>21.1</v>
      </c>
      <c r="J126" s="275">
        <f t="shared" ref="J126" si="65">I126/F126*1000</f>
        <v>146.36616513710555</v>
      </c>
      <c r="K126" s="277">
        <v>11400</v>
      </c>
      <c r="L126" s="275">
        <f t="shared" ref="L126" si="66">K126/F126</f>
        <v>79.07934988450252</v>
      </c>
    </row>
    <row r="127" spans="2:12">
      <c r="B127" s="289"/>
      <c r="C127" s="285"/>
      <c r="D127" s="286"/>
      <c r="E127" s="26"/>
      <c r="F127" s="271"/>
      <c r="G127" s="273"/>
      <c r="H127" s="274"/>
      <c r="I127" s="271"/>
      <c r="J127" s="276"/>
      <c r="K127" s="277"/>
      <c r="L127" s="276"/>
    </row>
    <row r="128" spans="2:12">
      <c r="B128" s="289" t="s">
        <v>230</v>
      </c>
      <c r="C128" s="285" t="s">
        <v>234</v>
      </c>
      <c r="D128" s="286"/>
      <c r="E128" s="26">
        <f>76.27-4.487</f>
        <v>71.783000000000001</v>
      </c>
      <c r="F128" s="270">
        <f t="shared" ref="F128" si="67">+E128+E129</f>
        <v>71.783000000000001</v>
      </c>
      <c r="G128" s="272"/>
      <c r="H128" s="274"/>
      <c r="I128" s="270">
        <v>13</v>
      </c>
      <c r="J128" s="275">
        <f t="shared" ref="J128" si="68">I128/F128*1000</f>
        <v>181.1013749773623</v>
      </c>
      <c r="K128" s="277">
        <v>9360</v>
      </c>
      <c r="L128" s="275">
        <f t="shared" ref="L128" si="69">K128/F128</f>
        <v>130.39298998370089</v>
      </c>
    </row>
    <row r="129" spans="2:12">
      <c r="B129" s="289"/>
      <c r="C129" s="285"/>
      <c r="D129" s="286"/>
      <c r="E129" s="26"/>
      <c r="F129" s="271"/>
      <c r="G129" s="273"/>
      <c r="H129" s="274"/>
      <c r="I129" s="271"/>
      <c r="J129" s="276"/>
      <c r="K129" s="277"/>
      <c r="L129" s="276"/>
    </row>
    <row r="130" spans="2:12">
      <c r="B130" s="289" t="s">
        <v>235</v>
      </c>
      <c r="C130" s="285" t="s">
        <v>70</v>
      </c>
      <c r="D130" s="286"/>
      <c r="E130" s="26">
        <v>131.34100000000001</v>
      </c>
      <c r="F130" s="270">
        <f t="shared" ref="F130" si="70">+E130+E131</f>
        <v>131.34100000000001</v>
      </c>
      <c r="G130" s="272"/>
      <c r="H130" s="274"/>
      <c r="I130" s="270">
        <v>19.7</v>
      </c>
      <c r="J130" s="275">
        <f t="shared" ref="J130" si="71">I130/F130*1000</f>
        <v>149.99124416594969</v>
      </c>
      <c r="K130" s="277">
        <v>11820</v>
      </c>
      <c r="L130" s="275">
        <f t="shared" ref="L130" si="72">K130/F130</f>
        <v>89.994746499569814</v>
      </c>
    </row>
    <row r="131" spans="2:12">
      <c r="B131" s="289"/>
      <c r="C131" s="285"/>
      <c r="D131" s="286"/>
      <c r="E131" s="26"/>
      <c r="F131" s="271"/>
      <c r="G131" s="273"/>
      <c r="H131" s="274"/>
      <c r="I131" s="271"/>
      <c r="J131" s="276"/>
      <c r="K131" s="277"/>
      <c r="L131" s="276"/>
    </row>
    <row r="132" spans="2:12">
      <c r="B132" s="289" t="s">
        <v>237</v>
      </c>
      <c r="C132" s="285" t="s">
        <v>70</v>
      </c>
      <c r="D132" s="286"/>
      <c r="E132" s="26">
        <f>120.913-1.869</f>
        <v>119.044</v>
      </c>
      <c r="F132" s="270">
        <f t="shared" ref="F132" si="73">+E132+E133</f>
        <v>119.044</v>
      </c>
      <c r="G132" s="272"/>
      <c r="H132" s="274"/>
      <c r="I132" s="270">
        <v>17.399999999999999</v>
      </c>
      <c r="J132" s="275">
        <f t="shared" ref="J132" si="74">I132/F132*1000</f>
        <v>146.16444339907932</v>
      </c>
      <c r="K132" s="277">
        <v>9660</v>
      </c>
      <c r="L132" s="275">
        <f t="shared" ref="L132" si="75">K132/F132</f>
        <v>81.146466852592326</v>
      </c>
    </row>
    <row r="133" spans="2:12">
      <c r="B133" s="289"/>
      <c r="C133" s="285"/>
      <c r="D133" s="286"/>
      <c r="E133" s="26"/>
      <c r="F133" s="271"/>
      <c r="G133" s="273"/>
      <c r="H133" s="274"/>
      <c r="I133" s="271"/>
      <c r="J133" s="276"/>
      <c r="K133" s="277"/>
      <c r="L133" s="276"/>
    </row>
    <row r="134" spans="2:12">
      <c r="B134" s="289" t="s">
        <v>242</v>
      </c>
      <c r="C134" s="285" t="s">
        <v>70</v>
      </c>
      <c r="D134" s="286"/>
      <c r="E134" s="26">
        <v>150.92699999999999</v>
      </c>
      <c r="F134" s="270">
        <f t="shared" ref="F134" si="76">+E134+E135</f>
        <v>150.92699999999999</v>
      </c>
      <c r="G134" s="272"/>
      <c r="H134" s="274"/>
      <c r="I134" s="270">
        <v>20.5</v>
      </c>
      <c r="J134" s="275">
        <f t="shared" ref="J134" si="77">I134/F134*1000</f>
        <v>135.82725423549132</v>
      </c>
      <c r="K134" s="277">
        <v>10140</v>
      </c>
      <c r="L134" s="275">
        <f t="shared" ref="L134" si="78">K134/F134</f>
        <v>67.184797948677172</v>
      </c>
    </row>
    <row r="135" spans="2:12">
      <c r="B135" s="289"/>
      <c r="C135" s="285"/>
      <c r="D135" s="286"/>
      <c r="E135" s="26"/>
      <c r="F135" s="271"/>
      <c r="G135" s="273"/>
      <c r="H135" s="274"/>
      <c r="I135" s="271"/>
      <c r="J135" s="276"/>
      <c r="K135" s="277"/>
      <c r="L135" s="276"/>
    </row>
    <row r="136" spans="2:12">
      <c r="B136" s="289" t="s">
        <v>245</v>
      </c>
      <c r="C136" s="285" t="s">
        <v>70</v>
      </c>
      <c r="D136" s="286"/>
      <c r="E136" s="26">
        <v>179.035</v>
      </c>
      <c r="F136" s="270">
        <f t="shared" ref="F136" si="79">+E136+E137</f>
        <v>179.035</v>
      </c>
      <c r="G136" s="272"/>
      <c r="H136" s="274"/>
      <c r="I136" s="270">
        <v>26.6</v>
      </c>
      <c r="J136" s="275">
        <f t="shared" ref="J136" si="80">I136/F136*1000</f>
        <v>148.57430111430727</v>
      </c>
      <c r="K136" s="277">
        <v>11640</v>
      </c>
      <c r="L136" s="275">
        <f t="shared" ref="L136" si="81">K136/F136</f>
        <v>65.015220487614158</v>
      </c>
    </row>
    <row r="137" spans="2:12">
      <c r="B137" s="289"/>
      <c r="C137" s="285"/>
      <c r="D137" s="286"/>
      <c r="E137" s="26"/>
      <c r="F137" s="271"/>
      <c r="G137" s="273"/>
      <c r="H137" s="274"/>
      <c r="I137" s="271"/>
      <c r="J137" s="276"/>
      <c r="K137" s="277"/>
      <c r="L137" s="276"/>
    </row>
    <row r="138" spans="2:12">
      <c r="B138" s="289" t="s">
        <v>250</v>
      </c>
      <c r="C138" s="285" t="s">
        <v>166</v>
      </c>
      <c r="D138" s="286"/>
      <c r="E138" s="26"/>
      <c r="F138" s="270">
        <f t="shared" ref="F138" si="82">+E138+E139</f>
        <v>0</v>
      </c>
      <c r="G138" s="272"/>
      <c r="H138" s="274"/>
      <c r="I138" s="270"/>
      <c r="J138" s="275" t="e">
        <f t="shared" ref="J138" si="83">I138/F138*1000</f>
        <v>#DIV/0!</v>
      </c>
      <c r="K138" s="277"/>
      <c r="L138" s="275" t="e">
        <f t="shared" ref="L138" si="84">K138/F138</f>
        <v>#DIV/0!</v>
      </c>
    </row>
    <row r="139" spans="2:12">
      <c r="B139" s="289"/>
      <c r="C139" s="285"/>
      <c r="D139" s="286"/>
      <c r="E139" s="26"/>
      <c r="F139" s="271"/>
      <c r="G139" s="273"/>
      <c r="H139" s="274"/>
      <c r="I139" s="271"/>
      <c r="J139" s="276"/>
      <c r="K139" s="277"/>
      <c r="L139" s="276"/>
    </row>
    <row r="140" spans="2:12" hidden="1">
      <c r="B140" s="289"/>
      <c r="C140" s="285"/>
      <c r="D140" s="286"/>
      <c r="E140" s="26"/>
      <c r="F140" s="270">
        <f t="shared" ref="F140" si="85">+E140+E141</f>
        <v>0</v>
      </c>
      <c r="G140" s="272"/>
      <c r="H140" s="274"/>
      <c r="I140" s="270"/>
      <c r="J140" s="275" t="e">
        <f t="shared" ref="J140" si="86">I140/F140*1000</f>
        <v>#DIV/0!</v>
      </c>
      <c r="K140" s="277"/>
      <c r="L140" s="275" t="e">
        <f t="shared" ref="L140" si="87">K140/F140</f>
        <v>#DIV/0!</v>
      </c>
    </row>
    <row r="141" spans="2:12" hidden="1">
      <c r="B141" s="289"/>
      <c r="C141" s="285"/>
      <c r="D141" s="286"/>
      <c r="E141" s="26"/>
      <c r="F141" s="271"/>
      <c r="G141" s="273"/>
      <c r="H141" s="274"/>
      <c r="I141" s="271"/>
      <c r="J141" s="276"/>
      <c r="K141" s="277"/>
      <c r="L141" s="276"/>
    </row>
    <row r="142" spans="2:12" hidden="1">
      <c r="B142" s="289"/>
      <c r="C142" s="285"/>
      <c r="D142" s="286"/>
      <c r="E142" s="26"/>
      <c r="F142" s="270">
        <f t="shared" ref="F142" si="88">+E142+E143</f>
        <v>0</v>
      </c>
      <c r="G142" s="272"/>
      <c r="H142" s="274"/>
      <c r="I142" s="270"/>
      <c r="J142" s="275" t="e">
        <f t="shared" ref="J142" si="89">I142/F142*1000</f>
        <v>#DIV/0!</v>
      </c>
      <c r="K142" s="277"/>
      <c r="L142" s="275" t="e">
        <f t="shared" ref="L142" si="90">K142/F142</f>
        <v>#DIV/0!</v>
      </c>
    </row>
    <row r="143" spans="2:12" hidden="1">
      <c r="B143" s="289"/>
      <c r="C143" s="285"/>
      <c r="D143" s="286"/>
      <c r="E143" s="26"/>
      <c r="F143" s="271"/>
      <c r="G143" s="273"/>
      <c r="H143" s="274"/>
      <c r="I143" s="271"/>
      <c r="J143" s="276"/>
      <c r="K143" s="277"/>
      <c r="L143" s="276"/>
    </row>
    <row r="144" spans="2:12" ht="15" hidden="1" customHeight="1">
      <c r="B144" s="289"/>
      <c r="C144" s="285"/>
      <c r="D144" s="286"/>
      <c r="E144" s="26"/>
      <c r="F144" s="270">
        <f t="shared" ref="F144" si="91">+E144+E145</f>
        <v>0</v>
      </c>
      <c r="G144" s="272"/>
      <c r="H144" s="274"/>
      <c r="I144" s="270"/>
      <c r="J144" s="275" t="e">
        <f t="shared" ref="J144" si="92">I144/F144*1000</f>
        <v>#DIV/0!</v>
      </c>
      <c r="K144" s="277"/>
      <c r="L144" s="275" t="e">
        <f t="shared" ref="L144" si="93">K144/F144</f>
        <v>#DIV/0!</v>
      </c>
    </row>
    <row r="145" spans="2:12" hidden="1">
      <c r="B145" s="289"/>
      <c r="C145" s="285"/>
      <c r="D145" s="286"/>
      <c r="E145" s="26"/>
      <c r="F145" s="271"/>
      <c r="G145" s="273"/>
      <c r="H145" s="274"/>
      <c r="I145" s="271"/>
      <c r="J145" s="276"/>
      <c r="K145" s="277"/>
      <c r="L145" s="276"/>
    </row>
    <row r="146" spans="2:12" hidden="1">
      <c r="B146" s="289"/>
      <c r="C146" s="285"/>
      <c r="D146" s="286"/>
      <c r="E146" s="26"/>
      <c r="F146" s="270">
        <f t="shared" ref="F146" si="94">+E146+E147</f>
        <v>0</v>
      </c>
      <c r="G146" s="272"/>
      <c r="H146" s="274"/>
      <c r="I146" s="270"/>
      <c r="J146" s="275" t="e">
        <f t="shared" ref="J146" si="95">I146/F146*1000</f>
        <v>#DIV/0!</v>
      </c>
      <c r="K146" s="277"/>
      <c r="L146" s="275" t="e">
        <f t="shared" ref="L146" si="96">K146/F146</f>
        <v>#DIV/0!</v>
      </c>
    </row>
    <row r="147" spans="2:12" hidden="1">
      <c r="B147" s="289"/>
      <c r="C147" s="285"/>
      <c r="D147" s="286"/>
      <c r="E147" s="26"/>
      <c r="F147" s="271"/>
      <c r="G147" s="273"/>
      <c r="H147" s="274"/>
      <c r="I147" s="271"/>
      <c r="J147" s="276"/>
      <c r="K147" s="277"/>
      <c r="L147" s="276"/>
    </row>
    <row r="148" spans="2:12" hidden="1">
      <c r="B148" s="289"/>
      <c r="C148" s="285"/>
      <c r="D148" s="286"/>
      <c r="E148" s="26"/>
      <c r="F148" s="270">
        <f t="shared" ref="F148" si="97">+E148+E149</f>
        <v>0</v>
      </c>
      <c r="G148" s="272"/>
      <c r="H148" s="274"/>
      <c r="I148" s="270"/>
      <c r="J148" s="275" t="e">
        <f t="shared" ref="J148" si="98">I148/F148*1000</f>
        <v>#DIV/0!</v>
      </c>
      <c r="K148" s="277"/>
      <c r="L148" s="275" t="e">
        <f t="shared" ref="L148" si="99">K148/F148</f>
        <v>#DIV/0!</v>
      </c>
    </row>
    <row r="149" spans="2:12" hidden="1">
      <c r="B149" s="289"/>
      <c r="C149" s="285"/>
      <c r="D149" s="286"/>
      <c r="E149" s="26"/>
      <c r="F149" s="271"/>
      <c r="G149" s="273"/>
      <c r="H149" s="274"/>
      <c r="I149" s="271"/>
      <c r="J149" s="276"/>
      <c r="K149" s="277"/>
      <c r="L149" s="276"/>
    </row>
    <row r="150" spans="2:12" hidden="1">
      <c r="B150" s="289"/>
      <c r="C150" s="285"/>
      <c r="D150" s="286"/>
      <c r="E150" s="26"/>
      <c r="F150" s="270">
        <f t="shared" ref="F150" si="100">+E150+E151</f>
        <v>0</v>
      </c>
      <c r="G150" s="272"/>
      <c r="H150" s="274"/>
      <c r="I150" s="270"/>
      <c r="J150" s="275" t="e">
        <f t="shared" ref="J150" si="101">I150/F150*1000</f>
        <v>#DIV/0!</v>
      </c>
      <c r="K150" s="277"/>
      <c r="L150" s="275" t="e">
        <f t="shared" ref="L150" si="102">K150/F150</f>
        <v>#DIV/0!</v>
      </c>
    </row>
    <row r="151" spans="2:12" hidden="1">
      <c r="B151" s="289"/>
      <c r="C151" s="285"/>
      <c r="D151" s="286"/>
      <c r="E151" s="26"/>
      <c r="F151" s="271"/>
      <c r="G151" s="273"/>
      <c r="H151" s="274"/>
      <c r="I151" s="271"/>
      <c r="J151" s="276"/>
      <c r="K151" s="277"/>
      <c r="L151" s="276"/>
    </row>
    <row r="152" spans="2:12" hidden="1">
      <c r="B152" s="289"/>
      <c r="C152" s="285"/>
      <c r="D152" s="286"/>
      <c r="E152" s="26"/>
      <c r="F152" s="270">
        <f t="shared" ref="F152" si="103">+E152+E153</f>
        <v>0</v>
      </c>
      <c r="G152" s="272"/>
      <c r="H152" s="274"/>
      <c r="I152" s="270"/>
      <c r="J152" s="275" t="e">
        <f t="shared" ref="J152" si="104">I152/F152*1000</f>
        <v>#DIV/0!</v>
      </c>
      <c r="K152" s="277"/>
      <c r="L152" s="275" t="e">
        <f t="shared" ref="L152" si="105">K152/F152</f>
        <v>#DIV/0!</v>
      </c>
    </row>
    <row r="153" spans="2:12" hidden="1">
      <c r="B153" s="289"/>
      <c r="C153" s="285"/>
      <c r="D153" s="286"/>
      <c r="E153" s="26"/>
      <c r="F153" s="271"/>
      <c r="G153" s="273"/>
      <c r="H153" s="274"/>
      <c r="I153" s="271"/>
      <c r="J153" s="276"/>
      <c r="K153" s="277"/>
      <c r="L153" s="276"/>
    </row>
    <row r="154" spans="2:12" hidden="1">
      <c r="B154" s="289"/>
      <c r="C154" s="285"/>
      <c r="D154" s="286"/>
      <c r="E154" s="26"/>
      <c r="F154" s="270">
        <f t="shared" ref="F154" si="106">+E154+E155</f>
        <v>0</v>
      </c>
      <c r="G154" s="272"/>
      <c r="H154" s="274"/>
      <c r="I154" s="270"/>
      <c r="J154" s="275" t="e">
        <f t="shared" ref="J154" si="107">I154/F154*1000</f>
        <v>#DIV/0!</v>
      </c>
      <c r="K154" s="277"/>
      <c r="L154" s="275" t="e">
        <f t="shared" ref="L154" si="108">K154/F154</f>
        <v>#DIV/0!</v>
      </c>
    </row>
    <row r="155" spans="2:12" hidden="1">
      <c r="B155" s="289"/>
      <c r="C155" s="285"/>
      <c r="D155" s="286"/>
      <c r="E155" s="26"/>
      <c r="F155" s="271"/>
      <c r="G155" s="273"/>
      <c r="H155" s="274"/>
      <c r="I155" s="271"/>
      <c r="J155" s="276"/>
      <c r="K155" s="277"/>
      <c r="L155" s="276"/>
    </row>
    <row r="156" spans="2:12" hidden="1">
      <c r="B156" s="289"/>
      <c r="C156" s="285"/>
      <c r="D156" s="286"/>
      <c r="E156" s="26"/>
      <c r="F156" s="270">
        <f t="shared" ref="F156" si="109">+E156+E157</f>
        <v>0</v>
      </c>
      <c r="G156" s="272"/>
      <c r="H156" s="274"/>
      <c r="I156" s="270"/>
      <c r="J156" s="275" t="e">
        <f t="shared" ref="J156" si="110">I156/F156*1000</f>
        <v>#DIV/0!</v>
      </c>
      <c r="K156" s="277"/>
      <c r="L156" s="275" t="e">
        <f t="shared" ref="L156" si="111">K156/F156</f>
        <v>#DIV/0!</v>
      </c>
    </row>
    <row r="157" spans="2:12" hidden="1">
      <c r="B157" s="289"/>
      <c r="C157" s="285"/>
      <c r="D157" s="286"/>
      <c r="E157" s="26"/>
      <c r="F157" s="271"/>
      <c r="G157" s="273"/>
      <c r="H157" s="274"/>
      <c r="I157" s="271"/>
      <c r="J157" s="276"/>
      <c r="K157" s="277"/>
      <c r="L157" s="276"/>
    </row>
    <row r="158" spans="2:12" hidden="1">
      <c r="B158" s="289"/>
      <c r="C158" s="285"/>
      <c r="D158" s="286"/>
      <c r="E158" s="26"/>
      <c r="F158" s="270">
        <f t="shared" ref="F158" si="112">+E158+E159</f>
        <v>0</v>
      </c>
      <c r="G158" s="272"/>
      <c r="H158" s="274"/>
      <c r="I158" s="270"/>
      <c r="J158" s="275" t="e">
        <f t="shared" ref="J158" si="113">I158/F158*1000</f>
        <v>#DIV/0!</v>
      </c>
      <c r="K158" s="277"/>
      <c r="L158" s="275" t="e">
        <f t="shared" ref="L158" si="114">K158/F158</f>
        <v>#DIV/0!</v>
      </c>
    </row>
    <row r="159" spans="2:12" hidden="1">
      <c r="B159" s="289"/>
      <c r="C159" s="285"/>
      <c r="D159" s="286"/>
      <c r="E159" s="26"/>
      <c r="F159" s="271"/>
      <c r="G159" s="273"/>
      <c r="H159" s="274"/>
      <c r="I159" s="271"/>
      <c r="J159" s="276"/>
      <c r="K159" s="277"/>
      <c r="L159" s="276"/>
    </row>
    <row r="160" spans="2:12" hidden="1">
      <c r="B160" s="289"/>
      <c r="C160" s="285"/>
      <c r="D160" s="286"/>
      <c r="E160" s="26"/>
      <c r="F160" s="270">
        <f t="shared" ref="F160" si="115">+E160+E161</f>
        <v>0</v>
      </c>
      <c r="G160" s="272"/>
      <c r="H160" s="274"/>
      <c r="I160" s="270"/>
      <c r="J160" s="275" t="e">
        <f t="shared" ref="J160" si="116">I160/F160*1000</f>
        <v>#DIV/0!</v>
      </c>
      <c r="K160" s="277"/>
      <c r="L160" s="275" t="e">
        <f t="shared" ref="L160" si="117">K160/F160</f>
        <v>#DIV/0!</v>
      </c>
    </row>
    <row r="161" spans="2:20" hidden="1">
      <c r="B161" s="289"/>
      <c r="C161" s="285"/>
      <c r="D161" s="286"/>
      <c r="E161" s="26"/>
      <c r="F161" s="271"/>
      <c r="G161" s="273"/>
      <c r="H161" s="274"/>
      <c r="I161" s="271"/>
      <c r="J161" s="276"/>
      <c r="K161" s="277"/>
      <c r="L161" s="276"/>
    </row>
    <row r="162" spans="2:20" hidden="1">
      <c r="B162" s="289"/>
      <c r="C162" s="285"/>
      <c r="D162" s="286"/>
      <c r="E162" s="26"/>
      <c r="F162" s="270">
        <f t="shared" ref="F162" si="118">+E162+E163</f>
        <v>0</v>
      </c>
      <c r="G162" s="272"/>
      <c r="H162" s="274"/>
      <c r="I162" s="270"/>
      <c r="J162" s="275" t="e">
        <f t="shared" ref="J162" si="119">I162/F162*1000</f>
        <v>#DIV/0!</v>
      </c>
      <c r="K162" s="277"/>
      <c r="L162" s="275" t="e">
        <f t="shared" ref="L162" si="120">K162/F162</f>
        <v>#DIV/0!</v>
      </c>
    </row>
    <row r="163" spans="2:20" hidden="1">
      <c r="B163" s="289"/>
      <c r="C163" s="285"/>
      <c r="D163" s="286"/>
      <c r="E163" s="26"/>
      <c r="F163" s="271"/>
      <c r="G163" s="273"/>
      <c r="H163" s="274"/>
      <c r="I163" s="271"/>
      <c r="J163" s="276"/>
      <c r="K163" s="277"/>
      <c r="L163" s="276"/>
    </row>
    <row r="164" spans="2:20">
      <c r="B164" s="27"/>
      <c r="C164" s="28"/>
      <c r="D164" s="28" t="s">
        <v>15</v>
      </c>
      <c r="E164" s="29">
        <f>SUM(E112:E163)</f>
        <v>1321.317</v>
      </c>
      <c r="F164" s="29">
        <f>SUM(F112:F163)</f>
        <v>1321.317</v>
      </c>
      <c r="G164" s="29">
        <f>SUM(G112:G163)</f>
        <v>0</v>
      </c>
      <c r="H164" s="29">
        <f>SUM(H112:H163)</f>
        <v>0</v>
      </c>
      <c r="I164" s="29">
        <f>SUM(I112:I163)</f>
        <v>193.89999999999998</v>
      </c>
      <c r="J164" s="165">
        <f>I164/F164*1000</f>
        <v>146.74752538565687</v>
      </c>
      <c r="K164" s="42">
        <f>SUM(K112:K163)</f>
        <v>105540</v>
      </c>
      <c r="L164" s="30">
        <f>K164/F164</f>
        <v>79.874852136164151</v>
      </c>
    </row>
    <row r="168" spans="2:20">
      <c r="B168" s="16" t="s">
        <v>324</v>
      </c>
      <c r="C168" s="16"/>
      <c r="F168" s="17"/>
      <c r="G168" s="18"/>
      <c r="H168" s="18"/>
      <c r="I168" s="18"/>
      <c r="J168" s="18"/>
      <c r="K168" s="18"/>
      <c r="L168" s="18"/>
      <c r="M168" s="18"/>
    </row>
    <row r="169" spans="2:20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2:20" ht="21.75" thickBot="1">
      <c r="B170" s="19" t="s">
        <v>20</v>
      </c>
      <c r="C170" s="19" t="s">
        <v>25</v>
      </c>
      <c r="D170" s="19" t="s">
        <v>26</v>
      </c>
      <c r="E170" s="19" t="s">
        <v>27</v>
      </c>
      <c r="F170" s="20" t="s">
        <v>28</v>
      </c>
      <c r="G170" s="21"/>
      <c r="H170" s="22"/>
      <c r="I170" s="22"/>
      <c r="J170" s="21"/>
      <c r="K170" s="21"/>
      <c r="L170" s="21"/>
    </row>
    <row r="171" spans="2:20" ht="16.5" thickBot="1">
      <c r="B171" s="70" t="s">
        <v>59</v>
      </c>
      <c r="C171" s="71" t="s">
        <v>318</v>
      </c>
      <c r="D171" s="72">
        <v>2294.8040000000001</v>
      </c>
      <c r="E171" s="71" t="s">
        <v>60</v>
      </c>
      <c r="F171" s="278">
        <f>+I254</f>
        <v>334.70000000000005</v>
      </c>
      <c r="G171" s="21"/>
      <c r="H171" s="21"/>
      <c r="I171" s="23"/>
      <c r="J171" s="23"/>
      <c r="K171" s="21"/>
      <c r="L171" s="21"/>
      <c r="N171" s="4"/>
      <c r="T171" s="32">
        <f>+F171/D173</f>
        <v>0.14585123609685186</v>
      </c>
    </row>
    <row r="172" spans="2:20">
      <c r="B172" s="70"/>
      <c r="C172" s="71"/>
      <c r="D172" s="72"/>
      <c r="E172" s="71" t="s">
        <v>61</v>
      </c>
      <c r="F172" s="279"/>
      <c r="G172" s="21"/>
      <c r="H172" s="22"/>
      <c r="I172" s="22"/>
      <c r="J172" s="21"/>
      <c r="K172" s="21"/>
      <c r="L172" s="21"/>
      <c r="N172" s="4"/>
    </row>
    <row r="173" spans="2:20">
      <c r="B173" s="70" t="s">
        <v>15</v>
      </c>
      <c r="C173" s="71" t="str">
        <f>+C171</f>
        <v xml:space="preserve">  1 9 Day    ( 19  Shifts )  </v>
      </c>
      <c r="D173" s="72">
        <f>SUM(D171:D172)</f>
        <v>2294.8040000000001</v>
      </c>
      <c r="E173" s="71"/>
      <c r="F173" s="73">
        <f>SUM(F171:F172)</f>
        <v>334.70000000000005</v>
      </c>
      <c r="G173" s="21"/>
      <c r="H173" s="23"/>
      <c r="I173" s="23"/>
      <c r="J173" s="23"/>
      <c r="K173" s="21"/>
      <c r="L173" s="21"/>
    </row>
    <row r="174" spans="2:20">
      <c r="B174" s="74"/>
      <c r="C174" s="75" t="s">
        <v>29</v>
      </c>
      <c r="D174" s="76"/>
      <c r="E174" s="77" t="s">
        <v>30</v>
      </c>
      <c r="F174" s="74"/>
      <c r="G174" s="21"/>
      <c r="H174" s="21"/>
      <c r="I174" s="21"/>
      <c r="J174" s="21"/>
      <c r="K174" s="21"/>
      <c r="L174" s="21"/>
    </row>
    <row r="175" spans="2:20">
      <c r="B175" s="71"/>
      <c r="C175" s="71"/>
      <c r="D175" s="78"/>
      <c r="E175" s="79"/>
      <c r="F175" s="71"/>
      <c r="G175" s="21"/>
      <c r="H175" s="21"/>
      <c r="I175" s="21"/>
      <c r="J175" s="21"/>
      <c r="K175" s="21"/>
      <c r="L175" s="21"/>
    </row>
    <row r="176" spans="2:20">
      <c r="B176" s="71"/>
      <c r="C176" s="71" t="s">
        <v>64</v>
      </c>
      <c r="D176" s="78"/>
      <c r="E176" s="79" t="s">
        <v>63</v>
      </c>
      <c r="F176" s="71"/>
      <c r="G176" s="21"/>
      <c r="H176" s="21"/>
      <c r="I176" s="21"/>
      <c r="J176" s="21"/>
      <c r="K176" s="21"/>
      <c r="L176" s="21"/>
    </row>
    <row r="177" spans="2:12">
      <c r="B177" s="71"/>
      <c r="C177" s="71"/>
      <c r="D177" s="80"/>
      <c r="E177" s="80"/>
      <c r="F177" s="71"/>
      <c r="G177" s="21"/>
      <c r="H177" s="21"/>
      <c r="I177" s="21"/>
      <c r="J177" s="21"/>
      <c r="K177" s="21"/>
      <c r="L177" s="21"/>
    </row>
    <row r="178" spans="2:12">
      <c r="B178" s="71"/>
      <c r="C178" s="71" t="s">
        <v>278</v>
      </c>
      <c r="D178" s="80"/>
      <c r="E178" s="178" t="s">
        <v>266</v>
      </c>
      <c r="F178" s="24"/>
      <c r="G178" s="21"/>
      <c r="H178" s="21"/>
      <c r="I178" s="21"/>
      <c r="J178" s="21"/>
      <c r="K178" s="21"/>
      <c r="L178" s="21"/>
    </row>
    <row r="179" spans="2:12">
      <c r="B179" s="71"/>
      <c r="C179" s="71" t="s">
        <v>210</v>
      </c>
      <c r="D179" s="80"/>
      <c r="E179" s="200" t="s">
        <v>314</v>
      </c>
      <c r="F179" s="24"/>
      <c r="G179" s="21"/>
      <c r="H179" s="21"/>
      <c r="I179" s="21"/>
      <c r="J179" s="21"/>
      <c r="K179" s="21"/>
      <c r="L179" s="21"/>
    </row>
    <row r="180" spans="2:12">
      <c r="B180" s="71"/>
      <c r="C180" s="71"/>
      <c r="D180" s="80"/>
      <c r="E180" s="178"/>
      <c r="F180" s="24"/>
      <c r="G180" s="21"/>
      <c r="H180" s="21"/>
      <c r="I180" s="21"/>
      <c r="J180" s="21"/>
      <c r="K180" s="21"/>
      <c r="L180" s="21"/>
    </row>
    <row r="181" spans="2:12">
      <c r="B181" s="71"/>
      <c r="C181" s="71"/>
      <c r="D181" s="80"/>
      <c r="E181" s="178"/>
      <c r="F181" s="24"/>
      <c r="G181" s="21"/>
      <c r="H181" s="21"/>
      <c r="I181" s="21"/>
      <c r="J181" s="21"/>
      <c r="K181" s="21"/>
      <c r="L181" s="21"/>
    </row>
    <row r="182" spans="2:12">
      <c r="B182" s="71"/>
      <c r="C182" s="71"/>
      <c r="D182" s="80"/>
      <c r="E182" s="178"/>
      <c r="F182" s="71"/>
      <c r="G182" s="18"/>
      <c r="H182" s="18"/>
      <c r="I182" s="18"/>
      <c r="J182" s="18"/>
      <c r="K182" s="18"/>
      <c r="L182" s="18"/>
    </row>
    <row r="183" spans="2:12">
      <c r="B183" s="71"/>
      <c r="C183" s="71"/>
      <c r="D183" s="80"/>
      <c r="E183" s="41"/>
      <c r="F183" s="71"/>
      <c r="G183" s="18"/>
      <c r="H183" s="18"/>
      <c r="I183" s="18"/>
      <c r="J183" s="18"/>
      <c r="K183" s="18"/>
      <c r="L183" s="18"/>
    </row>
    <row r="184" spans="2:12">
      <c r="B184" s="71"/>
      <c r="C184" s="71" t="s">
        <v>319</v>
      </c>
      <c r="D184" s="12"/>
      <c r="E184" s="45" t="s">
        <v>31</v>
      </c>
      <c r="F184" s="71"/>
      <c r="G184" s="18"/>
      <c r="H184" s="18"/>
      <c r="I184" s="18"/>
      <c r="J184" s="18"/>
      <c r="K184" s="18"/>
      <c r="L184" s="18"/>
    </row>
    <row r="185" spans="2:12">
      <c r="B185" s="71"/>
      <c r="C185" s="71"/>
      <c r="D185" s="80"/>
      <c r="E185" s="45"/>
      <c r="F185" s="71"/>
      <c r="G185" s="18"/>
      <c r="H185" s="18"/>
      <c r="I185" s="18"/>
      <c r="J185" s="18"/>
      <c r="K185" s="18"/>
      <c r="L185" s="18"/>
    </row>
    <row r="186" spans="2:12">
      <c r="B186" s="71"/>
      <c r="C186" s="71"/>
      <c r="D186" s="12"/>
      <c r="E186" s="12"/>
      <c r="F186" s="71"/>
      <c r="G186" s="18"/>
      <c r="H186" s="18"/>
      <c r="I186" s="31"/>
      <c r="J186" s="31"/>
      <c r="K186" s="18"/>
      <c r="L186" s="18"/>
    </row>
    <row r="187" spans="2:12">
      <c r="B187" s="71"/>
      <c r="C187" s="71"/>
      <c r="D187" s="12"/>
      <c r="E187" s="12"/>
      <c r="F187" s="71"/>
      <c r="G187" s="18"/>
      <c r="H187" s="18"/>
      <c r="I187" s="18"/>
      <c r="J187" s="18"/>
      <c r="K187" s="18"/>
      <c r="L187" s="18"/>
    </row>
    <row r="188" spans="2:12">
      <c r="B188" s="71"/>
      <c r="C188" s="71"/>
      <c r="D188" s="81"/>
      <c r="E188" s="12"/>
      <c r="F188" s="24"/>
      <c r="G188" s="18"/>
      <c r="H188" s="18"/>
      <c r="I188" s="18"/>
      <c r="J188" s="18"/>
      <c r="K188" s="18"/>
      <c r="L188" s="18"/>
    </row>
    <row r="189" spans="2:12">
      <c r="B189" s="71"/>
      <c r="C189" s="71"/>
      <c r="D189" s="80"/>
      <c r="E189" s="80"/>
      <c r="F189" s="71"/>
      <c r="G189" s="18"/>
      <c r="H189" s="18"/>
      <c r="I189" s="18"/>
      <c r="J189" s="18"/>
      <c r="K189" s="18"/>
      <c r="L189" s="18"/>
    </row>
    <row r="190" spans="2:12">
      <c r="B190" s="82"/>
      <c r="C190" s="82"/>
      <c r="D190" s="83"/>
      <c r="E190" s="83"/>
      <c r="F190" s="83"/>
      <c r="G190" s="18"/>
      <c r="H190" s="18"/>
      <c r="I190" s="18"/>
      <c r="J190" s="18"/>
      <c r="K190" s="18"/>
      <c r="L190" s="44"/>
    </row>
    <row r="191" spans="2:12">
      <c r="B191" s="18"/>
      <c r="C191" s="18"/>
      <c r="D191" s="18"/>
      <c r="E191" s="18"/>
      <c r="F191" s="18"/>
      <c r="G191" s="18"/>
      <c r="H191" s="18"/>
      <c r="I191" s="18"/>
      <c r="J191" s="43"/>
      <c r="K191" s="18"/>
      <c r="L191" s="18"/>
    </row>
    <row r="192" spans="2:12">
      <c r="B192" s="18"/>
      <c r="C192" s="71"/>
      <c r="D192" s="84" t="s">
        <v>32</v>
      </c>
      <c r="E192" s="71"/>
      <c r="F192" s="84" t="s">
        <v>33</v>
      </c>
      <c r="G192" s="18"/>
      <c r="H192" s="18" t="s">
        <v>34</v>
      </c>
      <c r="I192" s="18"/>
      <c r="J192" s="18"/>
      <c r="K192" s="18"/>
      <c r="L192" s="18"/>
    </row>
    <row r="193" spans="2:12">
      <c r="B193" s="44" t="s">
        <v>58</v>
      </c>
      <c r="C193" s="70" t="s">
        <v>35</v>
      </c>
      <c r="D193" s="41">
        <f>D173/19</f>
        <v>120.77915789473684</v>
      </c>
      <c r="E193" s="84" t="s">
        <v>36</v>
      </c>
      <c r="F193" s="85">
        <f>+T171*1000</f>
        <v>145.85123609685186</v>
      </c>
      <c r="G193" s="18"/>
      <c r="H193" s="18"/>
      <c r="I193" s="18"/>
      <c r="J193" s="18"/>
      <c r="K193" s="18"/>
      <c r="L193" s="18"/>
    </row>
    <row r="194" spans="2:12">
      <c r="B194" s="44" t="s">
        <v>56</v>
      </c>
      <c r="C194" s="70" t="s">
        <v>37</v>
      </c>
      <c r="D194" s="41">
        <f>+D193</f>
        <v>120.77915789473684</v>
      </c>
      <c r="E194" s="71"/>
      <c r="F194" s="71"/>
      <c r="G194" s="18"/>
      <c r="H194" s="18"/>
      <c r="I194" s="18"/>
      <c r="J194" s="18"/>
      <c r="K194" s="18"/>
      <c r="L194" s="18"/>
    </row>
    <row r="195" spans="2:12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spans="2:12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spans="2:12">
      <c r="B197" s="25" t="s">
        <v>327</v>
      </c>
      <c r="C197" s="25"/>
      <c r="D197" s="280" t="s">
        <v>32</v>
      </c>
      <c r="E197" s="281"/>
      <c r="F197" s="282"/>
      <c r="G197" s="283" t="s">
        <v>38</v>
      </c>
      <c r="H197" s="283"/>
      <c r="I197" s="283"/>
      <c r="J197" s="283"/>
      <c r="K197" s="18"/>
      <c r="L197" s="18"/>
    </row>
    <row r="198" spans="2:12">
      <c r="B198" s="45" t="s">
        <v>39</v>
      </c>
      <c r="C198" s="178" t="s">
        <v>40</v>
      </c>
      <c r="D198" s="178" t="s">
        <v>20</v>
      </c>
      <c r="E198" s="178" t="s">
        <v>41</v>
      </c>
      <c r="F198" s="178" t="s">
        <v>42</v>
      </c>
      <c r="G198" s="284" t="s">
        <v>43</v>
      </c>
      <c r="H198" s="178" t="s">
        <v>44</v>
      </c>
      <c r="I198" s="178" t="s">
        <v>45</v>
      </c>
      <c r="J198" s="178" t="s">
        <v>46</v>
      </c>
      <c r="K198" s="178" t="s">
        <v>45</v>
      </c>
      <c r="L198" s="178" t="s">
        <v>46</v>
      </c>
    </row>
    <row r="199" spans="2:12">
      <c r="B199" s="45"/>
      <c r="C199" s="178"/>
      <c r="D199" s="178" t="s">
        <v>47</v>
      </c>
      <c r="E199" s="178"/>
      <c r="F199" s="178"/>
      <c r="G199" s="284"/>
      <c r="H199" s="178" t="s">
        <v>53</v>
      </c>
      <c r="I199" s="178" t="s">
        <v>48</v>
      </c>
      <c r="J199" s="178" t="s">
        <v>33</v>
      </c>
      <c r="K199" s="178" t="s">
        <v>49</v>
      </c>
      <c r="L199" s="178" t="s">
        <v>50</v>
      </c>
    </row>
    <row r="200" spans="2:12">
      <c r="B200" s="268" t="s">
        <v>267</v>
      </c>
      <c r="C200" s="285"/>
      <c r="D200" s="286"/>
      <c r="E200" s="26"/>
      <c r="F200" s="270">
        <f t="shared" ref="F200" si="121">+E200+E201</f>
        <v>0</v>
      </c>
      <c r="G200" s="272"/>
      <c r="H200" s="274"/>
      <c r="I200" s="270"/>
      <c r="J200" s="275"/>
      <c r="K200" s="277"/>
      <c r="L200" s="275"/>
    </row>
    <row r="201" spans="2:12">
      <c r="B201" s="269"/>
      <c r="C201" s="285" t="s">
        <v>266</v>
      </c>
      <c r="D201" s="286"/>
      <c r="E201" s="26"/>
      <c r="F201" s="271"/>
      <c r="G201" s="273"/>
      <c r="H201" s="274"/>
      <c r="I201" s="271"/>
      <c r="J201" s="276"/>
      <c r="K201" s="277"/>
      <c r="L201" s="276"/>
    </row>
    <row r="202" spans="2:12">
      <c r="B202" s="268" t="s">
        <v>254</v>
      </c>
      <c r="C202" s="285" t="s">
        <v>70</v>
      </c>
      <c r="D202" s="286"/>
      <c r="E202" s="26">
        <f>160.094-2.34</f>
        <v>157.75399999999999</v>
      </c>
      <c r="F202" s="270">
        <f t="shared" ref="F202" si="122">+E202+E203</f>
        <v>157.75399999999999</v>
      </c>
      <c r="G202" s="272"/>
      <c r="H202" s="274"/>
      <c r="I202" s="270">
        <v>25.6</v>
      </c>
      <c r="J202" s="275">
        <f t="shared" ref="J202" si="123">I202/F202*1000</f>
        <v>162.27797710359167</v>
      </c>
      <c r="K202" s="277">
        <v>12240</v>
      </c>
      <c r="L202" s="275">
        <f t="shared" ref="L202" si="124">K202/F202</f>
        <v>77.589157802654768</v>
      </c>
    </row>
    <row r="203" spans="2:12">
      <c r="B203" s="269"/>
      <c r="C203" s="285"/>
      <c r="D203" s="286"/>
      <c r="E203" s="26"/>
      <c r="F203" s="271"/>
      <c r="G203" s="273"/>
      <c r="H203" s="274"/>
      <c r="I203" s="271"/>
      <c r="J203" s="276"/>
      <c r="K203" s="277"/>
      <c r="L203" s="276"/>
    </row>
    <row r="204" spans="2:12">
      <c r="B204" s="289" t="s">
        <v>256</v>
      </c>
      <c r="C204" s="285" t="s">
        <v>268</v>
      </c>
      <c r="D204" s="286"/>
      <c r="E204" s="26"/>
      <c r="F204" s="270">
        <f t="shared" ref="F204" si="125">+E204+E205</f>
        <v>0</v>
      </c>
      <c r="G204" s="272"/>
      <c r="H204" s="274"/>
      <c r="I204" s="270"/>
      <c r="J204" s="275"/>
      <c r="K204" s="277"/>
      <c r="L204" s="275"/>
    </row>
    <row r="205" spans="2:12">
      <c r="B205" s="289"/>
      <c r="C205" s="285"/>
      <c r="D205" s="286"/>
      <c r="E205" s="26"/>
      <c r="F205" s="271"/>
      <c r="G205" s="273"/>
      <c r="H205" s="274"/>
      <c r="I205" s="271"/>
      <c r="J205" s="276"/>
      <c r="K205" s="277"/>
      <c r="L205" s="276"/>
    </row>
    <row r="206" spans="2:12">
      <c r="B206" s="289" t="s">
        <v>257</v>
      </c>
      <c r="C206" s="285" t="s">
        <v>269</v>
      </c>
      <c r="D206" s="286"/>
      <c r="E206" s="26">
        <v>114.71299999999999</v>
      </c>
      <c r="F206" s="270">
        <f t="shared" ref="F206" si="126">+E206+E207</f>
        <v>114.71299999999999</v>
      </c>
      <c r="G206" s="272"/>
      <c r="H206" s="274"/>
      <c r="I206" s="270">
        <v>16.3</v>
      </c>
      <c r="J206" s="275">
        <f t="shared" ref="J206" si="127">I206/F206*1000</f>
        <v>142.09374700339109</v>
      </c>
      <c r="K206" s="277">
        <v>8040</v>
      </c>
      <c r="L206" s="275">
        <f t="shared" ref="L206" si="128">K206/F206</f>
        <v>70.087958644617444</v>
      </c>
    </row>
    <row r="207" spans="2:12">
      <c r="B207" s="289"/>
      <c r="C207" s="285"/>
      <c r="D207" s="286"/>
      <c r="E207" s="26"/>
      <c r="F207" s="271"/>
      <c r="G207" s="273"/>
      <c r="H207" s="274"/>
      <c r="I207" s="271"/>
      <c r="J207" s="276"/>
      <c r="K207" s="277"/>
      <c r="L207" s="276"/>
    </row>
    <row r="208" spans="2:12">
      <c r="B208" s="289" t="s">
        <v>258</v>
      </c>
      <c r="C208" s="285" t="s">
        <v>269</v>
      </c>
      <c r="D208" s="286"/>
      <c r="E208" s="26">
        <v>73.049000000000007</v>
      </c>
      <c r="F208" s="270">
        <f t="shared" ref="F208" si="129">+E208+E209</f>
        <v>73.049000000000007</v>
      </c>
      <c r="G208" s="272"/>
      <c r="H208" s="274"/>
      <c r="I208" s="270">
        <v>10.199999999999999</v>
      </c>
      <c r="J208" s="275">
        <f t="shared" ref="J208" si="130">I208/F208*1000</f>
        <v>139.63230160577146</v>
      </c>
      <c r="K208" s="277">
        <v>4440</v>
      </c>
      <c r="L208" s="275">
        <f t="shared" ref="L208" si="131">K208/F208</f>
        <v>60.781119522512277</v>
      </c>
    </row>
    <row r="209" spans="2:12">
      <c r="B209" s="289"/>
      <c r="C209" s="285"/>
      <c r="D209" s="286"/>
      <c r="E209" s="26"/>
      <c r="F209" s="271"/>
      <c r="G209" s="273"/>
      <c r="H209" s="274"/>
      <c r="I209" s="271"/>
      <c r="J209" s="276"/>
      <c r="K209" s="277"/>
      <c r="L209" s="276"/>
    </row>
    <row r="210" spans="2:12">
      <c r="B210" s="289" t="s">
        <v>270</v>
      </c>
      <c r="C210" s="285" t="s">
        <v>272</v>
      </c>
      <c r="D210" s="286"/>
      <c r="E210" s="26">
        <v>115.06</v>
      </c>
      <c r="F210" s="270">
        <f t="shared" ref="F210" si="132">+E210+E211</f>
        <v>115.06</v>
      </c>
      <c r="G210" s="272"/>
      <c r="H210" s="274"/>
      <c r="I210" s="270">
        <v>15.7</v>
      </c>
      <c r="J210" s="275">
        <f t="shared" ref="J210" si="133">I210/F210*1000</f>
        <v>136.45054754041368</v>
      </c>
      <c r="K210" s="277">
        <v>11280</v>
      </c>
      <c r="L210" s="275">
        <f t="shared" ref="L210" si="134">K210/F210</f>
        <v>98.035807404832255</v>
      </c>
    </row>
    <row r="211" spans="2:12">
      <c r="B211" s="289"/>
      <c r="C211" s="285"/>
      <c r="D211" s="286"/>
      <c r="E211" s="26"/>
      <c r="F211" s="271"/>
      <c r="G211" s="273"/>
      <c r="H211" s="274"/>
      <c r="I211" s="271"/>
      <c r="J211" s="276"/>
      <c r="K211" s="277"/>
      <c r="L211" s="276"/>
    </row>
    <row r="212" spans="2:12">
      <c r="B212" s="289" t="s">
        <v>274</v>
      </c>
      <c r="C212" s="285" t="s">
        <v>266</v>
      </c>
      <c r="D212" s="286"/>
      <c r="E212" s="26"/>
      <c r="F212" s="270"/>
      <c r="G212" s="272"/>
      <c r="H212" s="274"/>
      <c r="I212" s="270"/>
      <c r="J212" s="275">
        <v>0</v>
      </c>
      <c r="K212" s="277"/>
      <c r="L212" s="275">
        <v>0</v>
      </c>
    </row>
    <row r="213" spans="2:12">
      <c r="B213" s="289"/>
      <c r="C213" s="285"/>
      <c r="D213" s="286"/>
      <c r="E213" s="26"/>
      <c r="F213" s="271"/>
      <c r="G213" s="273"/>
      <c r="H213" s="274"/>
      <c r="I213" s="271"/>
      <c r="J213" s="276"/>
      <c r="K213" s="277"/>
      <c r="L213" s="276"/>
    </row>
    <row r="214" spans="2:12">
      <c r="B214" s="289" t="s">
        <v>275</v>
      </c>
      <c r="C214" s="285" t="s">
        <v>70</v>
      </c>
      <c r="D214" s="286"/>
      <c r="E214" s="26">
        <v>143.565</v>
      </c>
      <c r="F214" s="270">
        <f t="shared" ref="F214" si="135">+E214+E215</f>
        <v>143.565</v>
      </c>
      <c r="G214" s="272"/>
      <c r="H214" s="274"/>
      <c r="I214" s="270">
        <v>20.3</v>
      </c>
      <c r="J214" s="275">
        <f t="shared" ref="J214" si="136">I214/F214*1000</f>
        <v>141.39936614077249</v>
      </c>
      <c r="K214" s="277">
        <v>10620</v>
      </c>
      <c r="L214" s="275">
        <f t="shared" ref="L214" si="137">K214/F214</f>
        <v>73.973461498276038</v>
      </c>
    </row>
    <row r="215" spans="2:12">
      <c r="B215" s="289"/>
      <c r="C215" s="285"/>
      <c r="D215" s="286"/>
      <c r="E215" s="26"/>
      <c r="F215" s="271"/>
      <c r="G215" s="273"/>
      <c r="H215" s="274"/>
      <c r="I215" s="271"/>
      <c r="J215" s="276"/>
      <c r="K215" s="277"/>
      <c r="L215" s="276"/>
    </row>
    <row r="216" spans="2:12">
      <c r="B216" s="289" t="s">
        <v>279</v>
      </c>
      <c r="C216" s="285" t="s">
        <v>70</v>
      </c>
      <c r="D216" s="286"/>
      <c r="E216" s="26">
        <f>185.554-4.47</f>
        <v>181.084</v>
      </c>
      <c r="F216" s="270">
        <f t="shared" ref="F216" si="138">+E216+E217</f>
        <v>181.084</v>
      </c>
      <c r="G216" s="272"/>
      <c r="H216" s="274"/>
      <c r="I216" s="270">
        <v>25.5</v>
      </c>
      <c r="J216" s="275">
        <f t="shared" ref="J216" si="139">I216/F216*1000</f>
        <v>140.81862561021404</v>
      </c>
      <c r="K216" s="277">
        <v>11340</v>
      </c>
      <c r="L216" s="275">
        <f t="shared" ref="L216" si="140">K216/F216</f>
        <v>62.622871153718712</v>
      </c>
    </row>
    <row r="217" spans="2:12">
      <c r="B217" s="289"/>
      <c r="C217" s="285"/>
      <c r="D217" s="286"/>
      <c r="E217" s="26"/>
      <c r="F217" s="271"/>
      <c r="G217" s="273"/>
      <c r="H217" s="274"/>
      <c r="I217" s="271"/>
      <c r="J217" s="276"/>
      <c r="K217" s="277"/>
      <c r="L217" s="276"/>
    </row>
    <row r="218" spans="2:12">
      <c r="B218" s="289" t="s">
        <v>280</v>
      </c>
      <c r="C218" s="285" t="s">
        <v>268</v>
      </c>
      <c r="D218" s="286"/>
      <c r="E218" s="26"/>
      <c r="F218" s="270">
        <f t="shared" ref="F218" si="141">+E218+E219</f>
        <v>0</v>
      </c>
      <c r="G218" s="272"/>
      <c r="H218" s="274"/>
      <c r="I218" s="270"/>
      <c r="J218" s="275">
        <v>0</v>
      </c>
      <c r="K218" s="277"/>
      <c r="L218" s="275">
        <v>0</v>
      </c>
    </row>
    <row r="219" spans="2:12">
      <c r="B219" s="289"/>
      <c r="C219" s="285"/>
      <c r="D219" s="286"/>
      <c r="E219" s="26"/>
      <c r="F219" s="271"/>
      <c r="G219" s="273"/>
      <c r="H219" s="274"/>
      <c r="I219" s="271"/>
      <c r="J219" s="276"/>
      <c r="K219" s="277"/>
      <c r="L219" s="276"/>
    </row>
    <row r="220" spans="2:12">
      <c r="B220" s="289" t="s">
        <v>282</v>
      </c>
      <c r="C220" s="285" t="s">
        <v>70</v>
      </c>
      <c r="D220" s="286"/>
      <c r="E220" s="26">
        <v>175.31100000000001</v>
      </c>
      <c r="F220" s="270">
        <f t="shared" ref="F220" si="142">+E220+E221</f>
        <v>175.31100000000001</v>
      </c>
      <c r="G220" s="272"/>
      <c r="H220" s="274"/>
      <c r="I220" s="270">
        <v>25.2</v>
      </c>
      <c r="J220" s="275">
        <f t="shared" ref="J220" si="143">I220/F220*1000</f>
        <v>143.74454540787514</v>
      </c>
      <c r="K220" s="277">
        <v>9960</v>
      </c>
      <c r="L220" s="275">
        <f t="shared" ref="L220" si="144">K220/F220</f>
        <v>56.813320327874457</v>
      </c>
    </row>
    <row r="221" spans="2:12">
      <c r="B221" s="289"/>
      <c r="C221" s="285"/>
      <c r="D221" s="286"/>
      <c r="E221" s="26"/>
      <c r="F221" s="271"/>
      <c r="G221" s="273"/>
      <c r="H221" s="274"/>
      <c r="I221" s="271"/>
      <c r="J221" s="276"/>
      <c r="K221" s="277"/>
      <c r="L221" s="276"/>
    </row>
    <row r="222" spans="2:12">
      <c r="B222" s="289" t="s">
        <v>284</v>
      </c>
      <c r="C222" s="285" t="s">
        <v>70</v>
      </c>
      <c r="D222" s="286"/>
      <c r="E222" s="26">
        <v>108.97799999999999</v>
      </c>
      <c r="F222" s="270">
        <f t="shared" ref="F222" si="145">+E222+E223</f>
        <v>108.97799999999999</v>
      </c>
      <c r="G222" s="272"/>
      <c r="H222" s="274"/>
      <c r="I222" s="270">
        <v>15.1</v>
      </c>
      <c r="J222" s="275">
        <f t="shared" ref="J222" si="146">I222/F222*1000</f>
        <v>138.56007634568445</v>
      </c>
      <c r="K222" s="277">
        <v>6660</v>
      </c>
      <c r="L222" s="275">
        <f t="shared" ref="L222" si="147">K222/F222</f>
        <v>61.113252216043605</v>
      </c>
    </row>
    <row r="223" spans="2:12">
      <c r="B223" s="289"/>
      <c r="C223" s="285"/>
      <c r="D223" s="286"/>
      <c r="E223" s="26"/>
      <c r="F223" s="271"/>
      <c r="G223" s="273"/>
      <c r="H223" s="274"/>
      <c r="I223" s="271"/>
      <c r="J223" s="276"/>
      <c r="K223" s="277"/>
      <c r="L223" s="276"/>
    </row>
    <row r="224" spans="2:12">
      <c r="B224" s="289" t="s">
        <v>286</v>
      </c>
      <c r="C224" s="285" t="s">
        <v>70</v>
      </c>
      <c r="D224" s="286"/>
      <c r="E224" s="26">
        <f>119.334-2.32</f>
        <v>117.01400000000001</v>
      </c>
      <c r="F224" s="270">
        <f t="shared" ref="F224" si="148">+E224+E225</f>
        <v>117.01400000000001</v>
      </c>
      <c r="G224" s="272"/>
      <c r="H224" s="274"/>
      <c r="I224" s="270">
        <v>17</v>
      </c>
      <c r="J224" s="275">
        <f t="shared" ref="J224" si="149">I224/F224*1000</f>
        <v>145.28176115678465</v>
      </c>
      <c r="K224" s="277">
        <v>6960</v>
      </c>
      <c r="L224" s="275">
        <f t="shared" ref="L224" si="150">K224/F224</f>
        <v>59.48006221477771</v>
      </c>
    </row>
    <row r="225" spans="2:12">
      <c r="B225" s="289"/>
      <c r="C225" s="285"/>
      <c r="D225" s="286"/>
      <c r="E225" s="26"/>
      <c r="F225" s="271"/>
      <c r="G225" s="273"/>
      <c r="H225" s="274"/>
      <c r="I225" s="271"/>
      <c r="J225" s="276"/>
      <c r="K225" s="277"/>
      <c r="L225" s="276"/>
    </row>
    <row r="226" spans="2:12" ht="14.25" customHeight="1">
      <c r="B226" s="289" t="s">
        <v>289</v>
      </c>
      <c r="C226" s="285" t="s">
        <v>297</v>
      </c>
      <c r="D226" s="286"/>
      <c r="E226" s="26">
        <v>86.763999999999996</v>
      </c>
      <c r="F226" s="270">
        <f t="shared" ref="F226" si="151">+E226+E227</f>
        <v>86.763999999999996</v>
      </c>
      <c r="G226" s="272"/>
      <c r="H226" s="274"/>
      <c r="I226" s="270">
        <v>15.4</v>
      </c>
      <c r="J226" s="275">
        <f t="shared" ref="J226" si="152">I226/F226*1000</f>
        <v>177.49296943432759</v>
      </c>
      <c r="K226" s="277">
        <v>10500</v>
      </c>
      <c r="L226" s="275">
        <f t="shared" ref="L226" si="153">K226/F226</f>
        <v>121.01793370522337</v>
      </c>
    </row>
    <row r="227" spans="2:12">
      <c r="B227" s="289"/>
      <c r="C227" s="285"/>
      <c r="D227" s="286"/>
      <c r="E227" s="26"/>
      <c r="F227" s="271"/>
      <c r="G227" s="273"/>
      <c r="H227" s="274"/>
      <c r="I227" s="271"/>
      <c r="J227" s="276"/>
      <c r="K227" s="277"/>
      <c r="L227" s="276"/>
    </row>
    <row r="228" spans="2:12">
      <c r="B228" s="289" t="s">
        <v>291</v>
      </c>
      <c r="C228" s="285" t="s">
        <v>298</v>
      </c>
      <c r="D228" s="286"/>
      <c r="E228" s="26">
        <v>62.77</v>
      </c>
      <c r="F228" s="270">
        <f t="shared" ref="F228" si="154">+E228+E229</f>
        <v>62.77</v>
      </c>
      <c r="G228" s="272"/>
      <c r="H228" s="274"/>
      <c r="I228" s="270">
        <v>10.5</v>
      </c>
      <c r="J228" s="275">
        <f t="shared" ref="J228" si="155">I228/F228*1000</f>
        <v>167.27736179703678</v>
      </c>
      <c r="K228" s="277">
        <v>8640</v>
      </c>
      <c r="L228" s="275">
        <f t="shared" ref="L228" si="156">K228/F228</f>
        <v>137.64537199299028</v>
      </c>
    </row>
    <row r="229" spans="2:12">
      <c r="B229" s="289"/>
      <c r="C229" s="285"/>
      <c r="D229" s="286"/>
      <c r="E229" s="26"/>
      <c r="F229" s="271"/>
      <c r="G229" s="273"/>
      <c r="H229" s="274"/>
      <c r="I229" s="271"/>
      <c r="J229" s="276"/>
      <c r="K229" s="277"/>
      <c r="L229" s="276"/>
    </row>
    <row r="230" spans="2:12">
      <c r="B230" s="289" t="s">
        <v>293</v>
      </c>
      <c r="C230" s="285" t="s">
        <v>298</v>
      </c>
      <c r="D230" s="286"/>
      <c r="E230" s="26">
        <v>49.78</v>
      </c>
      <c r="F230" s="270">
        <f t="shared" ref="F230" si="157">+E230+E231</f>
        <v>49.78</v>
      </c>
      <c r="G230" s="272"/>
      <c r="H230" s="274"/>
      <c r="I230" s="270">
        <v>7.3</v>
      </c>
      <c r="J230" s="275">
        <f t="shared" ref="J230" si="158">I230/F230*1000</f>
        <v>146.64523905182801</v>
      </c>
      <c r="K230" s="277">
        <v>5820</v>
      </c>
      <c r="L230" s="275">
        <f t="shared" ref="L230" si="159">K230/F230</f>
        <v>116.91442346323825</v>
      </c>
    </row>
    <row r="231" spans="2:12">
      <c r="B231" s="289"/>
      <c r="C231" s="285"/>
      <c r="D231" s="286"/>
      <c r="E231" s="26"/>
      <c r="F231" s="271"/>
      <c r="G231" s="273"/>
      <c r="H231" s="274"/>
      <c r="I231" s="271"/>
      <c r="J231" s="276"/>
      <c r="K231" s="277"/>
      <c r="L231" s="276"/>
    </row>
    <row r="232" spans="2:12" ht="15" customHeight="1">
      <c r="B232" s="289" t="s">
        <v>299</v>
      </c>
      <c r="C232" s="285" t="s">
        <v>268</v>
      </c>
      <c r="D232" s="286"/>
      <c r="E232" s="26"/>
      <c r="F232" s="270">
        <f t="shared" ref="F232" si="160">+E232+E233</f>
        <v>0</v>
      </c>
      <c r="G232" s="272"/>
      <c r="H232" s="274"/>
      <c r="I232" s="270"/>
      <c r="J232" s="275">
        <v>0</v>
      </c>
      <c r="K232" s="277"/>
      <c r="L232" s="275">
        <v>0</v>
      </c>
    </row>
    <row r="233" spans="2:12">
      <c r="B233" s="289"/>
      <c r="C233" s="285"/>
      <c r="D233" s="286"/>
      <c r="E233" s="26"/>
      <c r="F233" s="271"/>
      <c r="G233" s="273"/>
      <c r="H233" s="274"/>
      <c r="I233" s="271"/>
      <c r="J233" s="276"/>
      <c r="K233" s="277"/>
      <c r="L233" s="276"/>
    </row>
    <row r="234" spans="2:12">
      <c r="B234" s="289" t="s">
        <v>300</v>
      </c>
      <c r="C234" s="285" t="s">
        <v>70</v>
      </c>
      <c r="D234" s="286"/>
      <c r="E234" s="26">
        <v>140.762</v>
      </c>
      <c r="F234" s="270">
        <f t="shared" ref="F234" si="161">+E234+E235</f>
        <v>140.762</v>
      </c>
      <c r="G234" s="272"/>
      <c r="H234" s="274"/>
      <c r="I234" s="270">
        <v>21.1</v>
      </c>
      <c r="J234" s="275">
        <f t="shared" ref="J234" si="162">I234/F234*1000</f>
        <v>149.89841008226654</v>
      </c>
      <c r="K234" s="277">
        <v>13570</v>
      </c>
      <c r="L234" s="275">
        <f t="shared" ref="L234" si="163">K234/F234</f>
        <v>96.403858996035865</v>
      </c>
    </row>
    <row r="235" spans="2:12">
      <c r="B235" s="289"/>
      <c r="C235" s="285"/>
      <c r="D235" s="286"/>
      <c r="E235" s="26"/>
      <c r="F235" s="271"/>
      <c r="G235" s="273"/>
      <c r="H235" s="274"/>
      <c r="I235" s="271"/>
      <c r="J235" s="276"/>
      <c r="K235" s="277"/>
      <c r="L235" s="276"/>
    </row>
    <row r="236" spans="2:12">
      <c r="B236" s="289" t="s">
        <v>303</v>
      </c>
      <c r="C236" s="285" t="s">
        <v>70</v>
      </c>
      <c r="D236" s="286"/>
      <c r="E236" s="26">
        <v>124.73</v>
      </c>
      <c r="F236" s="270">
        <f t="shared" ref="F236" si="164">+E236+E237</f>
        <v>124.73</v>
      </c>
      <c r="G236" s="272"/>
      <c r="H236" s="274"/>
      <c r="I236" s="270">
        <v>18.5</v>
      </c>
      <c r="J236" s="275">
        <f t="shared" ref="J236" si="165">I236/F236*1000</f>
        <v>148.32037200352764</v>
      </c>
      <c r="K236" s="277">
        <v>10860</v>
      </c>
      <c r="L236" s="275">
        <f t="shared" ref="L236" si="166">K236/F236</f>
        <v>87.068067024773512</v>
      </c>
    </row>
    <row r="237" spans="2:12">
      <c r="B237" s="289"/>
      <c r="C237" s="285"/>
      <c r="D237" s="286"/>
      <c r="E237" s="26"/>
      <c r="F237" s="271"/>
      <c r="G237" s="273"/>
      <c r="H237" s="274"/>
      <c r="I237" s="271"/>
      <c r="J237" s="276"/>
      <c r="K237" s="277"/>
      <c r="L237" s="276"/>
    </row>
    <row r="238" spans="2:12">
      <c r="B238" s="289" t="s">
        <v>304</v>
      </c>
      <c r="C238" s="285" t="s">
        <v>70</v>
      </c>
      <c r="D238" s="286"/>
      <c r="E238" s="26">
        <v>87.825999999999993</v>
      </c>
      <c r="F238" s="270">
        <f t="shared" ref="F238" si="167">+E238+E239</f>
        <v>87.825999999999993</v>
      </c>
      <c r="G238" s="272"/>
      <c r="H238" s="274"/>
      <c r="I238" s="270">
        <v>12.6</v>
      </c>
      <c r="J238" s="275">
        <f t="shared" ref="J238" si="168">I238/F238*1000</f>
        <v>143.46548857969165</v>
      </c>
      <c r="K238" s="277">
        <v>6900</v>
      </c>
      <c r="L238" s="275">
        <f t="shared" ref="L238" si="169">K238/F238</f>
        <v>78.564434222212114</v>
      </c>
    </row>
    <row r="239" spans="2:12">
      <c r="B239" s="289"/>
      <c r="C239" s="285"/>
      <c r="D239" s="286"/>
      <c r="E239" s="26"/>
      <c r="F239" s="271"/>
      <c r="G239" s="273"/>
      <c r="H239" s="274"/>
      <c r="I239" s="271"/>
      <c r="J239" s="276"/>
      <c r="K239" s="277"/>
      <c r="L239" s="276"/>
    </row>
    <row r="240" spans="2:12">
      <c r="B240" s="289" t="s">
        <v>306</v>
      </c>
      <c r="C240" s="285" t="s">
        <v>70</v>
      </c>
      <c r="D240" s="286"/>
      <c r="E240" s="26">
        <v>107.1</v>
      </c>
      <c r="F240" s="270">
        <f t="shared" ref="F240" si="170">+E240+E241</f>
        <v>107.1</v>
      </c>
      <c r="G240" s="272"/>
      <c r="H240" s="274"/>
      <c r="I240" s="270">
        <v>15.1</v>
      </c>
      <c r="J240" s="275">
        <f t="shared" ref="J240" si="171">I240/F240*1000</f>
        <v>140.98972922502335</v>
      </c>
      <c r="K240" s="277">
        <v>9540</v>
      </c>
      <c r="L240" s="275">
        <f t="shared" ref="L240" si="172">K240/F240</f>
        <v>89.075630252100851</v>
      </c>
    </row>
    <row r="241" spans="2:12">
      <c r="B241" s="289"/>
      <c r="C241" s="285"/>
      <c r="D241" s="286"/>
      <c r="E241" s="26"/>
      <c r="F241" s="271"/>
      <c r="G241" s="273"/>
      <c r="H241" s="274"/>
      <c r="I241" s="271"/>
      <c r="J241" s="276"/>
      <c r="K241" s="277"/>
      <c r="L241" s="276"/>
    </row>
    <row r="242" spans="2:12">
      <c r="B242" s="289" t="s">
        <v>308</v>
      </c>
      <c r="C242" s="285" t="s">
        <v>70</v>
      </c>
      <c r="D242" s="286"/>
      <c r="E242" s="26">
        <v>140.97999999999999</v>
      </c>
      <c r="F242" s="270">
        <f t="shared" ref="F242" si="173">+E242+E243</f>
        <v>140.97999999999999</v>
      </c>
      <c r="G242" s="272"/>
      <c r="H242" s="274"/>
      <c r="I242" s="270">
        <v>19.7</v>
      </c>
      <c r="J242" s="275">
        <f t="shared" ref="J242" si="174">I242/F242*1000</f>
        <v>139.73613278479215</v>
      </c>
      <c r="K242" s="277">
        <v>12420</v>
      </c>
      <c r="L242" s="275">
        <f t="shared" ref="L242" si="175">K242/F242</f>
        <v>88.097602496808065</v>
      </c>
    </row>
    <row r="243" spans="2:12">
      <c r="B243" s="289"/>
      <c r="C243" s="285"/>
      <c r="D243" s="286"/>
      <c r="E243" s="26"/>
      <c r="F243" s="271"/>
      <c r="G243" s="273"/>
      <c r="H243" s="274"/>
      <c r="I243" s="271"/>
      <c r="J243" s="276"/>
      <c r="K243" s="277"/>
      <c r="L243" s="276"/>
    </row>
    <row r="244" spans="2:12" ht="15" customHeight="1">
      <c r="B244" s="289" t="s">
        <v>311</v>
      </c>
      <c r="C244" s="285" t="s">
        <v>269</v>
      </c>
      <c r="D244" s="286"/>
      <c r="E244" s="26"/>
      <c r="F244" s="270">
        <f>+E244+E245</f>
        <v>0</v>
      </c>
      <c r="G244" s="272"/>
      <c r="H244" s="274"/>
      <c r="I244" s="270"/>
      <c r="J244" s="275">
        <v>0</v>
      </c>
      <c r="K244" s="277"/>
      <c r="L244" s="275">
        <v>0</v>
      </c>
    </row>
    <row r="245" spans="2:12">
      <c r="B245" s="289"/>
      <c r="C245" s="285"/>
      <c r="D245" s="286"/>
      <c r="E245" s="26"/>
      <c r="F245" s="271"/>
      <c r="G245" s="273"/>
      <c r="H245" s="274"/>
      <c r="I245" s="271"/>
      <c r="J245" s="276"/>
      <c r="K245" s="277"/>
      <c r="L245" s="276"/>
    </row>
    <row r="246" spans="2:12">
      <c r="B246" s="289" t="s">
        <v>312</v>
      </c>
      <c r="C246" s="285" t="s">
        <v>268</v>
      </c>
      <c r="D246" s="286"/>
      <c r="E246" s="26"/>
      <c r="F246" s="270">
        <f>+E246+E247</f>
        <v>0</v>
      </c>
      <c r="G246" s="272"/>
      <c r="H246" s="274"/>
      <c r="I246" s="270"/>
      <c r="J246" s="275">
        <v>0</v>
      </c>
      <c r="K246" s="277"/>
      <c r="L246" s="275">
        <v>0</v>
      </c>
    </row>
    <row r="247" spans="2:12">
      <c r="B247" s="289"/>
      <c r="C247" s="285"/>
      <c r="D247" s="286"/>
      <c r="E247" s="26"/>
      <c r="F247" s="271"/>
      <c r="G247" s="273"/>
      <c r="H247" s="274"/>
      <c r="I247" s="271"/>
      <c r="J247" s="276"/>
      <c r="K247" s="277"/>
      <c r="L247" s="276"/>
    </row>
    <row r="248" spans="2:12">
      <c r="B248" s="289" t="s">
        <v>313</v>
      </c>
      <c r="C248" s="285" t="s">
        <v>70</v>
      </c>
      <c r="D248" s="286"/>
      <c r="E248" s="26">
        <v>133.26400000000001</v>
      </c>
      <c r="F248" s="270">
        <f t="shared" ref="F248" si="176">+E248+E249</f>
        <v>133.26400000000001</v>
      </c>
      <c r="G248" s="272"/>
      <c r="H248" s="274"/>
      <c r="I248" s="270">
        <v>20</v>
      </c>
      <c r="J248" s="275">
        <f t="shared" ref="J248" si="177">I248/F248*1000</f>
        <v>150.07804058110216</v>
      </c>
      <c r="K248" s="277">
        <v>10980</v>
      </c>
      <c r="L248" s="275">
        <f t="shared" ref="L248" si="178">K248/F248</f>
        <v>82.392844279025084</v>
      </c>
    </row>
    <row r="249" spans="2:12">
      <c r="B249" s="289"/>
      <c r="C249" s="285"/>
      <c r="D249" s="286"/>
      <c r="E249" s="26"/>
      <c r="F249" s="271"/>
      <c r="G249" s="273"/>
      <c r="H249" s="274"/>
      <c r="I249" s="271"/>
      <c r="J249" s="276"/>
      <c r="K249" s="277"/>
      <c r="L249" s="276"/>
    </row>
    <row r="250" spans="2:12">
      <c r="B250" s="289" t="s">
        <v>315</v>
      </c>
      <c r="C250" s="285" t="s">
        <v>70</v>
      </c>
      <c r="D250" s="286"/>
      <c r="E250" s="26">
        <v>174.3</v>
      </c>
      <c r="F250" s="270">
        <f t="shared" ref="F250" si="179">+E250+E251</f>
        <v>174.3</v>
      </c>
      <c r="G250" s="272"/>
      <c r="H250" s="274"/>
      <c r="I250" s="270">
        <v>23.6</v>
      </c>
      <c r="J250" s="275">
        <f t="shared" ref="J250" si="180">I250/F250*1000</f>
        <v>135.39873780837635</v>
      </c>
      <c r="K250" s="277">
        <v>11700</v>
      </c>
      <c r="L250" s="275">
        <f t="shared" ref="L250" si="181">K250/F250</f>
        <v>67.125645438898445</v>
      </c>
    </row>
    <row r="251" spans="2:12">
      <c r="B251" s="289"/>
      <c r="C251" s="285"/>
      <c r="D251" s="286"/>
      <c r="E251" s="26"/>
      <c r="F251" s="271"/>
      <c r="G251" s="273"/>
      <c r="H251" s="274"/>
      <c r="I251" s="271"/>
      <c r="J251" s="276"/>
      <c r="K251" s="277"/>
      <c r="L251" s="276"/>
    </row>
    <row r="252" spans="2:12">
      <c r="B252" s="289"/>
      <c r="C252" s="285"/>
      <c r="D252" s="286"/>
      <c r="E252" s="26"/>
      <c r="F252" s="270">
        <f t="shared" ref="F252" si="182">+E252+E253</f>
        <v>0</v>
      </c>
      <c r="G252" s="272"/>
      <c r="H252" s="274"/>
      <c r="I252" s="270"/>
      <c r="J252" s="275"/>
      <c r="K252" s="277"/>
      <c r="L252" s="275"/>
    </row>
    <row r="253" spans="2:12">
      <c r="B253" s="289"/>
      <c r="C253" s="285"/>
      <c r="D253" s="286"/>
      <c r="E253" s="26"/>
      <c r="F253" s="271"/>
      <c r="G253" s="273"/>
      <c r="H253" s="274"/>
      <c r="I253" s="271"/>
      <c r="J253" s="276"/>
      <c r="K253" s="277"/>
      <c r="L253" s="276"/>
    </row>
    <row r="254" spans="2:12">
      <c r="B254" s="27"/>
      <c r="C254" s="28"/>
      <c r="D254" s="28" t="s">
        <v>15</v>
      </c>
      <c r="E254" s="29">
        <f>SUM(E200:E253)</f>
        <v>2294.8039999999996</v>
      </c>
      <c r="F254" s="29">
        <f>SUM(F200:F253)</f>
        <v>2294.8039999999996</v>
      </c>
      <c r="G254" s="29">
        <f>SUM(G200:G253)</f>
        <v>0</v>
      </c>
      <c r="H254" s="29">
        <f>SUM(H200:H253)</f>
        <v>0</v>
      </c>
      <c r="I254" s="29">
        <f>SUM(I200:I253)</f>
        <v>334.70000000000005</v>
      </c>
      <c r="J254" s="177">
        <f>I254/F254*1000</f>
        <v>145.85123609685189</v>
      </c>
      <c r="K254" s="42">
        <f>SUM(K200:K253)</f>
        <v>182470</v>
      </c>
      <c r="L254" s="30">
        <f>K254/F254</f>
        <v>79.514416045989122</v>
      </c>
    </row>
    <row r="259" spans="2:20">
      <c r="B259" s="16" t="s">
        <v>325</v>
      </c>
      <c r="C259" s="16"/>
      <c r="F259" s="17"/>
      <c r="G259" s="18"/>
      <c r="H259" s="18"/>
      <c r="I259" s="18"/>
      <c r="J259" s="18"/>
      <c r="K259" s="18"/>
      <c r="L259" s="18"/>
      <c r="M259" s="18"/>
    </row>
    <row r="260" spans="2:20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2:20" ht="21.75" thickBot="1">
      <c r="B261" s="19" t="s">
        <v>20</v>
      </c>
      <c r="C261" s="19" t="s">
        <v>25</v>
      </c>
      <c r="D261" s="19" t="s">
        <v>26</v>
      </c>
      <c r="E261" s="19" t="s">
        <v>27</v>
      </c>
      <c r="F261" s="20" t="s">
        <v>28</v>
      </c>
      <c r="G261" s="21"/>
      <c r="H261" s="22"/>
      <c r="I261" s="22"/>
      <c r="J261" s="21"/>
      <c r="K261" s="21"/>
      <c r="L261" s="21"/>
    </row>
    <row r="262" spans="2:20" ht="16.5" thickBot="1">
      <c r="B262" s="70" t="s">
        <v>59</v>
      </c>
      <c r="C262" s="71" t="s">
        <v>413</v>
      </c>
      <c r="D262" s="72">
        <f>154.86+87.625+124.045+134.64+106.88+71.685+171.545+130.85+80.935+141.22+156.55+172.86+187.6+153.75+109.65+93+176.608+156.185+408.581</f>
        <v>2819.069</v>
      </c>
      <c r="E262" s="71" t="s">
        <v>60</v>
      </c>
      <c r="F262" s="278">
        <f>+I351</f>
        <v>413.1</v>
      </c>
      <c r="G262" s="21"/>
      <c r="H262" s="21"/>
      <c r="I262" s="23"/>
      <c r="J262" s="23"/>
      <c r="K262" s="21"/>
      <c r="L262" s="21"/>
      <c r="N262" s="4"/>
      <c r="T262" s="32">
        <f>+F262/D264</f>
        <v>0.1465377399418035</v>
      </c>
    </row>
    <row r="263" spans="2:20">
      <c r="B263" s="70"/>
      <c r="C263" s="71"/>
      <c r="D263" s="72"/>
      <c r="E263" s="71" t="s">
        <v>61</v>
      </c>
      <c r="F263" s="279"/>
      <c r="G263" s="21"/>
      <c r="H263" s="22"/>
      <c r="I263" s="22"/>
      <c r="J263" s="21"/>
      <c r="K263" s="21"/>
      <c r="L263" s="21"/>
      <c r="N263" s="4"/>
    </row>
    <row r="264" spans="2:20">
      <c r="B264" s="70" t="s">
        <v>15</v>
      </c>
      <c r="C264" s="71" t="str">
        <f>+C262</f>
        <v xml:space="preserve">   20 Day    ( 20  Shifts )  </v>
      </c>
      <c r="D264" s="72">
        <f>SUM(D262:D263)</f>
        <v>2819.069</v>
      </c>
      <c r="E264" s="71"/>
      <c r="F264" s="73">
        <f>SUM(F262:F263)</f>
        <v>413.1</v>
      </c>
      <c r="G264" s="21"/>
      <c r="H264" s="23"/>
      <c r="I264" s="23"/>
      <c r="J264" s="23"/>
      <c r="K264" s="21"/>
      <c r="L264" s="21"/>
    </row>
    <row r="265" spans="2:20">
      <c r="B265" s="74"/>
      <c r="C265" s="75" t="s">
        <v>29</v>
      </c>
      <c r="D265" s="76"/>
      <c r="E265" s="77" t="s">
        <v>30</v>
      </c>
      <c r="F265" s="74"/>
      <c r="G265" s="21"/>
      <c r="H265" s="21"/>
      <c r="I265" s="21"/>
      <c r="J265" s="21"/>
      <c r="K265" s="21"/>
      <c r="L265" s="21"/>
    </row>
    <row r="266" spans="2:20">
      <c r="B266" s="71"/>
      <c r="C266" s="71"/>
      <c r="D266" s="78"/>
      <c r="E266" s="79"/>
      <c r="F266" s="71"/>
      <c r="G266" s="21"/>
      <c r="H266" s="21"/>
      <c r="I266" s="21"/>
      <c r="J266" s="21"/>
      <c r="K266" s="21"/>
      <c r="L266" s="21"/>
    </row>
    <row r="267" spans="2:20">
      <c r="B267" s="71"/>
      <c r="C267" s="71" t="s">
        <v>64</v>
      </c>
      <c r="D267" s="78"/>
      <c r="E267" s="79" t="s">
        <v>63</v>
      </c>
      <c r="F267" s="71"/>
      <c r="G267" s="21"/>
      <c r="H267" s="21"/>
      <c r="I267" s="21"/>
      <c r="J267" s="21"/>
      <c r="K267" s="21"/>
      <c r="L267" s="21"/>
    </row>
    <row r="268" spans="2:20">
      <c r="B268" s="71"/>
      <c r="C268" s="71" t="s">
        <v>371</v>
      </c>
      <c r="D268" s="80"/>
      <c r="E268" s="45" t="s">
        <v>360</v>
      </c>
      <c r="F268" s="71"/>
      <c r="G268" s="21"/>
      <c r="H268" s="21"/>
      <c r="I268" s="21"/>
      <c r="J268" s="21"/>
      <c r="K268" s="21"/>
      <c r="L268" s="21"/>
    </row>
    <row r="269" spans="2:20">
      <c r="B269" s="71"/>
      <c r="C269" s="71" t="s">
        <v>362</v>
      </c>
      <c r="D269" s="80"/>
      <c r="E269" s="45" t="s">
        <v>361</v>
      </c>
      <c r="F269" s="24"/>
      <c r="G269" s="21"/>
      <c r="H269" s="21"/>
      <c r="I269" s="21"/>
      <c r="J269" s="21"/>
      <c r="K269" s="21"/>
      <c r="L269" s="21"/>
    </row>
    <row r="270" spans="2:20">
      <c r="B270" s="71"/>
      <c r="C270" s="71" t="s">
        <v>362</v>
      </c>
      <c r="D270" s="80"/>
      <c r="E270" s="45" t="s">
        <v>400</v>
      </c>
      <c r="F270" s="24"/>
      <c r="G270" s="21"/>
      <c r="H270" s="21"/>
      <c r="I270" s="21"/>
      <c r="J270" s="21"/>
      <c r="K270" s="21"/>
      <c r="L270" s="21"/>
    </row>
    <row r="271" spans="2:20">
      <c r="B271" s="71"/>
      <c r="C271" s="71"/>
      <c r="D271" s="80"/>
      <c r="E271" s="204"/>
      <c r="F271" s="24"/>
      <c r="G271" s="21"/>
      <c r="H271" s="21"/>
      <c r="I271" s="21"/>
      <c r="J271" s="21"/>
      <c r="K271" s="21"/>
      <c r="L271" s="21"/>
    </row>
    <row r="272" spans="2:20">
      <c r="B272" s="71"/>
      <c r="C272" s="71"/>
      <c r="D272" s="80"/>
      <c r="E272" s="204"/>
      <c r="F272" s="24"/>
      <c r="G272" s="21"/>
      <c r="H272" s="21"/>
      <c r="I272" s="21"/>
      <c r="J272" s="21"/>
      <c r="K272" s="21"/>
      <c r="L272" s="21"/>
    </row>
    <row r="273" spans="2:12">
      <c r="B273" s="71"/>
      <c r="C273" s="71"/>
      <c r="D273" s="80"/>
      <c r="E273" s="204"/>
      <c r="F273" s="71"/>
      <c r="G273" s="18"/>
      <c r="H273" s="18"/>
      <c r="I273" s="18"/>
      <c r="J273" s="18"/>
      <c r="K273" s="18"/>
      <c r="L273" s="18"/>
    </row>
    <row r="274" spans="2:12">
      <c r="B274" s="71"/>
      <c r="C274" s="71"/>
      <c r="D274" s="80"/>
      <c r="E274" s="41"/>
      <c r="F274" s="71"/>
      <c r="G274" s="18"/>
      <c r="H274" s="18"/>
      <c r="I274" s="18"/>
      <c r="J274" s="18"/>
      <c r="K274" s="18"/>
      <c r="L274" s="18"/>
    </row>
    <row r="275" spans="2:12">
      <c r="B275" s="71"/>
      <c r="C275" s="71" t="s">
        <v>319</v>
      </c>
      <c r="D275" s="12"/>
      <c r="E275" s="45" t="s">
        <v>31</v>
      </c>
      <c r="F275" s="71"/>
      <c r="G275" s="18"/>
      <c r="H275" s="18"/>
      <c r="I275" s="18"/>
      <c r="J275" s="18"/>
      <c r="K275" s="18"/>
      <c r="L275" s="18"/>
    </row>
    <row r="276" spans="2:12">
      <c r="B276" s="71"/>
      <c r="C276" s="71"/>
      <c r="D276" s="80"/>
      <c r="E276" s="45"/>
      <c r="F276" s="71"/>
      <c r="G276" s="18"/>
      <c r="H276" s="18"/>
      <c r="I276" s="18"/>
      <c r="J276" s="18"/>
      <c r="K276" s="18"/>
      <c r="L276" s="18"/>
    </row>
    <row r="277" spans="2:12">
      <c r="B277" s="71"/>
      <c r="C277" s="71"/>
      <c r="D277" s="12"/>
      <c r="E277" s="12"/>
      <c r="F277" s="71"/>
      <c r="G277" s="18"/>
      <c r="H277" s="18"/>
      <c r="I277" s="31"/>
      <c r="J277" s="31"/>
      <c r="K277" s="18"/>
      <c r="L277" s="18"/>
    </row>
    <row r="278" spans="2:12">
      <c r="B278" s="71"/>
      <c r="C278" s="71"/>
      <c r="D278" s="12"/>
      <c r="E278" s="12"/>
      <c r="F278" s="71"/>
      <c r="G278" s="18"/>
      <c r="H278" s="18"/>
      <c r="I278" s="18"/>
      <c r="J278" s="18"/>
      <c r="K278" s="18"/>
      <c r="L278" s="18"/>
    </row>
    <row r="279" spans="2:12">
      <c r="B279" s="71"/>
      <c r="C279" s="71"/>
      <c r="D279" s="81"/>
      <c r="E279" s="12"/>
      <c r="F279" s="24"/>
      <c r="G279" s="18"/>
      <c r="H279" s="18"/>
      <c r="I279" s="18"/>
      <c r="J279" s="18"/>
      <c r="K279" s="18"/>
      <c r="L279" s="18"/>
    </row>
    <row r="280" spans="2:12">
      <c r="B280" s="71"/>
      <c r="C280" s="71"/>
      <c r="D280" s="80"/>
      <c r="E280" s="80"/>
      <c r="F280" s="71"/>
      <c r="G280" s="18"/>
      <c r="H280" s="18"/>
      <c r="I280" s="18"/>
      <c r="J280" s="18"/>
      <c r="K280" s="18"/>
      <c r="L280" s="18"/>
    </row>
    <row r="281" spans="2:12">
      <c r="B281" s="82"/>
      <c r="C281" s="82"/>
      <c r="D281" s="83"/>
      <c r="E281" s="83"/>
      <c r="F281" s="83"/>
      <c r="G281" s="18"/>
      <c r="H281" s="18"/>
      <c r="I281" s="18"/>
      <c r="J281" s="18"/>
      <c r="K281" s="18"/>
      <c r="L281" s="44"/>
    </row>
    <row r="282" spans="2:12">
      <c r="B282" s="18"/>
      <c r="C282" s="18"/>
      <c r="D282" s="18"/>
      <c r="E282" s="18"/>
      <c r="F282" s="18"/>
      <c r="G282" s="18"/>
      <c r="H282" s="18"/>
      <c r="I282" s="18"/>
      <c r="J282" s="43"/>
      <c r="K282" s="18"/>
      <c r="L282" s="18"/>
    </row>
    <row r="283" spans="2:12">
      <c r="B283" s="18"/>
      <c r="C283" s="71"/>
      <c r="D283" s="84" t="s">
        <v>32</v>
      </c>
      <c r="E283" s="71"/>
      <c r="F283" s="84" t="s">
        <v>33</v>
      </c>
      <c r="G283" s="18"/>
      <c r="H283" s="18" t="s">
        <v>34</v>
      </c>
      <c r="I283" s="18"/>
      <c r="J283" s="18"/>
      <c r="K283" s="18"/>
      <c r="L283" s="18"/>
    </row>
    <row r="284" spans="2:12">
      <c r="B284" s="44" t="s">
        <v>58</v>
      </c>
      <c r="C284" s="70" t="s">
        <v>35</v>
      </c>
      <c r="D284" s="41">
        <f>D264/18</f>
        <v>156.61494444444443</v>
      </c>
      <c r="E284" s="84" t="s">
        <v>36</v>
      </c>
      <c r="F284" s="85">
        <f>+T262*1000</f>
        <v>146.53773994180349</v>
      </c>
      <c r="G284" s="18"/>
      <c r="H284" s="18"/>
      <c r="I284" s="18"/>
      <c r="J284" s="18"/>
      <c r="K284" s="18"/>
      <c r="L284" s="18"/>
    </row>
    <row r="285" spans="2:12">
      <c r="B285" s="44" t="s">
        <v>56</v>
      </c>
      <c r="C285" s="70" t="s">
        <v>37</v>
      </c>
      <c r="D285" s="41">
        <f>+D284</f>
        <v>156.61494444444443</v>
      </c>
      <c r="E285" s="71"/>
      <c r="F285" s="71"/>
      <c r="G285" s="18"/>
      <c r="H285" s="18"/>
      <c r="I285" s="18"/>
      <c r="J285" s="18"/>
      <c r="K285" s="18"/>
      <c r="L285" s="18"/>
    </row>
    <row r="286" spans="2:12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 spans="2:12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 spans="2:12">
      <c r="B288" s="25" t="s">
        <v>326</v>
      </c>
      <c r="C288" s="25"/>
      <c r="D288" s="280" t="s">
        <v>32</v>
      </c>
      <c r="E288" s="281"/>
      <c r="F288" s="282"/>
      <c r="G288" s="283" t="s">
        <v>38</v>
      </c>
      <c r="H288" s="283"/>
      <c r="I288" s="283"/>
      <c r="J288" s="283"/>
      <c r="K288" s="18"/>
      <c r="L288" s="18"/>
    </row>
    <row r="289" spans="2:12">
      <c r="B289" s="45" t="s">
        <v>39</v>
      </c>
      <c r="C289" s="204" t="s">
        <v>40</v>
      </c>
      <c r="D289" s="204" t="s">
        <v>20</v>
      </c>
      <c r="E289" s="204" t="s">
        <v>41</v>
      </c>
      <c r="F289" s="204" t="s">
        <v>42</v>
      </c>
      <c r="G289" s="284" t="s">
        <v>43</v>
      </c>
      <c r="H289" s="204" t="s">
        <v>44</v>
      </c>
      <c r="I289" s="204" t="s">
        <v>45</v>
      </c>
      <c r="J289" s="204" t="s">
        <v>46</v>
      </c>
      <c r="K289" s="204" t="s">
        <v>45</v>
      </c>
      <c r="L289" s="204" t="s">
        <v>46</v>
      </c>
    </row>
    <row r="290" spans="2:12">
      <c r="B290" s="45"/>
      <c r="C290" s="204"/>
      <c r="D290" s="204" t="s">
        <v>47</v>
      </c>
      <c r="E290" s="204"/>
      <c r="F290" s="204"/>
      <c r="G290" s="284"/>
      <c r="H290" s="204" t="s">
        <v>53</v>
      </c>
      <c r="I290" s="204" t="s">
        <v>48</v>
      </c>
      <c r="J290" s="204" t="s">
        <v>33</v>
      </c>
      <c r="K290" s="204" t="s">
        <v>49</v>
      </c>
      <c r="L290" s="204" t="s">
        <v>50</v>
      </c>
    </row>
    <row r="291" spans="2:12">
      <c r="B291" s="268" t="s">
        <v>321</v>
      </c>
      <c r="C291" s="285" t="s">
        <v>70</v>
      </c>
      <c r="D291" s="286"/>
      <c r="E291" s="26">
        <v>154.86000000000001</v>
      </c>
      <c r="F291" s="270">
        <f t="shared" ref="F291" si="183">+E291+E292</f>
        <v>154.86000000000001</v>
      </c>
      <c r="G291" s="272"/>
      <c r="H291" s="274"/>
      <c r="I291" s="270">
        <v>21.9</v>
      </c>
      <c r="J291" s="275">
        <f t="shared" ref="J291" si="184">I291/F291*1000</f>
        <v>141.41805501743508</v>
      </c>
      <c r="K291" s="277">
        <v>13740</v>
      </c>
      <c r="L291" s="275">
        <f t="shared" ref="L291" si="185">K291/F291</f>
        <v>88.725300271212703</v>
      </c>
    </row>
    <row r="292" spans="2:12">
      <c r="B292" s="269"/>
      <c r="C292" s="285"/>
      <c r="D292" s="286"/>
      <c r="E292" s="26"/>
      <c r="F292" s="271"/>
      <c r="G292" s="273"/>
      <c r="H292" s="274"/>
      <c r="I292" s="271"/>
      <c r="J292" s="276"/>
      <c r="K292" s="277"/>
      <c r="L292" s="276"/>
    </row>
    <row r="293" spans="2:12">
      <c r="B293" s="268" t="s">
        <v>328</v>
      </c>
      <c r="C293" s="285" t="s">
        <v>338</v>
      </c>
      <c r="D293" s="286"/>
      <c r="E293" s="26">
        <v>87.625</v>
      </c>
      <c r="F293" s="270">
        <f t="shared" ref="F293" si="186">+E293+E294</f>
        <v>87.625</v>
      </c>
      <c r="G293" s="272"/>
      <c r="H293" s="274"/>
      <c r="I293" s="270">
        <v>14</v>
      </c>
      <c r="J293" s="275">
        <f t="shared" ref="J293" si="187">I293/F293*1000</f>
        <v>159.77175463623394</v>
      </c>
      <c r="K293" s="277">
        <v>9840</v>
      </c>
      <c r="L293" s="275">
        <f t="shared" ref="L293" si="188">K293/F293</f>
        <v>112.29671897289586</v>
      </c>
    </row>
    <row r="294" spans="2:12">
      <c r="B294" s="269"/>
      <c r="C294" s="285"/>
      <c r="D294" s="286"/>
      <c r="E294" s="26"/>
      <c r="F294" s="271"/>
      <c r="G294" s="273"/>
      <c r="H294" s="274"/>
      <c r="I294" s="271"/>
      <c r="J294" s="276"/>
      <c r="K294" s="277"/>
      <c r="L294" s="276"/>
    </row>
    <row r="295" spans="2:12">
      <c r="B295" s="268" t="s">
        <v>329</v>
      </c>
      <c r="C295" s="285" t="s">
        <v>70</v>
      </c>
      <c r="D295" s="286"/>
      <c r="E295" s="26">
        <v>124.045</v>
      </c>
      <c r="F295" s="270">
        <f t="shared" ref="F295" si="189">+E295+E296</f>
        <v>124.045</v>
      </c>
      <c r="G295" s="272"/>
      <c r="H295" s="274"/>
      <c r="I295" s="270">
        <v>18</v>
      </c>
      <c r="J295" s="275">
        <f t="shared" ref="J295" si="190">I295/F295*1000</f>
        <v>145.10862993268572</v>
      </c>
      <c r="K295" s="277">
        <v>12180</v>
      </c>
      <c r="L295" s="275">
        <f t="shared" ref="L295" si="191">K295/F295</f>
        <v>98.190172921117338</v>
      </c>
    </row>
    <row r="296" spans="2:12">
      <c r="B296" s="269"/>
      <c r="C296" s="285"/>
      <c r="D296" s="286"/>
      <c r="E296" s="26"/>
      <c r="F296" s="271"/>
      <c r="G296" s="273"/>
      <c r="H296" s="274"/>
      <c r="I296" s="271"/>
      <c r="J296" s="276"/>
      <c r="K296" s="277"/>
      <c r="L296" s="276"/>
    </row>
    <row r="297" spans="2:12">
      <c r="B297" s="268" t="s">
        <v>330</v>
      </c>
      <c r="C297" s="285" t="s">
        <v>342</v>
      </c>
      <c r="D297" s="286"/>
      <c r="E297" s="26"/>
      <c r="F297" s="270"/>
      <c r="G297" s="272"/>
      <c r="H297" s="274"/>
      <c r="I297" s="270"/>
      <c r="J297" s="275"/>
      <c r="K297" s="277"/>
      <c r="L297" s="275"/>
    </row>
    <row r="298" spans="2:12">
      <c r="B298" s="269"/>
      <c r="C298" s="285"/>
      <c r="D298" s="286"/>
      <c r="E298" s="26"/>
      <c r="F298" s="271"/>
      <c r="G298" s="273"/>
      <c r="H298" s="274"/>
      <c r="I298" s="271"/>
      <c r="J298" s="276"/>
      <c r="K298" s="277"/>
      <c r="L298" s="276"/>
    </row>
    <row r="299" spans="2:12">
      <c r="B299" s="268" t="s">
        <v>331</v>
      </c>
      <c r="C299" s="285" t="s">
        <v>337</v>
      </c>
      <c r="D299" s="286"/>
      <c r="E299" s="26"/>
      <c r="F299" s="270"/>
      <c r="G299" s="272"/>
      <c r="H299" s="274"/>
      <c r="I299" s="270"/>
      <c r="J299" s="275"/>
      <c r="K299" s="277"/>
      <c r="L299" s="275"/>
    </row>
    <row r="300" spans="2:12">
      <c r="B300" s="269"/>
      <c r="C300" s="285"/>
      <c r="D300" s="286"/>
      <c r="E300" s="26"/>
      <c r="F300" s="271"/>
      <c r="G300" s="273"/>
      <c r="H300" s="274"/>
      <c r="I300" s="271"/>
      <c r="J300" s="276"/>
      <c r="K300" s="277"/>
      <c r="L300" s="276"/>
    </row>
    <row r="301" spans="2:12">
      <c r="B301" s="268" t="s">
        <v>336</v>
      </c>
      <c r="C301" s="285" t="s">
        <v>343</v>
      </c>
      <c r="D301" s="286"/>
      <c r="E301" s="26"/>
      <c r="F301" s="270"/>
      <c r="G301" s="272"/>
      <c r="H301" s="274"/>
      <c r="I301" s="270"/>
      <c r="J301" s="275"/>
      <c r="K301" s="277"/>
      <c r="L301" s="275"/>
    </row>
    <row r="302" spans="2:12">
      <c r="B302" s="269"/>
      <c r="C302" s="285"/>
      <c r="D302" s="286"/>
      <c r="E302" s="26"/>
      <c r="F302" s="271"/>
      <c r="G302" s="273"/>
      <c r="H302" s="274"/>
      <c r="I302" s="271"/>
      <c r="J302" s="276"/>
      <c r="K302" s="277"/>
      <c r="L302" s="276"/>
    </row>
    <row r="303" spans="2:12">
      <c r="B303" s="268" t="s">
        <v>339</v>
      </c>
      <c r="C303" s="285" t="s">
        <v>348</v>
      </c>
      <c r="D303" s="286"/>
      <c r="E303" s="26">
        <v>134.63999999999999</v>
      </c>
      <c r="F303" s="270">
        <f t="shared" ref="F303" si="192">+E303+E304</f>
        <v>134.63999999999999</v>
      </c>
      <c r="G303" s="272"/>
      <c r="H303" s="274"/>
      <c r="I303" s="270">
        <v>21.8</v>
      </c>
      <c r="J303" s="275">
        <f t="shared" ref="J303" si="193">I303/F303*1000</f>
        <v>161.91325014854431</v>
      </c>
      <c r="K303" s="277">
        <v>13020</v>
      </c>
      <c r="L303" s="275">
        <f t="shared" ref="L303" si="194">K303/F303</f>
        <v>96.7023172905526</v>
      </c>
    </row>
    <row r="304" spans="2:12">
      <c r="B304" s="269"/>
      <c r="C304" s="285"/>
      <c r="D304" s="286"/>
      <c r="E304" s="26"/>
      <c r="F304" s="271"/>
      <c r="G304" s="273"/>
      <c r="H304" s="274"/>
      <c r="I304" s="271"/>
      <c r="J304" s="276"/>
      <c r="K304" s="277"/>
      <c r="L304" s="276"/>
    </row>
    <row r="305" spans="2:12">
      <c r="B305" s="268" t="s">
        <v>344</v>
      </c>
      <c r="C305" s="285" t="s">
        <v>347</v>
      </c>
      <c r="D305" s="286"/>
      <c r="E305" s="26">
        <v>106.88</v>
      </c>
      <c r="F305" s="270">
        <f t="shared" ref="F305" si="195">+E305+E306</f>
        <v>106.88</v>
      </c>
      <c r="G305" s="272"/>
      <c r="H305" s="274"/>
      <c r="I305" s="270">
        <v>19.600000000000001</v>
      </c>
      <c r="J305" s="275">
        <f t="shared" ref="J305" si="196">I305/F305*1000</f>
        <v>183.38323353293416</v>
      </c>
      <c r="K305" s="277">
        <v>10440</v>
      </c>
      <c r="L305" s="275">
        <f t="shared" ref="L305" si="197">K305/F305</f>
        <v>97.679640718562879</v>
      </c>
    </row>
    <row r="306" spans="2:12">
      <c r="B306" s="269"/>
      <c r="C306" s="285"/>
      <c r="D306" s="286"/>
      <c r="E306" s="26"/>
      <c r="F306" s="271"/>
      <c r="G306" s="273"/>
      <c r="H306" s="274"/>
      <c r="I306" s="271"/>
      <c r="J306" s="276"/>
      <c r="K306" s="277"/>
      <c r="L306" s="276"/>
    </row>
    <row r="307" spans="2:12">
      <c r="B307" s="268" t="s">
        <v>349</v>
      </c>
      <c r="C307" s="285" t="s">
        <v>352</v>
      </c>
      <c r="D307" s="286"/>
      <c r="E307" s="26">
        <v>71.685000000000002</v>
      </c>
      <c r="F307" s="270">
        <f t="shared" ref="F307" si="198">+E307+E308</f>
        <v>71.685000000000002</v>
      </c>
      <c r="G307" s="272"/>
      <c r="H307" s="274"/>
      <c r="I307" s="270">
        <v>10.1</v>
      </c>
      <c r="J307" s="275">
        <f t="shared" ref="J307" si="199">I307/F307*1000</f>
        <v>140.89418985840828</v>
      </c>
      <c r="K307" s="277">
        <v>6360</v>
      </c>
      <c r="L307" s="275">
        <f t="shared" ref="L307" si="200">K307/F307</f>
        <v>88.721489851433347</v>
      </c>
    </row>
    <row r="308" spans="2:12">
      <c r="B308" s="269"/>
      <c r="C308" s="285"/>
      <c r="D308" s="286"/>
      <c r="E308" s="26"/>
      <c r="F308" s="271"/>
      <c r="G308" s="273"/>
      <c r="H308" s="274"/>
      <c r="I308" s="271"/>
      <c r="J308" s="276"/>
      <c r="K308" s="277"/>
      <c r="L308" s="276"/>
    </row>
    <row r="309" spans="2:12">
      <c r="B309" s="268" t="s">
        <v>353</v>
      </c>
      <c r="C309" s="285" t="s">
        <v>70</v>
      </c>
      <c r="D309" s="286"/>
      <c r="E309" s="26">
        <v>171.54499999999999</v>
      </c>
      <c r="F309" s="270">
        <f t="shared" ref="F309" si="201">+E309+E310</f>
        <v>171.54499999999999</v>
      </c>
      <c r="G309" s="272"/>
      <c r="H309" s="274"/>
      <c r="I309" s="270">
        <v>23.1</v>
      </c>
      <c r="J309" s="275">
        <f t="shared" ref="J309" si="202">I309/F309*1000</f>
        <v>134.65854440525811</v>
      </c>
      <c r="K309" s="277">
        <v>12720</v>
      </c>
      <c r="L309" s="275">
        <f t="shared" ref="L309" si="203">K309/F309</f>
        <v>74.149640036142131</v>
      </c>
    </row>
    <row r="310" spans="2:12">
      <c r="B310" s="269"/>
      <c r="C310" s="285"/>
      <c r="D310" s="286"/>
      <c r="E310" s="26"/>
      <c r="F310" s="271"/>
      <c r="G310" s="273"/>
      <c r="H310" s="274"/>
      <c r="I310" s="271"/>
      <c r="J310" s="276"/>
      <c r="K310" s="277"/>
      <c r="L310" s="276"/>
    </row>
    <row r="311" spans="2:12">
      <c r="B311" s="268" t="s">
        <v>356</v>
      </c>
      <c r="C311" s="285" t="s">
        <v>337</v>
      </c>
      <c r="D311" s="286"/>
      <c r="E311" s="26"/>
      <c r="F311" s="270">
        <f t="shared" ref="F311" si="204">+E311+E312</f>
        <v>0</v>
      </c>
      <c r="G311" s="272"/>
      <c r="H311" s="274"/>
      <c r="I311" s="270"/>
      <c r="J311" s="275"/>
      <c r="K311" s="277"/>
      <c r="L311" s="275"/>
    </row>
    <row r="312" spans="2:12">
      <c r="B312" s="269"/>
      <c r="C312" s="285"/>
      <c r="D312" s="286"/>
      <c r="E312" s="26"/>
      <c r="F312" s="271"/>
      <c r="G312" s="273"/>
      <c r="H312" s="274"/>
      <c r="I312" s="271"/>
      <c r="J312" s="276"/>
      <c r="K312" s="277"/>
      <c r="L312" s="276"/>
    </row>
    <row r="313" spans="2:12">
      <c r="B313" s="268" t="s">
        <v>357</v>
      </c>
      <c r="C313" s="285" t="s">
        <v>368</v>
      </c>
      <c r="D313" s="286"/>
      <c r="E313" s="26"/>
      <c r="F313" s="270">
        <f t="shared" ref="F313" si="205">+E313+E314</f>
        <v>0</v>
      </c>
      <c r="G313" s="272"/>
      <c r="H313" s="274"/>
      <c r="I313" s="270"/>
      <c r="J313" s="275"/>
      <c r="K313" s="277"/>
      <c r="L313" s="275"/>
    </row>
    <row r="314" spans="2:12">
      <c r="B314" s="269"/>
      <c r="C314" s="285"/>
      <c r="D314" s="286"/>
      <c r="E314" s="26"/>
      <c r="F314" s="271"/>
      <c r="G314" s="273"/>
      <c r="H314" s="274"/>
      <c r="I314" s="271"/>
      <c r="J314" s="276"/>
      <c r="K314" s="277"/>
      <c r="L314" s="276"/>
    </row>
    <row r="315" spans="2:12">
      <c r="B315" s="268" t="s">
        <v>363</v>
      </c>
      <c r="C315" s="285" t="s">
        <v>368</v>
      </c>
      <c r="D315" s="286"/>
      <c r="E315" s="26">
        <v>130.85</v>
      </c>
      <c r="F315" s="270">
        <f t="shared" ref="F315" si="206">+E315+E316</f>
        <v>130.85</v>
      </c>
      <c r="G315" s="272"/>
      <c r="H315" s="274"/>
      <c r="I315" s="270">
        <v>20.3</v>
      </c>
      <c r="J315" s="275">
        <f t="shared" ref="J315" si="207">I315/F315*1000</f>
        <v>155.13947267863966</v>
      </c>
      <c r="K315" s="277">
        <v>11340</v>
      </c>
      <c r="L315" s="275">
        <f t="shared" ref="L315" si="208">K315/F315</f>
        <v>86.664119220481467</v>
      </c>
    </row>
    <row r="316" spans="2:12">
      <c r="B316" s="269"/>
      <c r="C316" s="285"/>
      <c r="D316" s="286"/>
      <c r="E316" s="26"/>
      <c r="F316" s="271"/>
      <c r="G316" s="273"/>
      <c r="H316" s="274"/>
      <c r="I316" s="271"/>
      <c r="J316" s="276"/>
      <c r="K316" s="277"/>
      <c r="L316" s="276"/>
    </row>
    <row r="317" spans="2:12" ht="14.25" customHeight="1">
      <c r="B317" s="268" t="s">
        <v>366</v>
      </c>
      <c r="C317" s="285" t="s">
        <v>369</v>
      </c>
      <c r="D317" s="286"/>
      <c r="E317" s="26">
        <v>80.935000000000002</v>
      </c>
      <c r="F317" s="270">
        <f t="shared" ref="F317" si="209">+E317+E318</f>
        <v>80.935000000000002</v>
      </c>
      <c r="G317" s="272"/>
      <c r="H317" s="274"/>
      <c r="I317" s="270">
        <v>12</v>
      </c>
      <c r="J317" s="275">
        <f t="shared" ref="J317" si="210">I317/F317*1000</f>
        <v>148.26712794217582</v>
      </c>
      <c r="K317" s="277">
        <v>7500</v>
      </c>
      <c r="L317" s="275">
        <f t="shared" ref="L317" si="211">K317/F317</f>
        <v>92.66695496385988</v>
      </c>
    </row>
    <row r="318" spans="2:12">
      <c r="B318" s="269"/>
      <c r="C318" s="285"/>
      <c r="D318" s="286"/>
      <c r="E318" s="26"/>
      <c r="F318" s="271"/>
      <c r="G318" s="273"/>
      <c r="H318" s="274"/>
      <c r="I318" s="271"/>
      <c r="J318" s="276"/>
      <c r="K318" s="277"/>
      <c r="L318" s="276"/>
    </row>
    <row r="319" spans="2:12">
      <c r="B319" s="268" t="s">
        <v>367</v>
      </c>
      <c r="C319" s="285" t="s">
        <v>370</v>
      </c>
      <c r="D319" s="286"/>
      <c r="E319" s="26"/>
      <c r="F319" s="270">
        <f t="shared" ref="F319" si="212">+E319+E320</f>
        <v>0</v>
      </c>
      <c r="G319" s="272"/>
      <c r="H319" s="274"/>
      <c r="I319" s="270"/>
      <c r="J319" s="275"/>
      <c r="K319" s="277"/>
      <c r="L319" s="275"/>
    </row>
    <row r="320" spans="2:12">
      <c r="B320" s="269"/>
      <c r="C320" s="285"/>
      <c r="D320" s="286"/>
      <c r="E320" s="26"/>
      <c r="F320" s="271"/>
      <c r="G320" s="273"/>
      <c r="H320" s="274"/>
      <c r="I320" s="271"/>
      <c r="J320" s="276"/>
      <c r="K320" s="277"/>
      <c r="L320" s="276"/>
    </row>
    <row r="321" spans="2:12">
      <c r="B321" s="268" t="s">
        <v>374</v>
      </c>
      <c r="C321" s="285" t="s">
        <v>70</v>
      </c>
      <c r="D321" s="286"/>
      <c r="E321" s="26">
        <v>141.22</v>
      </c>
      <c r="F321" s="270">
        <f t="shared" ref="F321" si="213">+E321+E322</f>
        <v>141.22</v>
      </c>
      <c r="G321" s="272"/>
      <c r="H321" s="274"/>
      <c r="I321" s="270">
        <v>20.5</v>
      </c>
      <c r="J321" s="275">
        <f t="shared" ref="J321" si="214">I321/F321*1000</f>
        <v>145.1635745645093</v>
      </c>
      <c r="K321" s="277">
        <v>30581</v>
      </c>
      <c r="L321" s="275">
        <f t="shared" ref="L321" si="215">K321/F321</f>
        <v>216.54864750035406</v>
      </c>
    </row>
    <row r="322" spans="2:12">
      <c r="B322" s="269"/>
      <c r="C322" s="285"/>
      <c r="D322" s="286"/>
      <c r="E322" s="26"/>
      <c r="F322" s="271"/>
      <c r="G322" s="273"/>
      <c r="H322" s="274"/>
      <c r="I322" s="271"/>
      <c r="J322" s="276"/>
      <c r="K322" s="277"/>
      <c r="L322" s="276"/>
    </row>
    <row r="323" spans="2:12" ht="15" customHeight="1">
      <c r="B323" s="268" t="s">
        <v>375</v>
      </c>
      <c r="C323" s="285" t="s">
        <v>70</v>
      </c>
      <c r="D323" s="286"/>
      <c r="E323" s="26">
        <v>156.55000000000001</v>
      </c>
      <c r="F323" s="270">
        <f t="shared" ref="F323" si="216">+E323+E324</f>
        <v>156.55000000000001</v>
      </c>
      <c r="G323" s="272"/>
      <c r="H323" s="274"/>
      <c r="I323" s="270">
        <v>21.1</v>
      </c>
      <c r="J323" s="275">
        <f t="shared" ref="J323" si="217">I323/F323*1000</f>
        <v>134.78122005748963</v>
      </c>
      <c r="K323" s="277">
        <v>19940</v>
      </c>
      <c r="L323" s="275">
        <f t="shared" ref="L323" si="218">K323/F323</f>
        <v>127.37144682210156</v>
      </c>
    </row>
    <row r="324" spans="2:12">
      <c r="B324" s="269"/>
      <c r="C324" s="285"/>
      <c r="D324" s="286"/>
      <c r="E324" s="26"/>
      <c r="F324" s="271"/>
      <c r="G324" s="273"/>
      <c r="H324" s="274"/>
      <c r="I324" s="271"/>
      <c r="J324" s="276"/>
      <c r="K324" s="277"/>
      <c r="L324" s="276"/>
    </row>
    <row r="325" spans="2:12">
      <c r="B325" s="268" t="s">
        <v>376</v>
      </c>
      <c r="C325" s="285" t="s">
        <v>337</v>
      </c>
      <c r="D325" s="286"/>
      <c r="E325" s="26"/>
      <c r="F325" s="270">
        <f t="shared" ref="F325" si="219">+E325+E326</f>
        <v>0</v>
      </c>
      <c r="G325" s="272"/>
      <c r="H325" s="274"/>
      <c r="I325" s="270"/>
      <c r="J325" s="275"/>
      <c r="K325" s="277"/>
      <c r="L325" s="275"/>
    </row>
    <row r="326" spans="2:12">
      <c r="B326" s="269"/>
      <c r="C326" s="285"/>
      <c r="D326" s="286"/>
      <c r="E326" s="26"/>
      <c r="F326" s="271"/>
      <c r="G326" s="273"/>
      <c r="H326" s="274"/>
      <c r="I326" s="271"/>
      <c r="J326" s="276"/>
      <c r="K326" s="277"/>
      <c r="L326" s="276"/>
    </row>
    <row r="327" spans="2:12">
      <c r="B327" s="268" t="s">
        <v>377</v>
      </c>
      <c r="C327" s="285" t="s">
        <v>70</v>
      </c>
      <c r="D327" s="286"/>
      <c r="E327" s="26">
        <v>172.86</v>
      </c>
      <c r="F327" s="270">
        <f t="shared" ref="F327" si="220">+E327+E328</f>
        <v>172.86</v>
      </c>
      <c r="G327" s="272"/>
      <c r="H327" s="274"/>
      <c r="I327" s="270">
        <v>23.6</v>
      </c>
      <c r="J327" s="275">
        <f t="shared" ref="J327" si="221">I327/F327*1000</f>
        <v>136.52666898067801</v>
      </c>
      <c r="K327" s="277">
        <v>12780</v>
      </c>
      <c r="L327" s="275">
        <f t="shared" ref="L327" si="222">K327/F327</f>
        <v>73.932662270045114</v>
      </c>
    </row>
    <row r="328" spans="2:12">
      <c r="B328" s="269"/>
      <c r="C328" s="285"/>
      <c r="D328" s="286"/>
      <c r="E328" s="26"/>
      <c r="F328" s="271"/>
      <c r="G328" s="273"/>
      <c r="H328" s="274"/>
      <c r="I328" s="271"/>
      <c r="J328" s="276"/>
      <c r="K328" s="277"/>
      <c r="L328" s="276"/>
    </row>
    <row r="329" spans="2:12">
      <c r="B329" s="268" t="s">
        <v>380</v>
      </c>
      <c r="C329" s="285" t="s">
        <v>70</v>
      </c>
      <c r="D329" s="286"/>
      <c r="E329" s="26">
        <v>187.6</v>
      </c>
      <c r="F329" s="270">
        <f t="shared" ref="F329" si="223">+E329+E330</f>
        <v>187.6</v>
      </c>
      <c r="G329" s="272"/>
      <c r="H329" s="274"/>
      <c r="I329" s="270">
        <v>25.1</v>
      </c>
      <c r="J329" s="275">
        <f t="shared" ref="J329" si="224">I329/F329*1000</f>
        <v>133.79530916844351</v>
      </c>
      <c r="K329" s="277">
        <v>12840</v>
      </c>
      <c r="L329" s="275">
        <f t="shared" ref="L329" si="225">K329/F329</f>
        <v>68.443496801705763</v>
      </c>
    </row>
    <row r="330" spans="2:12">
      <c r="B330" s="269"/>
      <c r="C330" s="285"/>
      <c r="D330" s="286"/>
      <c r="E330" s="26"/>
      <c r="F330" s="271"/>
      <c r="G330" s="273"/>
      <c r="H330" s="274"/>
      <c r="I330" s="271"/>
      <c r="J330" s="276"/>
      <c r="K330" s="277"/>
      <c r="L330" s="276"/>
    </row>
    <row r="331" spans="2:12">
      <c r="B331" s="268" t="s">
        <v>381</v>
      </c>
      <c r="C331" s="285" t="s">
        <v>70</v>
      </c>
      <c r="D331" s="286"/>
      <c r="E331" s="26">
        <v>153.75</v>
      </c>
      <c r="F331" s="270">
        <f t="shared" ref="F331" si="226">+E331+E332</f>
        <v>153.75</v>
      </c>
      <c r="G331" s="272"/>
      <c r="H331" s="274"/>
      <c r="I331" s="270">
        <v>25.7</v>
      </c>
      <c r="J331" s="275">
        <f t="shared" ref="J331" si="227">I331/F331*1000</f>
        <v>167.15447154471545</v>
      </c>
      <c r="K331" s="277">
        <v>11400</v>
      </c>
      <c r="L331" s="275">
        <f t="shared" ref="L331" si="228">K331/F331</f>
        <v>74.146341463414629</v>
      </c>
    </row>
    <row r="332" spans="2:12">
      <c r="B332" s="269"/>
      <c r="C332" s="285"/>
      <c r="D332" s="286"/>
      <c r="E332" s="26"/>
      <c r="F332" s="271"/>
      <c r="G332" s="273"/>
      <c r="H332" s="274"/>
      <c r="I332" s="271"/>
      <c r="J332" s="276"/>
      <c r="K332" s="277"/>
      <c r="L332" s="276"/>
    </row>
    <row r="333" spans="2:12">
      <c r="B333" s="268" t="s">
        <v>385</v>
      </c>
      <c r="C333" s="285" t="s">
        <v>391</v>
      </c>
      <c r="D333" s="286"/>
      <c r="E333" s="26">
        <v>109.65</v>
      </c>
      <c r="F333" s="270">
        <f t="shared" ref="F333" si="229">+E333+E334</f>
        <v>109.65</v>
      </c>
      <c r="G333" s="272"/>
      <c r="H333" s="274"/>
      <c r="I333" s="270">
        <v>18.2</v>
      </c>
      <c r="J333" s="275">
        <f t="shared" ref="J333" si="230">I333/F333*1000</f>
        <v>165.98267213862289</v>
      </c>
      <c r="K333" s="277">
        <v>7320</v>
      </c>
      <c r="L333" s="275">
        <f t="shared" ref="L333" si="231">K333/F333</f>
        <v>66.757865937072495</v>
      </c>
    </row>
    <row r="334" spans="2:12">
      <c r="B334" s="269"/>
      <c r="C334" s="285"/>
      <c r="D334" s="286"/>
      <c r="E334" s="26"/>
      <c r="F334" s="271"/>
      <c r="G334" s="273"/>
      <c r="H334" s="274"/>
      <c r="I334" s="271"/>
      <c r="J334" s="276"/>
      <c r="K334" s="277"/>
      <c r="L334" s="276"/>
    </row>
    <row r="335" spans="2:12" ht="15" customHeight="1">
      <c r="B335" s="268" t="s">
        <v>386</v>
      </c>
      <c r="C335" s="285" t="s">
        <v>392</v>
      </c>
      <c r="D335" s="286"/>
      <c r="E335" s="26">
        <v>93</v>
      </c>
      <c r="F335" s="270">
        <f t="shared" ref="F335" si="232">+E335+E336</f>
        <v>93</v>
      </c>
      <c r="G335" s="272"/>
      <c r="H335" s="274"/>
      <c r="I335" s="270">
        <v>12.8</v>
      </c>
      <c r="J335" s="275">
        <f t="shared" ref="J335" si="233">I335/F335*1000</f>
        <v>137.63440860215053</v>
      </c>
      <c r="K335" s="277">
        <v>6540</v>
      </c>
      <c r="L335" s="275">
        <f t="shared" ref="L335" si="234">K335/F335</f>
        <v>70.322580645161295</v>
      </c>
    </row>
    <row r="336" spans="2:12">
      <c r="B336" s="269"/>
      <c r="C336" s="285"/>
      <c r="D336" s="286"/>
      <c r="E336" s="26"/>
      <c r="F336" s="271"/>
      <c r="G336" s="273"/>
      <c r="H336" s="274"/>
      <c r="I336" s="271"/>
      <c r="J336" s="276"/>
      <c r="K336" s="277"/>
      <c r="L336" s="276"/>
    </row>
    <row r="337" spans="2:12">
      <c r="B337" s="268" t="s">
        <v>393</v>
      </c>
      <c r="C337" s="285" t="s">
        <v>70</v>
      </c>
      <c r="D337" s="286"/>
      <c r="E337" s="26">
        <v>176.608</v>
      </c>
      <c r="F337" s="270">
        <f t="shared" ref="F337" si="235">+E337+E338</f>
        <v>176.608</v>
      </c>
      <c r="G337" s="272"/>
      <c r="H337" s="274"/>
      <c r="I337" s="270">
        <v>24.9</v>
      </c>
      <c r="J337" s="275">
        <f t="shared" ref="J337" si="236">I337/F337*1000</f>
        <v>140.99021561877151</v>
      </c>
      <c r="K337" s="277">
        <v>9960</v>
      </c>
      <c r="L337" s="275">
        <f t="shared" ref="L337" si="237">K337/F337</f>
        <v>56.396086247508606</v>
      </c>
    </row>
    <row r="338" spans="2:12">
      <c r="B338" s="269"/>
      <c r="C338" s="285"/>
      <c r="D338" s="286"/>
      <c r="E338" s="26"/>
      <c r="F338" s="271"/>
      <c r="G338" s="273"/>
      <c r="H338" s="274"/>
      <c r="I338" s="271"/>
      <c r="J338" s="276"/>
      <c r="K338" s="277"/>
      <c r="L338" s="276"/>
    </row>
    <row r="339" spans="2:12">
      <c r="B339" s="287" t="s">
        <v>396</v>
      </c>
      <c r="C339" s="285" t="s">
        <v>406</v>
      </c>
      <c r="D339" s="286"/>
      <c r="E339" s="26"/>
      <c r="F339" s="270">
        <f t="shared" ref="F339" si="238">+E339+E340</f>
        <v>0</v>
      </c>
      <c r="G339" s="272"/>
      <c r="H339" s="274"/>
      <c r="I339" s="270"/>
      <c r="J339" s="275"/>
      <c r="K339" s="277"/>
      <c r="L339" s="275"/>
    </row>
    <row r="340" spans="2:12">
      <c r="B340" s="288"/>
      <c r="C340" s="285"/>
      <c r="D340" s="286"/>
      <c r="E340" s="26"/>
      <c r="F340" s="271"/>
      <c r="G340" s="273"/>
      <c r="H340" s="274"/>
      <c r="I340" s="271"/>
      <c r="J340" s="276"/>
      <c r="K340" s="277"/>
      <c r="L340" s="276"/>
    </row>
    <row r="341" spans="2:12">
      <c r="B341" s="287" t="s">
        <v>402</v>
      </c>
      <c r="C341" s="285" t="s">
        <v>407</v>
      </c>
      <c r="D341" s="286"/>
      <c r="E341" s="26"/>
      <c r="F341" s="270">
        <f t="shared" ref="F341" si="239">+E341+E342</f>
        <v>0</v>
      </c>
      <c r="G341" s="272"/>
      <c r="H341" s="274"/>
      <c r="I341" s="270"/>
      <c r="J341" s="275"/>
      <c r="K341" s="277"/>
      <c r="L341" s="275"/>
    </row>
    <row r="342" spans="2:12">
      <c r="B342" s="288"/>
      <c r="C342" s="285"/>
      <c r="D342" s="286"/>
      <c r="E342" s="26"/>
      <c r="F342" s="271"/>
      <c r="G342" s="273"/>
      <c r="H342" s="274"/>
      <c r="I342" s="271"/>
      <c r="J342" s="276"/>
      <c r="K342" s="277"/>
      <c r="L342" s="276"/>
    </row>
    <row r="343" spans="2:12">
      <c r="B343" s="287" t="s">
        <v>403</v>
      </c>
      <c r="C343" s="285" t="s">
        <v>407</v>
      </c>
      <c r="D343" s="286"/>
      <c r="E343" s="26"/>
      <c r="F343" s="270">
        <f t="shared" ref="F343" si="240">+E343+E344</f>
        <v>0</v>
      </c>
      <c r="G343" s="272"/>
      <c r="H343" s="274"/>
      <c r="I343" s="270"/>
      <c r="J343" s="275"/>
      <c r="K343" s="277"/>
      <c r="L343" s="275"/>
    </row>
    <row r="344" spans="2:12">
      <c r="B344" s="288"/>
      <c r="C344" s="285"/>
      <c r="D344" s="286"/>
      <c r="E344" s="26"/>
      <c r="F344" s="271"/>
      <c r="G344" s="273"/>
      <c r="H344" s="274"/>
      <c r="I344" s="271"/>
      <c r="J344" s="276"/>
      <c r="K344" s="277"/>
      <c r="L344" s="276"/>
    </row>
    <row r="345" spans="2:12">
      <c r="B345" s="287" t="s">
        <v>398</v>
      </c>
      <c r="C345" s="285" t="s">
        <v>70</v>
      </c>
      <c r="D345" s="286"/>
      <c r="E345" s="26">
        <v>156.185</v>
      </c>
      <c r="F345" s="270">
        <f t="shared" ref="F345" si="241">+E345+E346</f>
        <v>156.185</v>
      </c>
      <c r="G345" s="272"/>
      <c r="H345" s="274"/>
      <c r="I345" s="270">
        <v>25.7</v>
      </c>
      <c r="J345" s="275">
        <f t="shared" ref="J345" si="242">I345/F345*1000</f>
        <v>164.54845215609691</v>
      </c>
      <c r="K345" s="277">
        <v>10200</v>
      </c>
      <c r="L345" s="275">
        <f t="shared" ref="L345" si="243">K345/F345</f>
        <v>65.307167781797233</v>
      </c>
    </row>
    <row r="346" spans="2:12">
      <c r="B346" s="288"/>
      <c r="C346" s="285"/>
      <c r="D346" s="286"/>
      <c r="E346" s="26"/>
      <c r="F346" s="271"/>
      <c r="G346" s="273"/>
      <c r="H346" s="274"/>
      <c r="I346" s="271"/>
      <c r="J346" s="276"/>
      <c r="K346" s="277"/>
      <c r="L346" s="276"/>
    </row>
    <row r="347" spans="2:12">
      <c r="B347" s="268" t="s">
        <v>404</v>
      </c>
      <c r="C347" s="285" t="s">
        <v>70</v>
      </c>
      <c r="D347" s="286"/>
      <c r="E347" s="26">
        <v>218.55099999999999</v>
      </c>
      <c r="F347" s="270">
        <f t="shared" ref="F347" si="244">+E347+E348</f>
        <v>218.55099999999999</v>
      </c>
      <c r="G347" s="272"/>
      <c r="H347" s="274"/>
      <c r="I347" s="270">
        <v>29.1</v>
      </c>
      <c r="J347" s="275">
        <f t="shared" ref="J347" si="245">I347/F347*1000</f>
        <v>133.14969961244748</v>
      </c>
      <c r="K347" s="277">
        <v>12120</v>
      </c>
      <c r="L347" s="275">
        <f t="shared" ref="L347" si="246">K347/F347</f>
        <v>55.456163549926565</v>
      </c>
    </row>
    <row r="348" spans="2:12">
      <c r="B348" s="269"/>
      <c r="C348" s="285"/>
      <c r="D348" s="286"/>
      <c r="E348" s="26"/>
      <c r="F348" s="271"/>
      <c r="G348" s="273"/>
      <c r="H348" s="274"/>
      <c r="I348" s="271"/>
      <c r="J348" s="276"/>
      <c r="K348" s="277"/>
      <c r="L348" s="276"/>
    </row>
    <row r="349" spans="2:12">
      <c r="B349" s="268" t="s">
        <v>405</v>
      </c>
      <c r="C349" s="285" t="s">
        <v>70</v>
      </c>
      <c r="D349" s="286"/>
      <c r="E349" s="26">
        <v>190.03</v>
      </c>
      <c r="F349" s="270">
        <f t="shared" ref="F349" si="247">+E349+E350</f>
        <v>190.03</v>
      </c>
      <c r="G349" s="272"/>
      <c r="H349" s="274"/>
      <c r="I349" s="270">
        <v>25.6</v>
      </c>
      <c r="J349" s="275">
        <f t="shared" ref="J349" si="248">I349/F349*1000</f>
        <v>134.71557122559597</v>
      </c>
      <c r="K349" s="277">
        <v>11520</v>
      </c>
      <c r="L349" s="275">
        <f t="shared" ref="L349" si="249">K349/F349</f>
        <v>60.622007051518182</v>
      </c>
    </row>
    <row r="350" spans="2:12">
      <c r="B350" s="269"/>
      <c r="C350" s="285"/>
      <c r="D350" s="286"/>
      <c r="E350" s="26"/>
      <c r="F350" s="271"/>
      <c r="G350" s="273"/>
      <c r="H350" s="274"/>
      <c r="I350" s="271"/>
      <c r="J350" s="276"/>
      <c r="K350" s="277"/>
      <c r="L350" s="276"/>
    </row>
    <row r="351" spans="2:12">
      <c r="B351" s="27"/>
      <c r="C351" s="28"/>
      <c r="D351" s="28" t="s">
        <v>15</v>
      </c>
      <c r="E351" s="29">
        <f>SUM(E291:E350)</f>
        <v>2819.069</v>
      </c>
      <c r="F351" s="29">
        <f>SUM(F291:F350)</f>
        <v>2819.069</v>
      </c>
      <c r="G351" s="29">
        <f>SUM(G291:G350)</f>
        <v>0</v>
      </c>
      <c r="H351" s="29">
        <f>SUM(H291:H350)</f>
        <v>0</v>
      </c>
      <c r="I351" s="29">
        <f>SUM(I291:I350)</f>
        <v>413.1</v>
      </c>
      <c r="J351" s="203">
        <f>I351/F351*1000</f>
        <v>146.53773994180349</v>
      </c>
      <c r="K351" s="42">
        <f>SUM(K291:K350)</f>
        <v>242341</v>
      </c>
      <c r="L351" s="30">
        <f>K351/F351</f>
        <v>85.96490543509222</v>
      </c>
    </row>
    <row r="355" spans="2:20">
      <c r="B355" s="16" t="s">
        <v>420</v>
      </c>
      <c r="C355" s="16"/>
      <c r="F355" s="17"/>
      <c r="G355" s="18"/>
      <c r="H355" s="18"/>
      <c r="I355" s="18"/>
      <c r="J355" s="18"/>
      <c r="K355" s="18"/>
      <c r="L355" s="18"/>
      <c r="M355" s="18"/>
    </row>
    <row r="356" spans="2:20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2:20" ht="21.75" thickBot="1">
      <c r="B357" s="19" t="s">
        <v>20</v>
      </c>
      <c r="C357" s="19" t="s">
        <v>25</v>
      </c>
      <c r="D357" s="19" t="s">
        <v>26</v>
      </c>
      <c r="E357" s="19" t="s">
        <v>27</v>
      </c>
      <c r="F357" s="20" t="s">
        <v>28</v>
      </c>
      <c r="G357" s="21"/>
      <c r="H357" s="22"/>
      <c r="I357" s="22"/>
      <c r="J357" s="21">
        <v>28</v>
      </c>
      <c r="K357" s="21">
        <v>29</v>
      </c>
      <c r="L357" s="21">
        <v>31</v>
      </c>
    </row>
    <row r="358" spans="2:20" ht="16.5" thickBot="1">
      <c r="B358" s="70" t="s">
        <v>59</v>
      </c>
      <c r="C358" s="71" t="s">
        <v>483</v>
      </c>
      <c r="D358" s="161">
        <f>2207.719+178.16+202.11+157.4+172.98+234.5+191.85+144.295+161.76+150.88+222.5</f>
        <v>4024.1540000000005</v>
      </c>
      <c r="E358" s="71" t="s">
        <v>60</v>
      </c>
      <c r="F358" s="278">
        <f>+I449</f>
        <v>535.70000000000005</v>
      </c>
      <c r="G358" s="21"/>
      <c r="H358" s="21"/>
      <c r="I358" s="23"/>
      <c r="J358" s="23">
        <v>160</v>
      </c>
      <c r="K358" s="21">
        <v>200</v>
      </c>
      <c r="L358" s="21">
        <v>200</v>
      </c>
      <c r="M358" s="4">
        <f>+J358+K358+L358</f>
        <v>560</v>
      </c>
      <c r="N358" s="4">
        <f>+D358+M358</f>
        <v>4584.1540000000005</v>
      </c>
      <c r="T358" s="32">
        <f>+F358/D360</f>
        <v>0.1331211479481153</v>
      </c>
    </row>
    <row r="359" spans="2:20">
      <c r="B359" s="70"/>
      <c r="C359" s="71"/>
      <c r="D359" s="72"/>
      <c r="E359" s="71" t="s">
        <v>61</v>
      </c>
      <c r="F359" s="279"/>
      <c r="G359" s="21"/>
      <c r="H359" s="22"/>
      <c r="I359" s="22"/>
      <c r="J359" s="21"/>
      <c r="K359" s="21"/>
      <c r="L359" s="21"/>
      <c r="N359" s="4"/>
    </row>
    <row r="360" spans="2:20">
      <c r="B360" s="70" t="s">
        <v>15</v>
      </c>
      <c r="C360" s="71" t="str">
        <f>+C358</f>
        <v xml:space="preserve">   25 Day    ( 25  Shifts )  </v>
      </c>
      <c r="D360" s="72">
        <f>SUM(D358:D359)</f>
        <v>4024.1540000000005</v>
      </c>
      <c r="E360" s="71"/>
      <c r="F360" s="73">
        <f>SUM(F358:F359)</f>
        <v>535.70000000000005</v>
      </c>
      <c r="G360" s="21"/>
      <c r="H360" s="23"/>
      <c r="I360" s="23"/>
      <c r="J360" s="23"/>
      <c r="K360" s="21"/>
      <c r="L360" s="21"/>
    </row>
    <row r="361" spans="2:20">
      <c r="B361" s="74"/>
      <c r="C361" s="75" t="s">
        <v>29</v>
      </c>
      <c r="D361" s="76"/>
      <c r="E361" s="77" t="s">
        <v>30</v>
      </c>
      <c r="F361" s="74"/>
      <c r="G361" s="21"/>
      <c r="H361" s="21"/>
      <c r="I361" s="21"/>
      <c r="J361" s="21"/>
      <c r="K361" s="21"/>
      <c r="L361" s="21"/>
    </row>
    <row r="362" spans="2:20">
      <c r="B362" s="71"/>
      <c r="C362" s="71"/>
      <c r="D362" s="78"/>
      <c r="E362" s="79"/>
      <c r="F362" s="71"/>
      <c r="G362" s="21"/>
      <c r="H362" s="21"/>
      <c r="I362" s="21"/>
      <c r="J362" s="21"/>
      <c r="K362" s="21"/>
      <c r="L362" s="21"/>
    </row>
    <row r="363" spans="2:20">
      <c r="B363" s="71"/>
      <c r="C363" s="71" t="s">
        <v>205</v>
      </c>
      <c r="D363" s="78"/>
      <c r="E363" s="79" t="s">
        <v>63</v>
      </c>
      <c r="F363" s="71"/>
      <c r="G363" s="21"/>
      <c r="H363" s="21"/>
      <c r="I363" s="21"/>
      <c r="J363" s="21"/>
      <c r="K363" s="21"/>
      <c r="L363" s="21"/>
    </row>
    <row r="364" spans="2:20">
      <c r="B364" s="71"/>
      <c r="C364" s="71" t="s">
        <v>210</v>
      </c>
      <c r="D364" s="80"/>
      <c r="E364" s="45" t="s">
        <v>445</v>
      </c>
      <c r="F364" s="71"/>
      <c r="G364" s="21"/>
      <c r="H364" s="21"/>
      <c r="I364" s="21"/>
      <c r="J364" s="21"/>
      <c r="K364" s="21"/>
      <c r="L364" s="21"/>
    </row>
    <row r="365" spans="2:20">
      <c r="B365" s="71"/>
      <c r="C365" s="71"/>
      <c r="D365" s="80"/>
      <c r="E365" s="45"/>
      <c r="F365" s="24"/>
      <c r="G365" s="21"/>
      <c r="H365" s="21"/>
      <c r="I365" s="21"/>
      <c r="J365" s="21"/>
      <c r="K365" s="21"/>
      <c r="L365" s="21"/>
    </row>
    <row r="366" spans="2:20">
      <c r="B366" s="71"/>
      <c r="C366" s="71"/>
      <c r="D366" s="80"/>
      <c r="E366" s="45"/>
      <c r="F366" s="24"/>
      <c r="G366" s="21"/>
      <c r="H366" s="21"/>
      <c r="I366" s="21"/>
      <c r="J366" s="21"/>
      <c r="K366" s="21"/>
      <c r="L366" s="21"/>
    </row>
    <row r="367" spans="2:20">
      <c r="B367" s="71"/>
      <c r="C367" s="71"/>
      <c r="D367" s="80"/>
      <c r="E367" s="223"/>
      <c r="F367" s="24"/>
      <c r="G367" s="21"/>
      <c r="H367" s="21"/>
      <c r="I367" s="21"/>
      <c r="J367" s="21"/>
      <c r="K367" s="21"/>
      <c r="L367" s="21"/>
    </row>
    <row r="368" spans="2:20">
      <c r="B368" s="71"/>
      <c r="C368" s="71"/>
      <c r="D368" s="80"/>
      <c r="E368" s="223"/>
      <c r="F368" s="24"/>
      <c r="G368" s="21"/>
      <c r="H368" s="21"/>
      <c r="I368" s="21"/>
      <c r="J368" s="21"/>
      <c r="K368" s="21"/>
      <c r="L368" s="21"/>
    </row>
    <row r="369" spans="2:12">
      <c r="B369" s="71"/>
      <c r="C369" s="71"/>
      <c r="D369" s="80"/>
      <c r="E369" s="223"/>
      <c r="F369" s="71"/>
      <c r="G369" s="18"/>
      <c r="H369" s="18"/>
      <c r="I369" s="18"/>
      <c r="J369" s="18"/>
      <c r="K369" s="18"/>
      <c r="L369" s="18"/>
    </row>
    <row r="370" spans="2:12">
      <c r="B370" s="71"/>
      <c r="C370" s="71"/>
      <c r="D370" s="80"/>
      <c r="E370" s="41"/>
      <c r="F370" s="71"/>
      <c r="G370" s="18"/>
      <c r="H370" s="18"/>
      <c r="I370" s="18"/>
      <c r="J370" s="18"/>
      <c r="K370" s="18"/>
      <c r="L370" s="18"/>
    </row>
    <row r="371" spans="2:12">
      <c r="B371" s="71"/>
      <c r="C371" s="71" t="s">
        <v>319</v>
      </c>
      <c r="D371" s="12"/>
      <c r="E371" s="45" t="s">
        <v>31</v>
      </c>
      <c r="F371" s="71"/>
      <c r="G371" s="18"/>
      <c r="H371" s="18"/>
      <c r="I371" s="18"/>
      <c r="J371" s="18"/>
      <c r="K371" s="18"/>
      <c r="L371" s="18"/>
    </row>
    <row r="372" spans="2:12">
      <c r="B372" s="71"/>
      <c r="C372" s="71"/>
      <c r="D372" s="80"/>
      <c r="E372" s="45"/>
      <c r="F372" s="71"/>
      <c r="G372" s="18"/>
      <c r="H372" s="18"/>
      <c r="I372" s="18"/>
      <c r="J372" s="18"/>
      <c r="K372" s="18"/>
      <c r="L372" s="18"/>
    </row>
    <row r="373" spans="2:12">
      <c r="B373" s="71"/>
      <c r="C373" s="71"/>
      <c r="D373" s="12"/>
      <c r="E373" s="12"/>
      <c r="F373" s="71"/>
      <c r="G373" s="18"/>
      <c r="H373" s="18"/>
      <c r="I373" s="31"/>
      <c r="J373" s="31"/>
      <c r="K373" s="18"/>
      <c r="L373" s="18"/>
    </row>
    <row r="374" spans="2:12">
      <c r="B374" s="71"/>
      <c r="C374" s="71"/>
      <c r="D374" s="12"/>
      <c r="E374" s="12"/>
      <c r="F374" s="71"/>
      <c r="G374" s="18"/>
      <c r="H374" s="18"/>
      <c r="I374" s="18"/>
      <c r="J374" s="18"/>
      <c r="K374" s="18"/>
      <c r="L374" s="18"/>
    </row>
    <row r="375" spans="2:12">
      <c r="B375" s="71"/>
      <c r="C375" s="71"/>
      <c r="D375" s="81"/>
      <c r="E375" s="12"/>
      <c r="F375" s="24"/>
      <c r="G375" s="18"/>
      <c r="H375" s="18"/>
      <c r="I375" s="18"/>
      <c r="J375" s="18"/>
      <c r="K375" s="18"/>
      <c r="L375" s="18"/>
    </row>
    <row r="376" spans="2:12">
      <c r="B376" s="71"/>
      <c r="C376" s="71"/>
      <c r="D376" s="80"/>
      <c r="E376" s="80"/>
      <c r="F376" s="71"/>
      <c r="G376" s="18"/>
      <c r="H376" s="18"/>
      <c r="I376" s="18"/>
      <c r="J376" s="18"/>
      <c r="K376" s="18"/>
      <c r="L376" s="18"/>
    </row>
    <row r="377" spans="2:12">
      <c r="B377" s="82"/>
      <c r="C377" s="82"/>
      <c r="D377" s="83"/>
      <c r="E377" s="83"/>
      <c r="F377" s="83"/>
      <c r="G377" s="18"/>
      <c r="H377" s="18"/>
      <c r="I377" s="18"/>
      <c r="J377" s="18"/>
      <c r="K377" s="18"/>
      <c r="L377" s="44"/>
    </row>
    <row r="378" spans="2:12">
      <c r="B378" s="18"/>
      <c r="C378" s="18"/>
      <c r="D378" s="18"/>
      <c r="E378" s="18"/>
      <c r="F378" s="18"/>
      <c r="G378" s="18"/>
      <c r="H378" s="18"/>
      <c r="I378" s="18"/>
      <c r="J378" s="43"/>
      <c r="K378" s="18"/>
      <c r="L378" s="18"/>
    </row>
    <row r="379" spans="2:12">
      <c r="B379" s="18"/>
      <c r="C379" s="71"/>
      <c r="D379" s="84" t="s">
        <v>32</v>
      </c>
      <c r="E379" s="71"/>
      <c r="F379" s="84" t="s">
        <v>33</v>
      </c>
      <c r="G379" s="18"/>
      <c r="H379" s="18" t="s">
        <v>34</v>
      </c>
      <c r="I379" s="18"/>
      <c r="J379" s="18"/>
      <c r="K379" s="18"/>
      <c r="L379" s="18"/>
    </row>
    <row r="380" spans="2:12">
      <c r="B380" s="44" t="s">
        <v>58</v>
      </c>
      <c r="C380" s="70" t="s">
        <v>35</v>
      </c>
      <c r="D380" s="41">
        <f>D360/25</f>
        <v>160.96616000000003</v>
      </c>
      <c r="E380" s="84" t="s">
        <v>36</v>
      </c>
      <c r="F380" s="85">
        <f>+T358*1000</f>
        <v>133.12114794811529</v>
      </c>
      <c r="G380" s="18"/>
      <c r="H380" s="18"/>
      <c r="I380" s="18"/>
      <c r="J380" s="18"/>
      <c r="K380" s="18"/>
      <c r="L380" s="18"/>
    </row>
    <row r="381" spans="2:12">
      <c r="B381" s="44" t="s">
        <v>56</v>
      </c>
      <c r="C381" s="70" t="s">
        <v>37</v>
      </c>
      <c r="D381" s="41">
        <f>+D380</f>
        <v>160.96616000000003</v>
      </c>
      <c r="E381" s="71"/>
      <c r="F381" s="71"/>
      <c r="G381" s="18"/>
      <c r="H381" s="18"/>
      <c r="I381" s="18"/>
      <c r="J381" s="18"/>
      <c r="K381" s="18"/>
      <c r="L381" s="18"/>
    </row>
    <row r="382" spans="2:12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 spans="2:12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 spans="2:12">
      <c r="B384" s="25" t="s">
        <v>421</v>
      </c>
      <c r="C384" s="25"/>
      <c r="D384" s="280" t="s">
        <v>32</v>
      </c>
      <c r="E384" s="281"/>
      <c r="F384" s="282"/>
      <c r="G384" s="283" t="s">
        <v>38</v>
      </c>
      <c r="H384" s="283"/>
      <c r="I384" s="283"/>
      <c r="J384" s="283"/>
      <c r="K384" s="18"/>
      <c r="L384" s="18"/>
    </row>
    <row r="385" spans="2:12">
      <c r="B385" s="45" t="s">
        <v>39</v>
      </c>
      <c r="C385" s="223" t="s">
        <v>40</v>
      </c>
      <c r="D385" s="223" t="s">
        <v>20</v>
      </c>
      <c r="E385" s="223" t="s">
        <v>41</v>
      </c>
      <c r="F385" s="223" t="s">
        <v>42</v>
      </c>
      <c r="G385" s="284" t="s">
        <v>43</v>
      </c>
      <c r="H385" s="223" t="s">
        <v>44</v>
      </c>
      <c r="I385" s="223" t="s">
        <v>45</v>
      </c>
      <c r="J385" s="223" t="s">
        <v>46</v>
      </c>
      <c r="K385" s="223" t="s">
        <v>45</v>
      </c>
      <c r="L385" s="223" t="s">
        <v>46</v>
      </c>
    </row>
    <row r="386" spans="2:12">
      <c r="B386" s="45"/>
      <c r="C386" s="223"/>
      <c r="D386" s="223"/>
      <c r="E386" s="223"/>
      <c r="F386" s="223"/>
      <c r="G386" s="284"/>
      <c r="H386" s="223" t="s">
        <v>53</v>
      </c>
      <c r="I386" s="223" t="s">
        <v>48</v>
      </c>
      <c r="J386" s="223" t="s">
        <v>33</v>
      </c>
      <c r="K386" s="223" t="s">
        <v>49</v>
      </c>
      <c r="L386" s="223" t="s">
        <v>50</v>
      </c>
    </row>
    <row r="387" spans="2:12">
      <c r="B387" s="268" t="s">
        <v>409</v>
      </c>
      <c r="C387" s="285" t="s">
        <v>70</v>
      </c>
      <c r="D387" s="286"/>
      <c r="E387" s="159">
        <v>193.66</v>
      </c>
      <c r="F387" s="270">
        <f t="shared" ref="F387" si="250">+E387+E388</f>
        <v>193.66</v>
      </c>
      <c r="G387" s="272"/>
      <c r="H387" s="274"/>
      <c r="I387" s="270">
        <v>25.3</v>
      </c>
      <c r="J387" s="275">
        <f t="shared" ref="J387" si="251">I387/F387*1000</f>
        <v>130.64133016627079</v>
      </c>
      <c r="K387" s="277">
        <v>12900</v>
      </c>
      <c r="L387" s="275">
        <f t="shared" ref="L387" si="252">K387/F387</f>
        <v>66.611587317979968</v>
      </c>
    </row>
    <row r="388" spans="2:12">
      <c r="B388" s="269"/>
      <c r="C388" s="285"/>
      <c r="D388" s="286"/>
      <c r="E388" s="26"/>
      <c r="F388" s="271"/>
      <c r="G388" s="273"/>
      <c r="H388" s="274"/>
      <c r="I388" s="271"/>
      <c r="J388" s="276"/>
      <c r="K388" s="277"/>
      <c r="L388" s="276"/>
    </row>
    <row r="389" spans="2:12">
      <c r="B389" s="268" t="s">
        <v>410</v>
      </c>
      <c r="C389" s="285" t="s">
        <v>337</v>
      </c>
      <c r="D389" s="286"/>
      <c r="E389" s="26"/>
      <c r="F389" s="270"/>
      <c r="G389" s="272"/>
      <c r="H389" s="274"/>
      <c r="I389" s="270"/>
      <c r="J389" s="275"/>
      <c r="K389" s="277"/>
      <c r="L389" s="275"/>
    </row>
    <row r="390" spans="2:12">
      <c r="B390" s="269"/>
      <c r="C390" s="285"/>
      <c r="D390" s="286"/>
      <c r="E390" s="26"/>
      <c r="F390" s="271"/>
      <c r="G390" s="273"/>
      <c r="H390" s="274"/>
      <c r="I390" s="271"/>
      <c r="J390" s="276"/>
      <c r="K390" s="277"/>
      <c r="L390" s="276"/>
    </row>
    <row r="391" spans="2:12">
      <c r="B391" s="268" t="s">
        <v>414</v>
      </c>
      <c r="C391" s="285" t="s">
        <v>70</v>
      </c>
      <c r="D391" s="286"/>
      <c r="E391" s="159">
        <v>156.96</v>
      </c>
      <c r="F391" s="270">
        <f t="shared" ref="F391" si="253">+E391+E392</f>
        <v>156.96</v>
      </c>
      <c r="G391" s="272"/>
      <c r="H391" s="274"/>
      <c r="I391" s="270">
        <v>23.8</v>
      </c>
      <c r="J391" s="275">
        <f t="shared" ref="J391" si="254">I391/F391*1000</f>
        <v>151.63098878695209</v>
      </c>
      <c r="K391" s="277">
        <v>12420</v>
      </c>
      <c r="L391" s="275">
        <f t="shared" ref="L391" si="255">K391/F391</f>
        <v>79.12844036697247</v>
      </c>
    </row>
    <row r="392" spans="2:12">
      <c r="B392" s="269"/>
      <c r="C392" s="285"/>
      <c r="D392" s="286"/>
      <c r="E392" s="26"/>
      <c r="F392" s="271"/>
      <c r="G392" s="273"/>
      <c r="H392" s="274"/>
      <c r="I392" s="271"/>
      <c r="J392" s="276"/>
      <c r="K392" s="277"/>
      <c r="L392" s="276"/>
    </row>
    <row r="393" spans="2:12">
      <c r="B393" s="268" t="s">
        <v>415</v>
      </c>
      <c r="C393" s="285" t="s">
        <v>70</v>
      </c>
      <c r="D393" s="286"/>
      <c r="E393" s="159">
        <v>152.18</v>
      </c>
      <c r="F393" s="270">
        <f t="shared" ref="F393" si="256">+E393+E394</f>
        <v>152.18</v>
      </c>
      <c r="G393" s="272"/>
      <c r="H393" s="274"/>
      <c r="I393" s="270">
        <v>21.1</v>
      </c>
      <c r="J393" s="275">
        <f t="shared" ref="J393" si="257">I393/F393*1000</f>
        <v>138.65159679327112</v>
      </c>
      <c r="K393" s="277">
        <v>11100</v>
      </c>
      <c r="L393" s="275">
        <f t="shared" ref="L393" si="258">K393/F393</f>
        <v>72.939939545275323</v>
      </c>
    </row>
    <row r="394" spans="2:12">
      <c r="B394" s="269"/>
      <c r="C394" s="285"/>
      <c r="D394" s="286"/>
      <c r="E394" s="26"/>
      <c r="F394" s="271"/>
      <c r="G394" s="273"/>
      <c r="H394" s="274"/>
      <c r="I394" s="271"/>
      <c r="J394" s="276"/>
      <c r="K394" s="277"/>
      <c r="L394" s="276"/>
    </row>
    <row r="395" spans="2:12">
      <c r="B395" s="268" t="s">
        <v>416</v>
      </c>
      <c r="C395" s="285" t="s">
        <v>70</v>
      </c>
      <c r="D395" s="286"/>
      <c r="E395" s="159">
        <v>188.29</v>
      </c>
      <c r="F395" s="270">
        <f t="shared" ref="F395" si="259">+E395+E396</f>
        <v>188.29</v>
      </c>
      <c r="G395" s="272"/>
      <c r="H395" s="274"/>
      <c r="I395" s="270">
        <v>25.5</v>
      </c>
      <c r="J395" s="275">
        <f t="shared" ref="J395" si="260">I395/F395*1000</f>
        <v>135.42939083328909</v>
      </c>
      <c r="K395" s="277">
        <v>12420</v>
      </c>
      <c r="L395" s="275">
        <f t="shared" ref="L395" si="261">K395/F395</f>
        <v>65.962079770566689</v>
      </c>
    </row>
    <row r="396" spans="2:12">
      <c r="B396" s="269"/>
      <c r="C396" s="285"/>
      <c r="D396" s="286"/>
      <c r="E396" s="26"/>
      <c r="F396" s="271"/>
      <c r="G396" s="273"/>
      <c r="H396" s="274"/>
      <c r="I396" s="271"/>
      <c r="J396" s="276"/>
      <c r="K396" s="277"/>
      <c r="L396" s="276"/>
    </row>
    <row r="397" spans="2:12">
      <c r="B397" s="287" t="s">
        <v>422</v>
      </c>
      <c r="C397" s="285" t="s">
        <v>70</v>
      </c>
      <c r="D397" s="286"/>
      <c r="E397" s="159">
        <v>164.905</v>
      </c>
      <c r="F397" s="270">
        <f t="shared" ref="F397" si="262">+E397+E398</f>
        <v>164.905</v>
      </c>
      <c r="G397" s="272"/>
      <c r="H397" s="274"/>
      <c r="I397" s="270">
        <v>21.8</v>
      </c>
      <c r="J397" s="275">
        <f t="shared" ref="J397" si="263">I397/F397*1000</f>
        <v>132.19732573299777</v>
      </c>
      <c r="K397" s="277">
        <v>11400</v>
      </c>
      <c r="L397" s="275">
        <f t="shared" ref="L397" si="264">K397/F397</f>
        <v>69.130711621842877</v>
      </c>
    </row>
    <row r="398" spans="2:12">
      <c r="B398" s="288"/>
      <c r="C398" s="285"/>
      <c r="D398" s="286"/>
      <c r="E398" s="26"/>
      <c r="F398" s="271"/>
      <c r="G398" s="273"/>
      <c r="H398" s="274"/>
      <c r="I398" s="271"/>
      <c r="J398" s="276"/>
      <c r="K398" s="277"/>
      <c r="L398" s="276"/>
    </row>
    <row r="399" spans="2:12">
      <c r="B399" s="287" t="s">
        <v>423</v>
      </c>
      <c r="C399" s="285" t="s">
        <v>70</v>
      </c>
      <c r="D399" s="286"/>
      <c r="E399" s="159">
        <v>157.9</v>
      </c>
      <c r="F399" s="270">
        <f t="shared" ref="F399" si="265">+E399+E400</f>
        <v>157.9</v>
      </c>
      <c r="G399" s="272"/>
      <c r="H399" s="274"/>
      <c r="I399" s="270">
        <v>21.3</v>
      </c>
      <c r="J399" s="275">
        <f t="shared" ref="J399" si="266">I399/F399*1000</f>
        <v>134.89550348321723</v>
      </c>
      <c r="K399" s="277">
        <v>14580</v>
      </c>
      <c r="L399" s="275">
        <f t="shared" ref="L399" si="267">K399/F399</f>
        <v>92.336922102596574</v>
      </c>
    </row>
    <row r="400" spans="2:12">
      <c r="B400" s="288"/>
      <c r="C400" s="285"/>
      <c r="D400" s="286"/>
      <c r="E400" s="26"/>
      <c r="F400" s="271"/>
      <c r="G400" s="273"/>
      <c r="H400" s="274"/>
      <c r="I400" s="271"/>
      <c r="J400" s="276"/>
      <c r="K400" s="277"/>
      <c r="L400" s="276"/>
    </row>
    <row r="401" spans="2:12">
      <c r="B401" s="287" t="s">
        <v>424</v>
      </c>
      <c r="C401" s="285" t="s">
        <v>70</v>
      </c>
      <c r="D401" s="286"/>
      <c r="E401" s="159">
        <v>138.251</v>
      </c>
      <c r="F401" s="270">
        <f t="shared" ref="F401" si="268">+E401+E402</f>
        <v>138.251</v>
      </c>
      <c r="G401" s="272"/>
      <c r="H401" s="274"/>
      <c r="I401" s="270">
        <v>23.6</v>
      </c>
      <c r="J401" s="275">
        <f t="shared" ref="J401" si="269">I401/F401*1000</f>
        <v>170.7040093742541</v>
      </c>
      <c r="K401" s="277">
        <v>12600</v>
      </c>
      <c r="L401" s="275">
        <f t="shared" ref="L401" si="270">K401/F401</f>
        <v>91.138581276084793</v>
      </c>
    </row>
    <row r="402" spans="2:12">
      <c r="B402" s="288"/>
      <c r="C402" s="285"/>
      <c r="D402" s="286"/>
      <c r="E402" s="26"/>
      <c r="F402" s="271"/>
      <c r="G402" s="273"/>
      <c r="H402" s="274"/>
      <c r="I402" s="271"/>
      <c r="J402" s="276"/>
      <c r="K402" s="277"/>
      <c r="L402" s="276"/>
    </row>
    <row r="403" spans="2:12">
      <c r="B403" s="287" t="s">
        <v>425</v>
      </c>
      <c r="C403" s="26" t="s">
        <v>452</v>
      </c>
      <c r="D403" s="159"/>
      <c r="E403" s="159"/>
      <c r="F403" s="270"/>
      <c r="G403" s="272"/>
      <c r="H403" s="274"/>
      <c r="I403" s="270"/>
      <c r="J403" s="275"/>
      <c r="K403" s="277"/>
      <c r="L403" s="275"/>
    </row>
    <row r="404" spans="2:12">
      <c r="B404" s="288"/>
      <c r="C404" s="26" t="s">
        <v>453</v>
      </c>
      <c r="D404" s="159"/>
      <c r="E404" s="159"/>
      <c r="F404" s="271"/>
      <c r="G404" s="273"/>
      <c r="H404" s="274"/>
      <c r="I404" s="271"/>
      <c r="J404" s="276"/>
      <c r="K404" s="277"/>
      <c r="L404" s="276"/>
    </row>
    <row r="405" spans="2:12">
      <c r="B405" s="287" t="s">
        <v>427</v>
      </c>
      <c r="C405" s="285" t="s">
        <v>70</v>
      </c>
      <c r="D405" s="286"/>
      <c r="E405" s="159">
        <v>199.56</v>
      </c>
      <c r="F405" s="270">
        <f t="shared" ref="F405" si="271">+E405+E406</f>
        <v>199.56</v>
      </c>
      <c r="G405" s="272"/>
      <c r="H405" s="274"/>
      <c r="I405" s="270">
        <v>25.3</v>
      </c>
      <c r="J405" s="275">
        <f t="shared" ref="J405" si="272">I405/F405*1000</f>
        <v>126.77891360994187</v>
      </c>
      <c r="K405" s="277">
        <v>12360</v>
      </c>
      <c r="L405" s="275">
        <f t="shared" ref="L405" si="273">K405/F405</f>
        <v>61.936259771497291</v>
      </c>
    </row>
    <row r="406" spans="2:12">
      <c r="B406" s="288"/>
      <c r="C406" s="285"/>
      <c r="D406" s="286"/>
      <c r="E406" s="26"/>
      <c r="F406" s="271"/>
      <c r="G406" s="273"/>
      <c r="H406" s="274"/>
      <c r="I406" s="271"/>
      <c r="J406" s="276"/>
      <c r="K406" s="277"/>
      <c r="L406" s="276"/>
    </row>
    <row r="407" spans="2:12">
      <c r="B407" s="287" t="s">
        <v>428</v>
      </c>
      <c r="C407" s="285" t="s">
        <v>70</v>
      </c>
      <c r="D407" s="286"/>
      <c r="E407" s="159">
        <v>132.76499999999999</v>
      </c>
      <c r="F407" s="270">
        <f t="shared" ref="F407" si="274">+E407+E408</f>
        <v>132.76499999999999</v>
      </c>
      <c r="G407" s="272"/>
      <c r="H407" s="274"/>
      <c r="I407" s="270">
        <v>17.7</v>
      </c>
      <c r="J407" s="275">
        <f t="shared" ref="J407" si="275">I407/F407*1000</f>
        <v>133.3182691221331</v>
      </c>
      <c r="K407" s="277">
        <v>12240</v>
      </c>
      <c r="L407" s="275">
        <f t="shared" ref="L407" si="276">K407/F407</f>
        <v>92.192972545475101</v>
      </c>
    </row>
    <row r="408" spans="2:12">
      <c r="B408" s="288"/>
      <c r="C408" s="285"/>
      <c r="D408" s="286"/>
      <c r="E408" s="26"/>
      <c r="F408" s="271"/>
      <c r="G408" s="273"/>
      <c r="H408" s="274"/>
      <c r="I408" s="271"/>
      <c r="J408" s="276"/>
      <c r="K408" s="277"/>
      <c r="L408" s="276"/>
    </row>
    <row r="409" spans="2:12">
      <c r="B409" s="287" t="s">
        <v>429</v>
      </c>
      <c r="C409" s="285" t="s">
        <v>70</v>
      </c>
      <c r="D409" s="286"/>
      <c r="E409" s="159">
        <v>187.405</v>
      </c>
      <c r="F409" s="270">
        <f t="shared" ref="F409" si="277">+E409+E410</f>
        <v>187.405</v>
      </c>
      <c r="G409" s="272"/>
      <c r="H409" s="274"/>
      <c r="I409" s="270">
        <v>22.9</v>
      </c>
      <c r="J409" s="275">
        <f t="shared" ref="J409" si="278">I409/F409*1000</f>
        <v>122.19524559109948</v>
      </c>
      <c r="K409" s="277">
        <v>15240</v>
      </c>
      <c r="L409" s="275">
        <f t="shared" ref="L409" si="279">K409/F409</f>
        <v>81.321202742722974</v>
      </c>
    </row>
    <row r="410" spans="2:12">
      <c r="B410" s="288"/>
      <c r="C410" s="285"/>
      <c r="D410" s="286"/>
      <c r="E410" s="26"/>
      <c r="F410" s="271"/>
      <c r="G410" s="273"/>
      <c r="H410" s="274"/>
      <c r="I410" s="271"/>
      <c r="J410" s="276"/>
      <c r="K410" s="277"/>
      <c r="L410" s="276"/>
    </row>
    <row r="411" spans="2:12">
      <c r="B411" s="287" t="s">
        <v>430</v>
      </c>
      <c r="C411" s="285" t="s">
        <v>70</v>
      </c>
      <c r="D411" s="286"/>
      <c r="E411" s="159">
        <v>142.11600000000001</v>
      </c>
      <c r="F411" s="270">
        <f t="shared" ref="F411" si="280">+E411+E412</f>
        <v>142.11600000000001</v>
      </c>
      <c r="G411" s="272"/>
      <c r="H411" s="274"/>
      <c r="I411" s="270">
        <v>20.2</v>
      </c>
      <c r="J411" s="275">
        <f t="shared" ref="J411" si="281">I411/F411*1000</f>
        <v>142.13740887725518</v>
      </c>
      <c r="K411" s="277">
        <v>11280</v>
      </c>
      <c r="L411" s="275">
        <f t="shared" ref="L411" si="282">K411/F411</f>
        <v>79.371780798784087</v>
      </c>
    </row>
    <row r="412" spans="2:12">
      <c r="B412" s="288"/>
      <c r="C412" s="285"/>
      <c r="D412" s="286"/>
      <c r="E412" s="26"/>
      <c r="F412" s="271"/>
      <c r="G412" s="273"/>
      <c r="H412" s="274"/>
      <c r="I412" s="271"/>
      <c r="J412" s="276"/>
      <c r="K412" s="277"/>
      <c r="L412" s="276"/>
    </row>
    <row r="413" spans="2:12" ht="14.25" customHeight="1">
      <c r="B413" s="287" t="s">
        <v>431</v>
      </c>
      <c r="C413" s="285" t="s">
        <v>70</v>
      </c>
      <c r="D413" s="286"/>
      <c r="E413" s="159">
        <v>124.59</v>
      </c>
      <c r="F413" s="270">
        <f t="shared" ref="F413" si="283">+E413+E414</f>
        <v>124.59</v>
      </c>
      <c r="G413" s="272"/>
      <c r="H413" s="274"/>
      <c r="I413" s="270">
        <v>18.600000000000001</v>
      </c>
      <c r="J413" s="275">
        <f t="shared" ref="J413" si="284">I413/F413*1000</f>
        <v>149.28967011798699</v>
      </c>
      <c r="K413" s="277">
        <v>12240</v>
      </c>
      <c r="L413" s="275">
        <f t="shared" ref="L413" si="285">K413/F413</f>
        <v>98.242234529255953</v>
      </c>
    </row>
    <row r="414" spans="2:12">
      <c r="B414" s="288"/>
      <c r="C414" s="285"/>
      <c r="D414" s="286"/>
      <c r="E414" s="26"/>
      <c r="F414" s="271"/>
      <c r="G414" s="273"/>
      <c r="H414" s="274"/>
      <c r="I414" s="271"/>
      <c r="J414" s="276"/>
      <c r="K414" s="277"/>
      <c r="L414" s="276"/>
    </row>
    <row r="415" spans="2:12">
      <c r="B415" s="287" t="s">
        <v>432</v>
      </c>
      <c r="C415" s="285" t="s">
        <v>445</v>
      </c>
      <c r="D415" s="286"/>
      <c r="E415" s="159"/>
      <c r="F415" s="270"/>
      <c r="G415" s="272"/>
      <c r="H415" s="274"/>
      <c r="I415" s="270"/>
      <c r="J415" s="275"/>
      <c r="K415" s="277"/>
      <c r="L415" s="275"/>
    </row>
    <row r="416" spans="2:12">
      <c r="B416" s="288"/>
      <c r="C416" s="285"/>
      <c r="D416" s="286"/>
      <c r="E416" s="159"/>
      <c r="F416" s="271"/>
      <c r="G416" s="273"/>
      <c r="H416" s="274"/>
      <c r="I416" s="271"/>
      <c r="J416" s="276"/>
      <c r="K416" s="277"/>
      <c r="L416" s="276"/>
    </row>
    <row r="417" spans="2:12">
      <c r="B417" s="287" t="s">
        <v>433</v>
      </c>
      <c r="C417" s="26" t="s">
        <v>452</v>
      </c>
      <c r="D417" s="159"/>
      <c r="E417" s="159"/>
      <c r="F417" s="270"/>
      <c r="G417" s="272"/>
      <c r="H417" s="274"/>
      <c r="I417" s="270"/>
      <c r="J417" s="275"/>
      <c r="K417" s="277"/>
      <c r="L417" s="275"/>
    </row>
    <row r="418" spans="2:12">
      <c r="B418" s="288"/>
      <c r="C418" s="26" t="s">
        <v>453</v>
      </c>
      <c r="D418" s="159"/>
      <c r="E418" s="159"/>
      <c r="F418" s="271"/>
      <c r="G418" s="273"/>
      <c r="H418" s="274"/>
      <c r="I418" s="271"/>
      <c r="J418" s="276"/>
      <c r="K418" s="277"/>
      <c r="L418" s="276"/>
    </row>
    <row r="419" spans="2:12" ht="15" customHeight="1">
      <c r="B419" s="287" t="s">
        <v>434</v>
      </c>
      <c r="C419" s="285" t="s">
        <v>454</v>
      </c>
      <c r="D419" s="286"/>
      <c r="E419" s="159">
        <v>78.748000000000005</v>
      </c>
      <c r="F419" s="270">
        <f t="shared" ref="F419" si="286">+E419+E420</f>
        <v>78.748000000000005</v>
      </c>
      <c r="G419" s="272"/>
      <c r="H419" s="274"/>
      <c r="I419" s="270">
        <v>12.1</v>
      </c>
      <c r="J419" s="275">
        <f t="shared" ref="J419" si="287">I419/F419*1000</f>
        <v>153.65469599227916</v>
      </c>
      <c r="K419" s="277">
        <v>7440</v>
      </c>
      <c r="L419" s="275">
        <f t="shared" ref="L419" si="288">K419/F419</f>
        <v>94.478589932442716</v>
      </c>
    </row>
    <row r="420" spans="2:12">
      <c r="B420" s="288"/>
      <c r="C420" s="285"/>
      <c r="D420" s="286"/>
      <c r="E420" s="26"/>
      <c r="F420" s="271"/>
      <c r="G420" s="273"/>
      <c r="H420" s="274"/>
      <c r="I420" s="271"/>
      <c r="J420" s="276"/>
      <c r="K420" s="277"/>
      <c r="L420" s="276"/>
    </row>
    <row r="421" spans="2:12">
      <c r="B421" s="287" t="s">
        <v>435</v>
      </c>
      <c r="C421" s="285" t="s">
        <v>455</v>
      </c>
      <c r="D421" s="286"/>
      <c r="E421" s="159">
        <v>50.478999999999999</v>
      </c>
      <c r="F421" s="270">
        <f t="shared" ref="F421" si="289">+E421+E422</f>
        <v>50.478999999999999</v>
      </c>
      <c r="G421" s="272"/>
      <c r="H421" s="274"/>
      <c r="I421" s="270">
        <v>7.2</v>
      </c>
      <c r="J421" s="275">
        <f t="shared" ref="J421" si="290">I421/F421*1000</f>
        <v>142.63357039561006</v>
      </c>
      <c r="K421" s="277">
        <v>5220</v>
      </c>
      <c r="L421" s="275">
        <f t="shared" ref="L421" si="291">K421/F421</f>
        <v>103.40933853681729</v>
      </c>
    </row>
    <row r="422" spans="2:12">
      <c r="B422" s="288"/>
      <c r="C422" s="285"/>
      <c r="D422" s="286"/>
      <c r="E422" s="26"/>
      <c r="F422" s="271"/>
      <c r="G422" s="273"/>
      <c r="H422" s="274"/>
      <c r="I422" s="271"/>
      <c r="J422" s="276"/>
      <c r="K422" s="277"/>
      <c r="L422" s="276"/>
    </row>
    <row r="423" spans="2:12">
      <c r="B423" s="287" t="s">
        <v>436</v>
      </c>
      <c r="C423" s="285" t="s">
        <v>70</v>
      </c>
      <c r="D423" s="286"/>
      <c r="E423" s="159">
        <v>139.91</v>
      </c>
      <c r="F423" s="270">
        <f t="shared" ref="F423" si="292">+E423+E424</f>
        <v>139.91</v>
      </c>
      <c r="G423" s="272"/>
      <c r="H423" s="274"/>
      <c r="I423" s="270">
        <v>20.100000000000001</v>
      </c>
      <c r="J423" s="275">
        <f t="shared" ref="J423" si="293">I423/F423*1000</f>
        <v>143.66378386105356</v>
      </c>
      <c r="K423" s="277">
        <v>9540</v>
      </c>
      <c r="L423" s="275">
        <f t="shared" ref="L423" si="294">K423/F423</f>
        <v>68.186691444500042</v>
      </c>
    </row>
    <row r="424" spans="2:12">
      <c r="B424" s="288"/>
      <c r="C424" s="285"/>
      <c r="D424" s="286"/>
      <c r="E424" s="26"/>
      <c r="F424" s="271"/>
      <c r="G424" s="273"/>
      <c r="H424" s="274"/>
      <c r="I424" s="271"/>
      <c r="J424" s="276"/>
      <c r="K424" s="277"/>
      <c r="L424" s="276"/>
    </row>
    <row r="425" spans="2:12">
      <c r="B425" s="268" t="s">
        <v>456</v>
      </c>
      <c r="C425" s="285" t="s">
        <v>70</v>
      </c>
      <c r="D425" s="286"/>
      <c r="E425" s="159">
        <v>178.16</v>
      </c>
      <c r="F425" s="270">
        <f t="shared" ref="F425" si="295">+E425+E426</f>
        <v>178.16</v>
      </c>
      <c r="G425" s="272"/>
      <c r="H425" s="274"/>
      <c r="I425" s="270">
        <v>23.8</v>
      </c>
      <c r="J425" s="275">
        <f t="shared" ref="J425" si="296">I425/F425*1000</f>
        <v>133.58778625954199</v>
      </c>
      <c r="K425" s="277">
        <v>12120</v>
      </c>
      <c r="L425" s="275">
        <f t="shared" ref="L425" si="297">K425/F425</f>
        <v>68.028738212842384</v>
      </c>
    </row>
    <row r="426" spans="2:12">
      <c r="B426" s="269"/>
      <c r="C426" s="285"/>
      <c r="D426" s="286"/>
      <c r="E426" s="26"/>
      <c r="F426" s="271"/>
      <c r="G426" s="273"/>
      <c r="H426" s="274"/>
      <c r="I426" s="271"/>
      <c r="J426" s="276"/>
      <c r="K426" s="277"/>
      <c r="L426" s="276"/>
    </row>
    <row r="427" spans="2:12">
      <c r="B427" s="268" t="s">
        <v>459</v>
      </c>
      <c r="C427" s="285" t="s">
        <v>70</v>
      </c>
      <c r="D427" s="286"/>
      <c r="E427" s="159">
        <v>202.11</v>
      </c>
      <c r="F427" s="270">
        <f t="shared" ref="F427" si="298">+E427+E428</f>
        <v>202.11</v>
      </c>
      <c r="G427" s="272"/>
      <c r="H427" s="274"/>
      <c r="I427" s="270">
        <v>25.6</v>
      </c>
      <c r="J427" s="275">
        <f t="shared" ref="J427" si="299">I427/F427*1000</f>
        <v>126.66369798624511</v>
      </c>
      <c r="K427" s="277">
        <v>12840</v>
      </c>
      <c r="L427" s="275">
        <f t="shared" ref="L427" si="300">K427/F427</f>
        <v>63.529761021226058</v>
      </c>
    </row>
    <row r="428" spans="2:12">
      <c r="B428" s="269"/>
      <c r="C428" s="285"/>
      <c r="D428" s="286"/>
      <c r="E428" s="26"/>
      <c r="F428" s="271"/>
      <c r="G428" s="273"/>
      <c r="H428" s="274"/>
      <c r="I428" s="271"/>
      <c r="J428" s="276"/>
      <c r="K428" s="277"/>
      <c r="L428" s="276"/>
    </row>
    <row r="429" spans="2:12">
      <c r="B429" s="268" t="s">
        <v>461</v>
      </c>
      <c r="C429" s="285" t="s">
        <v>70</v>
      </c>
      <c r="D429" s="286"/>
      <c r="E429" s="159">
        <v>157.4</v>
      </c>
      <c r="F429" s="270">
        <f t="shared" ref="F429" si="301">+E429+E430</f>
        <v>157.4</v>
      </c>
      <c r="G429" s="272"/>
      <c r="H429" s="274"/>
      <c r="I429" s="270">
        <v>19.8</v>
      </c>
      <c r="J429" s="275">
        <f t="shared" ref="J429" si="302">I429/F429*1000</f>
        <v>125.79415501905972</v>
      </c>
      <c r="K429" s="277">
        <v>9960</v>
      </c>
      <c r="L429" s="275">
        <f t="shared" ref="L429" si="303">K429/F429</f>
        <v>63.278271918678527</v>
      </c>
    </row>
    <row r="430" spans="2:12">
      <c r="B430" s="269"/>
      <c r="C430" s="285"/>
      <c r="D430" s="286"/>
      <c r="E430" s="26"/>
      <c r="F430" s="271"/>
      <c r="G430" s="273"/>
      <c r="H430" s="274"/>
      <c r="I430" s="271"/>
      <c r="J430" s="276"/>
      <c r="K430" s="277"/>
      <c r="L430" s="276"/>
    </row>
    <row r="431" spans="2:12" ht="15" customHeight="1">
      <c r="B431" s="268" t="s">
        <v>463</v>
      </c>
      <c r="C431" s="26" t="s">
        <v>452</v>
      </c>
      <c r="D431" s="159"/>
      <c r="E431" s="159"/>
      <c r="F431" s="270"/>
      <c r="G431" s="272"/>
      <c r="H431" s="274"/>
      <c r="I431" s="270"/>
      <c r="J431" s="275"/>
      <c r="K431" s="277"/>
      <c r="L431" s="275"/>
    </row>
    <row r="432" spans="2:12">
      <c r="B432" s="269"/>
      <c r="C432" s="26" t="s">
        <v>453</v>
      </c>
      <c r="D432" s="159"/>
      <c r="E432" s="159"/>
      <c r="F432" s="271"/>
      <c r="G432" s="273"/>
      <c r="H432" s="274"/>
      <c r="I432" s="271"/>
      <c r="J432" s="276"/>
      <c r="K432" s="277"/>
      <c r="L432" s="276"/>
    </row>
    <row r="433" spans="2:12">
      <c r="B433" s="268" t="s">
        <v>464</v>
      </c>
      <c r="C433" s="285" t="s">
        <v>70</v>
      </c>
      <c r="D433" s="286"/>
      <c r="E433" s="159">
        <v>172.98</v>
      </c>
      <c r="F433" s="270">
        <f t="shared" ref="F433" si="304">+E433+E434</f>
        <v>172.98</v>
      </c>
      <c r="G433" s="272"/>
      <c r="H433" s="274"/>
      <c r="I433" s="270">
        <v>21.7</v>
      </c>
      <c r="J433" s="275">
        <f t="shared" ref="J433" si="305">I433/F433*1000</f>
        <v>125.44802867383511</v>
      </c>
      <c r="K433" s="277">
        <v>13560</v>
      </c>
      <c r="L433" s="275">
        <f t="shared" ref="L433" si="306">K433/F433</f>
        <v>78.390565383281313</v>
      </c>
    </row>
    <row r="434" spans="2:12">
      <c r="B434" s="269"/>
      <c r="C434" s="285"/>
      <c r="D434" s="286"/>
      <c r="E434" s="26"/>
      <c r="F434" s="271"/>
      <c r="G434" s="273"/>
      <c r="H434" s="274"/>
      <c r="I434" s="271"/>
      <c r="J434" s="276"/>
      <c r="K434" s="277"/>
      <c r="L434" s="276"/>
    </row>
    <row r="435" spans="2:12">
      <c r="B435" s="287" t="s">
        <v>466</v>
      </c>
      <c r="C435" s="285" t="s">
        <v>70</v>
      </c>
      <c r="D435" s="286"/>
      <c r="E435" s="159">
        <v>234.5</v>
      </c>
      <c r="F435" s="270">
        <f t="shared" ref="F435" si="307">+E435+E436</f>
        <v>234.5</v>
      </c>
      <c r="G435" s="272"/>
      <c r="H435" s="274"/>
      <c r="I435" s="270">
        <v>28.9</v>
      </c>
      <c r="J435" s="275">
        <f t="shared" ref="J435" si="308">I435/F435*1000</f>
        <v>123.2409381663113</v>
      </c>
      <c r="K435" s="277">
        <v>16020</v>
      </c>
      <c r="L435" s="275">
        <f t="shared" ref="L435" si="309">K435/F435</f>
        <v>68.315565031982942</v>
      </c>
    </row>
    <row r="436" spans="2:12">
      <c r="B436" s="288"/>
      <c r="C436" s="285"/>
      <c r="D436" s="286"/>
      <c r="E436" s="26"/>
      <c r="F436" s="271"/>
      <c r="G436" s="273"/>
      <c r="H436" s="274"/>
      <c r="I436" s="271"/>
      <c r="J436" s="276"/>
      <c r="K436" s="277"/>
      <c r="L436" s="276"/>
    </row>
    <row r="437" spans="2:12">
      <c r="B437" s="287" t="s">
        <v>467</v>
      </c>
      <c r="C437" s="285" t="s">
        <v>70</v>
      </c>
      <c r="D437" s="286"/>
      <c r="E437" s="159">
        <v>191.85</v>
      </c>
      <c r="F437" s="270">
        <f t="shared" ref="F437" si="310">+E437+E438</f>
        <v>191.85</v>
      </c>
      <c r="G437" s="272"/>
      <c r="H437" s="274"/>
      <c r="I437" s="270">
        <v>24.1</v>
      </c>
      <c r="J437" s="275">
        <f t="shared" ref="J437" si="311">I437/F437*1000</f>
        <v>125.61897315611157</v>
      </c>
      <c r="K437" s="277">
        <v>14220</v>
      </c>
      <c r="L437" s="275">
        <f t="shared" ref="L437" si="312">K437/F437</f>
        <v>74.120406567630965</v>
      </c>
    </row>
    <row r="438" spans="2:12">
      <c r="B438" s="288"/>
      <c r="C438" s="285"/>
      <c r="D438" s="286"/>
      <c r="E438" s="26"/>
      <c r="F438" s="271"/>
      <c r="G438" s="273"/>
      <c r="H438" s="274"/>
      <c r="I438" s="271"/>
      <c r="J438" s="276"/>
      <c r="K438" s="277"/>
      <c r="L438" s="276"/>
    </row>
    <row r="439" spans="2:12">
      <c r="B439" s="287" t="s">
        <v>472</v>
      </c>
      <c r="C439" s="285" t="s">
        <v>70</v>
      </c>
      <c r="D439" s="286"/>
      <c r="E439" s="159">
        <v>144.29499999999999</v>
      </c>
      <c r="F439" s="270">
        <f t="shared" ref="F439" si="313">+E439+E440</f>
        <v>144.29499999999999</v>
      </c>
      <c r="G439" s="272"/>
      <c r="H439" s="274"/>
      <c r="I439" s="270">
        <v>18.3</v>
      </c>
      <c r="J439" s="275">
        <f t="shared" ref="J439" si="314">I439/F439*1000</f>
        <v>126.82352125853288</v>
      </c>
      <c r="K439" s="277">
        <v>14760</v>
      </c>
      <c r="L439" s="275">
        <f t="shared" ref="L439" si="315">K439/F439</f>
        <v>102.29044665442323</v>
      </c>
    </row>
    <row r="440" spans="2:12">
      <c r="B440" s="288"/>
      <c r="C440" s="285"/>
      <c r="D440" s="286"/>
      <c r="E440" s="26"/>
      <c r="F440" s="271"/>
      <c r="G440" s="273"/>
      <c r="H440" s="274"/>
      <c r="I440" s="271"/>
      <c r="J440" s="276"/>
      <c r="K440" s="277"/>
      <c r="L440" s="276"/>
    </row>
    <row r="441" spans="2:12">
      <c r="B441" s="287" t="s">
        <v>475</v>
      </c>
      <c r="C441" s="285" t="s">
        <v>70</v>
      </c>
      <c r="D441" s="286"/>
      <c r="E441" s="159">
        <v>161.76</v>
      </c>
      <c r="F441" s="270">
        <f t="shared" ref="F441" si="316">+E441+E442</f>
        <v>161.76</v>
      </c>
      <c r="G441" s="272"/>
      <c r="H441" s="274"/>
      <c r="I441" s="270">
        <v>19.899999999999999</v>
      </c>
      <c r="J441" s="275">
        <f t="shared" ref="J441" si="317">I441/F441*1000</f>
        <v>123.02176063303659</v>
      </c>
      <c r="K441" s="277">
        <v>14508</v>
      </c>
      <c r="L441" s="275">
        <f t="shared" ref="L441" si="318">K441/F441</f>
        <v>89.688427299703264</v>
      </c>
    </row>
    <row r="442" spans="2:12">
      <c r="B442" s="288"/>
      <c r="C442" s="285"/>
      <c r="D442" s="286"/>
      <c r="E442" s="26"/>
      <c r="F442" s="271"/>
      <c r="G442" s="273"/>
      <c r="H442" s="274"/>
      <c r="I442" s="271"/>
      <c r="J442" s="276"/>
      <c r="K442" s="277"/>
      <c r="L442" s="276"/>
    </row>
    <row r="443" spans="2:12">
      <c r="B443" s="268" t="s">
        <v>477</v>
      </c>
      <c r="C443" s="285" t="s">
        <v>70</v>
      </c>
      <c r="D443" s="286"/>
      <c r="E443" s="26">
        <v>150.88</v>
      </c>
      <c r="F443" s="270">
        <f t="shared" ref="F443" si="319">+E443+E444</f>
        <v>150.88</v>
      </c>
      <c r="G443" s="272"/>
      <c r="H443" s="274"/>
      <c r="I443" s="270">
        <v>20.3</v>
      </c>
      <c r="J443" s="275">
        <f t="shared" ref="J443" si="320">I443/F443*1000</f>
        <v>134.54400848356309</v>
      </c>
      <c r="K443" s="277">
        <v>15420</v>
      </c>
      <c r="L443" s="275">
        <f t="shared" ref="L443" si="321">K443/F443</f>
        <v>102.20042417815483</v>
      </c>
    </row>
    <row r="444" spans="2:12">
      <c r="B444" s="269"/>
      <c r="C444" s="285"/>
      <c r="D444" s="286"/>
      <c r="E444" s="26"/>
      <c r="F444" s="271"/>
      <c r="G444" s="273"/>
      <c r="H444" s="274"/>
      <c r="I444" s="271"/>
      <c r="J444" s="276"/>
      <c r="K444" s="277"/>
      <c r="L444" s="276"/>
    </row>
    <row r="445" spans="2:12">
      <c r="B445" s="268" t="s">
        <v>478</v>
      </c>
      <c r="C445" s="26" t="s">
        <v>452</v>
      </c>
      <c r="D445" s="159"/>
      <c r="E445" s="159"/>
      <c r="F445" s="270"/>
      <c r="G445" s="272"/>
      <c r="H445" s="274"/>
      <c r="I445" s="270"/>
      <c r="J445" s="275"/>
      <c r="K445" s="277"/>
      <c r="L445" s="275"/>
    </row>
    <row r="446" spans="2:12">
      <c r="B446" s="269"/>
      <c r="C446" s="26" t="s">
        <v>453</v>
      </c>
      <c r="D446" s="159"/>
      <c r="E446" s="159"/>
      <c r="F446" s="271"/>
      <c r="G446" s="273"/>
      <c r="H446" s="274"/>
      <c r="I446" s="271"/>
      <c r="J446" s="276"/>
      <c r="K446" s="277"/>
      <c r="L446" s="276"/>
    </row>
    <row r="447" spans="2:12">
      <c r="B447" s="268" t="s">
        <v>479</v>
      </c>
      <c r="C447" s="285" t="s">
        <v>70</v>
      </c>
      <c r="D447" s="286"/>
      <c r="E447" s="26">
        <v>222.5</v>
      </c>
      <c r="F447" s="270">
        <f t="shared" ref="F447" si="322">+E447+E448</f>
        <v>222.5</v>
      </c>
      <c r="G447" s="272"/>
      <c r="H447" s="274"/>
      <c r="I447" s="270">
        <v>26.8</v>
      </c>
      <c r="J447" s="275">
        <f t="shared" ref="J447" si="323">I447/F447*1000</f>
        <v>120.44943820224719</v>
      </c>
      <c r="K447" s="277">
        <v>15960</v>
      </c>
      <c r="L447" s="275">
        <f t="shared" ref="L447" si="324">K447/F447</f>
        <v>71.730337078651687</v>
      </c>
    </row>
    <row r="448" spans="2:12">
      <c r="B448" s="269"/>
      <c r="C448" s="285"/>
      <c r="D448" s="286"/>
      <c r="E448" s="26"/>
      <c r="F448" s="271"/>
      <c r="G448" s="273"/>
      <c r="H448" s="274"/>
      <c r="I448" s="271"/>
      <c r="J448" s="276"/>
      <c r="K448" s="277"/>
      <c r="L448" s="276"/>
    </row>
    <row r="449" spans="2:20">
      <c r="B449" s="27"/>
      <c r="C449" s="28"/>
      <c r="D449" s="28" t="s">
        <v>15</v>
      </c>
      <c r="E449" s="29">
        <f>SUM(E387:E448)</f>
        <v>4024.1539999999995</v>
      </c>
      <c r="F449" s="29">
        <f>SUM(F387:F448)</f>
        <v>4024.1539999999995</v>
      </c>
      <c r="G449" s="29">
        <f>SUM(G387:G448)</f>
        <v>0</v>
      </c>
      <c r="H449" s="29">
        <f>SUM(H387:H448)</f>
        <v>0</v>
      </c>
      <c r="I449" s="29">
        <f>SUM(I387:I448)</f>
        <v>535.70000000000005</v>
      </c>
      <c r="J449" s="222">
        <f>I449/F449*1000</f>
        <v>133.12114794811532</v>
      </c>
      <c r="K449" s="42">
        <f>SUM(K387:K448)</f>
        <v>312348</v>
      </c>
      <c r="L449" s="30">
        <f>K449/F449</f>
        <v>77.618301884073034</v>
      </c>
    </row>
    <row r="452" spans="2:20">
      <c r="B452" s="16" t="s">
        <v>487</v>
      </c>
      <c r="C452" s="16"/>
      <c r="F452" s="17"/>
      <c r="G452" s="18"/>
      <c r="H452" s="18"/>
      <c r="I452" s="18"/>
      <c r="J452" s="18"/>
      <c r="K452" s="18"/>
      <c r="L452" s="18"/>
      <c r="M452" s="18"/>
    </row>
    <row r="453" spans="2:20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2:20" ht="21.75" thickBot="1">
      <c r="B454" s="19" t="s">
        <v>20</v>
      </c>
      <c r="C454" s="19" t="s">
        <v>25</v>
      </c>
      <c r="D454" s="19" t="s">
        <v>26</v>
      </c>
      <c r="E454" s="19" t="s">
        <v>27</v>
      </c>
      <c r="F454" s="20" t="s">
        <v>28</v>
      </c>
      <c r="G454" s="21"/>
      <c r="H454" s="22"/>
      <c r="I454" s="22"/>
      <c r="J454" s="21"/>
      <c r="K454" s="21"/>
      <c r="L454" s="21"/>
    </row>
    <row r="455" spans="2:20" ht="16.5" thickBot="1">
      <c r="B455" s="70" t="s">
        <v>59</v>
      </c>
      <c r="C455" s="71" t="s">
        <v>552</v>
      </c>
      <c r="D455" s="161">
        <f>152.41+241.69+162.87+201.3+148.74+150.165+0.76+134.22+183.02+200.44+123.82+324.45+128.52+182.45+226.68+175.89+224.67</f>
        <v>2962.0949999999998</v>
      </c>
      <c r="E455" s="71" t="s">
        <v>60</v>
      </c>
      <c r="F455" s="278">
        <f>+I546</f>
        <v>398.4</v>
      </c>
      <c r="G455" s="21"/>
      <c r="H455" s="21"/>
      <c r="I455" s="23"/>
      <c r="J455" s="23"/>
      <c r="K455" s="21"/>
      <c r="L455" s="21"/>
      <c r="M455" s="4"/>
      <c r="N455" s="4"/>
      <c r="T455" s="32">
        <f>+F455/D457</f>
        <v>0.13449939991796347</v>
      </c>
    </row>
    <row r="456" spans="2:20">
      <c r="B456" s="70"/>
      <c r="C456" s="71"/>
      <c r="D456" s="72"/>
      <c r="E456" s="71" t="s">
        <v>61</v>
      </c>
      <c r="F456" s="279"/>
      <c r="G456" s="21"/>
      <c r="H456" s="22"/>
      <c r="I456" s="22"/>
      <c r="J456" s="21"/>
      <c r="K456" s="21"/>
      <c r="L456" s="21"/>
      <c r="N456" s="4"/>
    </row>
    <row r="457" spans="2:20">
      <c r="B457" s="70" t="s">
        <v>15</v>
      </c>
      <c r="C457" s="71" t="str">
        <f>+C455</f>
        <v xml:space="preserve">  16  Day    ( 16  Shifts )  </v>
      </c>
      <c r="D457" s="72">
        <f>SUM(D455:D456)</f>
        <v>2962.0949999999998</v>
      </c>
      <c r="E457" s="71"/>
      <c r="F457" s="73">
        <f>SUM(F455:F456)</f>
        <v>398.4</v>
      </c>
      <c r="G457" s="21"/>
      <c r="H457" s="23"/>
      <c r="I457" s="23"/>
      <c r="J457" s="23"/>
      <c r="K457" s="21"/>
      <c r="L457" s="21"/>
    </row>
    <row r="458" spans="2:20">
      <c r="B458" s="74"/>
      <c r="C458" s="75" t="s">
        <v>29</v>
      </c>
      <c r="D458" s="76"/>
      <c r="E458" s="77" t="s">
        <v>30</v>
      </c>
      <c r="F458" s="74"/>
      <c r="G458" s="21"/>
      <c r="H458" s="21"/>
      <c r="I458" s="21"/>
      <c r="J458" s="21"/>
      <c r="K458" s="21"/>
      <c r="L458" s="21"/>
    </row>
    <row r="459" spans="2:20">
      <c r="B459" s="71"/>
      <c r="C459" s="71"/>
      <c r="D459" s="78"/>
      <c r="E459" s="79"/>
      <c r="F459" s="71"/>
      <c r="G459" s="21"/>
      <c r="H459" s="21"/>
      <c r="I459" s="21"/>
      <c r="J459" s="21"/>
      <c r="K459" s="21"/>
      <c r="L459" s="21"/>
    </row>
    <row r="460" spans="2:20">
      <c r="B460" s="71"/>
      <c r="C460" s="71" t="s">
        <v>64</v>
      </c>
      <c r="D460" s="78"/>
      <c r="E460" s="79" t="s">
        <v>63</v>
      </c>
      <c r="F460" s="71"/>
      <c r="G460" s="21"/>
      <c r="H460" s="21"/>
      <c r="I460" s="21"/>
      <c r="J460" s="21"/>
      <c r="K460" s="21"/>
      <c r="L460" s="21"/>
    </row>
    <row r="461" spans="2:20">
      <c r="B461" s="71"/>
      <c r="C461" s="71" t="s">
        <v>210</v>
      </c>
      <c r="D461" s="80"/>
      <c r="E461" s="45" t="s">
        <v>508</v>
      </c>
      <c r="F461" s="71"/>
      <c r="G461" s="21"/>
      <c r="H461" s="21"/>
      <c r="I461" s="21"/>
      <c r="J461" s="21"/>
      <c r="K461" s="21"/>
      <c r="L461" s="21"/>
    </row>
    <row r="462" spans="2:20">
      <c r="B462" s="71"/>
      <c r="C462" s="71" t="s">
        <v>210</v>
      </c>
      <c r="D462" s="80"/>
      <c r="E462" s="45" t="s">
        <v>532</v>
      </c>
      <c r="F462" s="24"/>
      <c r="G462" s="21"/>
      <c r="H462" s="21"/>
      <c r="I462" s="21"/>
      <c r="J462" s="21"/>
      <c r="K462" s="21"/>
      <c r="L462" s="21"/>
    </row>
    <row r="463" spans="2:20">
      <c r="B463" s="71"/>
      <c r="C463" s="71" t="s">
        <v>210</v>
      </c>
      <c r="D463" s="80"/>
      <c r="E463" s="45" t="s">
        <v>535</v>
      </c>
      <c r="F463" s="24"/>
      <c r="G463" s="21"/>
      <c r="H463" s="21"/>
      <c r="I463" s="21"/>
      <c r="J463" s="21"/>
      <c r="K463" s="21"/>
      <c r="L463" s="21"/>
    </row>
    <row r="464" spans="2:20">
      <c r="B464" s="71"/>
      <c r="C464" s="71" t="s">
        <v>195</v>
      </c>
      <c r="D464" s="80"/>
      <c r="E464" s="45" t="s">
        <v>545</v>
      </c>
      <c r="F464" s="24"/>
      <c r="G464" s="21"/>
      <c r="H464" s="21"/>
      <c r="I464" s="21"/>
      <c r="J464" s="21"/>
      <c r="K464" s="21"/>
      <c r="L464" s="21"/>
    </row>
    <row r="465" spans="2:12">
      <c r="B465" s="71"/>
      <c r="C465" s="71"/>
      <c r="D465" s="80"/>
      <c r="E465" s="233"/>
      <c r="F465" s="24"/>
      <c r="G465" s="21"/>
      <c r="H465" s="21"/>
      <c r="I465" s="21"/>
      <c r="J465" s="21"/>
      <c r="K465" s="21"/>
      <c r="L465" s="21"/>
    </row>
    <row r="466" spans="2:12">
      <c r="B466" s="71"/>
      <c r="C466" s="71"/>
      <c r="D466" s="80"/>
      <c r="E466" s="233"/>
      <c r="F466" s="71"/>
      <c r="G466" s="18"/>
      <c r="H466" s="18"/>
      <c r="I466" s="18"/>
      <c r="J466" s="18"/>
      <c r="K466" s="18"/>
      <c r="L466" s="18"/>
    </row>
    <row r="467" spans="2:12">
      <c r="B467" s="71"/>
      <c r="C467" s="71"/>
      <c r="D467" s="80"/>
      <c r="E467" s="41"/>
      <c r="F467" s="71"/>
      <c r="G467" s="18"/>
      <c r="H467" s="18"/>
      <c r="I467" s="18"/>
      <c r="J467" s="18"/>
      <c r="K467" s="18"/>
      <c r="L467" s="18"/>
    </row>
    <row r="468" spans="2:12">
      <c r="B468" s="71"/>
      <c r="C468" s="71" t="s">
        <v>319</v>
      </c>
      <c r="D468" s="12"/>
      <c r="E468" s="45" t="s">
        <v>31</v>
      </c>
      <c r="F468" s="71"/>
      <c r="G468" s="18"/>
      <c r="H468" s="18"/>
      <c r="I468" s="18"/>
      <c r="J468" s="18"/>
      <c r="K468" s="18"/>
      <c r="L468" s="18"/>
    </row>
    <row r="469" spans="2:12">
      <c r="B469" s="71"/>
      <c r="C469" s="71"/>
      <c r="D469" s="80"/>
      <c r="E469" s="45"/>
      <c r="F469" s="71"/>
      <c r="G469" s="18"/>
      <c r="H469" s="18"/>
      <c r="I469" s="18"/>
      <c r="J469" s="18"/>
      <c r="K469" s="18"/>
      <c r="L469" s="18"/>
    </row>
    <row r="470" spans="2:12">
      <c r="B470" s="71"/>
      <c r="C470" s="71"/>
      <c r="D470" s="12"/>
      <c r="E470" s="12"/>
      <c r="F470" s="71"/>
      <c r="G470" s="18"/>
      <c r="H470" s="18"/>
      <c r="I470" s="31"/>
      <c r="J470" s="31"/>
      <c r="K470" s="18"/>
      <c r="L470" s="18"/>
    </row>
    <row r="471" spans="2:12">
      <c r="B471" s="71"/>
      <c r="C471" s="71"/>
      <c r="D471" s="12"/>
      <c r="E471" s="12"/>
      <c r="F471" s="71"/>
      <c r="G471" s="18"/>
      <c r="H471" s="18"/>
      <c r="I471" s="18"/>
      <c r="J471" s="18"/>
      <c r="K471" s="18"/>
      <c r="L471" s="18"/>
    </row>
    <row r="472" spans="2:12">
      <c r="B472" s="71"/>
      <c r="C472" s="71"/>
      <c r="D472" s="81"/>
      <c r="E472" s="12"/>
      <c r="F472" s="24"/>
      <c r="G472" s="18"/>
      <c r="H472" s="18"/>
      <c r="I472" s="18"/>
      <c r="J472" s="18"/>
      <c r="K472" s="18"/>
      <c r="L472" s="18"/>
    </row>
    <row r="473" spans="2:12">
      <c r="B473" s="71"/>
      <c r="C473" s="71"/>
      <c r="D473" s="80"/>
      <c r="E473" s="80"/>
      <c r="F473" s="71"/>
      <c r="G473" s="18"/>
      <c r="H473" s="18"/>
      <c r="I473" s="18"/>
      <c r="J473" s="18"/>
      <c r="K473" s="18"/>
      <c r="L473" s="18"/>
    </row>
    <row r="474" spans="2:12">
      <c r="B474" s="82"/>
      <c r="C474" s="82"/>
      <c r="D474" s="83"/>
      <c r="E474" s="83"/>
      <c r="F474" s="83"/>
      <c r="G474" s="18"/>
      <c r="H474" s="18"/>
      <c r="I474" s="18"/>
      <c r="J474" s="18"/>
      <c r="K474" s="18"/>
      <c r="L474" s="44"/>
    </row>
    <row r="475" spans="2:12">
      <c r="B475" s="18"/>
      <c r="C475" s="18"/>
      <c r="D475" s="18"/>
      <c r="E475" s="18"/>
      <c r="F475" s="18"/>
      <c r="G475" s="18"/>
      <c r="H475" s="18"/>
      <c r="I475" s="18"/>
      <c r="J475" s="43"/>
      <c r="K475" s="18"/>
      <c r="L475" s="18"/>
    </row>
    <row r="476" spans="2:12">
      <c r="B476" s="18"/>
      <c r="C476" s="71"/>
      <c r="D476" s="84" t="s">
        <v>32</v>
      </c>
      <c r="E476" s="71"/>
      <c r="F476" s="84" t="s">
        <v>33</v>
      </c>
      <c r="G476" s="18"/>
      <c r="H476" s="18" t="s">
        <v>34</v>
      </c>
      <c r="I476" s="18"/>
      <c r="J476" s="18"/>
      <c r="K476" s="18"/>
      <c r="L476" s="18"/>
    </row>
    <row r="477" spans="2:12">
      <c r="B477" s="44" t="s">
        <v>58</v>
      </c>
      <c r="C477" s="70" t="s">
        <v>35</v>
      </c>
      <c r="D477" s="41">
        <f>D457/16</f>
        <v>185.13093749999999</v>
      </c>
      <c r="E477" s="84" t="s">
        <v>36</v>
      </c>
      <c r="F477" s="85">
        <f>+T455*1000</f>
        <v>134.49939991796347</v>
      </c>
      <c r="G477" s="18"/>
      <c r="H477" s="18"/>
      <c r="I477" s="18"/>
      <c r="J477" s="18"/>
      <c r="K477" s="18"/>
      <c r="L477" s="18"/>
    </row>
    <row r="478" spans="2:12">
      <c r="B478" s="44" t="s">
        <v>56</v>
      </c>
      <c r="C478" s="70" t="s">
        <v>37</v>
      </c>
      <c r="D478" s="41">
        <f>+D477</f>
        <v>185.13093749999999</v>
      </c>
      <c r="E478" s="71"/>
      <c r="F478" s="71"/>
      <c r="G478" s="18"/>
      <c r="H478" s="18"/>
      <c r="I478" s="18"/>
      <c r="J478" s="18"/>
      <c r="K478" s="18"/>
      <c r="L478" s="18"/>
    </row>
    <row r="479" spans="2:12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 spans="2:12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 spans="2:12">
      <c r="B481" s="25" t="s">
        <v>488</v>
      </c>
      <c r="C481" s="25"/>
      <c r="D481" s="280" t="s">
        <v>32</v>
      </c>
      <c r="E481" s="281"/>
      <c r="F481" s="282"/>
      <c r="G481" s="283" t="s">
        <v>38</v>
      </c>
      <c r="H481" s="283"/>
      <c r="I481" s="283"/>
      <c r="J481" s="283"/>
      <c r="K481" s="18"/>
      <c r="L481" s="18"/>
    </row>
    <row r="482" spans="2:12">
      <c r="B482" s="45" t="s">
        <v>39</v>
      </c>
      <c r="C482" s="234" t="s">
        <v>515</v>
      </c>
      <c r="D482" s="234" t="s">
        <v>516</v>
      </c>
      <c r="E482" s="233" t="s">
        <v>41</v>
      </c>
      <c r="F482" s="233" t="s">
        <v>42</v>
      </c>
      <c r="G482" s="284" t="s">
        <v>43</v>
      </c>
      <c r="H482" s="233" t="s">
        <v>44</v>
      </c>
      <c r="I482" s="233" t="s">
        <v>45</v>
      </c>
      <c r="J482" s="233" t="s">
        <v>46</v>
      </c>
      <c r="K482" s="233" t="s">
        <v>45</v>
      </c>
      <c r="L482" s="233" t="s">
        <v>46</v>
      </c>
    </row>
    <row r="483" spans="2:12">
      <c r="B483" s="45"/>
      <c r="C483" s="233"/>
      <c r="D483" s="233"/>
      <c r="E483" s="233"/>
      <c r="F483" s="233"/>
      <c r="G483" s="284"/>
      <c r="H483" s="233" t="s">
        <v>53</v>
      </c>
      <c r="I483" s="233" t="s">
        <v>48</v>
      </c>
      <c r="J483" s="233" t="s">
        <v>33</v>
      </c>
      <c r="K483" s="233" t="s">
        <v>49</v>
      </c>
      <c r="L483" s="233" t="s">
        <v>50</v>
      </c>
    </row>
    <row r="484" spans="2:12">
      <c r="B484" s="268" t="s">
        <v>489</v>
      </c>
      <c r="C484" s="79" t="s">
        <v>486</v>
      </c>
      <c r="D484" s="234">
        <v>150</v>
      </c>
      <c r="E484" s="159">
        <v>152.41</v>
      </c>
      <c r="F484" s="270">
        <f t="shared" ref="F484" si="325">+E484+E485</f>
        <v>152.41</v>
      </c>
      <c r="G484" s="272"/>
      <c r="H484" s="274"/>
      <c r="I484" s="270">
        <v>18.7</v>
      </c>
      <c r="J484" s="275">
        <f t="shared" ref="J484" si="326">I484/F484*1000</f>
        <v>122.69536119677187</v>
      </c>
      <c r="K484" s="277">
        <v>9840</v>
      </c>
      <c r="L484" s="275">
        <f t="shared" ref="L484" si="327">K484/F484</f>
        <v>64.562692736697073</v>
      </c>
    </row>
    <row r="485" spans="2:12">
      <c r="B485" s="269"/>
      <c r="C485" s="79"/>
      <c r="D485" s="234"/>
      <c r="E485" s="26"/>
      <c r="F485" s="271"/>
      <c r="G485" s="273"/>
      <c r="H485" s="274"/>
      <c r="I485" s="271"/>
      <c r="J485" s="276"/>
      <c r="K485" s="277"/>
      <c r="L485" s="276"/>
    </row>
    <row r="486" spans="2:12">
      <c r="B486" s="268" t="s">
        <v>490</v>
      </c>
      <c r="C486" s="79" t="s">
        <v>511</v>
      </c>
      <c r="D486" s="234">
        <v>230</v>
      </c>
      <c r="E486" s="159">
        <v>241.69</v>
      </c>
      <c r="F486" s="270">
        <f t="shared" ref="F486" si="328">+E486+E487</f>
        <v>241.69</v>
      </c>
      <c r="G486" s="272"/>
      <c r="H486" s="274"/>
      <c r="I486" s="270">
        <v>29.5</v>
      </c>
      <c r="J486" s="275">
        <f t="shared" ref="J486" si="329">I486/F486*1000</f>
        <v>122.05718068600272</v>
      </c>
      <c r="K486" s="277">
        <v>14640</v>
      </c>
      <c r="L486" s="275">
        <f t="shared" ref="L486" si="330">K486/F486</f>
        <v>60.573461872646782</v>
      </c>
    </row>
    <row r="487" spans="2:12">
      <c r="B487" s="269"/>
      <c r="C487" s="79"/>
      <c r="D487" s="234"/>
      <c r="E487" s="26"/>
      <c r="F487" s="271"/>
      <c r="G487" s="273"/>
      <c r="H487" s="274"/>
      <c r="I487" s="271"/>
      <c r="J487" s="276"/>
      <c r="K487" s="277"/>
      <c r="L487" s="276"/>
    </row>
    <row r="488" spans="2:12">
      <c r="B488" s="268" t="s">
        <v>494</v>
      </c>
      <c r="C488" s="79" t="s">
        <v>495</v>
      </c>
      <c r="D488" s="234">
        <v>170</v>
      </c>
      <c r="E488" s="159">
        <v>162.87</v>
      </c>
      <c r="F488" s="270">
        <f t="shared" ref="F488" si="331">+E488+E489</f>
        <v>162.87</v>
      </c>
      <c r="G488" s="272"/>
      <c r="H488" s="274"/>
      <c r="I488" s="270">
        <v>22.4</v>
      </c>
      <c r="J488" s="275">
        <f t="shared" ref="J488" si="332">I488/F488*1000</f>
        <v>137.53300178056116</v>
      </c>
      <c r="K488" s="277">
        <v>12540</v>
      </c>
      <c r="L488" s="275">
        <f t="shared" ref="L488" si="333">K488/F488</f>
        <v>76.993921532510583</v>
      </c>
    </row>
    <row r="489" spans="2:12">
      <c r="B489" s="269"/>
      <c r="C489" s="79"/>
      <c r="D489" s="234"/>
      <c r="E489" s="26"/>
      <c r="F489" s="271"/>
      <c r="G489" s="273"/>
      <c r="H489" s="274"/>
      <c r="I489" s="271"/>
      <c r="J489" s="276"/>
      <c r="K489" s="277"/>
      <c r="L489" s="276"/>
    </row>
    <row r="490" spans="2:12">
      <c r="B490" s="268" t="s">
        <v>496</v>
      </c>
      <c r="C490" s="79" t="s">
        <v>497</v>
      </c>
      <c r="D490" s="234">
        <v>200</v>
      </c>
      <c r="E490" s="159">
        <v>201.3</v>
      </c>
      <c r="F490" s="270">
        <f t="shared" ref="F490" si="334">+E490+E491</f>
        <v>201.3</v>
      </c>
      <c r="G490" s="272"/>
      <c r="H490" s="274"/>
      <c r="I490" s="270">
        <v>25.8</v>
      </c>
      <c r="J490" s="275">
        <f t="shared" ref="J490" si="335">I490/F490*1000</f>
        <v>128.16691505216096</v>
      </c>
      <c r="K490" s="277">
        <v>14580</v>
      </c>
      <c r="L490" s="275">
        <f t="shared" ref="L490" si="336">K490/F490</f>
        <v>72.429210134128169</v>
      </c>
    </row>
    <row r="491" spans="2:12">
      <c r="B491" s="269"/>
      <c r="C491" s="79"/>
      <c r="D491" s="234"/>
      <c r="E491" s="26"/>
      <c r="F491" s="271"/>
      <c r="G491" s="273"/>
      <c r="H491" s="274"/>
      <c r="I491" s="271"/>
      <c r="J491" s="276"/>
      <c r="K491" s="277"/>
      <c r="L491" s="276"/>
    </row>
    <row r="492" spans="2:12">
      <c r="B492" s="268" t="s">
        <v>500</v>
      </c>
      <c r="C492" s="79" t="s">
        <v>512</v>
      </c>
      <c r="D492" s="234">
        <v>150</v>
      </c>
      <c r="E492" s="159">
        <v>148.74</v>
      </c>
      <c r="F492" s="270">
        <f t="shared" ref="F492" si="337">+E492+E493</f>
        <v>148.74</v>
      </c>
      <c r="G492" s="272"/>
      <c r="H492" s="274"/>
      <c r="I492" s="270">
        <v>19.600000000000001</v>
      </c>
      <c r="J492" s="275">
        <f t="shared" ref="J492" si="338">I492/F492*1000</f>
        <v>131.77356460938549</v>
      </c>
      <c r="K492" s="277">
        <v>11460</v>
      </c>
      <c r="L492" s="275">
        <f t="shared" ref="L492" si="339">K492/F492</f>
        <v>77.047196450181517</v>
      </c>
    </row>
    <row r="493" spans="2:12">
      <c r="B493" s="269"/>
      <c r="C493" s="79"/>
      <c r="D493" s="234"/>
      <c r="E493" s="26"/>
      <c r="F493" s="271"/>
      <c r="G493" s="273"/>
      <c r="H493" s="274"/>
      <c r="I493" s="271"/>
      <c r="J493" s="276"/>
      <c r="K493" s="277"/>
      <c r="L493" s="276"/>
    </row>
    <row r="494" spans="2:12">
      <c r="B494" s="268" t="s">
        <v>502</v>
      </c>
      <c r="C494" s="26" t="s">
        <v>452</v>
      </c>
      <c r="D494" s="234"/>
      <c r="E494" s="159"/>
      <c r="F494" s="270"/>
      <c r="G494" s="272"/>
      <c r="H494" s="274"/>
      <c r="I494" s="270"/>
      <c r="J494" s="275"/>
      <c r="K494" s="277"/>
      <c r="L494" s="275"/>
    </row>
    <row r="495" spans="2:12">
      <c r="B495" s="269"/>
      <c r="C495" s="26" t="s">
        <v>453</v>
      </c>
      <c r="D495" s="234"/>
      <c r="E495" s="159"/>
      <c r="F495" s="271"/>
      <c r="G495" s="273"/>
      <c r="H495" s="274"/>
      <c r="I495" s="271"/>
      <c r="J495" s="276"/>
      <c r="K495" s="277"/>
      <c r="L495" s="276"/>
    </row>
    <row r="496" spans="2:12">
      <c r="B496" s="268" t="s">
        <v>503</v>
      </c>
      <c r="C496" s="79" t="s">
        <v>504</v>
      </c>
      <c r="D496" s="234">
        <v>150</v>
      </c>
      <c r="E496" s="159">
        <v>150.16499999999999</v>
      </c>
      <c r="F496" s="270">
        <f t="shared" ref="F496" si="340">+E496+E497</f>
        <v>150.16499999999999</v>
      </c>
      <c r="G496" s="272"/>
      <c r="H496" s="274"/>
      <c r="I496" s="270">
        <v>20.100000000000001</v>
      </c>
      <c r="J496" s="275">
        <f t="shared" ref="J496" si="341">I496/F496*1000</f>
        <v>133.85276196184199</v>
      </c>
      <c r="K496" s="277">
        <v>12960</v>
      </c>
      <c r="L496" s="275">
        <f t="shared" ref="L496" si="342">K496/F496</f>
        <v>86.305064429127967</v>
      </c>
    </row>
    <row r="497" spans="2:12">
      <c r="B497" s="269"/>
      <c r="C497" s="79"/>
      <c r="D497" s="234"/>
      <c r="E497" s="26"/>
      <c r="F497" s="271"/>
      <c r="G497" s="273"/>
      <c r="H497" s="274"/>
      <c r="I497" s="271"/>
      <c r="J497" s="276"/>
      <c r="K497" s="277"/>
      <c r="L497" s="276"/>
    </row>
    <row r="498" spans="2:12">
      <c r="B498" s="268" t="s">
        <v>505</v>
      </c>
      <c r="C498" s="79" t="s">
        <v>506</v>
      </c>
      <c r="D498" s="234">
        <v>140</v>
      </c>
      <c r="E498" s="159">
        <v>0.76</v>
      </c>
      <c r="F498" s="270">
        <f t="shared" ref="F498" si="343">+E498+E499</f>
        <v>0.76</v>
      </c>
      <c r="G498" s="272"/>
      <c r="H498" s="274"/>
      <c r="I498" s="270">
        <v>2.2000000000000002</v>
      </c>
      <c r="J498" s="275">
        <f t="shared" ref="J498" si="344">I498/F498*1000</f>
        <v>2894.7368421052633</v>
      </c>
      <c r="K498" s="277">
        <v>80</v>
      </c>
      <c r="L498" s="275">
        <f t="shared" ref="L498" si="345">K498/F498</f>
        <v>105.26315789473684</v>
      </c>
    </row>
    <row r="499" spans="2:12">
      <c r="B499" s="269"/>
      <c r="C499" s="79" t="s">
        <v>507</v>
      </c>
      <c r="D499" s="234"/>
      <c r="E499" s="26"/>
      <c r="F499" s="271"/>
      <c r="G499" s="273"/>
      <c r="H499" s="274"/>
      <c r="I499" s="271"/>
      <c r="J499" s="276"/>
      <c r="K499" s="277"/>
      <c r="L499" s="276"/>
    </row>
    <row r="500" spans="2:12">
      <c r="B500" s="268" t="s">
        <v>509</v>
      </c>
      <c r="C500" s="79" t="s">
        <v>510</v>
      </c>
      <c r="D500" s="234">
        <v>140</v>
      </c>
      <c r="E500" s="159">
        <v>134.22</v>
      </c>
      <c r="F500" s="270">
        <f t="shared" ref="F500" si="346">+E500+E501</f>
        <v>134.22</v>
      </c>
      <c r="G500" s="272"/>
      <c r="H500" s="274"/>
      <c r="I500" s="270">
        <v>20.2</v>
      </c>
      <c r="J500" s="275">
        <f t="shared" ref="J500" si="347">I500/F500*1000</f>
        <v>150.49918045000746</v>
      </c>
      <c r="K500" s="277">
        <v>12180</v>
      </c>
      <c r="L500" s="275">
        <f t="shared" ref="L500" si="348">K500/F500</f>
        <v>90.746535538667857</v>
      </c>
    </row>
    <row r="501" spans="2:12">
      <c r="B501" s="269"/>
      <c r="C501" s="79"/>
      <c r="D501" s="234"/>
      <c r="E501" s="26"/>
      <c r="F501" s="271"/>
      <c r="G501" s="273"/>
      <c r="H501" s="274"/>
      <c r="I501" s="271"/>
      <c r="J501" s="276"/>
      <c r="K501" s="277"/>
      <c r="L501" s="276"/>
    </row>
    <row r="502" spans="2:12">
      <c r="B502" s="268" t="s">
        <v>513</v>
      </c>
      <c r="C502" s="79" t="s">
        <v>514</v>
      </c>
      <c r="D502" s="234">
        <v>180</v>
      </c>
      <c r="E502" s="159">
        <v>183.02</v>
      </c>
      <c r="F502" s="270">
        <f t="shared" ref="F502" si="349">+E502+E503</f>
        <v>183.02</v>
      </c>
      <c r="G502" s="272"/>
      <c r="H502" s="274"/>
      <c r="I502" s="270">
        <v>24.3</v>
      </c>
      <c r="J502" s="275">
        <f t="shared" ref="J502" si="350">I502/F502*1000</f>
        <v>132.77237460386843</v>
      </c>
      <c r="K502" s="277">
        <v>15840</v>
      </c>
      <c r="L502" s="275">
        <f t="shared" ref="L502" si="351">K502/F502</f>
        <v>86.547918260299411</v>
      </c>
    </row>
    <row r="503" spans="2:12">
      <c r="B503" s="269"/>
      <c r="C503" s="234"/>
      <c r="D503" s="234"/>
      <c r="E503" s="26"/>
      <c r="F503" s="271"/>
      <c r="G503" s="273"/>
      <c r="H503" s="274"/>
      <c r="I503" s="271"/>
      <c r="J503" s="276"/>
      <c r="K503" s="277"/>
      <c r="L503" s="276"/>
    </row>
    <row r="504" spans="2:12">
      <c r="B504" s="268" t="s">
        <v>517</v>
      </c>
      <c r="C504" s="12" t="s">
        <v>518</v>
      </c>
      <c r="D504" s="234">
        <v>180</v>
      </c>
      <c r="E504" s="159">
        <v>200.44</v>
      </c>
      <c r="F504" s="270">
        <f t="shared" ref="F504" si="352">+E504+E505</f>
        <v>200.44</v>
      </c>
      <c r="G504" s="272"/>
      <c r="H504" s="274"/>
      <c r="I504" s="270">
        <v>25.3</v>
      </c>
      <c r="J504" s="275">
        <f t="shared" ref="J504" si="353">I504/F504*1000</f>
        <v>126.22231091598485</v>
      </c>
      <c r="K504" s="277">
        <v>13320</v>
      </c>
      <c r="L504" s="275">
        <f t="shared" ref="L504" si="354">K504/F504</f>
        <v>66.453801636399916</v>
      </c>
    </row>
    <row r="505" spans="2:12">
      <c r="B505" s="269"/>
      <c r="C505" s="234"/>
      <c r="D505" s="234"/>
      <c r="E505" s="26"/>
      <c r="F505" s="271"/>
      <c r="G505" s="273"/>
      <c r="H505" s="274"/>
      <c r="I505" s="271"/>
      <c r="J505" s="276"/>
      <c r="K505" s="277"/>
      <c r="L505" s="276"/>
    </row>
    <row r="506" spans="2:12">
      <c r="B506" s="268" t="s">
        <v>519</v>
      </c>
      <c r="C506" s="12" t="s">
        <v>520</v>
      </c>
      <c r="D506" s="234">
        <v>115</v>
      </c>
      <c r="E506" s="159">
        <v>123.82</v>
      </c>
      <c r="F506" s="270">
        <f t="shared" ref="F506" si="355">+E506+E507</f>
        <v>123.82</v>
      </c>
      <c r="G506" s="272"/>
      <c r="H506" s="274"/>
      <c r="I506" s="270">
        <v>15.7</v>
      </c>
      <c r="J506" s="275">
        <f t="shared" ref="J506" si="356">I506/F506*1000</f>
        <v>126.79696333387174</v>
      </c>
      <c r="K506" s="277">
        <v>8640</v>
      </c>
      <c r="L506" s="275">
        <f t="shared" ref="L506" si="357">K506/F506</f>
        <v>69.778711032143434</v>
      </c>
    </row>
    <row r="507" spans="2:12">
      <c r="B507" s="269"/>
      <c r="C507" s="234"/>
      <c r="D507" s="234"/>
      <c r="E507" s="26"/>
      <c r="F507" s="271"/>
      <c r="G507" s="273"/>
      <c r="H507" s="274"/>
      <c r="I507" s="271"/>
      <c r="J507" s="276"/>
      <c r="K507" s="277"/>
      <c r="L507" s="276"/>
    </row>
    <row r="508" spans="2:12">
      <c r="B508" s="268" t="s">
        <v>521</v>
      </c>
      <c r="C508" s="26" t="s">
        <v>452</v>
      </c>
      <c r="D508" s="235"/>
      <c r="E508" s="159"/>
      <c r="F508" s="270"/>
      <c r="G508" s="272"/>
      <c r="H508" s="274"/>
      <c r="I508" s="270"/>
      <c r="J508" s="275"/>
      <c r="K508" s="277"/>
      <c r="L508" s="275"/>
    </row>
    <row r="509" spans="2:12">
      <c r="B509" s="269"/>
      <c r="C509" s="26" t="s">
        <v>453</v>
      </c>
      <c r="D509" s="235"/>
      <c r="E509" s="159"/>
      <c r="F509" s="271"/>
      <c r="G509" s="273"/>
      <c r="H509" s="274"/>
      <c r="I509" s="271"/>
      <c r="J509" s="276"/>
      <c r="K509" s="277"/>
      <c r="L509" s="276"/>
    </row>
    <row r="510" spans="2:12" ht="14.25" customHeight="1">
      <c r="B510" s="268" t="s">
        <v>522</v>
      </c>
      <c r="C510" s="158" t="s">
        <v>524</v>
      </c>
      <c r="D510" s="234">
        <v>150</v>
      </c>
      <c r="E510" s="231">
        <v>169.3</v>
      </c>
      <c r="F510" s="270">
        <f t="shared" ref="F510" si="358">+E510+E511</f>
        <v>324.45000000000005</v>
      </c>
      <c r="G510" s="272"/>
      <c r="H510" s="274"/>
      <c r="I510" s="270">
        <v>45.3</v>
      </c>
      <c r="J510" s="275">
        <f t="shared" ref="J510" si="359">I510/F510*1000</f>
        <v>139.62089690245028</v>
      </c>
      <c r="K510" s="277">
        <v>23360</v>
      </c>
      <c r="L510" s="275">
        <f t="shared" ref="L510" si="360">K510/F510</f>
        <v>71.998767144398201</v>
      </c>
    </row>
    <row r="511" spans="2:12">
      <c r="B511" s="269"/>
      <c r="C511" s="158" t="s">
        <v>525</v>
      </c>
      <c r="D511" s="234">
        <v>150</v>
      </c>
      <c r="E511" s="231">
        <v>155.15</v>
      </c>
      <c r="F511" s="271"/>
      <c r="G511" s="273"/>
      <c r="H511" s="274"/>
      <c r="I511" s="271"/>
      <c r="J511" s="276"/>
      <c r="K511" s="277"/>
      <c r="L511" s="276"/>
    </row>
    <row r="512" spans="2:12">
      <c r="B512" s="268" t="s">
        <v>526</v>
      </c>
      <c r="C512" s="26" t="s">
        <v>537</v>
      </c>
      <c r="D512" s="236"/>
      <c r="E512" s="159"/>
      <c r="F512" s="270"/>
      <c r="G512" s="272"/>
      <c r="H512" s="274"/>
      <c r="I512" s="270"/>
      <c r="J512" s="275"/>
      <c r="K512" s="277"/>
      <c r="L512" s="275"/>
    </row>
    <row r="513" spans="2:12">
      <c r="B513" s="269"/>
      <c r="C513" s="26" t="s">
        <v>538</v>
      </c>
      <c r="D513" s="236"/>
      <c r="E513" s="159"/>
      <c r="F513" s="271"/>
      <c r="G513" s="273"/>
      <c r="H513" s="274"/>
      <c r="I513" s="271"/>
      <c r="J513" s="276"/>
      <c r="K513" s="277"/>
      <c r="L513" s="276"/>
    </row>
    <row r="514" spans="2:12">
      <c r="B514" s="268" t="s">
        <v>528</v>
      </c>
      <c r="C514" s="12" t="s">
        <v>529</v>
      </c>
      <c r="D514" s="234">
        <v>120</v>
      </c>
      <c r="E514" s="159">
        <v>128.52000000000001</v>
      </c>
      <c r="F514" s="270">
        <f t="shared" ref="F514" si="361">+E514+E515</f>
        <v>128.52000000000001</v>
      </c>
      <c r="G514" s="272"/>
      <c r="H514" s="274"/>
      <c r="I514" s="270">
        <v>18.3</v>
      </c>
      <c r="J514" s="275">
        <f t="shared" ref="J514" si="362">I514/F514*1000</f>
        <v>142.39028944911297</v>
      </c>
      <c r="K514" s="277">
        <v>9610</v>
      </c>
      <c r="L514" s="275">
        <f t="shared" ref="L514" si="363">K514/F514</f>
        <v>74.774354186118885</v>
      </c>
    </row>
    <row r="515" spans="2:12">
      <c r="B515" s="269"/>
      <c r="C515" s="234"/>
      <c r="D515" s="234"/>
      <c r="E515" s="26"/>
      <c r="F515" s="271"/>
      <c r="G515" s="273"/>
      <c r="H515" s="274"/>
      <c r="I515" s="271"/>
      <c r="J515" s="276"/>
      <c r="K515" s="277"/>
      <c r="L515" s="276"/>
    </row>
    <row r="516" spans="2:12" ht="15" customHeight="1">
      <c r="B516" s="268" t="s">
        <v>533</v>
      </c>
      <c r="C516" s="237" t="s">
        <v>536</v>
      </c>
      <c r="D516" s="237"/>
      <c r="E516" s="159"/>
      <c r="F516" s="270"/>
      <c r="G516" s="272"/>
      <c r="H516" s="274"/>
      <c r="I516" s="270"/>
      <c r="J516" s="275"/>
      <c r="K516" s="277"/>
      <c r="L516" s="275"/>
    </row>
    <row r="517" spans="2:12">
      <c r="B517" s="269"/>
      <c r="C517" s="237" t="s">
        <v>534</v>
      </c>
      <c r="D517" s="237"/>
      <c r="E517" s="159"/>
      <c r="F517" s="271"/>
      <c r="G517" s="273"/>
      <c r="H517" s="274"/>
      <c r="I517" s="271"/>
      <c r="J517" s="276"/>
      <c r="K517" s="277"/>
      <c r="L517" s="276"/>
    </row>
    <row r="518" spans="2:12">
      <c r="B518" s="268" t="s">
        <v>539</v>
      </c>
      <c r="C518" s="238" t="s">
        <v>283</v>
      </c>
      <c r="D518" s="234">
        <v>170</v>
      </c>
      <c r="E518" s="159">
        <v>182.45</v>
      </c>
      <c r="F518" s="270">
        <f t="shared" ref="F518" si="364">+E518+E519</f>
        <v>182.45</v>
      </c>
      <c r="G518" s="272"/>
      <c r="H518" s="274"/>
      <c r="I518" s="270">
        <v>24.9</v>
      </c>
      <c r="J518" s="275">
        <f t="shared" ref="J518" si="365">I518/F518*1000</f>
        <v>136.4757467799397</v>
      </c>
      <c r="K518" s="277">
        <v>11940</v>
      </c>
      <c r="L518" s="275">
        <f t="shared" ref="L518" si="366">K518/F518</f>
        <v>65.442587010139775</v>
      </c>
    </row>
    <row r="519" spans="2:12">
      <c r="B519" s="269"/>
      <c r="C519" s="234"/>
      <c r="D519" s="234"/>
      <c r="E519" s="26"/>
      <c r="F519" s="271"/>
      <c r="G519" s="273"/>
      <c r="H519" s="274"/>
      <c r="I519" s="271"/>
      <c r="J519" s="276"/>
      <c r="K519" s="277"/>
      <c r="L519" s="276"/>
    </row>
    <row r="520" spans="2:12">
      <c r="B520" s="268" t="s">
        <v>541</v>
      </c>
      <c r="C520" s="12" t="s">
        <v>542</v>
      </c>
      <c r="D520" s="234">
        <v>230</v>
      </c>
      <c r="E520" s="159">
        <v>226.68</v>
      </c>
      <c r="F520" s="270">
        <f t="shared" ref="F520" si="367">+E520+E521</f>
        <v>226.68</v>
      </c>
      <c r="G520" s="272"/>
      <c r="H520" s="274"/>
      <c r="I520" s="270">
        <v>28.9</v>
      </c>
      <c r="J520" s="275">
        <f t="shared" ref="J520" si="368">I520/F520*1000</f>
        <v>127.49250044115051</v>
      </c>
      <c r="K520" s="277">
        <v>13870</v>
      </c>
      <c r="L520" s="275">
        <f t="shared" ref="L520" si="369">K520/F520</f>
        <v>61.187577201341092</v>
      </c>
    </row>
    <row r="521" spans="2:12">
      <c r="B521" s="269"/>
      <c r="C521" s="234"/>
      <c r="D521" s="234"/>
      <c r="E521" s="26"/>
      <c r="F521" s="271"/>
      <c r="G521" s="273"/>
      <c r="H521" s="274"/>
      <c r="I521" s="271"/>
      <c r="J521" s="276"/>
      <c r="K521" s="277"/>
      <c r="L521" s="276"/>
    </row>
    <row r="522" spans="2:12">
      <c r="B522" s="268" t="s">
        <v>543</v>
      </c>
      <c r="C522" s="26" t="s">
        <v>452</v>
      </c>
      <c r="D522" s="239"/>
      <c r="E522" s="159"/>
      <c r="F522" s="270"/>
      <c r="G522" s="272"/>
      <c r="H522" s="274"/>
      <c r="I522" s="270"/>
      <c r="J522" s="275"/>
      <c r="K522" s="277"/>
      <c r="L522" s="275"/>
    </row>
    <row r="523" spans="2:12">
      <c r="B523" s="269"/>
      <c r="C523" s="26" t="s">
        <v>453</v>
      </c>
      <c r="D523" s="239"/>
      <c r="E523" s="159"/>
      <c r="F523" s="271"/>
      <c r="G523" s="273"/>
      <c r="H523" s="274"/>
      <c r="I523" s="271"/>
      <c r="J523" s="276"/>
      <c r="K523" s="277"/>
      <c r="L523" s="276"/>
    </row>
    <row r="524" spans="2:12">
      <c r="B524" s="268" t="s">
        <v>548</v>
      </c>
      <c r="C524" s="45" t="s">
        <v>545</v>
      </c>
      <c r="D524" s="234"/>
      <c r="E524" s="159"/>
      <c r="F524" s="270"/>
      <c r="G524" s="272"/>
      <c r="H524" s="274"/>
      <c r="I524" s="270"/>
      <c r="J524" s="275"/>
      <c r="K524" s="277"/>
      <c r="L524" s="275"/>
    </row>
    <row r="525" spans="2:12">
      <c r="B525" s="269"/>
      <c r="C525" s="234"/>
      <c r="D525" s="234"/>
      <c r="E525" s="26"/>
      <c r="F525" s="271"/>
      <c r="G525" s="273"/>
      <c r="H525" s="274"/>
      <c r="I525" s="271"/>
      <c r="J525" s="276"/>
      <c r="K525" s="277"/>
      <c r="L525" s="276"/>
    </row>
    <row r="526" spans="2:12">
      <c r="B526" s="268" t="s">
        <v>546</v>
      </c>
      <c r="C526" s="12" t="s">
        <v>547</v>
      </c>
      <c r="D526" s="234">
        <v>170</v>
      </c>
      <c r="E526" s="159">
        <v>175.89</v>
      </c>
      <c r="F526" s="270">
        <f t="shared" ref="F526" si="370">+E526+E527</f>
        <v>175.89</v>
      </c>
      <c r="G526" s="272"/>
      <c r="H526" s="274"/>
      <c r="I526" s="270">
        <v>27.6</v>
      </c>
      <c r="J526" s="275">
        <f t="shared" ref="J526" si="371">I526/F526*1000</f>
        <v>156.9162544772301</v>
      </c>
      <c r="K526" s="277">
        <v>12120</v>
      </c>
      <c r="L526" s="275">
        <f t="shared" ref="L526" si="372">K526/F526</f>
        <v>68.906703053044524</v>
      </c>
    </row>
    <row r="527" spans="2:12">
      <c r="B527" s="269"/>
      <c r="C527" s="234"/>
      <c r="D527" s="234"/>
      <c r="E527" s="26"/>
      <c r="F527" s="271"/>
      <c r="G527" s="273"/>
      <c r="H527" s="274"/>
      <c r="I527" s="271"/>
      <c r="J527" s="276"/>
      <c r="K527" s="277"/>
      <c r="L527" s="276"/>
    </row>
    <row r="528" spans="2:12" ht="15" customHeight="1">
      <c r="B528" s="268" t="s">
        <v>549</v>
      </c>
      <c r="C528" s="12" t="s">
        <v>550</v>
      </c>
      <c r="D528" s="234">
        <v>170</v>
      </c>
      <c r="E528" s="159">
        <v>224.67</v>
      </c>
      <c r="F528" s="270">
        <f t="shared" ref="F528" si="373">+E528+E529</f>
        <v>224.67</v>
      </c>
      <c r="G528" s="272"/>
      <c r="H528" s="274"/>
      <c r="I528" s="270">
        <v>29.6</v>
      </c>
      <c r="J528" s="275">
        <f t="shared" ref="J528" si="374">I528/F528*1000</f>
        <v>131.74878710998357</v>
      </c>
      <c r="K528" s="277">
        <v>12600</v>
      </c>
      <c r="L528" s="275">
        <f t="shared" ref="L528" si="375">K528/F528</f>
        <v>56.082253972492992</v>
      </c>
    </row>
    <row r="529" spans="2:12">
      <c r="B529" s="269"/>
      <c r="C529" s="234"/>
      <c r="D529" s="234"/>
      <c r="E529" s="26"/>
      <c r="F529" s="271"/>
      <c r="G529" s="273"/>
      <c r="H529" s="274"/>
      <c r="I529" s="271"/>
      <c r="J529" s="276"/>
      <c r="K529" s="277"/>
      <c r="L529" s="276"/>
    </row>
    <row r="530" spans="2:12">
      <c r="B530" s="268" t="s">
        <v>551</v>
      </c>
      <c r="C530" s="26" t="s">
        <v>452</v>
      </c>
      <c r="D530" s="234"/>
      <c r="E530" s="159"/>
      <c r="F530" s="270">
        <f t="shared" ref="F530" si="376">+E530+E531</f>
        <v>0</v>
      </c>
      <c r="G530" s="272"/>
      <c r="H530" s="274"/>
      <c r="I530" s="270"/>
      <c r="J530" s="275" t="e">
        <f t="shared" ref="J530" si="377">I530/F530*1000</f>
        <v>#DIV/0!</v>
      </c>
      <c r="K530" s="277"/>
      <c r="L530" s="275" t="e">
        <f t="shared" ref="L530" si="378">K530/F530</f>
        <v>#DIV/0!</v>
      </c>
    </row>
    <row r="531" spans="2:12">
      <c r="B531" s="269"/>
      <c r="C531" s="26" t="s">
        <v>453</v>
      </c>
      <c r="D531" s="234"/>
      <c r="E531" s="26"/>
      <c r="F531" s="271"/>
      <c r="G531" s="273"/>
      <c r="H531" s="274"/>
      <c r="I531" s="271"/>
      <c r="J531" s="276"/>
      <c r="K531" s="277"/>
      <c r="L531" s="276"/>
    </row>
    <row r="532" spans="2:12">
      <c r="B532" s="268" t="s">
        <v>554</v>
      </c>
      <c r="C532" s="45" t="s">
        <v>545</v>
      </c>
      <c r="D532" s="234"/>
      <c r="E532" s="159"/>
      <c r="F532" s="270">
        <f t="shared" ref="F532" si="379">+E532+E533</f>
        <v>0</v>
      </c>
      <c r="G532" s="272"/>
      <c r="H532" s="274"/>
      <c r="I532" s="270"/>
      <c r="J532" s="275" t="e">
        <f t="shared" ref="J532" si="380">I532/F532*1000</f>
        <v>#DIV/0!</v>
      </c>
      <c r="K532" s="277"/>
      <c r="L532" s="275" t="e">
        <f t="shared" ref="L532" si="381">K532/F532</f>
        <v>#DIV/0!</v>
      </c>
    </row>
    <row r="533" spans="2:12">
      <c r="B533" s="269"/>
      <c r="C533" s="234"/>
      <c r="D533" s="234"/>
      <c r="E533" s="26"/>
      <c r="F533" s="271"/>
      <c r="G533" s="273"/>
      <c r="H533" s="274"/>
      <c r="I533" s="271"/>
      <c r="J533" s="276"/>
      <c r="K533" s="277"/>
      <c r="L533" s="276"/>
    </row>
    <row r="534" spans="2:12">
      <c r="B534" s="268"/>
      <c r="C534" s="234"/>
      <c r="D534" s="234"/>
      <c r="E534" s="159"/>
      <c r="F534" s="270">
        <f t="shared" ref="F534" si="382">+E534+E535</f>
        <v>0</v>
      </c>
      <c r="G534" s="272"/>
      <c r="H534" s="274"/>
      <c r="I534" s="270"/>
      <c r="J534" s="275" t="e">
        <f t="shared" ref="J534" si="383">I534/F534*1000</f>
        <v>#DIV/0!</v>
      </c>
      <c r="K534" s="277"/>
      <c r="L534" s="275" t="e">
        <f t="shared" ref="L534" si="384">K534/F534</f>
        <v>#DIV/0!</v>
      </c>
    </row>
    <row r="535" spans="2:12">
      <c r="B535" s="269"/>
      <c r="C535" s="234"/>
      <c r="D535" s="234"/>
      <c r="E535" s="26"/>
      <c r="F535" s="271"/>
      <c r="G535" s="273"/>
      <c r="H535" s="274"/>
      <c r="I535" s="271"/>
      <c r="J535" s="276"/>
      <c r="K535" s="277"/>
      <c r="L535" s="276"/>
    </row>
    <row r="536" spans="2:12">
      <c r="B536" s="268"/>
      <c r="C536" s="234"/>
      <c r="D536" s="234"/>
      <c r="E536" s="159"/>
      <c r="F536" s="270">
        <f t="shared" ref="F536" si="385">+E536+E537</f>
        <v>0</v>
      </c>
      <c r="G536" s="272"/>
      <c r="H536" s="274"/>
      <c r="I536" s="270"/>
      <c r="J536" s="275" t="e">
        <f t="shared" ref="J536" si="386">I536/F536*1000</f>
        <v>#DIV/0!</v>
      </c>
      <c r="K536" s="277"/>
      <c r="L536" s="275" t="e">
        <f t="shared" ref="L536" si="387">K536/F536</f>
        <v>#DIV/0!</v>
      </c>
    </row>
    <row r="537" spans="2:12">
      <c r="B537" s="269"/>
      <c r="C537" s="234"/>
      <c r="D537" s="234"/>
      <c r="E537" s="26"/>
      <c r="F537" s="271"/>
      <c r="G537" s="273"/>
      <c r="H537" s="274"/>
      <c r="I537" s="271"/>
      <c r="J537" s="276"/>
      <c r="K537" s="277"/>
      <c r="L537" s="276"/>
    </row>
    <row r="538" spans="2:12">
      <c r="B538" s="268"/>
      <c r="C538" s="234"/>
      <c r="D538" s="234"/>
      <c r="E538" s="159"/>
      <c r="F538" s="270">
        <f t="shared" ref="F538" si="388">+E538+E539</f>
        <v>0</v>
      </c>
      <c r="G538" s="272"/>
      <c r="H538" s="274"/>
      <c r="I538" s="270"/>
      <c r="J538" s="275" t="e">
        <f t="shared" ref="J538" si="389">I538/F538*1000</f>
        <v>#DIV/0!</v>
      </c>
      <c r="K538" s="277"/>
      <c r="L538" s="275" t="e">
        <f t="shared" ref="L538" si="390">K538/F538</f>
        <v>#DIV/0!</v>
      </c>
    </row>
    <row r="539" spans="2:12">
      <c r="B539" s="269"/>
      <c r="C539" s="234"/>
      <c r="D539" s="234"/>
      <c r="E539" s="26"/>
      <c r="F539" s="271"/>
      <c r="G539" s="273"/>
      <c r="H539" s="274"/>
      <c r="I539" s="271"/>
      <c r="J539" s="276"/>
      <c r="K539" s="277"/>
      <c r="L539" s="276"/>
    </row>
    <row r="540" spans="2:12">
      <c r="B540" s="268"/>
      <c r="C540" s="234"/>
      <c r="D540" s="234"/>
      <c r="E540" s="159"/>
      <c r="F540" s="270">
        <f t="shared" ref="F540" si="391">+E540+E541</f>
        <v>0</v>
      </c>
      <c r="G540" s="272"/>
      <c r="H540" s="274"/>
      <c r="I540" s="270"/>
      <c r="J540" s="275" t="e">
        <f t="shared" ref="J540" si="392">I540/F540*1000</f>
        <v>#DIV/0!</v>
      </c>
      <c r="K540" s="277"/>
      <c r="L540" s="275" t="e">
        <f t="shared" ref="L540" si="393">K540/F540</f>
        <v>#DIV/0!</v>
      </c>
    </row>
    <row r="541" spans="2:12">
      <c r="B541" s="269"/>
      <c r="C541" s="234"/>
      <c r="D541" s="234"/>
      <c r="E541" s="26"/>
      <c r="F541" s="271"/>
      <c r="G541" s="273"/>
      <c r="H541" s="274"/>
      <c r="I541" s="271"/>
      <c r="J541" s="276"/>
      <c r="K541" s="277"/>
      <c r="L541" s="276"/>
    </row>
    <row r="542" spans="2:12">
      <c r="B542" s="268"/>
      <c r="C542" s="234"/>
      <c r="D542" s="234"/>
      <c r="E542" s="159"/>
      <c r="F542" s="270">
        <f t="shared" ref="F542" si="394">+E542+E543</f>
        <v>0</v>
      </c>
      <c r="G542" s="272"/>
      <c r="H542" s="274"/>
      <c r="I542" s="270"/>
      <c r="J542" s="275" t="e">
        <f t="shared" ref="J542" si="395">I542/F542*1000</f>
        <v>#DIV/0!</v>
      </c>
      <c r="K542" s="277"/>
      <c r="L542" s="275" t="e">
        <f t="shared" ref="L542" si="396">K542/F542</f>
        <v>#DIV/0!</v>
      </c>
    </row>
    <row r="543" spans="2:12">
      <c r="B543" s="269"/>
      <c r="C543" s="234"/>
      <c r="D543" s="234"/>
      <c r="E543" s="26"/>
      <c r="F543" s="271"/>
      <c r="G543" s="273"/>
      <c r="H543" s="274"/>
      <c r="I543" s="271"/>
      <c r="J543" s="276"/>
      <c r="K543" s="277"/>
      <c r="L543" s="276"/>
    </row>
    <row r="544" spans="2:12">
      <c r="B544" s="268"/>
      <c r="C544" s="234"/>
      <c r="D544" s="234"/>
      <c r="E544" s="159"/>
      <c r="F544" s="270">
        <f t="shared" ref="F544" si="397">+E544+E545</f>
        <v>0</v>
      </c>
      <c r="G544" s="272"/>
      <c r="H544" s="274"/>
      <c r="I544" s="270"/>
      <c r="J544" s="275" t="e">
        <f t="shared" ref="J544" si="398">I544/F544*1000</f>
        <v>#DIV/0!</v>
      </c>
      <c r="K544" s="277"/>
      <c r="L544" s="275" t="e">
        <f t="shared" ref="L544" si="399">K544/F544</f>
        <v>#DIV/0!</v>
      </c>
    </row>
    <row r="545" spans="2:20">
      <c r="B545" s="269"/>
      <c r="C545" s="234"/>
      <c r="D545" s="234"/>
      <c r="E545" s="26"/>
      <c r="F545" s="271"/>
      <c r="G545" s="273"/>
      <c r="H545" s="274"/>
      <c r="I545" s="271"/>
      <c r="J545" s="276"/>
      <c r="K545" s="277"/>
      <c r="L545" s="276"/>
    </row>
    <row r="546" spans="2:20">
      <c r="B546" s="27"/>
      <c r="C546" s="28"/>
      <c r="D546" s="28" t="s">
        <v>15</v>
      </c>
      <c r="E546" s="29">
        <f>SUM(E484:E545)</f>
        <v>2962.0949999999998</v>
      </c>
      <c r="F546" s="29">
        <f>SUM(F484:F545)</f>
        <v>2962.0949999999998</v>
      </c>
      <c r="G546" s="29">
        <f>SUM(G484:G545)</f>
        <v>0</v>
      </c>
      <c r="H546" s="29">
        <f>SUM(H484:H545)</f>
        <v>0</v>
      </c>
      <c r="I546" s="29">
        <f>SUM(I484:I545)</f>
        <v>398.4</v>
      </c>
      <c r="J546" s="232">
        <f>I546/F546*1000</f>
        <v>134.49939991796347</v>
      </c>
      <c r="K546" s="42">
        <f>SUM(K484:K545)</f>
        <v>209580</v>
      </c>
      <c r="L546" s="30">
        <f>K546/F546</f>
        <v>70.753976492988926</v>
      </c>
    </row>
    <row r="551" spans="2:20">
      <c r="B551" s="16" t="s">
        <v>558</v>
      </c>
      <c r="C551" s="16"/>
      <c r="F551" s="17"/>
      <c r="G551" s="18"/>
      <c r="H551" s="18"/>
      <c r="I551" s="18"/>
      <c r="J551" s="18"/>
      <c r="K551" s="18"/>
      <c r="L551" s="18"/>
      <c r="M551" s="18"/>
    </row>
    <row r="552" spans="2:20"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2:20" ht="21.75" thickBot="1">
      <c r="B553" s="19" t="s">
        <v>20</v>
      </c>
      <c r="C553" s="19" t="s">
        <v>25</v>
      </c>
      <c r="D553" s="19" t="s">
        <v>26</v>
      </c>
      <c r="E553" s="19" t="s">
        <v>27</v>
      </c>
      <c r="F553" s="20" t="s">
        <v>28</v>
      </c>
      <c r="G553" s="21"/>
      <c r="H553" s="22"/>
      <c r="I553" s="22"/>
      <c r="J553" s="21"/>
      <c r="K553" s="21"/>
      <c r="L553" s="21"/>
    </row>
    <row r="554" spans="2:20" ht="16.5" thickBot="1">
      <c r="B554" s="70" t="s">
        <v>59</v>
      </c>
      <c r="C554" s="71" t="s">
        <v>612</v>
      </c>
      <c r="D554" s="161">
        <f>161.61+151.92+186.61+145.25+157.45+148.02+127.74+156.11+184.55+207.47+206.41+156.23+178.08+202.754+403.42+510.806+200.12</f>
        <v>3484.55</v>
      </c>
      <c r="E554" s="71" t="s">
        <v>60</v>
      </c>
      <c r="F554" s="278">
        <f>+I645</f>
        <v>468.85000000000008</v>
      </c>
      <c r="G554" s="21"/>
      <c r="H554" s="21"/>
      <c r="I554" s="23"/>
      <c r="J554" s="23"/>
      <c r="K554" s="21"/>
      <c r="L554" s="21"/>
      <c r="M554" s="4"/>
      <c r="N554" s="4"/>
      <c r="T554" s="32">
        <f>+F554/D556</f>
        <v>0.13455108981073599</v>
      </c>
    </row>
    <row r="555" spans="2:20">
      <c r="B555" s="70"/>
      <c r="C555" s="71"/>
      <c r="D555" s="72"/>
      <c r="E555" s="71" t="s">
        <v>61</v>
      </c>
      <c r="F555" s="279"/>
      <c r="G555" s="21"/>
      <c r="H555" s="22"/>
      <c r="I555" s="22"/>
      <c r="J555" s="21"/>
      <c r="K555" s="21"/>
      <c r="L555" s="21"/>
      <c r="N555" s="4"/>
    </row>
    <row r="556" spans="2:20">
      <c r="B556" s="70" t="s">
        <v>15</v>
      </c>
      <c r="C556" s="71" t="str">
        <f>+C554</f>
        <v xml:space="preserve">  20 Day    ( 20  Shifts )  </v>
      </c>
      <c r="D556" s="72">
        <f>SUM(D554:D555)</f>
        <v>3484.55</v>
      </c>
      <c r="E556" s="71"/>
      <c r="F556" s="73">
        <f>SUM(F554:F555)</f>
        <v>468.85000000000008</v>
      </c>
      <c r="G556" s="21"/>
      <c r="H556" s="23"/>
      <c r="I556" s="23"/>
      <c r="J556" s="23"/>
      <c r="K556" s="21"/>
      <c r="L556" s="21"/>
    </row>
    <row r="557" spans="2:20">
      <c r="B557" s="74"/>
      <c r="C557" s="75" t="s">
        <v>29</v>
      </c>
      <c r="D557" s="76"/>
      <c r="E557" s="77" t="s">
        <v>30</v>
      </c>
      <c r="F557" s="74"/>
      <c r="G557" s="21"/>
      <c r="H557" s="21"/>
      <c r="I557" s="21"/>
      <c r="J557" s="21"/>
      <c r="K557" s="21"/>
      <c r="L557" s="21"/>
    </row>
    <row r="558" spans="2:20">
      <c r="B558" s="71"/>
      <c r="C558" s="71"/>
      <c r="D558" s="78"/>
      <c r="E558" s="79"/>
      <c r="F558" s="71"/>
      <c r="G558" s="21"/>
      <c r="H558" s="21"/>
      <c r="I558" s="21"/>
      <c r="J558" s="21"/>
      <c r="K558" s="21"/>
      <c r="L558" s="21"/>
    </row>
    <row r="559" spans="2:20">
      <c r="B559" s="71"/>
      <c r="C559" s="71" t="s">
        <v>371</v>
      </c>
      <c r="D559" s="78"/>
      <c r="E559" s="79" t="s">
        <v>63</v>
      </c>
      <c r="F559" s="71"/>
      <c r="G559" s="21"/>
      <c r="H559" s="21"/>
      <c r="I559" s="21"/>
      <c r="J559" s="21"/>
      <c r="K559" s="21"/>
      <c r="L559" s="21"/>
    </row>
    <row r="560" spans="2:20">
      <c r="B560" s="71"/>
      <c r="C560" s="71" t="s">
        <v>205</v>
      </c>
      <c r="D560" s="80"/>
      <c r="E560" s="45" t="s">
        <v>595</v>
      </c>
      <c r="F560" s="71"/>
      <c r="G560" s="21"/>
      <c r="H560" s="21"/>
      <c r="I560" s="21"/>
      <c r="J560" s="21"/>
      <c r="K560" s="21"/>
      <c r="L560" s="21"/>
    </row>
    <row r="561" spans="2:12">
      <c r="B561" s="71"/>
      <c r="C561" s="71" t="s">
        <v>609</v>
      </c>
      <c r="D561" s="80"/>
      <c r="E561" s="12" t="s">
        <v>606</v>
      </c>
      <c r="F561" s="24"/>
      <c r="G561" s="21"/>
      <c r="H561" s="21"/>
      <c r="I561" s="21"/>
      <c r="J561" s="21"/>
      <c r="K561" s="21"/>
      <c r="L561" s="21"/>
    </row>
    <row r="562" spans="2:12">
      <c r="B562" s="71"/>
      <c r="C562" s="71"/>
      <c r="D562" s="80"/>
      <c r="E562" s="45"/>
      <c r="F562" s="24"/>
      <c r="G562" s="21"/>
      <c r="H562" s="21"/>
      <c r="I562" s="21"/>
      <c r="J562" s="21"/>
      <c r="K562" s="21"/>
      <c r="L562" s="21"/>
    </row>
    <row r="563" spans="2:12">
      <c r="B563" s="71"/>
      <c r="C563" s="71"/>
      <c r="D563" s="80"/>
      <c r="E563" s="45"/>
      <c r="F563" s="24"/>
      <c r="G563" s="21"/>
      <c r="H563" s="21"/>
      <c r="I563" s="21"/>
      <c r="J563" s="21"/>
      <c r="K563" s="21"/>
      <c r="L563" s="21"/>
    </row>
    <row r="564" spans="2:12">
      <c r="B564" s="71"/>
      <c r="C564" s="71"/>
      <c r="D564" s="80"/>
      <c r="E564" s="242"/>
      <c r="F564" s="24"/>
      <c r="G564" s="21"/>
      <c r="H564" s="21"/>
      <c r="I564" s="21"/>
      <c r="J564" s="21"/>
      <c r="K564" s="21"/>
      <c r="L564" s="21"/>
    </row>
    <row r="565" spans="2:12">
      <c r="B565" s="71"/>
      <c r="C565" s="71"/>
      <c r="D565" s="80"/>
      <c r="E565" s="242"/>
      <c r="F565" s="71"/>
      <c r="G565" s="18"/>
      <c r="H565" s="18"/>
      <c r="I565" s="18"/>
      <c r="J565" s="18"/>
      <c r="K565" s="18"/>
      <c r="L565" s="18"/>
    </row>
    <row r="566" spans="2:12">
      <c r="B566" s="71"/>
      <c r="C566" s="71"/>
      <c r="D566" s="80"/>
      <c r="E566" s="41"/>
      <c r="F566" s="71"/>
      <c r="G566" s="18"/>
      <c r="H566" s="18"/>
      <c r="I566" s="18"/>
      <c r="J566" s="18"/>
      <c r="K566" s="18"/>
      <c r="L566" s="18"/>
    </row>
    <row r="567" spans="2:12">
      <c r="B567" s="71"/>
      <c r="C567" s="71" t="s">
        <v>613</v>
      </c>
      <c r="D567" s="12"/>
      <c r="E567" s="45" t="s">
        <v>31</v>
      </c>
      <c r="F567" s="71"/>
      <c r="G567" s="18"/>
      <c r="H567" s="18"/>
      <c r="I567" s="18"/>
      <c r="J567" s="18"/>
      <c r="K567" s="18"/>
      <c r="L567" s="18"/>
    </row>
    <row r="568" spans="2:12">
      <c r="B568" s="71"/>
      <c r="C568" s="71"/>
      <c r="D568" s="80"/>
      <c r="E568" s="45"/>
      <c r="F568" s="71"/>
      <c r="G568" s="18"/>
      <c r="H568" s="18"/>
      <c r="I568" s="18"/>
      <c r="J568" s="18"/>
      <c r="K568" s="18"/>
      <c r="L568" s="18"/>
    </row>
    <row r="569" spans="2:12">
      <c r="B569" s="71"/>
      <c r="C569" s="71"/>
      <c r="D569" s="12"/>
      <c r="E569" s="12"/>
      <c r="F569" s="71"/>
      <c r="G569" s="18"/>
      <c r="H569" s="18"/>
      <c r="I569" s="31"/>
      <c r="J569" s="31"/>
      <c r="K569" s="18"/>
      <c r="L569" s="18"/>
    </row>
    <row r="570" spans="2:12">
      <c r="B570" s="71"/>
      <c r="C570" s="71"/>
      <c r="D570" s="12"/>
      <c r="E570" s="12"/>
      <c r="F570" s="71"/>
      <c r="G570" s="18"/>
      <c r="H570" s="18"/>
      <c r="I570" s="18"/>
      <c r="J570" s="18"/>
      <c r="K570" s="18"/>
      <c r="L570" s="18"/>
    </row>
    <row r="571" spans="2:12">
      <c r="B571" s="71"/>
      <c r="C571" s="71"/>
      <c r="D571" s="81"/>
      <c r="E571" s="12"/>
      <c r="F571" s="24"/>
      <c r="G571" s="18"/>
      <c r="H571" s="18"/>
      <c r="I571" s="18"/>
      <c r="J571" s="18"/>
      <c r="K571" s="18"/>
      <c r="L571" s="18"/>
    </row>
    <row r="572" spans="2:12">
      <c r="B572" s="71"/>
      <c r="C572" s="71"/>
      <c r="D572" s="80"/>
      <c r="E572" s="80"/>
      <c r="F572" s="71"/>
      <c r="G572" s="18"/>
      <c r="H572" s="18"/>
      <c r="I572" s="18"/>
      <c r="J572" s="18"/>
      <c r="K572" s="18"/>
      <c r="L572" s="18"/>
    </row>
    <row r="573" spans="2:12">
      <c r="B573" s="82"/>
      <c r="C573" s="82"/>
      <c r="D573" s="83"/>
      <c r="E573" s="83"/>
      <c r="F573" s="83"/>
      <c r="G573" s="18"/>
      <c r="H573" s="18"/>
      <c r="I573" s="18"/>
      <c r="J573" s="18"/>
      <c r="K573" s="18"/>
      <c r="L573" s="44"/>
    </row>
    <row r="574" spans="2:12">
      <c r="B574" s="18"/>
      <c r="C574" s="18"/>
      <c r="D574" s="18"/>
      <c r="E574" s="18"/>
      <c r="F574" s="18"/>
      <c r="G574" s="18"/>
      <c r="H574" s="18"/>
      <c r="I574" s="18"/>
      <c r="J574" s="43"/>
      <c r="K574" s="18"/>
      <c r="L574" s="18"/>
    </row>
    <row r="575" spans="2:12">
      <c r="B575" s="18"/>
      <c r="C575" s="71"/>
      <c r="D575" s="84" t="s">
        <v>32</v>
      </c>
      <c r="E575" s="71"/>
      <c r="F575" s="84" t="s">
        <v>33</v>
      </c>
      <c r="G575" s="18"/>
      <c r="H575" s="18" t="s">
        <v>34</v>
      </c>
      <c r="I575" s="18"/>
      <c r="J575" s="18"/>
      <c r="K575" s="18"/>
      <c r="L575" s="18"/>
    </row>
    <row r="576" spans="2:12">
      <c r="B576" s="44" t="s">
        <v>58</v>
      </c>
      <c r="C576" s="70" t="s">
        <v>35</v>
      </c>
      <c r="D576" s="41">
        <f>D556/20</f>
        <v>174.22750000000002</v>
      </c>
      <c r="E576" s="84" t="s">
        <v>36</v>
      </c>
      <c r="F576" s="85">
        <f>+T554*1000</f>
        <v>134.55108981073599</v>
      </c>
      <c r="G576" s="18"/>
      <c r="H576" s="18"/>
      <c r="I576" s="18"/>
      <c r="J576" s="18"/>
      <c r="K576" s="18"/>
      <c r="L576" s="18"/>
    </row>
    <row r="577" spans="2:12">
      <c r="B577" s="44" t="s">
        <v>56</v>
      </c>
      <c r="C577" s="70" t="s">
        <v>37</v>
      </c>
      <c r="D577" s="41">
        <f>+D576</f>
        <v>174.22750000000002</v>
      </c>
      <c r="E577" s="71"/>
      <c r="F577" s="71"/>
      <c r="G577" s="18"/>
      <c r="H577" s="18"/>
      <c r="I577" s="18"/>
      <c r="J577" s="18"/>
      <c r="K577" s="18"/>
      <c r="L577" s="18"/>
    </row>
    <row r="578" spans="2:12"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 spans="2:12"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 spans="2:12">
      <c r="B580" s="25" t="s">
        <v>559</v>
      </c>
      <c r="C580" s="25"/>
      <c r="D580" s="280" t="s">
        <v>32</v>
      </c>
      <c r="E580" s="281"/>
      <c r="F580" s="282"/>
      <c r="G580" s="283" t="s">
        <v>38</v>
      </c>
      <c r="H580" s="283"/>
      <c r="I580" s="283"/>
      <c r="J580" s="283"/>
      <c r="K580" s="18"/>
      <c r="L580" s="18"/>
    </row>
    <row r="581" spans="2:12">
      <c r="B581" s="45" t="s">
        <v>39</v>
      </c>
      <c r="C581" s="242" t="s">
        <v>515</v>
      </c>
      <c r="D581" s="242" t="s">
        <v>516</v>
      </c>
      <c r="E581" s="242" t="s">
        <v>41</v>
      </c>
      <c r="F581" s="242" t="s">
        <v>42</v>
      </c>
      <c r="G581" s="284" t="s">
        <v>43</v>
      </c>
      <c r="H581" s="242" t="s">
        <v>44</v>
      </c>
      <c r="I581" s="242" t="s">
        <v>45</v>
      </c>
      <c r="J581" s="242" t="s">
        <v>46</v>
      </c>
      <c r="K581" s="242" t="s">
        <v>45</v>
      </c>
      <c r="L581" s="242" t="s">
        <v>46</v>
      </c>
    </row>
    <row r="582" spans="2:12">
      <c r="B582" s="45"/>
      <c r="C582" s="242"/>
      <c r="D582" s="242"/>
      <c r="E582" s="242"/>
      <c r="F582" s="242"/>
      <c r="G582" s="284"/>
      <c r="H582" s="242" t="s">
        <v>53</v>
      </c>
      <c r="I582" s="242" t="s">
        <v>48</v>
      </c>
      <c r="J582" s="242" t="s">
        <v>33</v>
      </c>
      <c r="K582" s="242" t="s">
        <v>49</v>
      </c>
      <c r="L582" s="242" t="s">
        <v>50</v>
      </c>
    </row>
    <row r="583" spans="2:12">
      <c r="B583" s="268" t="s">
        <v>553</v>
      </c>
      <c r="C583" s="79" t="s">
        <v>560</v>
      </c>
      <c r="D583" s="242">
        <v>150</v>
      </c>
      <c r="E583" s="159">
        <v>161.61000000000001</v>
      </c>
      <c r="F583" s="270">
        <f t="shared" ref="F583" si="400">+E583+E584</f>
        <v>161.61000000000001</v>
      </c>
      <c r="G583" s="272"/>
      <c r="H583" s="274"/>
      <c r="I583" s="270">
        <v>25</v>
      </c>
      <c r="J583" s="275">
        <f t="shared" ref="J583" si="401">I583/F583*1000</f>
        <v>154.69339768578678</v>
      </c>
      <c r="K583" s="277">
        <v>14520</v>
      </c>
      <c r="L583" s="275">
        <f t="shared" ref="L583" si="402">K583/F583</f>
        <v>89.845925375904955</v>
      </c>
    </row>
    <row r="584" spans="2:12">
      <c r="B584" s="269"/>
      <c r="C584" s="79"/>
      <c r="D584" s="242"/>
      <c r="E584" s="26"/>
      <c r="F584" s="271"/>
      <c r="G584" s="273"/>
      <c r="H584" s="274"/>
      <c r="I584" s="271"/>
      <c r="J584" s="276"/>
      <c r="K584" s="277"/>
      <c r="L584" s="276"/>
    </row>
    <row r="585" spans="2:12">
      <c r="B585" s="268" t="s">
        <v>561</v>
      </c>
      <c r="C585" s="79" t="s">
        <v>564</v>
      </c>
      <c r="D585" s="243">
        <v>150</v>
      </c>
      <c r="E585" s="159">
        <v>151.91999999999999</v>
      </c>
      <c r="F585" s="270">
        <f t="shared" ref="F585" si="403">+E585+E586</f>
        <v>151.91999999999999</v>
      </c>
      <c r="G585" s="272"/>
      <c r="H585" s="274"/>
      <c r="I585" s="270">
        <v>20.3</v>
      </c>
      <c r="J585" s="275">
        <f t="shared" ref="J585" si="404">I585/F585*1000</f>
        <v>133.62295945234334</v>
      </c>
      <c r="K585" s="277">
        <v>14510</v>
      </c>
      <c r="L585" s="275">
        <f t="shared" ref="L585" si="405">K585/F585</f>
        <v>95.510795155344923</v>
      </c>
    </row>
    <row r="586" spans="2:12">
      <c r="B586" s="269"/>
      <c r="C586" s="79"/>
      <c r="D586" s="242"/>
      <c r="E586" s="26"/>
      <c r="F586" s="271"/>
      <c r="G586" s="273"/>
      <c r="H586" s="274"/>
      <c r="I586" s="271"/>
      <c r="J586" s="276"/>
      <c r="K586" s="277"/>
      <c r="L586" s="276"/>
    </row>
    <row r="587" spans="2:12">
      <c r="B587" s="268" t="s">
        <v>565</v>
      </c>
      <c r="C587" s="12" t="s">
        <v>568</v>
      </c>
      <c r="D587" s="244">
        <v>150</v>
      </c>
      <c r="E587" s="159">
        <v>186.61</v>
      </c>
      <c r="F587" s="270">
        <f t="shared" ref="F587" si="406">+E587+E588</f>
        <v>186.61</v>
      </c>
      <c r="G587" s="272"/>
      <c r="H587" s="274"/>
      <c r="I587" s="270">
        <v>24.2</v>
      </c>
      <c r="J587" s="275">
        <f t="shared" ref="J587" si="407">I587/F587*1000</f>
        <v>129.6822249611489</v>
      </c>
      <c r="K587" s="277">
        <v>16680</v>
      </c>
      <c r="L587" s="275">
        <f t="shared" ref="L587" si="408">K587/F587</f>
        <v>89.384277369915864</v>
      </c>
    </row>
    <row r="588" spans="2:12">
      <c r="B588" s="269"/>
      <c r="C588" s="79"/>
      <c r="D588" s="242"/>
      <c r="E588" s="26"/>
      <c r="F588" s="271"/>
      <c r="G588" s="273"/>
      <c r="H588" s="274"/>
      <c r="I588" s="271"/>
      <c r="J588" s="276"/>
      <c r="K588" s="277"/>
      <c r="L588" s="276"/>
    </row>
    <row r="589" spans="2:12">
      <c r="B589" s="268" t="s">
        <v>566</v>
      </c>
      <c r="C589" s="12" t="s">
        <v>569</v>
      </c>
      <c r="D589" s="244">
        <v>150</v>
      </c>
      <c r="E589" s="159">
        <v>145.25</v>
      </c>
      <c r="F589" s="270">
        <f t="shared" ref="F589" si="409">+E589+E590</f>
        <v>145.25</v>
      </c>
      <c r="G589" s="272"/>
      <c r="H589" s="274"/>
      <c r="I589" s="270">
        <v>19.5</v>
      </c>
      <c r="J589" s="275">
        <f t="shared" ref="J589" si="410">I589/F589*1000</f>
        <v>134.25129087779692</v>
      </c>
      <c r="K589" s="277">
        <v>9480</v>
      </c>
      <c r="L589" s="275">
        <f t="shared" ref="L589" si="411">K589/F589</f>
        <v>65.26678141135973</v>
      </c>
    </row>
    <row r="590" spans="2:12">
      <c r="B590" s="269"/>
      <c r="C590" s="79"/>
      <c r="D590" s="242"/>
      <c r="E590" s="26"/>
      <c r="F590" s="271"/>
      <c r="G590" s="273"/>
      <c r="H590" s="274"/>
      <c r="I590" s="271"/>
      <c r="J590" s="276"/>
      <c r="K590" s="277"/>
      <c r="L590" s="276"/>
    </row>
    <row r="591" spans="2:12">
      <c r="B591" s="268" t="s">
        <v>567</v>
      </c>
      <c r="C591" s="12" t="s">
        <v>570</v>
      </c>
      <c r="D591" s="244">
        <v>150</v>
      </c>
      <c r="E591" s="159">
        <v>157.44999999999999</v>
      </c>
      <c r="F591" s="270">
        <f t="shared" ref="F591" si="412">+E591+E592</f>
        <v>157.44999999999999</v>
      </c>
      <c r="G591" s="272"/>
      <c r="H591" s="274"/>
      <c r="I591" s="270">
        <v>20.350000000000001</v>
      </c>
      <c r="J591" s="275">
        <f t="shared" ref="J591" si="413">I591/F591*1000</f>
        <v>129.24738012067326</v>
      </c>
      <c r="K591" s="277">
        <v>12180</v>
      </c>
      <c r="L591" s="275">
        <f t="shared" ref="L591" si="414">K591/F591</f>
        <v>77.357891394093372</v>
      </c>
    </row>
    <row r="592" spans="2:12">
      <c r="B592" s="269"/>
      <c r="C592" s="79"/>
      <c r="D592" s="242"/>
      <c r="E592" s="26"/>
      <c r="F592" s="271"/>
      <c r="G592" s="273"/>
      <c r="H592" s="274"/>
      <c r="I592" s="271"/>
      <c r="J592" s="276"/>
      <c r="K592" s="277"/>
      <c r="L592" s="276"/>
    </row>
    <row r="593" spans="2:12">
      <c r="B593" s="268" t="s">
        <v>572</v>
      </c>
      <c r="C593" s="12" t="s">
        <v>573</v>
      </c>
      <c r="D593" s="245">
        <v>150</v>
      </c>
      <c r="E593" s="159">
        <v>148.02000000000001</v>
      </c>
      <c r="F593" s="270">
        <f t="shared" ref="F593" si="415">+E593+E594</f>
        <v>148.02000000000001</v>
      </c>
      <c r="G593" s="272"/>
      <c r="H593" s="274"/>
      <c r="I593" s="270">
        <v>21.1</v>
      </c>
      <c r="J593" s="275">
        <f t="shared" ref="J593" si="416">I593/F593*1000</f>
        <v>142.54830428320497</v>
      </c>
      <c r="K593" s="277">
        <v>12180</v>
      </c>
      <c r="L593" s="275">
        <f t="shared" ref="L593" si="417">K593/F593</f>
        <v>82.286177543575192</v>
      </c>
    </row>
    <row r="594" spans="2:12">
      <c r="B594" s="269"/>
      <c r="C594" s="79"/>
      <c r="D594" s="242"/>
      <c r="E594" s="26"/>
      <c r="F594" s="271"/>
      <c r="G594" s="273"/>
      <c r="H594" s="274"/>
      <c r="I594" s="271"/>
      <c r="J594" s="276"/>
      <c r="K594" s="277"/>
      <c r="L594" s="276"/>
    </row>
    <row r="595" spans="2:12">
      <c r="B595" s="268" t="s">
        <v>585</v>
      </c>
      <c r="C595" s="12" t="s">
        <v>160</v>
      </c>
      <c r="D595" s="246">
        <v>150</v>
      </c>
      <c r="E595" s="159">
        <v>127.74</v>
      </c>
      <c r="F595" s="270">
        <f t="shared" ref="F595" si="418">+E595+E596</f>
        <v>127.74</v>
      </c>
      <c r="G595" s="272"/>
      <c r="H595" s="274"/>
      <c r="I595" s="270">
        <v>17.399999999999999</v>
      </c>
      <c r="J595" s="275">
        <f t="shared" ref="J595" si="419">I595/F595*1000</f>
        <v>136.21418506341004</v>
      </c>
      <c r="K595" s="277">
        <v>9660</v>
      </c>
      <c r="L595" s="275">
        <f t="shared" ref="L595" si="420">K595/F595</f>
        <v>75.622357914513856</v>
      </c>
    </row>
    <row r="596" spans="2:12">
      <c r="B596" s="269"/>
      <c r="C596" s="79" t="s">
        <v>587</v>
      </c>
      <c r="D596" s="242"/>
      <c r="E596" s="26"/>
      <c r="F596" s="271"/>
      <c r="G596" s="273"/>
      <c r="H596" s="274"/>
      <c r="I596" s="271"/>
      <c r="J596" s="276"/>
      <c r="K596" s="277"/>
      <c r="L596" s="276"/>
    </row>
    <row r="597" spans="2:12">
      <c r="B597" s="268" t="s">
        <v>574</v>
      </c>
      <c r="C597" s="12" t="s">
        <v>588</v>
      </c>
      <c r="D597" s="248">
        <v>150</v>
      </c>
      <c r="E597" s="159">
        <v>156.11000000000001</v>
      </c>
      <c r="F597" s="270">
        <f t="shared" ref="F597" si="421">+E597+E598</f>
        <v>156.11000000000001</v>
      </c>
      <c r="G597" s="272"/>
      <c r="H597" s="274"/>
      <c r="I597" s="270">
        <v>20.9</v>
      </c>
      <c r="J597" s="275">
        <f t="shared" ref="J597" si="422">I597/F597*1000</f>
        <v>133.87995644097109</v>
      </c>
      <c r="K597" s="277">
        <v>12180</v>
      </c>
      <c r="L597" s="275">
        <f t="shared" ref="L597" si="423">K597/F597</f>
        <v>78.021907629235784</v>
      </c>
    </row>
    <row r="598" spans="2:12">
      <c r="B598" s="269"/>
      <c r="C598" s="12"/>
      <c r="D598" s="247"/>
      <c r="E598" s="159"/>
      <c r="F598" s="271"/>
      <c r="G598" s="273"/>
      <c r="H598" s="274"/>
      <c r="I598" s="271"/>
      <c r="J598" s="276"/>
      <c r="K598" s="277"/>
      <c r="L598" s="276"/>
    </row>
    <row r="599" spans="2:12">
      <c r="B599" s="268" t="s">
        <v>575</v>
      </c>
      <c r="C599" s="12" t="s">
        <v>589</v>
      </c>
      <c r="D599" s="242">
        <v>150</v>
      </c>
      <c r="E599" s="159">
        <v>184.55</v>
      </c>
      <c r="F599" s="270">
        <f t="shared" ref="F599" si="424">+E599+E600</f>
        <v>184.55</v>
      </c>
      <c r="G599" s="272"/>
      <c r="H599" s="274"/>
      <c r="I599" s="270">
        <v>24.6</v>
      </c>
      <c r="J599" s="275">
        <f t="shared" ref="J599" si="425">I599/F599*1000</f>
        <v>133.29720942833919</v>
      </c>
      <c r="K599" s="277">
        <v>11100</v>
      </c>
      <c r="L599" s="275">
        <f t="shared" ref="L599" si="426">K599/F599</f>
        <v>60.146301815226224</v>
      </c>
    </row>
    <row r="600" spans="2:12">
      <c r="B600" s="269"/>
      <c r="C600" s="79"/>
      <c r="D600" s="242"/>
      <c r="E600" s="26"/>
      <c r="F600" s="271"/>
      <c r="G600" s="273"/>
      <c r="H600" s="274"/>
      <c r="I600" s="271"/>
      <c r="J600" s="276"/>
      <c r="K600" s="277"/>
      <c r="L600" s="276"/>
    </row>
    <row r="601" spans="2:12">
      <c r="B601" s="268" t="s">
        <v>576</v>
      </c>
      <c r="C601" s="12" t="s">
        <v>590</v>
      </c>
      <c r="D601" s="242">
        <v>200</v>
      </c>
      <c r="E601" s="159">
        <v>207.47</v>
      </c>
      <c r="F601" s="270">
        <f t="shared" ref="F601" si="427">+E601+E602</f>
        <v>207.47</v>
      </c>
      <c r="G601" s="272"/>
      <c r="H601" s="274"/>
      <c r="I601" s="270">
        <v>27.8</v>
      </c>
      <c r="J601" s="275">
        <f t="shared" ref="J601" si="428">I601/F601*1000</f>
        <v>133.99527642550729</v>
      </c>
      <c r="K601" s="277">
        <v>16920</v>
      </c>
      <c r="L601" s="275">
        <f t="shared" ref="L601" si="429">K601/F601</f>
        <v>81.553959608618115</v>
      </c>
    </row>
    <row r="602" spans="2:12">
      <c r="B602" s="269"/>
      <c r="C602" s="79"/>
      <c r="D602" s="242"/>
      <c r="E602" s="26"/>
      <c r="F602" s="271"/>
      <c r="G602" s="273"/>
      <c r="H602" s="274"/>
      <c r="I602" s="271"/>
      <c r="J602" s="276"/>
      <c r="K602" s="277"/>
      <c r="L602" s="276"/>
    </row>
    <row r="603" spans="2:12">
      <c r="B603" s="268" t="s">
        <v>577</v>
      </c>
      <c r="C603" s="79" t="s">
        <v>167</v>
      </c>
      <c r="D603" s="242"/>
      <c r="E603" s="159"/>
      <c r="F603" s="270">
        <f t="shared" ref="F603" si="430">+E603+E604</f>
        <v>0</v>
      </c>
      <c r="G603" s="272"/>
      <c r="H603" s="274"/>
      <c r="I603" s="270"/>
      <c r="J603" s="275"/>
      <c r="K603" s="277"/>
      <c r="L603" s="275"/>
    </row>
    <row r="604" spans="2:12">
      <c r="B604" s="269"/>
      <c r="C604" s="79"/>
      <c r="D604" s="242"/>
      <c r="E604" s="26"/>
      <c r="F604" s="271"/>
      <c r="G604" s="273"/>
      <c r="H604" s="274"/>
      <c r="I604" s="271"/>
      <c r="J604" s="276"/>
      <c r="K604" s="277"/>
      <c r="L604" s="276"/>
    </row>
    <row r="605" spans="2:12">
      <c r="B605" s="268" t="s">
        <v>578</v>
      </c>
      <c r="C605" s="12" t="s">
        <v>591</v>
      </c>
      <c r="D605" s="242">
        <v>200</v>
      </c>
      <c r="E605" s="159">
        <v>206.41</v>
      </c>
      <c r="F605" s="270">
        <f t="shared" ref="F605" si="431">+E605+E606</f>
        <v>206.41</v>
      </c>
      <c r="G605" s="272"/>
      <c r="H605" s="274"/>
      <c r="I605" s="270">
        <v>26.9</v>
      </c>
      <c r="J605" s="275">
        <f t="shared" ref="J605" si="432">I605/F605*1000</f>
        <v>130.32314325856305</v>
      </c>
      <c r="K605" s="277">
        <v>12480</v>
      </c>
      <c r="L605" s="275">
        <f t="shared" ref="L605" si="433">K605/F605</f>
        <v>60.462186909548954</v>
      </c>
    </row>
    <row r="606" spans="2:12">
      <c r="B606" s="269"/>
      <c r="C606" s="79"/>
      <c r="D606" s="242"/>
      <c r="E606" s="26"/>
      <c r="F606" s="271"/>
      <c r="G606" s="273"/>
      <c r="H606" s="274"/>
      <c r="I606" s="271"/>
      <c r="J606" s="276"/>
      <c r="K606" s="277"/>
      <c r="L606" s="276"/>
    </row>
    <row r="607" spans="2:12">
      <c r="B607" s="268" t="s">
        <v>579</v>
      </c>
      <c r="C607" s="12" t="s">
        <v>591</v>
      </c>
      <c r="D607" s="242">
        <v>150</v>
      </c>
      <c r="E607" s="159">
        <v>156.22999999999999</v>
      </c>
      <c r="F607" s="270">
        <f t="shared" ref="F607" si="434">+E607+E608</f>
        <v>156.22999999999999</v>
      </c>
      <c r="G607" s="272"/>
      <c r="H607" s="274"/>
      <c r="I607" s="270">
        <v>20.6</v>
      </c>
      <c r="J607" s="275">
        <f t="shared" ref="J607" si="435">I607/F607*1000</f>
        <v>131.8568776803431</v>
      </c>
      <c r="K607" s="277">
        <v>10560</v>
      </c>
      <c r="L607" s="275">
        <f t="shared" ref="L607" si="436">K607/F607</f>
        <v>67.592651859438007</v>
      </c>
    </row>
    <row r="608" spans="2:12">
      <c r="B608" s="269"/>
      <c r="C608" s="79"/>
      <c r="D608" s="242"/>
      <c r="E608" s="26"/>
      <c r="F608" s="271"/>
      <c r="G608" s="273"/>
      <c r="H608" s="274"/>
      <c r="I608" s="271"/>
      <c r="J608" s="276"/>
      <c r="K608" s="277"/>
      <c r="L608" s="276"/>
    </row>
    <row r="609" spans="2:12" ht="14.25" customHeight="1">
      <c r="B609" s="268" t="s">
        <v>580</v>
      </c>
      <c r="C609" s="12" t="s">
        <v>593</v>
      </c>
      <c r="D609" s="249">
        <v>150</v>
      </c>
      <c r="E609" s="159">
        <v>178.08</v>
      </c>
      <c r="F609" s="270">
        <f t="shared" ref="F609" si="437">+E609+E610</f>
        <v>178.08</v>
      </c>
      <c r="G609" s="272"/>
      <c r="H609" s="274"/>
      <c r="I609" s="270">
        <v>24.2</v>
      </c>
      <c r="J609" s="275">
        <f t="shared" ref="J609" si="438">I609/F609*1000</f>
        <v>135.89398023360286</v>
      </c>
      <c r="K609" s="277">
        <v>15300</v>
      </c>
      <c r="L609" s="275">
        <f t="shared" ref="L609" si="439">K609/F609</f>
        <v>85.91644204851751</v>
      </c>
    </row>
    <row r="610" spans="2:12">
      <c r="B610" s="269"/>
      <c r="C610" s="79"/>
      <c r="D610" s="242"/>
      <c r="E610" s="26"/>
      <c r="F610" s="271"/>
      <c r="G610" s="273"/>
      <c r="H610" s="274"/>
      <c r="I610" s="271"/>
      <c r="J610" s="276"/>
      <c r="K610" s="277"/>
      <c r="L610" s="276"/>
    </row>
    <row r="611" spans="2:12">
      <c r="B611" s="268" t="s">
        <v>581</v>
      </c>
      <c r="C611" s="12" t="s">
        <v>273</v>
      </c>
      <c r="D611" s="242">
        <v>200</v>
      </c>
      <c r="E611" s="159">
        <v>202.7</v>
      </c>
      <c r="F611" s="270">
        <f t="shared" ref="F611" si="440">+E611+E612</f>
        <v>202.7</v>
      </c>
      <c r="G611" s="272"/>
      <c r="H611" s="274"/>
      <c r="I611" s="270">
        <v>25.8</v>
      </c>
      <c r="J611" s="275">
        <f t="shared" ref="J611" si="441">I611/F611*1000</f>
        <v>127.28169708929454</v>
      </c>
      <c r="K611" s="277">
        <v>16020</v>
      </c>
      <c r="L611" s="275">
        <f t="shared" ref="L611" si="442">K611/F611</f>
        <v>79.03305377405033</v>
      </c>
    </row>
    <row r="612" spans="2:12">
      <c r="B612" s="269"/>
      <c r="C612" s="79"/>
      <c r="D612" s="242"/>
      <c r="E612" s="26"/>
      <c r="F612" s="271"/>
      <c r="G612" s="273"/>
      <c r="H612" s="274"/>
      <c r="I612" s="271"/>
      <c r="J612" s="276"/>
      <c r="K612" s="277"/>
      <c r="L612" s="276"/>
    </row>
    <row r="613" spans="2:12">
      <c r="B613" s="268" t="s">
        <v>582</v>
      </c>
      <c r="C613" s="12" t="s">
        <v>444</v>
      </c>
      <c r="D613" s="242">
        <v>150</v>
      </c>
      <c r="E613" s="159">
        <v>188.25</v>
      </c>
      <c r="F613" s="270">
        <f t="shared" ref="F613" si="443">+E613+E614</f>
        <v>188.25</v>
      </c>
      <c r="G613" s="272"/>
      <c r="H613" s="274"/>
      <c r="I613" s="270">
        <v>24.3</v>
      </c>
      <c r="J613" s="275">
        <f t="shared" ref="J613" si="444">I613/F613*1000</f>
        <v>129.08366533864543</v>
      </c>
      <c r="K613" s="277">
        <v>16500</v>
      </c>
      <c r="L613" s="275">
        <f t="shared" ref="L613" si="445">K613/F613</f>
        <v>87.64940239043824</v>
      </c>
    </row>
    <row r="614" spans="2:12">
      <c r="B614" s="269"/>
      <c r="C614" s="79"/>
      <c r="D614" s="242"/>
      <c r="E614" s="26"/>
      <c r="F614" s="271"/>
      <c r="G614" s="273"/>
      <c r="H614" s="274"/>
      <c r="I614" s="271"/>
      <c r="J614" s="276"/>
      <c r="K614" s="277"/>
      <c r="L614" s="276"/>
    </row>
    <row r="615" spans="2:12" ht="15" customHeight="1">
      <c r="B615" s="268" t="s">
        <v>583</v>
      </c>
      <c r="C615" s="12" t="s">
        <v>594</v>
      </c>
      <c r="D615" s="242">
        <v>200</v>
      </c>
      <c r="E615" s="159">
        <v>215.17</v>
      </c>
      <c r="F615" s="270">
        <f t="shared" ref="F615" si="446">+E615+E616</f>
        <v>215.17</v>
      </c>
      <c r="G615" s="272"/>
      <c r="H615" s="274"/>
      <c r="I615" s="270">
        <v>27.4</v>
      </c>
      <c r="J615" s="275">
        <f t="shared" ref="J615" si="447">I615/F615*1000</f>
        <v>127.34117209648186</v>
      </c>
      <c r="K615" s="277">
        <v>16620</v>
      </c>
      <c r="L615" s="275">
        <f t="shared" ref="L615" si="448">K615/F615</f>
        <v>77.24125110377841</v>
      </c>
    </row>
    <row r="616" spans="2:12">
      <c r="B616" s="269"/>
      <c r="C616" s="79"/>
      <c r="D616" s="242"/>
      <c r="E616" s="26"/>
      <c r="F616" s="271"/>
      <c r="G616" s="273"/>
      <c r="H616" s="274"/>
      <c r="I616" s="271"/>
      <c r="J616" s="276"/>
      <c r="K616" s="277"/>
      <c r="L616" s="276"/>
    </row>
    <row r="617" spans="2:12">
      <c r="B617" s="268" t="s">
        <v>584</v>
      </c>
      <c r="C617" s="45" t="s">
        <v>167</v>
      </c>
      <c r="D617" s="242"/>
      <c r="E617" s="159"/>
      <c r="F617" s="270">
        <f t="shared" ref="F617" si="449">+E617+E618</f>
        <v>0</v>
      </c>
      <c r="G617" s="272"/>
      <c r="H617" s="274"/>
      <c r="I617" s="270"/>
      <c r="J617" s="275" t="e">
        <f t="shared" ref="J617" si="450">I617/F617*1000</f>
        <v>#DIV/0!</v>
      </c>
      <c r="K617" s="277"/>
      <c r="L617" s="275" t="e">
        <f t="shared" ref="L617" si="451">K617/F617</f>
        <v>#DIV/0!</v>
      </c>
    </row>
    <row r="618" spans="2:12">
      <c r="B618" s="269"/>
      <c r="C618" s="79"/>
      <c r="D618" s="242"/>
      <c r="E618" s="26"/>
      <c r="F618" s="271"/>
      <c r="G618" s="273"/>
      <c r="H618" s="274"/>
      <c r="I618" s="271"/>
      <c r="J618" s="276"/>
      <c r="K618" s="277"/>
      <c r="L618" s="276"/>
    </row>
    <row r="619" spans="2:12">
      <c r="B619" s="268" t="s">
        <v>596</v>
      </c>
      <c r="C619" s="45" t="s">
        <v>595</v>
      </c>
      <c r="D619" s="242"/>
      <c r="E619" s="159"/>
      <c r="F619" s="270">
        <f t="shared" ref="F619" si="452">+E619+E620</f>
        <v>0</v>
      </c>
      <c r="G619" s="272"/>
      <c r="H619" s="274"/>
      <c r="I619" s="270"/>
      <c r="J619" s="275" t="e">
        <f t="shared" ref="J619" si="453">I619/F619*1000</f>
        <v>#DIV/0!</v>
      </c>
      <c r="K619" s="277"/>
      <c r="L619" s="275" t="e">
        <f t="shared" ref="L619" si="454">K619/F619</f>
        <v>#DIV/0!</v>
      </c>
    </row>
    <row r="620" spans="2:12">
      <c r="B620" s="269"/>
      <c r="C620" s="79"/>
      <c r="D620" s="242"/>
      <c r="E620" s="26"/>
      <c r="F620" s="271"/>
      <c r="G620" s="273"/>
      <c r="H620" s="274"/>
      <c r="I620" s="271"/>
      <c r="J620" s="276"/>
      <c r="K620" s="277"/>
      <c r="L620" s="276"/>
    </row>
    <row r="621" spans="2:12">
      <c r="B621" s="268" t="s">
        <v>597</v>
      </c>
      <c r="C621" s="45" t="s">
        <v>595</v>
      </c>
      <c r="D621" s="242"/>
      <c r="E621" s="159"/>
      <c r="F621" s="270">
        <f t="shared" ref="F621" si="455">+E621+E622</f>
        <v>0</v>
      </c>
      <c r="G621" s="272"/>
      <c r="H621" s="274"/>
      <c r="I621" s="270"/>
      <c r="J621" s="275" t="e">
        <f t="shared" ref="J621" si="456">I621/F621*1000</f>
        <v>#DIV/0!</v>
      </c>
      <c r="K621" s="277"/>
      <c r="L621" s="275" t="e">
        <f t="shared" ref="L621" si="457">K621/F621</f>
        <v>#DIV/0!</v>
      </c>
    </row>
    <row r="622" spans="2:12">
      <c r="B622" s="269"/>
      <c r="C622" s="79"/>
      <c r="D622" s="242"/>
      <c r="E622" s="26"/>
      <c r="F622" s="271"/>
      <c r="G622" s="273"/>
      <c r="H622" s="274"/>
      <c r="I622" s="271"/>
      <c r="J622" s="276"/>
      <c r="K622" s="277"/>
      <c r="L622" s="276"/>
    </row>
    <row r="623" spans="2:12" ht="15" customHeight="1">
      <c r="B623" s="268" t="s">
        <v>598</v>
      </c>
      <c r="C623" s="45" t="s">
        <v>595</v>
      </c>
      <c r="D623" s="242"/>
      <c r="E623" s="159"/>
      <c r="F623" s="270">
        <f t="shared" ref="F623" si="458">+E623+E624</f>
        <v>0</v>
      </c>
      <c r="G623" s="272"/>
      <c r="H623" s="274"/>
      <c r="I623" s="270"/>
      <c r="J623" s="275" t="e">
        <f t="shared" ref="J623" si="459">I623/F623*1000</f>
        <v>#DIV/0!</v>
      </c>
      <c r="K623" s="277"/>
      <c r="L623" s="275" t="e">
        <f t="shared" ref="L623" si="460">K623/F623</f>
        <v>#DIV/0!</v>
      </c>
    </row>
    <row r="624" spans="2:12">
      <c r="B624" s="269"/>
      <c r="C624" s="79"/>
      <c r="D624" s="242"/>
      <c r="E624" s="26"/>
      <c r="F624" s="271"/>
      <c r="G624" s="273"/>
      <c r="H624" s="274"/>
      <c r="I624" s="271"/>
      <c r="J624" s="276"/>
      <c r="K624" s="277"/>
      <c r="L624" s="276"/>
    </row>
    <row r="625" spans="2:12">
      <c r="B625" s="268" t="s">
        <v>599</v>
      </c>
      <c r="C625" s="45" t="s">
        <v>595</v>
      </c>
      <c r="D625" s="242"/>
      <c r="E625" s="159"/>
      <c r="F625" s="270">
        <f t="shared" ref="F625" si="461">+E625+E626</f>
        <v>0</v>
      </c>
      <c r="G625" s="272"/>
      <c r="H625" s="274"/>
      <c r="I625" s="270"/>
      <c r="J625" s="275" t="e">
        <f t="shared" ref="J625" si="462">I625/F625*1000</f>
        <v>#DIV/0!</v>
      </c>
      <c r="K625" s="277"/>
      <c r="L625" s="275" t="e">
        <f t="shared" ref="L625" si="463">K625/F625</f>
        <v>#DIV/0!</v>
      </c>
    </row>
    <row r="626" spans="2:12">
      <c r="B626" s="269"/>
      <c r="C626" s="79"/>
      <c r="D626" s="242"/>
      <c r="E626" s="26"/>
      <c r="F626" s="271"/>
      <c r="G626" s="273"/>
      <c r="H626" s="274"/>
      <c r="I626" s="271"/>
      <c r="J626" s="276"/>
      <c r="K626" s="277"/>
      <c r="L626" s="276"/>
    </row>
    <row r="627" spans="2:12" ht="15" customHeight="1">
      <c r="B627" s="268" t="s">
        <v>600</v>
      </c>
      <c r="C627" s="45" t="s">
        <v>595</v>
      </c>
      <c r="D627" s="242"/>
      <c r="E627" s="159"/>
      <c r="F627" s="270">
        <f t="shared" ref="F627" si="464">+E627+E628</f>
        <v>0</v>
      </c>
      <c r="G627" s="272"/>
      <c r="H627" s="274"/>
      <c r="I627" s="270"/>
      <c r="J627" s="275" t="e">
        <f t="shared" ref="J627" si="465">I627/F627*1000</f>
        <v>#DIV/0!</v>
      </c>
      <c r="K627" s="277"/>
      <c r="L627" s="275" t="e">
        <f t="shared" ref="L627" si="466">K627/F627</f>
        <v>#DIV/0!</v>
      </c>
    </row>
    <row r="628" spans="2:12">
      <c r="B628" s="269"/>
      <c r="C628" s="79"/>
      <c r="D628" s="242"/>
      <c r="E628" s="26"/>
      <c r="F628" s="271"/>
      <c r="G628" s="273"/>
      <c r="H628" s="274"/>
      <c r="I628" s="271"/>
      <c r="J628" s="276"/>
      <c r="K628" s="277"/>
      <c r="L628" s="276"/>
    </row>
    <row r="629" spans="2:12">
      <c r="B629" s="268" t="s">
        <v>601</v>
      </c>
      <c r="C629" s="12" t="s">
        <v>606</v>
      </c>
      <c r="D629" s="242"/>
      <c r="E629" s="159"/>
      <c r="F629" s="270">
        <f t="shared" ref="F629" si="467">+E629+E630</f>
        <v>0</v>
      </c>
      <c r="G629" s="272"/>
      <c r="H629" s="274"/>
      <c r="I629" s="270"/>
      <c r="J629" s="275" t="e">
        <f t="shared" ref="J629" si="468">I629/F629*1000</f>
        <v>#DIV/0!</v>
      </c>
      <c r="K629" s="277"/>
      <c r="L629" s="275" t="e">
        <f t="shared" ref="L629" si="469">K629/F629</f>
        <v>#DIV/0!</v>
      </c>
    </row>
    <row r="630" spans="2:12">
      <c r="B630" s="269"/>
      <c r="C630" s="79"/>
      <c r="D630" s="242"/>
      <c r="E630" s="26"/>
      <c r="F630" s="271"/>
      <c r="G630" s="273"/>
      <c r="H630" s="274"/>
      <c r="I630" s="271"/>
      <c r="J630" s="276"/>
      <c r="K630" s="277"/>
      <c r="L630" s="276"/>
    </row>
    <row r="631" spans="2:12">
      <c r="B631" s="268" t="s">
        <v>602</v>
      </c>
      <c r="C631" s="45" t="s">
        <v>167</v>
      </c>
      <c r="D631" s="242"/>
      <c r="E631" s="159"/>
      <c r="F631" s="270">
        <f t="shared" ref="F631" si="470">+E631+E632</f>
        <v>0</v>
      </c>
      <c r="G631" s="272"/>
      <c r="H631" s="274"/>
      <c r="I631" s="270"/>
      <c r="J631" s="275" t="e">
        <f t="shared" ref="J631" si="471">I631/F631*1000</f>
        <v>#DIV/0!</v>
      </c>
      <c r="K631" s="277"/>
      <c r="L631" s="275" t="e">
        <f t="shared" ref="L631" si="472">K631/F631</f>
        <v>#DIV/0!</v>
      </c>
    </row>
    <row r="632" spans="2:12">
      <c r="B632" s="269"/>
      <c r="C632" s="79"/>
      <c r="D632" s="242"/>
      <c r="E632" s="26"/>
      <c r="F632" s="271"/>
      <c r="G632" s="273"/>
      <c r="H632" s="274"/>
      <c r="I632" s="271"/>
      <c r="J632" s="276"/>
      <c r="K632" s="277"/>
      <c r="L632" s="276"/>
    </row>
    <row r="633" spans="2:12">
      <c r="B633" s="268" t="s">
        <v>603</v>
      </c>
      <c r="C633" s="12" t="s">
        <v>607</v>
      </c>
      <c r="D633" s="242">
        <v>150</v>
      </c>
      <c r="E633" s="159">
        <v>141.44499999999999</v>
      </c>
      <c r="F633" s="270">
        <f t="shared" ref="F633" si="473">+E633+E634</f>
        <v>141.44499999999999</v>
      </c>
      <c r="G633" s="272"/>
      <c r="H633" s="274"/>
      <c r="I633" s="270">
        <v>23.3</v>
      </c>
      <c r="J633" s="275">
        <f t="shared" ref="J633" si="474">I633/F633*1000</f>
        <v>164.72833963731486</v>
      </c>
      <c r="K633" s="277">
        <v>10860</v>
      </c>
      <c r="L633" s="275">
        <f t="shared" ref="L633" si="475">K633/F633</f>
        <v>76.77896001979569</v>
      </c>
    </row>
    <row r="634" spans="2:12">
      <c r="B634" s="269"/>
      <c r="C634" s="79"/>
      <c r="D634" s="242"/>
      <c r="E634" s="26"/>
      <c r="F634" s="271"/>
      <c r="G634" s="273"/>
      <c r="H634" s="274"/>
      <c r="I634" s="271"/>
      <c r="J634" s="276"/>
      <c r="K634" s="277"/>
      <c r="L634" s="276"/>
    </row>
    <row r="635" spans="2:12">
      <c r="B635" s="268" t="s">
        <v>604</v>
      </c>
      <c r="C635" s="12" t="s">
        <v>145</v>
      </c>
      <c r="D635" s="242">
        <v>200</v>
      </c>
      <c r="E635" s="159">
        <v>197.55</v>
      </c>
      <c r="F635" s="270">
        <f t="shared" ref="F635" si="476">+E635+E636</f>
        <v>197.55</v>
      </c>
      <c r="G635" s="272"/>
      <c r="H635" s="274"/>
      <c r="I635" s="270">
        <v>25.6</v>
      </c>
      <c r="J635" s="275">
        <f t="shared" ref="J635" si="477">I635/F635*1000</f>
        <v>129.58744621614781</v>
      </c>
      <c r="K635" s="277">
        <v>18180</v>
      </c>
      <c r="L635" s="275">
        <f t="shared" ref="L635" si="478">K635/F635</f>
        <v>92.027334851936217</v>
      </c>
    </row>
    <row r="636" spans="2:12">
      <c r="B636" s="269"/>
      <c r="C636" s="79"/>
      <c r="D636" s="242"/>
      <c r="E636" s="26"/>
      <c r="F636" s="271"/>
      <c r="G636" s="273"/>
      <c r="H636" s="274"/>
      <c r="I636" s="271"/>
      <c r="J636" s="276"/>
      <c r="K636" s="277"/>
      <c r="L636" s="276"/>
    </row>
    <row r="637" spans="2:12">
      <c r="B637" s="268" t="s">
        <v>605</v>
      </c>
      <c r="C637" s="12" t="s">
        <v>608</v>
      </c>
      <c r="D637" s="242">
        <v>170</v>
      </c>
      <c r="E637" s="159">
        <v>171.86500000000001</v>
      </c>
      <c r="F637" s="270">
        <f t="shared" ref="F637" si="479">+E637+E638</f>
        <v>171.86500000000001</v>
      </c>
      <c r="G637" s="272"/>
      <c r="H637" s="274"/>
      <c r="I637" s="270">
        <v>23.1</v>
      </c>
      <c r="J637" s="275">
        <f t="shared" ref="J637" si="480">I637/F637*1000</f>
        <v>134.40782009135077</v>
      </c>
      <c r="K637" s="277">
        <v>17040</v>
      </c>
      <c r="L637" s="275">
        <f t="shared" ref="L637" si="481">K637/F637</f>
        <v>99.147586768684718</v>
      </c>
    </row>
    <row r="638" spans="2:12">
      <c r="B638" s="269"/>
      <c r="C638" s="79"/>
      <c r="D638" s="242"/>
      <c r="E638" s="26"/>
      <c r="F638" s="271"/>
      <c r="G638" s="273"/>
      <c r="H638" s="274"/>
      <c r="I638" s="271"/>
      <c r="J638" s="276"/>
      <c r="K638" s="277"/>
      <c r="L638" s="276"/>
    </row>
    <row r="639" spans="2:12">
      <c r="B639" s="268" t="s">
        <v>610</v>
      </c>
      <c r="C639" s="12" t="s">
        <v>611</v>
      </c>
      <c r="D639" s="242">
        <v>200</v>
      </c>
      <c r="E639" s="159">
        <v>200.12</v>
      </c>
      <c r="F639" s="270">
        <f t="shared" ref="F639" si="482">+E639+E640</f>
        <v>200.12</v>
      </c>
      <c r="G639" s="272"/>
      <c r="H639" s="274"/>
      <c r="I639" s="270">
        <v>26.5</v>
      </c>
      <c r="J639" s="275">
        <f t="shared" ref="J639" si="483">I639/F639*1000</f>
        <v>132.42054767139717</v>
      </c>
      <c r="K639" s="277">
        <v>14340</v>
      </c>
      <c r="L639" s="275">
        <f t="shared" ref="L639" si="484">K639/F639</f>
        <v>71.657005796522085</v>
      </c>
    </row>
    <row r="640" spans="2:12">
      <c r="B640" s="269"/>
      <c r="C640" s="79"/>
      <c r="D640" s="242"/>
      <c r="E640" s="26"/>
      <c r="F640" s="271"/>
      <c r="G640" s="273"/>
      <c r="H640" s="274"/>
      <c r="I640" s="271"/>
      <c r="J640" s="276"/>
      <c r="K640" s="277"/>
      <c r="L640" s="276"/>
    </row>
    <row r="641" spans="2:12">
      <c r="B641" s="268"/>
      <c r="C641" s="79"/>
      <c r="D641" s="242"/>
      <c r="E641" s="159"/>
      <c r="F641" s="270">
        <f t="shared" ref="F641" si="485">+E641+E642</f>
        <v>0</v>
      </c>
      <c r="G641" s="272"/>
      <c r="H641" s="274"/>
      <c r="I641" s="270"/>
      <c r="J641" s="275" t="e">
        <f t="shared" ref="J641" si="486">I641/F641*1000</f>
        <v>#DIV/0!</v>
      </c>
      <c r="K641" s="277"/>
      <c r="L641" s="275" t="e">
        <f t="shared" ref="L641" si="487">K641/F641</f>
        <v>#DIV/0!</v>
      </c>
    </row>
    <row r="642" spans="2:12">
      <c r="B642" s="269"/>
      <c r="C642" s="79"/>
      <c r="D642" s="242"/>
      <c r="E642" s="26"/>
      <c r="F642" s="271"/>
      <c r="G642" s="273"/>
      <c r="H642" s="274"/>
      <c r="I642" s="271"/>
      <c r="J642" s="276"/>
      <c r="K642" s="277"/>
      <c r="L642" s="276"/>
    </row>
    <row r="643" spans="2:12">
      <c r="B643" s="268"/>
      <c r="C643" s="242"/>
      <c r="D643" s="242"/>
      <c r="E643" s="159"/>
      <c r="F643" s="270">
        <f t="shared" ref="F643" si="488">+E643+E644</f>
        <v>0</v>
      </c>
      <c r="G643" s="272"/>
      <c r="H643" s="274"/>
      <c r="I643" s="270"/>
      <c r="J643" s="275" t="e">
        <f t="shared" ref="J643" si="489">I643/F643*1000</f>
        <v>#DIV/0!</v>
      </c>
      <c r="K643" s="277"/>
      <c r="L643" s="275" t="e">
        <f t="shared" ref="L643" si="490">K643/F643</f>
        <v>#DIV/0!</v>
      </c>
    </row>
    <row r="644" spans="2:12">
      <c r="B644" s="269"/>
      <c r="C644" s="242"/>
      <c r="D644" s="242"/>
      <c r="E644" s="26"/>
      <c r="F644" s="271"/>
      <c r="G644" s="273"/>
      <c r="H644" s="274"/>
      <c r="I644" s="271"/>
      <c r="J644" s="276"/>
      <c r="K644" s="277"/>
      <c r="L644" s="276"/>
    </row>
    <row r="645" spans="2:12">
      <c r="B645" s="27"/>
      <c r="C645" s="28"/>
      <c r="D645" s="28" t="s">
        <v>15</v>
      </c>
      <c r="E645" s="29">
        <f>SUM(E583:E644)</f>
        <v>3484.55</v>
      </c>
      <c r="F645" s="29">
        <f>SUM(F583:F644)</f>
        <v>3484.55</v>
      </c>
      <c r="G645" s="29">
        <f>SUM(G583:G644)</f>
        <v>0</v>
      </c>
      <c r="H645" s="29">
        <f>SUM(H583:H644)</f>
        <v>0</v>
      </c>
      <c r="I645" s="29">
        <f>SUM(I583:I644)</f>
        <v>468.85000000000008</v>
      </c>
      <c r="J645" s="241">
        <f>I645/F645*1000</f>
        <v>134.55108981073599</v>
      </c>
      <c r="K645" s="42">
        <f>SUM(K583:K644)</f>
        <v>277310</v>
      </c>
      <c r="L645" s="30">
        <f>K645/F645</f>
        <v>79.582729477263925</v>
      </c>
    </row>
  </sheetData>
  <mergeCells count="1866">
    <mergeCell ref="F341:F342"/>
    <mergeCell ref="G341:G342"/>
    <mergeCell ref="H341:H342"/>
    <mergeCell ref="I341:I342"/>
    <mergeCell ref="J341:J342"/>
    <mergeCell ref="K341:K342"/>
    <mergeCell ref="L341:L342"/>
    <mergeCell ref="C342:D342"/>
    <mergeCell ref="B343:B344"/>
    <mergeCell ref="C343:D343"/>
    <mergeCell ref="F343:F344"/>
    <mergeCell ref="G343:G344"/>
    <mergeCell ref="H343:H344"/>
    <mergeCell ref="I343:I344"/>
    <mergeCell ref="J343:J344"/>
    <mergeCell ref="K343:K344"/>
    <mergeCell ref="L343:L344"/>
    <mergeCell ref="C344:D344"/>
    <mergeCell ref="K248:K249"/>
    <mergeCell ref="L248:L249"/>
    <mergeCell ref="C249:D249"/>
    <mergeCell ref="B250:B251"/>
    <mergeCell ref="C250:D250"/>
    <mergeCell ref="F250:F251"/>
    <mergeCell ref="G250:G251"/>
    <mergeCell ref="H250:H251"/>
    <mergeCell ref="I250:I251"/>
    <mergeCell ref="J250:J251"/>
    <mergeCell ref="K250:K251"/>
    <mergeCell ref="L250:L251"/>
    <mergeCell ref="C251:D251"/>
    <mergeCell ref="B252:B253"/>
    <mergeCell ref="C252:D252"/>
    <mergeCell ref="F252:F253"/>
    <mergeCell ref="G252:G253"/>
    <mergeCell ref="H252:H253"/>
    <mergeCell ref="I252:I253"/>
    <mergeCell ref="J252:J253"/>
    <mergeCell ref="K252:K253"/>
    <mergeCell ref="L252:L253"/>
    <mergeCell ref="C253:D253"/>
    <mergeCell ref="I248:I249"/>
    <mergeCell ref="J248:J249"/>
    <mergeCell ref="B242:B243"/>
    <mergeCell ref="C242:D242"/>
    <mergeCell ref="F242:F243"/>
    <mergeCell ref="G242:G243"/>
    <mergeCell ref="H242:H243"/>
    <mergeCell ref="I242:I243"/>
    <mergeCell ref="J242:J243"/>
    <mergeCell ref="K242:K243"/>
    <mergeCell ref="L242:L243"/>
    <mergeCell ref="C243:D243"/>
    <mergeCell ref="B246:B247"/>
    <mergeCell ref="C246:D246"/>
    <mergeCell ref="F246:F247"/>
    <mergeCell ref="G246:G247"/>
    <mergeCell ref="H246:H247"/>
    <mergeCell ref="I246:I247"/>
    <mergeCell ref="J246:J247"/>
    <mergeCell ref="K246:K247"/>
    <mergeCell ref="L246:L247"/>
    <mergeCell ref="C247:D247"/>
    <mergeCell ref="K244:K245"/>
    <mergeCell ref="L244:L245"/>
    <mergeCell ref="C245:D245"/>
    <mergeCell ref="B238:B239"/>
    <mergeCell ref="C238:D238"/>
    <mergeCell ref="F238:F239"/>
    <mergeCell ref="G238:G239"/>
    <mergeCell ref="H238:H239"/>
    <mergeCell ref="I238:I239"/>
    <mergeCell ref="J238:J239"/>
    <mergeCell ref="K238:K239"/>
    <mergeCell ref="L238:L239"/>
    <mergeCell ref="C239:D239"/>
    <mergeCell ref="B240:B241"/>
    <mergeCell ref="C240:D240"/>
    <mergeCell ref="F240:F241"/>
    <mergeCell ref="G240:G241"/>
    <mergeCell ref="H240:H241"/>
    <mergeCell ref="I240:I241"/>
    <mergeCell ref="J240:J241"/>
    <mergeCell ref="K240:K241"/>
    <mergeCell ref="L240:L241"/>
    <mergeCell ref="C241:D241"/>
    <mergeCell ref="B234:B235"/>
    <mergeCell ref="C234:D234"/>
    <mergeCell ref="F234:F235"/>
    <mergeCell ref="G234:G235"/>
    <mergeCell ref="H234:H235"/>
    <mergeCell ref="I234:I235"/>
    <mergeCell ref="J234:J235"/>
    <mergeCell ref="K234:K235"/>
    <mergeCell ref="L234:L235"/>
    <mergeCell ref="C235:D235"/>
    <mergeCell ref="B236:B237"/>
    <mergeCell ref="C236:D236"/>
    <mergeCell ref="F236:F237"/>
    <mergeCell ref="G236:G237"/>
    <mergeCell ref="H236:H237"/>
    <mergeCell ref="I236:I237"/>
    <mergeCell ref="J236:J237"/>
    <mergeCell ref="K236:K237"/>
    <mergeCell ref="L236:L237"/>
    <mergeCell ref="C237:D237"/>
    <mergeCell ref="B230:B231"/>
    <mergeCell ref="C230:D230"/>
    <mergeCell ref="F230:F231"/>
    <mergeCell ref="G230:G231"/>
    <mergeCell ref="H230:H231"/>
    <mergeCell ref="I230:I231"/>
    <mergeCell ref="J230:J231"/>
    <mergeCell ref="K230:K231"/>
    <mergeCell ref="L230:L231"/>
    <mergeCell ref="C231:D231"/>
    <mergeCell ref="B232:B233"/>
    <mergeCell ref="C232:D232"/>
    <mergeCell ref="F232:F233"/>
    <mergeCell ref="G232:G233"/>
    <mergeCell ref="H232:H233"/>
    <mergeCell ref="I232:I233"/>
    <mergeCell ref="J232:J233"/>
    <mergeCell ref="K232:K233"/>
    <mergeCell ref="L232:L233"/>
    <mergeCell ref="C233:D233"/>
    <mergeCell ref="B226:B227"/>
    <mergeCell ref="C226:D226"/>
    <mergeCell ref="F226:F227"/>
    <mergeCell ref="G226:G227"/>
    <mergeCell ref="H226:H227"/>
    <mergeCell ref="I226:I227"/>
    <mergeCell ref="J226:J227"/>
    <mergeCell ref="K226:K227"/>
    <mergeCell ref="L226:L227"/>
    <mergeCell ref="C227:D227"/>
    <mergeCell ref="B228:B229"/>
    <mergeCell ref="C228:D228"/>
    <mergeCell ref="F228:F229"/>
    <mergeCell ref="G228:G229"/>
    <mergeCell ref="H228:H229"/>
    <mergeCell ref="I228:I229"/>
    <mergeCell ref="J228:J229"/>
    <mergeCell ref="K228:K229"/>
    <mergeCell ref="L228:L229"/>
    <mergeCell ref="C229:D229"/>
    <mergeCell ref="B222:B223"/>
    <mergeCell ref="C222:D222"/>
    <mergeCell ref="F222:F223"/>
    <mergeCell ref="G222:G223"/>
    <mergeCell ref="H222:H223"/>
    <mergeCell ref="I222:I223"/>
    <mergeCell ref="J222:J223"/>
    <mergeCell ref="K222:K223"/>
    <mergeCell ref="L222:L223"/>
    <mergeCell ref="C223:D223"/>
    <mergeCell ref="B224:B225"/>
    <mergeCell ref="C224:D224"/>
    <mergeCell ref="F224:F225"/>
    <mergeCell ref="G224:G225"/>
    <mergeCell ref="H224:H225"/>
    <mergeCell ref="I224:I225"/>
    <mergeCell ref="J224:J225"/>
    <mergeCell ref="K224:K225"/>
    <mergeCell ref="L224:L225"/>
    <mergeCell ref="C225:D225"/>
    <mergeCell ref="B218:B219"/>
    <mergeCell ref="C218:D218"/>
    <mergeCell ref="F218:F219"/>
    <mergeCell ref="G218:G219"/>
    <mergeCell ref="H218:H219"/>
    <mergeCell ref="I218:I219"/>
    <mergeCell ref="J218:J219"/>
    <mergeCell ref="K218:K219"/>
    <mergeCell ref="L218:L219"/>
    <mergeCell ref="C219:D219"/>
    <mergeCell ref="B220:B221"/>
    <mergeCell ref="C220:D220"/>
    <mergeCell ref="F220:F221"/>
    <mergeCell ref="G220:G221"/>
    <mergeCell ref="H220:H221"/>
    <mergeCell ref="I220:I221"/>
    <mergeCell ref="J220:J221"/>
    <mergeCell ref="K220:K221"/>
    <mergeCell ref="L220:L221"/>
    <mergeCell ref="C221:D221"/>
    <mergeCell ref="B214:B215"/>
    <mergeCell ref="C214:D214"/>
    <mergeCell ref="F214:F215"/>
    <mergeCell ref="G214:G215"/>
    <mergeCell ref="H214:H215"/>
    <mergeCell ref="I214:I215"/>
    <mergeCell ref="J214:J215"/>
    <mergeCell ref="K214:K215"/>
    <mergeCell ref="L214:L215"/>
    <mergeCell ref="C215:D215"/>
    <mergeCell ref="B216:B217"/>
    <mergeCell ref="C216:D216"/>
    <mergeCell ref="F216:F217"/>
    <mergeCell ref="G216:G217"/>
    <mergeCell ref="H216:H217"/>
    <mergeCell ref="I216:I217"/>
    <mergeCell ref="J216:J217"/>
    <mergeCell ref="K216:K217"/>
    <mergeCell ref="L216:L217"/>
    <mergeCell ref="C217:D217"/>
    <mergeCell ref="B210:B211"/>
    <mergeCell ref="C210:D210"/>
    <mergeCell ref="F210:F211"/>
    <mergeCell ref="G210:G211"/>
    <mergeCell ref="H210:H211"/>
    <mergeCell ref="I210:I211"/>
    <mergeCell ref="J210:J211"/>
    <mergeCell ref="K210:K211"/>
    <mergeCell ref="L210:L211"/>
    <mergeCell ref="C211:D211"/>
    <mergeCell ref="B212:B213"/>
    <mergeCell ref="C212:D212"/>
    <mergeCell ref="F212:F213"/>
    <mergeCell ref="G212:G213"/>
    <mergeCell ref="H212:H213"/>
    <mergeCell ref="I212:I213"/>
    <mergeCell ref="J212:J213"/>
    <mergeCell ref="K212:K213"/>
    <mergeCell ref="L212:L213"/>
    <mergeCell ref="C213:D213"/>
    <mergeCell ref="B206:B207"/>
    <mergeCell ref="C206:D206"/>
    <mergeCell ref="F206:F207"/>
    <mergeCell ref="G206:G207"/>
    <mergeCell ref="H206:H207"/>
    <mergeCell ref="I206:I207"/>
    <mergeCell ref="J206:J207"/>
    <mergeCell ref="K206:K207"/>
    <mergeCell ref="L206:L207"/>
    <mergeCell ref="C207:D207"/>
    <mergeCell ref="B208:B209"/>
    <mergeCell ref="C208:D208"/>
    <mergeCell ref="F208:F209"/>
    <mergeCell ref="G208:G209"/>
    <mergeCell ref="H208:H209"/>
    <mergeCell ref="I208:I209"/>
    <mergeCell ref="J208:J209"/>
    <mergeCell ref="K208:K209"/>
    <mergeCell ref="L208:L209"/>
    <mergeCell ref="C209:D209"/>
    <mergeCell ref="I200:I201"/>
    <mergeCell ref="J200:J201"/>
    <mergeCell ref="K200:K201"/>
    <mergeCell ref="L200:L201"/>
    <mergeCell ref="C201:D201"/>
    <mergeCell ref="B202:B203"/>
    <mergeCell ref="C202:D202"/>
    <mergeCell ref="F202:F203"/>
    <mergeCell ref="G202:G203"/>
    <mergeCell ref="H202:H203"/>
    <mergeCell ref="I202:I203"/>
    <mergeCell ref="J202:J203"/>
    <mergeCell ref="K202:K203"/>
    <mergeCell ref="L202:L203"/>
    <mergeCell ref="C203:D203"/>
    <mergeCell ref="B204:B205"/>
    <mergeCell ref="C204:D204"/>
    <mergeCell ref="F204:F205"/>
    <mergeCell ref="G204:G205"/>
    <mergeCell ref="H204:H205"/>
    <mergeCell ref="I204:I205"/>
    <mergeCell ref="J204:J205"/>
    <mergeCell ref="K204:K205"/>
    <mergeCell ref="L204:L205"/>
    <mergeCell ref="C205:D205"/>
    <mergeCell ref="K71:K72"/>
    <mergeCell ref="L71:L72"/>
    <mergeCell ref="C72:D72"/>
    <mergeCell ref="L37:L38"/>
    <mergeCell ref="C38:D38"/>
    <mergeCell ref="B35:B36"/>
    <mergeCell ref="C35:D35"/>
    <mergeCell ref="F35:F36"/>
    <mergeCell ref="G35:G36"/>
    <mergeCell ref="H35:H36"/>
    <mergeCell ref="I35:I36"/>
    <mergeCell ref="J35:J36"/>
    <mergeCell ref="K35:K36"/>
    <mergeCell ref="L35:L36"/>
    <mergeCell ref="C36:D36"/>
    <mergeCell ref="B37:B38"/>
    <mergeCell ref="C37:D37"/>
    <mergeCell ref="F37:F38"/>
    <mergeCell ref="G37:G38"/>
    <mergeCell ref="H37:H38"/>
    <mergeCell ref="I37:I38"/>
    <mergeCell ref="J37:J38"/>
    <mergeCell ref="K37:K38"/>
    <mergeCell ref="B39:B40"/>
    <mergeCell ref="B41:B42"/>
    <mergeCell ref="C41:D41"/>
    <mergeCell ref="F41:F42"/>
    <mergeCell ref="G41:G42"/>
    <mergeCell ref="H41:H42"/>
    <mergeCell ref="I41:I42"/>
    <mergeCell ref="J41:J42"/>
    <mergeCell ref="K41:K42"/>
    <mergeCell ref="K33:K34"/>
    <mergeCell ref="L33:L34"/>
    <mergeCell ref="C34:D34"/>
    <mergeCell ref="F4:F5"/>
    <mergeCell ref="D30:F30"/>
    <mergeCell ref="G30:J30"/>
    <mergeCell ref="G31:G32"/>
    <mergeCell ref="B33:B34"/>
    <mergeCell ref="C33:D33"/>
    <mergeCell ref="F33:F34"/>
    <mergeCell ref="G33:G34"/>
    <mergeCell ref="H33:H34"/>
    <mergeCell ref="I33:I34"/>
    <mergeCell ref="J33:J34"/>
    <mergeCell ref="C39:D39"/>
    <mergeCell ref="F39:F40"/>
    <mergeCell ref="G39:G40"/>
    <mergeCell ref="H39:H40"/>
    <mergeCell ref="I39:I40"/>
    <mergeCell ref="J39:J40"/>
    <mergeCell ref="K39:K40"/>
    <mergeCell ref="L39:L40"/>
    <mergeCell ref="C40:D40"/>
    <mergeCell ref="L41:L42"/>
    <mergeCell ref="C42:D42"/>
    <mergeCell ref="B43:B44"/>
    <mergeCell ref="C43:D43"/>
    <mergeCell ref="F43:F44"/>
    <mergeCell ref="G43:G44"/>
    <mergeCell ref="H43:H44"/>
    <mergeCell ref="I43:I44"/>
    <mergeCell ref="J43:J44"/>
    <mergeCell ref="K43:K44"/>
    <mergeCell ref="L43:L44"/>
    <mergeCell ref="C44:D44"/>
    <mergeCell ref="B45:B46"/>
    <mergeCell ref="C45:D45"/>
    <mergeCell ref="F45:F46"/>
    <mergeCell ref="G45:G46"/>
    <mergeCell ref="H45:H46"/>
    <mergeCell ref="I45:I46"/>
    <mergeCell ref="J45:J46"/>
    <mergeCell ref="K45:K46"/>
    <mergeCell ref="L45:L46"/>
    <mergeCell ref="C46:D46"/>
    <mergeCell ref="B47:B48"/>
    <mergeCell ref="C47:D47"/>
    <mergeCell ref="F47:F48"/>
    <mergeCell ref="G47:G48"/>
    <mergeCell ref="H47:H48"/>
    <mergeCell ref="I47:I48"/>
    <mergeCell ref="J47:J48"/>
    <mergeCell ref="K47:K48"/>
    <mergeCell ref="L47:L48"/>
    <mergeCell ref="C48:D48"/>
    <mergeCell ref="J65:J66"/>
    <mergeCell ref="K65:K66"/>
    <mergeCell ref="L65:L66"/>
    <mergeCell ref="C66:D66"/>
    <mergeCell ref="F63:F64"/>
    <mergeCell ref="B63:B64"/>
    <mergeCell ref="C63:D63"/>
    <mergeCell ref="G63:G64"/>
    <mergeCell ref="H63:H64"/>
    <mergeCell ref="I63:I64"/>
    <mergeCell ref="J63:J64"/>
    <mergeCell ref="B49:B50"/>
    <mergeCell ref="C49:D49"/>
    <mergeCell ref="F49:F50"/>
    <mergeCell ref="G49:G50"/>
    <mergeCell ref="H49:H50"/>
    <mergeCell ref="I49:I50"/>
    <mergeCell ref="J49:J50"/>
    <mergeCell ref="K49:K50"/>
    <mergeCell ref="L49:L50"/>
    <mergeCell ref="C50:D50"/>
    <mergeCell ref="B51:B52"/>
    <mergeCell ref="C51:D51"/>
    <mergeCell ref="F51:F52"/>
    <mergeCell ref="G51:G52"/>
    <mergeCell ref="H51:H52"/>
    <mergeCell ref="I51:I52"/>
    <mergeCell ref="J51:J52"/>
    <mergeCell ref="K51:K52"/>
    <mergeCell ref="L51:L52"/>
    <mergeCell ref="C52:D52"/>
    <mergeCell ref="K55:K56"/>
    <mergeCell ref="L55:L56"/>
    <mergeCell ref="C56:D56"/>
    <mergeCell ref="K67:K68"/>
    <mergeCell ref="L67:L68"/>
    <mergeCell ref="C68:D68"/>
    <mergeCell ref="B69:B70"/>
    <mergeCell ref="C69:D69"/>
    <mergeCell ref="F69:F70"/>
    <mergeCell ref="G69:G70"/>
    <mergeCell ref="H69:H70"/>
    <mergeCell ref="I69:I70"/>
    <mergeCell ref="J69:J70"/>
    <mergeCell ref="K69:K70"/>
    <mergeCell ref="L69:L70"/>
    <mergeCell ref="C70:D70"/>
    <mergeCell ref="B67:B68"/>
    <mergeCell ref="C67:D67"/>
    <mergeCell ref="F67:F68"/>
    <mergeCell ref="G67:G68"/>
    <mergeCell ref="H67:H68"/>
    <mergeCell ref="I67:I68"/>
    <mergeCell ref="J67:J68"/>
    <mergeCell ref="K63:K64"/>
    <mergeCell ref="L63:L64"/>
    <mergeCell ref="C64:D64"/>
    <mergeCell ref="B65:B66"/>
    <mergeCell ref="C65:D65"/>
    <mergeCell ref="F65:F66"/>
    <mergeCell ref="G65:G66"/>
    <mergeCell ref="H65:H66"/>
    <mergeCell ref="I65:I66"/>
    <mergeCell ref="G59:G60"/>
    <mergeCell ref="H59:H60"/>
    <mergeCell ref="I59:I60"/>
    <mergeCell ref="J59:J60"/>
    <mergeCell ref="K59:K60"/>
    <mergeCell ref="L59:L60"/>
    <mergeCell ref="C60:D60"/>
    <mergeCell ref="B61:B62"/>
    <mergeCell ref="C61:D61"/>
    <mergeCell ref="F61:F62"/>
    <mergeCell ref="G61:G62"/>
    <mergeCell ref="H61:H62"/>
    <mergeCell ref="I61:I62"/>
    <mergeCell ref="J61:J62"/>
    <mergeCell ref="B57:B58"/>
    <mergeCell ref="B53:B54"/>
    <mergeCell ref="C53:D53"/>
    <mergeCell ref="F53:F54"/>
    <mergeCell ref="G53:G54"/>
    <mergeCell ref="H53:H54"/>
    <mergeCell ref="I53:I54"/>
    <mergeCell ref="J53:J54"/>
    <mergeCell ref="K53:K54"/>
    <mergeCell ref="L53:L54"/>
    <mergeCell ref="C54:D54"/>
    <mergeCell ref="B55:B56"/>
    <mergeCell ref="C55:D55"/>
    <mergeCell ref="F55:F56"/>
    <mergeCell ref="G55:G56"/>
    <mergeCell ref="H55:H56"/>
    <mergeCell ref="I55:I56"/>
    <mergeCell ref="J55:J56"/>
    <mergeCell ref="B73:B74"/>
    <mergeCell ref="C73:D73"/>
    <mergeCell ref="F73:F74"/>
    <mergeCell ref="G73:G74"/>
    <mergeCell ref="H73:H74"/>
    <mergeCell ref="I73:I74"/>
    <mergeCell ref="J73:J74"/>
    <mergeCell ref="K73:K74"/>
    <mergeCell ref="L73:L74"/>
    <mergeCell ref="C74:D74"/>
    <mergeCell ref="C57:D57"/>
    <mergeCell ref="F57:F58"/>
    <mergeCell ref="G57:G58"/>
    <mergeCell ref="H57:H58"/>
    <mergeCell ref="I57:I58"/>
    <mergeCell ref="J57:J58"/>
    <mergeCell ref="B71:B72"/>
    <mergeCell ref="C71:D71"/>
    <mergeCell ref="F71:F72"/>
    <mergeCell ref="G71:G72"/>
    <mergeCell ref="H71:H72"/>
    <mergeCell ref="I71:I72"/>
    <mergeCell ref="J71:J72"/>
    <mergeCell ref="K57:K58"/>
    <mergeCell ref="L57:L58"/>
    <mergeCell ref="C58:D58"/>
    <mergeCell ref="K61:K62"/>
    <mergeCell ref="L61:L62"/>
    <mergeCell ref="C62:D62"/>
    <mergeCell ref="B59:B60"/>
    <mergeCell ref="C59:D59"/>
    <mergeCell ref="F59:F60"/>
    <mergeCell ref="K112:K113"/>
    <mergeCell ref="L112:L113"/>
    <mergeCell ref="C113:D113"/>
    <mergeCell ref="B114:B115"/>
    <mergeCell ref="C114:D114"/>
    <mergeCell ref="F114:F115"/>
    <mergeCell ref="G114:G115"/>
    <mergeCell ref="H114:H115"/>
    <mergeCell ref="I114:I115"/>
    <mergeCell ref="J114:J115"/>
    <mergeCell ref="K114:K115"/>
    <mergeCell ref="L114:L115"/>
    <mergeCell ref="C115:D115"/>
    <mergeCell ref="F83:F84"/>
    <mergeCell ref="D109:F109"/>
    <mergeCell ref="G109:J109"/>
    <mergeCell ref="G110:G111"/>
    <mergeCell ref="B112:B113"/>
    <mergeCell ref="C112:D112"/>
    <mergeCell ref="F112:F113"/>
    <mergeCell ref="G112:G113"/>
    <mergeCell ref="H112:H113"/>
    <mergeCell ref="I112:I113"/>
    <mergeCell ref="J112:J113"/>
    <mergeCell ref="B118:B119"/>
    <mergeCell ref="C118:D118"/>
    <mergeCell ref="F118:F119"/>
    <mergeCell ref="G118:G119"/>
    <mergeCell ref="H118:H119"/>
    <mergeCell ref="I118:I119"/>
    <mergeCell ref="J118:J119"/>
    <mergeCell ref="K118:K119"/>
    <mergeCell ref="L118:L119"/>
    <mergeCell ref="C119:D119"/>
    <mergeCell ref="B116:B117"/>
    <mergeCell ref="C116:D116"/>
    <mergeCell ref="F116:F117"/>
    <mergeCell ref="G116:G117"/>
    <mergeCell ref="H116:H117"/>
    <mergeCell ref="I116:I117"/>
    <mergeCell ref="J116:J117"/>
    <mergeCell ref="K116:K117"/>
    <mergeCell ref="L116:L117"/>
    <mergeCell ref="C117:D117"/>
    <mergeCell ref="B122:B123"/>
    <mergeCell ref="C122:D122"/>
    <mergeCell ref="F122:F123"/>
    <mergeCell ref="G122:G123"/>
    <mergeCell ref="H122:H123"/>
    <mergeCell ref="I122:I123"/>
    <mergeCell ref="J122:J123"/>
    <mergeCell ref="K122:K123"/>
    <mergeCell ref="L122:L123"/>
    <mergeCell ref="C123:D123"/>
    <mergeCell ref="B120:B121"/>
    <mergeCell ref="C120:D120"/>
    <mergeCell ref="F120:F121"/>
    <mergeCell ref="G120:G121"/>
    <mergeCell ref="H120:H121"/>
    <mergeCell ref="I120:I121"/>
    <mergeCell ref="J120:J121"/>
    <mergeCell ref="K120:K121"/>
    <mergeCell ref="L120:L121"/>
    <mergeCell ref="C121:D121"/>
    <mergeCell ref="B126:B127"/>
    <mergeCell ref="C126:D126"/>
    <mergeCell ref="F126:F127"/>
    <mergeCell ref="G126:G127"/>
    <mergeCell ref="H126:H127"/>
    <mergeCell ref="I126:I127"/>
    <mergeCell ref="J126:J127"/>
    <mergeCell ref="K126:K127"/>
    <mergeCell ref="L126:L127"/>
    <mergeCell ref="C127:D127"/>
    <mergeCell ref="B124:B125"/>
    <mergeCell ref="C124:D124"/>
    <mergeCell ref="F124:F125"/>
    <mergeCell ref="G124:G125"/>
    <mergeCell ref="H124:H125"/>
    <mergeCell ref="I124:I125"/>
    <mergeCell ref="J124:J125"/>
    <mergeCell ref="K124:K125"/>
    <mergeCell ref="L124:L125"/>
    <mergeCell ref="C125:D125"/>
    <mergeCell ref="B130:B131"/>
    <mergeCell ref="C130:D130"/>
    <mergeCell ref="F130:F131"/>
    <mergeCell ref="G130:G131"/>
    <mergeCell ref="H130:H131"/>
    <mergeCell ref="I130:I131"/>
    <mergeCell ref="J130:J131"/>
    <mergeCell ref="K130:K131"/>
    <mergeCell ref="L130:L131"/>
    <mergeCell ref="C131:D131"/>
    <mergeCell ref="B128:B129"/>
    <mergeCell ref="C128:D128"/>
    <mergeCell ref="F128:F129"/>
    <mergeCell ref="G128:G129"/>
    <mergeCell ref="H128:H129"/>
    <mergeCell ref="I128:I129"/>
    <mergeCell ref="J128:J129"/>
    <mergeCell ref="K128:K129"/>
    <mergeCell ref="L128:L129"/>
    <mergeCell ref="C129:D129"/>
    <mergeCell ref="B134:B135"/>
    <mergeCell ref="C134:D134"/>
    <mergeCell ref="F134:F135"/>
    <mergeCell ref="G134:G135"/>
    <mergeCell ref="H134:H135"/>
    <mergeCell ref="I134:I135"/>
    <mergeCell ref="J134:J135"/>
    <mergeCell ref="K134:K135"/>
    <mergeCell ref="L134:L135"/>
    <mergeCell ref="C135:D135"/>
    <mergeCell ref="B132:B133"/>
    <mergeCell ref="C132:D132"/>
    <mergeCell ref="F132:F133"/>
    <mergeCell ref="G132:G133"/>
    <mergeCell ref="H132:H133"/>
    <mergeCell ref="I132:I133"/>
    <mergeCell ref="J132:J133"/>
    <mergeCell ref="K132:K133"/>
    <mergeCell ref="L132:L133"/>
    <mergeCell ref="C133:D133"/>
    <mergeCell ref="B138:B139"/>
    <mergeCell ref="C138:D138"/>
    <mergeCell ref="F138:F139"/>
    <mergeCell ref="G138:G139"/>
    <mergeCell ref="H138:H139"/>
    <mergeCell ref="I138:I139"/>
    <mergeCell ref="J138:J139"/>
    <mergeCell ref="K138:K139"/>
    <mergeCell ref="L138:L139"/>
    <mergeCell ref="C139:D139"/>
    <mergeCell ref="B136:B137"/>
    <mergeCell ref="C136:D136"/>
    <mergeCell ref="F136:F137"/>
    <mergeCell ref="G136:G137"/>
    <mergeCell ref="H136:H137"/>
    <mergeCell ref="I136:I137"/>
    <mergeCell ref="J136:J137"/>
    <mergeCell ref="K136:K137"/>
    <mergeCell ref="L136:L137"/>
    <mergeCell ref="C137:D137"/>
    <mergeCell ref="B142:B143"/>
    <mergeCell ref="C142:D142"/>
    <mergeCell ref="F142:F143"/>
    <mergeCell ref="G142:G143"/>
    <mergeCell ref="H142:H143"/>
    <mergeCell ref="I142:I143"/>
    <mergeCell ref="J142:J143"/>
    <mergeCell ref="K142:K143"/>
    <mergeCell ref="L142:L143"/>
    <mergeCell ref="C143:D143"/>
    <mergeCell ref="B140:B141"/>
    <mergeCell ref="C140:D140"/>
    <mergeCell ref="F140:F141"/>
    <mergeCell ref="G140:G141"/>
    <mergeCell ref="H140:H141"/>
    <mergeCell ref="I140:I141"/>
    <mergeCell ref="J140:J141"/>
    <mergeCell ref="K140:K141"/>
    <mergeCell ref="L140:L141"/>
    <mergeCell ref="C141:D141"/>
    <mergeCell ref="B146:B147"/>
    <mergeCell ref="C146:D146"/>
    <mergeCell ref="F146:F147"/>
    <mergeCell ref="G146:G147"/>
    <mergeCell ref="H146:H147"/>
    <mergeCell ref="I146:I147"/>
    <mergeCell ref="J146:J147"/>
    <mergeCell ref="K146:K147"/>
    <mergeCell ref="L146:L147"/>
    <mergeCell ref="C147:D147"/>
    <mergeCell ref="B144:B145"/>
    <mergeCell ref="C144:D144"/>
    <mergeCell ref="F144:F145"/>
    <mergeCell ref="G144:G145"/>
    <mergeCell ref="H144:H145"/>
    <mergeCell ref="I144:I145"/>
    <mergeCell ref="J144:J145"/>
    <mergeCell ref="K144:K145"/>
    <mergeCell ref="L144:L145"/>
    <mergeCell ref="C145:D145"/>
    <mergeCell ref="B150:B151"/>
    <mergeCell ref="C150:D150"/>
    <mergeCell ref="F150:F151"/>
    <mergeCell ref="G150:G151"/>
    <mergeCell ref="H150:H151"/>
    <mergeCell ref="I150:I151"/>
    <mergeCell ref="J150:J151"/>
    <mergeCell ref="K150:K151"/>
    <mergeCell ref="L150:L151"/>
    <mergeCell ref="C151:D151"/>
    <mergeCell ref="B148:B149"/>
    <mergeCell ref="C148:D148"/>
    <mergeCell ref="F148:F149"/>
    <mergeCell ref="G148:G149"/>
    <mergeCell ref="H148:H149"/>
    <mergeCell ref="I148:I149"/>
    <mergeCell ref="J148:J149"/>
    <mergeCell ref="K148:K149"/>
    <mergeCell ref="L148:L149"/>
    <mergeCell ref="C149:D149"/>
    <mergeCell ref="B154:B155"/>
    <mergeCell ref="C154:D154"/>
    <mergeCell ref="F154:F155"/>
    <mergeCell ref="G154:G155"/>
    <mergeCell ref="H154:H155"/>
    <mergeCell ref="I154:I155"/>
    <mergeCell ref="J154:J155"/>
    <mergeCell ref="K154:K155"/>
    <mergeCell ref="L154:L155"/>
    <mergeCell ref="C155:D155"/>
    <mergeCell ref="B152:B153"/>
    <mergeCell ref="C152:D152"/>
    <mergeCell ref="F152:F153"/>
    <mergeCell ref="G152:G153"/>
    <mergeCell ref="H152:H153"/>
    <mergeCell ref="I152:I153"/>
    <mergeCell ref="J152:J153"/>
    <mergeCell ref="K152:K153"/>
    <mergeCell ref="L152:L153"/>
    <mergeCell ref="C153:D153"/>
    <mergeCell ref="B158:B159"/>
    <mergeCell ref="C158:D158"/>
    <mergeCell ref="F158:F159"/>
    <mergeCell ref="G158:G159"/>
    <mergeCell ref="H158:H159"/>
    <mergeCell ref="I158:I159"/>
    <mergeCell ref="J158:J159"/>
    <mergeCell ref="K158:K159"/>
    <mergeCell ref="L158:L159"/>
    <mergeCell ref="C159:D159"/>
    <mergeCell ref="B156:B157"/>
    <mergeCell ref="C156:D156"/>
    <mergeCell ref="F156:F157"/>
    <mergeCell ref="G156:G157"/>
    <mergeCell ref="H156:H157"/>
    <mergeCell ref="I156:I157"/>
    <mergeCell ref="J156:J157"/>
    <mergeCell ref="K156:K157"/>
    <mergeCell ref="L156:L157"/>
    <mergeCell ref="C157:D157"/>
    <mergeCell ref="B162:B163"/>
    <mergeCell ref="C162:D162"/>
    <mergeCell ref="F162:F163"/>
    <mergeCell ref="G162:G163"/>
    <mergeCell ref="H162:H163"/>
    <mergeCell ref="I162:I163"/>
    <mergeCell ref="J162:J163"/>
    <mergeCell ref="K162:K163"/>
    <mergeCell ref="L162:L163"/>
    <mergeCell ref="C163:D163"/>
    <mergeCell ref="B160:B161"/>
    <mergeCell ref="C160:D160"/>
    <mergeCell ref="F160:F161"/>
    <mergeCell ref="G160:G161"/>
    <mergeCell ref="H160:H161"/>
    <mergeCell ref="I160:I161"/>
    <mergeCell ref="J160:J161"/>
    <mergeCell ref="K160:K161"/>
    <mergeCell ref="L160:L161"/>
    <mergeCell ref="C161:D161"/>
    <mergeCell ref="F171:F172"/>
    <mergeCell ref="D197:F197"/>
    <mergeCell ref="G197:J197"/>
    <mergeCell ref="G198:G199"/>
    <mergeCell ref="B200:B201"/>
    <mergeCell ref="C200:D200"/>
    <mergeCell ref="F200:F201"/>
    <mergeCell ref="G200:G201"/>
    <mergeCell ref="H200:H201"/>
    <mergeCell ref="F262:F263"/>
    <mergeCell ref="D288:F288"/>
    <mergeCell ref="G288:J288"/>
    <mergeCell ref="G289:G290"/>
    <mergeCell ref="B291:B292"/>
    <mergeCell ref="C291:D291"/>
    <mergeCell ref="F291:F292"/>
    <mergeCell ref="G291:G292"/>
    <mergeCell ref="H291:H292"/>
    <mergeCell ref="I291:I292"/>
    <mergeCell ref="J291:J292"/>
    <mergeCell ref="B244:B245"/>
    <mergeCell ref="C244:D244"/>
    <mergeCell ref="F244:F245"/>
    <mergeCell ref="G244:G245"/>
    <mergeCell ref="H244:H245"/>
    <mergeCell ref="I244:I245"/>
    <mergeCell ref="J244:J245"/>
    <mergeCell ref="B248:B249"/>
    <mergeCell ref="C248:D248"/>
    <mergeCell ref="F248:F249"/>
    <mergeCell ref="G248:G249"/>
    <mergeCell ref="H248:H249"/>
    <mergeCell ref="B295:B296"/>
    <mergeCell ref="C295:D295"/>
    <mergeCell ref="F295:F296"/>
    <mergeCell ref="G295:G296"/>
    <mergeCell ref="H295:H296"/>
    <mergeCell ref="I295:I296"/>
    <mergeCell ref="J295:J296"/>
    <mergeCell ref="K295:K296"/>
    <mergeCell ref="L295:L296"/>
    <mergeCell ref="C296:D296"/>
    <mergeCell ref="K291:K292"/>
    <mergeCell ref="L291:L292"/>
    <mergeCell ref="C292:D292"/>
    <mergeCell ref="B293:B294"/>
    <mergeCell ref="C293:D293"/>
    <mergeCell ref="F293:F294"/>
    <mergeCell ref="G293:G294"/>
    <mergeCell ref="H293:H294"/>
    <mergeCell ref="I293:I294"/>
    <mergeCell ref="J293:J294"/>
    <mergeCell ref="K293:K294"/>
    <mergeCell ref="L293:L294"/>
    <mergeCell ref="C294:D294"/>
    <mergeCell ref="B299:B300"/>
    <mergeCell ref="C299:D299"/>
    <mergeCell ref="F299:F300"/>
    <mergeCell ref="G299:G300"/>
    <mergeCell ref="H299:H300"/>
    <mergeCell ref="I299:I300"/>
    <mergeCell ref="J299:J300"/>
    <mergeCell ref="K299:K300"/>
    <mergeCell ref="L299:L300"/>
    <mergeCell ref="C300:D300"/>
    <mergeCell ref="B297:B298"/>
    <mergeCell ref="C297:D297"/>
    <mergeCell ref="F297:F298"/>
    <mergeCell ref="G297:G298"/>
    <mergeCell ref="H297:H298"/>
    <mergeCell ref="I297:I298"/>
    <mergeCell ref="J297:J298"/>
    <mergeCell ref="K297:K298"/>
    <mergeCell ref="L297:L298"/>
    <mergeCell ref="C298:D298"/>
    <mergeCell ref="B303:B304"/>
    <mergeCell ref="C303:D303"/>
    <mergeCell ref="F303:F304"/>
    <mergeCell ref="G303:G304"/>
    <mergeCell ref="H303:H304"/>
    <mergeCell ref="I303:I304"/>
    <mergeCell ref="J303:J304"/>
    <mergeCell ref="K303:K304"/>
    <mergeCell ref="L303:L304"/>
    <mergeCell ref="C304:D304"/>
    <mergeCell ref="B301:B302"/>
    <mergeCell ref="C301:D301"/>
    <mergeCell ref="F301:F302"/>
    <mergeCell ref="G301:G302"/>
    <mergeCell ref="H301:H302"/>
    <mergeCell ref="I301:I302"/>
    <mergeCell ref="J301:J302"/>
    <mergeCell ref="K301:K302"/>
    <mergeCell ref="L301:L302"/>
    <mergeCell ref="C302:D302"/>
    <mergeCell ref="B307:B308"/>
    <mergeCell ref="C307:D307"/>
    <mergeCell ref="F307:F308"/>
    <mergeCell ref="G307:G308"/>
    <mergeCell ref="H307:H308"/>
    <mergeCell ref="I307:I308"/>
    <mergeCell ref="J307:J308"/>
    <mergeCell ref="K307:K308"/>
    <mergeCell ref="L307:L308"/>
    <mergeCell ref="C308:D308"/>
    <mergeCell ref="B305:B306"/>
    <mergeCell ref="C305:D305"/>
    <mergeCell ref="F305:F306"/>
    <mergeCell ref="G305:G306"/>
    <mergeCell ref="H305:H306"/>
    <mergeCell ref="I305:I306"/>
    <mergeCell ref="J305:J306"/>
    <mergeCell ref="K305:K306"/>
    <mergeCell ref="L305:L306"/>
    <mergeCell ref="C306:D306"/>
    <mergeCell ref="B311:B312"/>
    <mergeCell ref="C311:D311"/>
    <mergeCell ref="F311:F312"/>
    <mergeCell ref="G311:G312"/>
    <mergeCell ref="H311:H312"/>
    <mergeCell ref="I311:I312"/>
    <mergeCell ref="J311:J312"/>
    <mergeCell ref="K311:K312"/>
    <mergeCell ref="L311:L312"/>
    <mergeCell ref="C312:D312"/>
    <mergeCell ref="B309:B310"/>
    <mergeCell ref="C309:D309"/>
    <mergeCell ref="F309:F310"/>
    <mergeCell ref="G309:G310"/>
    <mergeCell ref="H309:H310"/>
    <mergeCell ref="I309:I310"/>
    <mergeCell ref="J309:J310"/>
    <mergeCell ref="K309:K310"/>
    <mergeCell ref="L309:L310"/>
    <mergeCell ref="C310:D310"/>
    <mergeCell ref="B315:B316"/>
    <mergeCell ref="C315:D315"/>
    <mergeCell ref="F315:F316"/>
    <mergeCell ref="G315:G316"/>
    <mergeCell ref="H315:H316"/>
    <mergeCell ref="I315:I316"/>
    <mergeCell ref="J315:J316"/>
    <mergeCell ref="K315:K316"/>
    <mergeCell ref="L315:L316"/>
    <mergeCell ref="C316:D316"/>
    <mergeCell ref="B313:B314"/>
    <mergeCell ref="C313:D313"/>
    <mergeCell ref="F313:F314"/>
    <mergeCell ref="G313:G314"/>
    <mergeCell ref="H313:H314"/>
    <mergeCell ref="I313:I314"/>
    <mergeCell ref="J313:J314"/>
    <mergeCell ref="K313:K314"/>
    <mergeCell ref="L313:L314"/>
    <mergeCell ref="C314:D314"/>
    <mergeCell ref="B319:B320"/>
    <mergeCell ref="C319:D319"/>
    <mergeCell ref="F319:F320"/>
    <mergeCell ref="G319:G320"/>
    <mergeCell ref="H319:H320"/>
    <mergeCell ref="I319:I320"/>
    <mergeCell ref="J319:J320"/>
    <mergeCell ref="K319:K320"/>
    <mergeCell ref="L319:L320"/>
    <mergeCell ref="C320:D320"/>
    <mergeCell ref="B317:B318"/>
    <mergeCell ref="C317:D317"/>
    <mergeCell ref="F317:F318"/>
    <mergeCell ref="G317:G318"/>
    <mergeCell ref="H317:H318"/>
    <mergeCell ref="I317:I318"/>
    <mergeCell ref="J317:J318"/>
    <mergeCell ref="K317:K318"/>
    <mergeCell ref="L317:L318"/>
    <mergeCell ref="C318:D318"/>
    <mergeCell ref="B323:B324"/>
    <mergeCell ref="C323:D323"/>
    <mergeCell ref="F323:F324"/>
    <mergeCell ref="G323:G324"/>
    <mergeCell ref="H323:H324"/>
    <mergeCell ref="I323:I324"/>
    <mergeCell ref="J323:J324"/>
    <mergeCell ref="K323:K324"/>
    <mergeCell ref="L323:L324"/>
    <mergeCell ref="C324:D324"/>
    <mergeCell ref="B321:B322"/>
    <mergeCell ref="C321:D321"/>
    <mergeCell ref="F321:F322"/>
    <mergeCell ref="G321:G322"/>
    <mergeCell ref="H321:H322"/>
    <mergeCell ref="I321:I322"/>
    <mergeCell ref="J321:J322"/>
    <mergeCell ref="K321:K322"/>
    <mergeCell ref="L321:L322"/>
    <mergeCell ref="C322:D322"/>
    <mergeCell ref="B327:B328"/>
    <mergeCell ref="C327:D327"/>
    <mergeCell ref="F327:F328"/>
    <mergeCell ref="G327:G328"/>
    <mergeCell ref="H327:H328"/>
    <mergeCell ref="I327:I328"/>
    <mergeCell ref="J327:J328"/>
    <mergeCell ref="K327:K328"/>
    <mergeCell ref="L327:L328"/>
    <mergeCell ref="C328:D328"/>
    <mergeCell ref="B325:B326"/>
    <mergeCell ref="C325:D325"/>
    <mergeCell ref="F325:F326"/>
    <mergeCell ref="G325:G326"/>
    <mergeCell ref="H325:H326"/>
    <mergeCell ref="I325:I326"/>
    <mergeCell ref="J325:J326"/>
    <mergeCell ref="K325:K326"/>
    <mergeCell ref="L325:L326"/>
    <mergeCell ref="C326:D326"/>
    <mergeCell ref="B331:B332"/>
    <mergeCell ref="C331:D331"/>
    <mergeCell ref="F331:F332"/>
    <mergeCell ref="G331:G332"/>
    <mergeCell ref="H331:H332"/>
    <mergeCell ref="I331:I332"/>
    <mergeCell ref="J331:J332"/>
    <mergeCell ref="K331:K332"/>
    <mergeCell ref="L331:L332"/>
    <mergeCell ref="C332:D332"/>
    <mergeCell ref="B329:B330"/>
    <mergeCell ref="C329:D329"/>
    <mergeCell ref="F329:F330"/>
    <mergeCell ref="G329:G330"/>
    <mergeCell ref="H329:H330"/>
    <mergeCell ref="I329:I330"/>
    <mergeCell ref="J329:J330"/>
    <mergeCell ref="K329:K330"/>
    <mergeCell ref="L329:L330"/>
    <mergeCell ref="C330:D330"/>
    <mergeCell ref="B335:B336"/>
    <mergeCell ref="C335:D335"/>
    <mergeCell ref="F335:F336"/>
    <mergeCell ref="G335:G336"/>
    <mergeCell ref="H335:H336"/>
    <mergeCell ref="I335:I336"/>
    <mergeCell ref="J335:J336"/>
    <mergeCell ref="K335:K336"/>
    <mergeCell ref="L335:L336"/>
    <mergeCell ref="C336:D336"/>
    <mergeCell ref="B333:B334"/>
    <mergeCell ref="C333:D333"/>
    <mergeCell ref="F333:F334"/>
    <mergeCell ref="G333:G334"/>
    <mergeCell ref="H333:H334"/>
    <mergeCell ref="I333:I334"/>
    <mergeCell ref="J333:J334"/>
    <mergeCell ref="K333:K334"/>
    <mergeCell ref="L333:L334"/>
    <mergeCell ref="C334:D334"/>
    <mergeCell ref="B345:B346"/>
    <mergeCell ref="C345:D345"/>
    <mergeCell ref="F345:F346"/>
    <mergeCell ref="G345:G346"/>
    <mergeCell ref="H345:H346"/>
    <mergeCell ref="I345:I346"/>
    <mergeCell ref="J345:J346"/>
    <mergeCell ref="K345:K346"/>
    <mergeCell ref="L345:L346"/>
    <mergeCell ref="C346:D346"/>
    <mergeCell ref="B337:B338"/>
    <mergeCell ref="C337:D337"/>
    <mergeCell ref="F337:F338"/>
    <mergeCell ref="G337:G338"/>
    <mergeCell ref="H337:H338"/>
    <mergeCell ref="I337:I338"/>
    <mergeCell ref="J337:J338"/>
    <mergeCell ref="K337:K338"/>
    <mergeCell ref="L337:L338"/>
    <mergeCell ref="C338:D338"/>
    <mergeCell ref="B339:B340"/>
    <mergeCell ref="C339:D339"/>
    <mergeCell ref="F339:F340"/>
    <mergeCell ref="G339:G340"/>
    <mergeCell ref="H339:H340"/>
    <mergeCell ref="I339:I340"/>
    <mergeCell ref="J339:J340"/>
    <mergeCell ref="K339:K340"/>
    <mergeCell ref="L339:L340"/>
    <mergeCell ref="C340:D340"/>
    <mergeCell ref="B341:B342"/>
    <mergeCell ref="C341:D341"/>
    <mergeCell ref="B349:B350"/>
    <mergeCell ref="C349:D349"/>
    <mergeCell ref="F349:F350"/>
    <mergeCell ref="G349:G350"/>
    <mergeCell ref="H349:H350"/>
    <mergeCell ref="I349:I350"/>
    <mergeCell ref="J349:J350"/>
    <mergeCell ref="K349:K350"/>
    <mergeCell ref="L349:L350"/>
    <mergeCell ref="C350:D350"/>
    <mergeCell ref="B347:B348"/>
    <mergeCell ref="C347:D347"/>
    <mergeCell ref="F347:F348"/>
    <mergeCell ref="G347:G348"/>
    <mergeCell ref="H347:H348"/>
    <mergeCell ref="I347:I348"/>
    <mergeCell ref="J347:J348"/>
    <mergeCell ref="K347:K348"/>
    <mergeCell ref="L347:L348"/>
    <mergeCell ref="C348:D348"/>
    <mergeCell ref="F358:F359"/>
    <mergeCell ref="D384:F384"/>
    <mergeCell ref="G384:J384"/>
    <mergeCell ref="G385:G386"/>
    <mergeCell ref="B387:B388"/>
    <mergeCell ref="C387:D387"/>
    <mergeCell ref="F387:F388"/>
    <mergeCell ref="G387:G388"/>
    <mergeCell ref="H387:H388"/>
    <mergeCell ref="I387:I388"/>
    <mergeCell ref="J387:J388"/>
    <mergeCell ref="K387:K388"/>
    <mergeCell ref="L387:L388"/>
    <mergeCell ref="C388:D388"/>
    <mergeCell ref="B389:B390"/>
    <mergeCell ref="C389:D389"/>
    <mergeCell ref="F389:F390"/>
    <mergeCell ref="G389:G390"/>
    <mergeCell ref="H389:H390"/>
    <mergeCell ref="I389:I390"/>
    <mergeCell ref="J389:J390"/>
    <mergeCell ref="K389:K390"/>
    <mergeCell ref="L389:L390"/>
    <mergeCell ref="C390:D390"/>
    <mergeCell ref="B391:B392"/>
    <mergeCell ref="C391:D391"/>
    <mergeCell ref="F391:F392"/>
    <mergeCell ref="G391:G392"/>
    <mergeCell ref="H391:H392"/>
    <mergeCell ref="I391:I392"/>
    <mergeCell ref="J391:J392"/>
    <mergeCell ref="K391:K392"/>
    <mergeCell ref="L391:L392"/>
    <mergeCell ref="C392:D392"/>
    <mergeCell ref="B393:B394"/>
    <mergeCell ref="C393:D393"/>
    <mergeCell ref="F393:F394"/>
    <mergeCell ref="G393:G394"/>
    <mergeCell ref="H393:H394"/>
    <mergeCell ref="I393:I394"/>
    <mergeCell ref="J393:J394"/>
    <mergeCell ref="K393:K394"/>
    <mergeCell ref="L393:L394"/>
    <mergeCell ref="C394:D394"/>
    <mergeCell ref="B395:B396"/>
    <mergeCell ref="C395:D395"/>
    <mergeCell ref="F395:F396"/>
    <mergeCell ref="G395:G396"/>
    <mergeCell ref="H395:H396"/>
    <mergeCell ref="I395:I396"/>
    <mergeCell ref="J395:J396"/>
    <mergeCell ref="K395:K396"/>
    <mergeCell ref="L395:L396"/>
    <mergeCell ref="C396:D396"/>
    <mergeCell ref="B397:B398"/>
    <mergeCell ref="C397:D397"/>
    <mergeCell ref="F397:F398"/>
    <mergeCell ref="G397:G398"/>
    <mergeCell ref="H397:H398"/>
    <mergeCell ref="I397:I398"/>
    <mergeCell ref="J397:J398"/>
    <mergeCell ref="K397:K398"/>
    <mergeCell ref="L397:L398"/>
    <mergeCell ref="C398:D398"/>
    <mergeCell ref="B399:B400"/>
    <mergeCell ref="C399:D399"/>
    <mergeCell ref="F399:F400"/>
    <mergeCell ref="G399:G400"/>
    <mergeCell ref="H399:H400"/>
    <mergeCell ref="I399:I400"/>
    <mergeCell ref="J399:J400"/>
    <mergeCell ref="K399:K400"/>
    <mergeCell ref="L399:L400"/>
    <mergeCell ref="C400:D400"/>
    <mergeCell ref="B401:B402"/>
    <mergeCell ref="C401:D401"/>
    <mergeCell ref="F401:F402"/>
    <mergeCell ref="G401:G402"/>
    <mergeCell ref="H401:H402"/>
    <mergeCell ref="I401:I402"/>
    <mergeCell ref="J401:J402"/>
    <mergeCell ref="K401:K402"/>
    <mergeCell ref="L401:L402"/>
    <mergeCell ref="C402:D402"/>
    <mergeCell ref="B403:B404"/>
    <mergeCell ref="F403:F404"/>
    <mergeCell ref="G403:G404"/>
    <mergeCell ref="H403:H404"/>
    <mergeCell ref="I403:I404"/>
    <mergeCell ref="J403:J404"/>
    <mergeCell ref="K403:K404"/>
    <mergeCell ref="L403:L404"/>
    <mergeCell ref="B405:B406"/>
    <mergeCell ref="C405:D405"/>
    <mergeCell ref="F405:F406"/>
    <mergeCell ref="G405:G406"/>
    <mergeCell ref="H405:H406"/>
    <mergeCell ref="I405:I406"/>
    <mergeCell ref="J405:J406"/>
    <mergeCell ref="K405:K406"/>
    <mergeCell ref="L405:L406"/>
    <mergeCell ref="C406:D406"/>
    <mergeCell ref="B407:B408"/>
    <mergeCell ref="C407:D407"/>
    <mergeCell ref="F407:F408"/>
    <mergeCell ref="G407:G408"/>
    <mergeCell ref="H407:H408"/>
    <mergeCell ref="I407:I408"/>
    <mergeCell ref="J407:J408"/>
    <mergeCell ref="K407:K408"/>
    <mergeCell ref="L407:L408"/>
    <mergeCell ref="C408:D408"/>
    <mergeCell ref="B409:B410"/>
    <mergeCell ref="C409:D409"/>
    <mergeCell ref="F409:F410"/>
    <mergeCell ref="G409:G410"/>
    <mergeCell ref="H409:H410"/>
    <mergeCell ref="I409:I410"/>
    <mergeCell ref="J409:J410"/>
    <mergeCell ref="K409:K410"/>
    <mergeCell ref="L409:L410"/>
    <mergeCell ref="C410:D410"/>
    <mergeCell ref="B411:B412"/>
    <mergeCell ref="C411:D411"/>
    <mergeCell ref="F411:F412"/>
    <mergeCell ref="G411:G412"/>
    <mergeCell ref="H411:H412"/>
    <mergeCell ref="I411:I412"/>
    <mergeCell ref="J411:J412"/>
    <mergeCell ref="K411:K412"/>
    <mergeCell ref="L411:L412"/>
    <mergeCell ref="C412:D412"/>
    <mergeCell ref="B413:B414"/>
    <mergeCell ref="C413:D413"/>
    <mergeCell ref="F413:F414"/>
    <mergeCell ref="G413:G414"/>
    <mergeCell ref="H413:H414"/>
    <mergeCell ref="I413:I414"/>
    <mergeCell ref="J413:J414"/>
    <mergeCell ref="K413:K414"/>
    <mergeCell ref="L413:L414"/>
    <mergeCell ref="C414:D414"/>
    <mergeCell ref="B415:B416"/>
    <mergeCell ref="C415:D415"/>
    <mergeCell ref="F415:F416"/>
    <mergeCell ref="G415:G416"/>
    <mergeCell ref="H415:H416"/>
    <mergeCell ref="I415:I416"/>
    <mergeCell ref="J415:J416"/>
    <mergeCell ref="K415:K416"/>
    <mergeCell ref="L415:L416"/>
    <mergeCell ref="C416:D416"/>
    <mergeCell ref="B417:B418"/>
    <mergeCell ref="F417:F418"/>
    <mergeCell ref="G417:G418"/>
    <mergeCell ref="H417:H418"/>
    <mergeCell ref="I417:I418"/>
    <mergeCell ref="J417:J418"/>
    <mergeCell ref="K417:K418"/>
    <mergeCell ref="L417:L418"/>
    <mergeCell ref="B419:B420"/>
    <mergeCell ref="C419:D419"/>
    <mergeCell ref="F419:F420"/>
    <mergeCell ref="G419:G420"/>
    <mergeCell ref="H419:H420"/>
    <mergeCell ref="I419:I420"/>
    <mergeCell ref="J419:J420"/>
    <mergeCell ref="K419:K420"/>
    <mergeCell ref="L419:L420"/>
    <mergeCell ref="C420:D420"/>
    <mergeCell ref="B421:B422"/>
    <mergeCell ref="C421:D421"/>
    <mergeCell ref="F421:F422"/>
    <mergeCell ref="G421:G422"/>
    <mergeCell ref="H421:H422"/>
    <mergeCell ref="I421:I422"/>
    <mergeCell ref="J421:J422"/>
    <mergeCell ref="K421:K422"/>
    <mergeCell ref="L421:L422"/>
    <mergeCell ref="C422:D422"/>
    <mergeCell ref="B423:B424"/>
    <mergeCell ref="C423:D423"/>
    <mergeCell ref="F423:F424"/>
    <mergeCell ref="G423:G424"/>
    <mergeCell ref="H423:H424"/>
    <mergeCell ref="I423:I424"/>
    <mergeCell ref="J423:J424"/>
    <mergeCell ref="K423:K424"/>
    <mergeCell ref="L423:L424"/>
    <mergeCell ref="C424:D424"/>
    <mergeCell ref="B425:B426"/>
    <mergeCell ref="C425:D425"/>
    <mergeCell ref="F425:F426"/>
    <mergeCell ref="G425:G426"/>
    <mergeCell ref="H425:H426"/>
    <mergeCell ref="I425:I426"/>
    <mergeCell ref="J425:J426"/>
    <mergeCell ref="K425:K426"/>
    <mergeCell ref="L425:L426"/>
    <mergeCell ref="C426:D426"/>
    <mergeCell ref="B427:B428"/>
    <mergeCell ref="C427:D427"/>
    <mergeCell ref="F427:F428"/>
    <mergeCell ref="G427:G428"/>
    <mergeCell ref="H427:H428"/>
    <mergeCell ref="I427:I428"/>
    <mergeCell ref="J427:J428"/>
    <mergeCell ref="K427:K428"/>
    <mergeCell ref="L427:L428"/>
    <mergeCell ref="C428:D428"/>
    <mergeCell ref="B429:B430"/>
    <mergeCell ref="C429:D429"/>
    <mergeCell ref="F429:F430"/>
    <mergeCell ref="G429:G430"/>
    <mergeCell ref="H429:H430"/>
    <mergeCell ref="I429:I430"/>
    <mergeCell ref="J429:J430"/>
    <mergeCell ref="K429:K430"/>
    <mergeCell ref="L429:L430"/>
    <mergeCell ref="C430:D430"/>
    <mergeCell ref="B431:B432"/>
    <mergeCell ref="F431:F432"/>
    <mergeCell ref="G431:G432"/>
    <mergeCell ref="H431:H432"/>
    <mergeCell ref="I431:I432"/>
    <mergeCell ref="J431:J432"/>
    <mergeCell ref="K431:K432"/>
    <mergeCell ref="L431:L432"/>
    <mergeCell ref="B433:B434"/>
    <mergeCell ref="C433:D433"/>
    <mergeCell ref="F433:F434"/>
    <mergeCell ref="G433:G434"/>
    <mergeCell ref="H433:H434"/>
    <mergeCell ref="I433:I434"/>
    <mergeCell ref="J433:J434"/>
    <mergeCell ref="K433:K434"/>
    <mergeCell ref="L433:L434"/>
    <mergeCell ref="C434:D434"/>
    <mergeCell ref="B435:B436"/>
    <mergeCell ref="C435:D435"/>
    <mergeCell ref="F435:F436"/>
    <mergeCell ref="G435:G436"/>
    <mergeCell ref="H435:H436"/>
    <mergeCell ref="I435:I436"/>
    <mergeCell ref="J435:J436"/>
    <mergeCell ref="K435:K436"/>
    <mergeCell ref="L435:L436"/>
    <mergeCell ref="C436:D436"/>
    <mergeCell ref="B437:B438"/>
    <mergeCell ref="C437:D437"/>
    <mergeCell ref="F437:F438"/>
    <mergeCell ref="G437:G438"/>
    <mergeCell ref="H437:H438"/>
    <mergeCell ref="I437:I438"/>
    <mergeCell ref="J437:J438"/>
    <mergeCell ref="K437:K438"/>
    <mergeCell ref="L437:L438"/>
    <mergeCell ref="C438:D438"/>
    <mergeCell ref="B439:B440"/>
    <mergeCell ref="C439:D439"/>
    <mergeCell ref="F439:F440"/>
    <mergeCell ref="G439:G440"/>
    <mergeCell ref="H439:H440"/>
    <mergeCell ref="I439:I440"/>
    <mergeCell ref="J439:J440"/>
    <mergeCell ref="K439:K440"/>
    <mergeCell ref="L439:L440"/>
    <mergeCell ref="C440:D440"/>
    <mergeCell ref="B441:B442"/>
    <mergeCell ref="C441:D441"/>
    <mergeCell ref="F441:F442"/>
    <mergeCell ref="G441:G442"/>
    <mergeCell ref="H441:H442"/>
    <mergeCell ref="I441:I442"/>
    <mergeCell ref="J441:J442"/>
    <mergeCell ref="K441:K442"/>
    <mergeCell ref="L441:L442"/>
    <mergeCell ref="C442:D442"/>
    <mergeCell ref="J486:J487"/>
    <mergeCell ref="K486:K487"/>
    <mergeCell ref="L486:L487"/>
    <mergeCell ref="F443:F444"/>
    <mergeCell ref="G443:G444"/>
    <mergeCell ref="H443:H444"/>
    <mergeCell ref="I443:I444"/>
    <mergeCell ref="J443:J444"/>
    <mergeCell ref="K443:K444"/>
    <mergeCell ref="L443:L444"/>
    <mergeCell ref="C444:D444"/>
    <mergeCell ref="B445:B446"/>
    <mergeCell ref="F445:F446"/>
    <mergeCell ref="G445:G446"/>
    <mergeCell ref="H445:H446"/>
    <mergeCell ref="I445:I446"/>
    <mergeCell ref="J445:J446"/>
    <mergeCell ref="K445:K446"/>
    <mergeCell ref="L445:L446"/>
    <mergeCell ref="F455:F456"/>
    <mergeCell ref="B447:B448"/>
    <mergeCell ref="C447:D447"/>
    <mergeCell ref="F447:F448"/>
    <mergeCell ref="G447:G448"/>
    <mergeCell ref="H447:H448"/>
    <mergeCell ref="I447:I448"/>
    <mergeCell ref="J447:J448"/>
    <mergeCell ref="K447:K448"/>
    <mergeCell ref="L447:L448"/>
    <mergeCell ref="C448:D448"/>
    <mergeCell ref="B443:B444"/>
    <mergeCell ref="C443:D443"/>
    <mergeCell ref="B488:B489"/>
    <mergeCell ref="F488:F489"/>
    <mergeCell ref="G488:G489"/>
    <mergeCell ref="H488:H489"/>
    <mergeCell ref="I488:I489"/>
    <mergeCell ref="J488:J489"/>
    <mergeCell ref="K488:K489"/>
    <mergeCell ref="L488:L489"/>
    <mergeCell ref="B490:B491"/>
    <mergeCell ref="F490:F491"/>
    <mergeCell ref="G490:G491"/>
    <mergeCell ref="H490:H491"/>
    <mergeCell ref="I490:I491"/>
    <mergeCell ref="J490:J491"/>
    <mergeCell ref="K490:K491"/>
    <mergeCell ref="L490:L491"/>
    <mergeCell ref="D481:F481"/>
    <mergeCell ref="G481:J481"/>
    <mergeCell ref="G482:G483"/>
    <mergeCell ref="B484:B485"/>
    <mergeCell ref="F484:F485"/>
    <mergeCell ref="G484:G485"/>
    <mergeCell ref="H484:H485"/>
    <mergeCell ref="I484:I485"/>
    <mergeCell ref="J484:J485"/>
    <mergeCell ref="K484:K485"/>
    <mergeCell ref="L484:L485"/>
    <mergeCell ref="B486:B487"/>
    <mergeCell ref="F486:F487"/>
    <mergeCell ref="G486:G487"/>
    <mergeCell ref="H486:H487"/>
    <mergeCell ref="I486:I487"/>
    <mergeCell ref="B496:B497"/>
    <mergeCell ref="F496:F497"/>
    <mergeCell ref="G496:G497"/>
    <mergeCell ref="H496:H497"/>
    <mergeCell ref="I496:I497"/>
    <mergeCell ref="J496:J497"/>
    <mergeCell ref="K496:K497"/>
    <mergeCell ref="L496:L497"/>
    <mergeCell ref="B498:B499"/>
    <mergeCell ref="F498:F499"/>
    <mergeCell ref="G498:G499"/>
    <mergeCell ref="H498:H499"/>
    <mergeCell ref="I498:I499"/>
    <mergeCell ref="J498:J499"/>
    <mergeCell ref="K498:K499"/>
    <mergeCell ref="L498:L499"/>
    <mergeCell ref="B492:B493"/>
    <mergeCell ref="F492:F493"/>
    <mergeCell ref="G492:G493"/>
    <mergeCell ref="H492:H493"/>
    <mergeCell ref="I492:I493"/>
    <mergeCell ref="J492:J493"/>
    <mergeCell ref="K492:K493"/>
    <mergeCell ref="L492:L493"/>
    <mergeCell ref="B494:B495"/>
    <mergeCell ref="F494:F495"/>
    <mergeCell ref="G494:G495"/>
    <mergeCell ref="H494:H495"/>
    <mergeCell ref="I494:I495"/>
    <mergeCell ref="J494:J495"/>
    <mergeCell ref="K494:K495"/>
    <mergeCell ref="L494:L495"/>
    <mergeCell ref="B504:B505"/>
    <mergeCell ref="F504:F505"/>
    <mergeCell ref="G504:G505"/>
    <mergeCell ref="H504:H505"/>
    <mergeCell ref="I504:I505"/>
    <mergeCell ref="J504:J505"/>
    <mergeCell ref="K504:K505"/>
    <mergeCell ref="L504:L505"/>
    <mergeCell ref="B506:B507"/>
    <mergeCell ref="F506:F507"/>
    <mergeCell ref="G506:G507"/>
    <mergeCell ref="H506:H507"/>
    <mergeCell ref="I506:I507"/>
    <mergeCell ref="J506:J507"/>
    <mergeCell ref="K506:K507"/>
    <mergeCell ref="L506:L507"/>
    <mergeCell ref="B500:B501"/>
    <mergeCell ref="F500:F501"/>
    <mergeCell ref="G500:G501"/>
    <mergeCell ref="H500:H501"/>
    <mergeCell ref="I500:I501"/>
    <mergeCell ref="J500:J501"/>
    <mergeCell ref="K500:K501"/>
    <mergeCell ref="L500:L501"/>
    <mergeCell ref="B502:B503"/>
    <mergeCell ref="F502:F503"/>
    <mergeCell ref="G502:G503"/>
    <mergeCell ref="H502:H503"/>
    <mergeCell ref="I502:I503"/>
    <mergeCell ref="J502:J503"/>
    <mergeCell ref="K502:K503"/>
    <mergeCell ref="L502:L503"/>
    <mergeCell ref="B512:B513"/>
    <mergeCell ref="F512:F513"/>
    <mergeCell ref="G512:G513"/>
    <mergeCell ref="H512:H513"/>
    <mergeCell ref="I512:I513"/>
    <mergeCell ref="J512:J513"/>
    <mergeCell ref="K512:K513"/>
    <mergeCell ref="L512:L513"/>
    <mergeCell ref="B514:B515"/>
    <mergeCell ref="F514:F515"/>
    <mergeCell ref="G514:G515"/>
    <mergeCell ref="H514:H515"/>
    <mergeCell ref="I514:I515"/>
    <mergeCell ref="J514:J515"/>
    <mergeCell ref="K514:K515"/>
    <mergeCell ref="L514:L515"/>
    <mergeCell ref="B508:B509"/>
    <mergeCell ref="F508:F509"/>
    <mergeCell ref="G508:G509"/>
    <mergeCell ref="H508:H509"/>
    <mergeCell ref="I508:I509"/>
    <mergeCell ref="J508:J509"/>
    <mergeCell ref="K508:K509"/>
    <mergeCell ref="L508:L509"/>
    <mergeCell ref="B510:B511"/>
    <mergeCell ref="F510:F511"/>
    <mergeCell ref="G510:G511"/>
    <mergeCell ref="H510:H511"/>
    <mergeCell ref="I510:I511"/>
    <mergeCell ref="J510:J511"/>
    <mergeCell ref="K510:K511"/>
    <mergeCell ref="L510:L511"/>
    <mergeCell ref="B520:B521"/>
    <mergeCell ref="F520:F521"/>
    <mergeCell ref="G520:G521"/>
    <mergeCell ref="H520:H521"/>
    <mergeCell ref="I520:I521"/>
    <mergeCell ref="J520:J521"/>
    <mergeCell ref="K520:K521"/>
    <mergeCell ref="L520:L521"/>
    <mergeCell ref="B522:B523"/>
    <mergeCell ref="F522:F523"/>
    <mergeCell ref="G522:G523"/>
    <mergeCell ref="H522:H523"/>
    <mergeCell ref="I522:I523"/>
    <mergeCell ref="J522:J523"/>
    <mergeCell ref="K522:K523"/>
    <mergeCell ref="L522:L523"/>
    <mergeCell ref="B516:B517"/>
    <mergeCell ref="F516:F517"/>
    <mergeCell ref="G516:G517"/>
    <mergeCell ref="H516:H517"/>
    <mergeCell ref="I516:I517"/>
    <mergeCell ref="J516:J517"/>
    <mergeCell ref="K516:K517"/>
    <mergeCell ref="L516:L517"/>
    <mergeCell ref="B518:B519"/>
    <mergeCell ref="F518:F519"/>
    <mergeCell ref="G518:G519"/>
    <mergeCell ref="H518:H519"/>
    <mergeCell ref="I518:I519"/>
    <mergeCell ref="J518:J519"/>
    <mergeCell ref="K518:K519"/>
    <mergeCell ref="L518:L519"/>
    <mergeCell ref="B528:B529"/>
    <mergeCell ref="F528:F529"/>
    <mergeCell ref="G528:G529"/>
    <mergeCell ref="H528:H529"/>
    <mergeCell ref="I528:I529"/>
    <mergeCell ref="J528:J529"/>
    <mergeCell ref="K528:K529"/>
    <mergeCell ref="L528:L529"/>
    <mergeCell ref="B530:B531"/>
    <mergeCell ref="F530:F531"/>
    <mergeCell ref="G530:G531"/>
    <mergeCell ref="H530:H531"/>
    <mergeCell ref="I530:I531"/>
    <mergeCell ref="J530:J531"/>
    <mergeCell ref="K530:K531"/>
    <mergeCell ref="L530:L531"/>
    <mergeCell ref="B524:B525"/>
    <mergeCell ref="F524:F525"/>
    <mergeCell ref="G524:G525"/>
    <mergeCell ref="H524:H525"/>
    <mergeCell ref="I524:I525"/>
    <mergeCell ref="J524:J525"/>
    <mergeCell ref="K524:K525"/>
    <mergeCell ref="L524:L525"/>
    <mergeCell ref="B526:B527"/>
    <mergeCell ref="F526:F527"/>
    <mergeCell ref="G526:G527"/>
    <mergeCell ref="H526:H527"/>
    <mergeCell ref="I526:I527"/>
    <mergeCell ref="J526:J527"/>
    <mergeCell ref="K526:K527"/>
    <mergeCell ref="L526:L527"/>
    <mergeCell ref="B536:B537"/>
    <mergeCell ref="F536:F537"/>
    <mergeCell ref="G536:G537"/>
    <mergeCell ref="H536:H537"/>
    <mergeCell ref="I536:I537"/>
    <mergeCell ref="J536:J537"/>
    <mergeCell ref="K536:K537"/>
    <mergeCell ref="L536:L537"/>
    <mergeCell ref="B538:B539"/>
    <mergeCell ref="F538:F539"/>
    <mergeCell ref="G538:G539"/>
    <mergeCell ref="H538:H539"/>
    <mergeCell ref="I538:I539"/>
    <mergeCell ref="J538:J539"/>
    <mergeCell ref="K538:K539"/>
    <mergeCell ref="L538:L539"/>
    <mergeCell ref="B532:B533"/>
    <mergeCell ref="F532:F533"/>
    <mergeCell ref="G532:G533"/>
    <mergeCell ref="H532:H533"/>
    <mergeCell ref="I532:I533"/>
    <mergeCell ref="J532:J533"/>
    <mergeCell ref="K532:K533"/>
    <mergeCell ref="L532:L533"/>
    <mergeCell ref="B534:B535"/>
    <mergeCell ref="F534:F535"/>
    <mergeCell ref="G534:G535"/>
    <mergeCell ref="H534:H535"/>
    <mergeCell ref="I534:I535"/>
    <mergeCell ref="J534:J535"/>
    <mergeCell ref="K534:K535"/>
    <mergeCell ref="L534:L535"/>
    <mergeCell ref="B544:B545"/>
    <mergeCell ref="F544:F545"/>
    <mergeCell ref="G544:G545"/>
    <mergeCell ref="H544:H545"/>
    <mergeCell ref="I544:I545"/>
    <mergeCell ref="J544:J545"/>
    <mergeCell ref="K544:K545"/>
    <mergeCell ref="L544:L545"/>
    <mergeCell ref="B540:B541"/>
    <mergeCell ref="F540:F541"/>
    <mergeCell ref="G540:G541"/>
    <mergeCell ref="H540:H541"/>
    <mergeCell ref="I540:I541"/>
    <mergeCell ref="J540:J541"/>
    <mergeCell ref="K540:K541"/>
    <mergeCell ref="L540:L541"/>
    <mergeCell ref="B542:B543"/>
    <mergeCell ref="F542:F543"/>
    <mergeCell ref="G542:G543"/>
    <mergeCell ref="H542:H543"/>
    <mergeCell ref="I542:I543"/>
    <mergeCell ref="J542:J543"/>
    <mergeCell ref="K542:K543"/>
    <mergeCell ref="L542:L543"/>
    <mergeCell ref="F554:F555"/>
    <mergeCell ref="D580:F580"/>
    <mergeCell ref="G580:J580"/>
    <mergeCell ref="G581:G582"/>
    <mergeCell ref="B583:B584"/>
    <mergeCell ref="F583:F584"/>
    <mergeCell ref="G583:G584"/>
    <mergeCell ref="H583:H584"/>
    <mergeCell ref="I583:I584"/>
    <mergeCell ref="J583:J584"/>
    <mergeCell ref="K583:K584"/>
    <mergeCell ref="L583:L584"/>
    <mergeCell ref="B585:B586"/>
    <mergeCell ref="F585:F586"/>
    <mergeCell ref="G585:G586"/>
    <mergeCell ref="H585:H586"/>
    <mergeCell ref="I585:I586"/>
    <mergeCell ref="J585:J586"/>
    <mergeCell ref="K585:K586"/>
    <mergeCell ref="L585:L586"/>
    <mergeCell ref="B587:B588"/>
    <mergeCell ref="F587:F588"/>
    <mergeCell ref="G587:G588"/>
    <mergeCell ref="H587:H588"/>
    <mergeCell ref="I587:I588"/>
    <mergeCell ref="J587:J588"/>
    <mergeCell ref="K587:K588"/>
    <mergeCell ref="L587:L588"/>
    <mergeCell ref="B589:B590"/>
    <mergeCell ref="F589:F590"/>
    <mergeCell ref="G589:G590"/>
    <mergeCell ref="H589:H590"/>
    <mergeCell ref="I589:I590"/>
    <mergeCell ref="J589:J590"/>
    <mergeCell ref="K589:K590"/>
    <mergeCell ref="L589:L590"/>
    <mergeCell ref="B591:B592"/>
    <mergeCell ref="F591:F592"/>
    <mergeCell ref="G591:G592"/>
    <mergeCell ref="H591:H592"/>
    <mergeCell ref="I591:I592"/>
    <mergeCell ref="J591:J592"/>
    <mergeCell ref="K591:K592"/>
    <mergeCell ref="L591:L592"/>
    <mergeCell ref="B593:B594"/>
    <mergeCell ref="F593:F594"/>
    <mergeCell ref="G593:G594"/>
    <mergeCell ref="H593:H594"/>
    <mergeCell ref="I593:I594"/>
    <mergeCell ref="J593:J594"/>
    <mergeCell ref="K593:K594"/>
    <mergeCell ref="L593:L594"/>
    <mergeCell ref="B595:B596"/>
    <mergeCell ref="F595:F596"/>
    <mergeCell ref="G595:G596"/>
    <mergeCell ref="H595:H596"/>
    <mergeCell ref="I595:I596"/>
    <mergeCell ref="J595:J596"/>
    <mergeCell ref="K595:K596"/>
    <mergeCell ref="L595:L596"/>
    <mergeCell ref="B597:B598"/>
    <mergeCell ref="F597:F598"/>
    <mergeCell ref="G597:G598"/>
    <mergeCell ref="H597:H598"/>
    <mergeCell ref="I597:I598"/>
    <mergeCell ref="J597:J598"/>
    <mergeCell ref="K597:K598"/>
    <mergeCell ref="L597:L598"/>
    <mergeCell ref="B599:B600"/>
    <mergeCell ref="F599:F600"/>
    <mergeCell ref="G599:G600"/>
    <mergeCell ref="H599:H600"/>
    <mergeCell ref="I599:I600"/>
    <mergeCell ref="J599:J600"/>
    <mergeCell ref="K599:K600"/>
    <mergeCell ref="L599:L600"/>
    <mergeCell ref="B601:B602"/>
    <mergeCell ref="F601:F602"/>
    <mergeCell ref="G601:G602"/>
    <mergeCell ref="H601:H602"/>
    <mergeCell ref="I601:I602"/>
    <mergeCell ref="J601:J602"/>
    <mergeCell ref="K601:K602"/>
    <mergeCell ref="L601:L602"/>
    <mergeCell ref="B603:B604"/>
    <mergeCell ref="F603:F604"/>
    <mergeCell ref="G603:G604"/>
    <mergeCell ref="H603:H604"/>
    <mergeCell ref="I603:I604"/>
    <mergeCell ref="J603:J604"/>
    <mergeCell ref="K603:K604"/>
    <mergeCell ref="L603:L604"/>
    <mergeCell ref="B605:B606"/>
    <mergeCell ref="F605:F606"/>
    <mergeCell ref="G605:G606"/>
    <mergeCell ref="H605:H606"/>
    <mergeCell ref="I605:I606"/>
    <mergeCell ref="J605:J606"/>
    <mergeCell ref="K605:K606"/>
    <mergeCell ref="L605:L606"/>
    <mergeCell ref="B607:B608"/>
    <mergeCell ref="F607:F608"/>
    <mergeCell ref="G607:G608"/>
    <mergeCell ref="H607:H608"/>
    <mergeCell ref="I607:I608"/>
    <mergeCell ref="J607:J608"/>
    <mergeCell ref="K607:K608"/>
    <mergeCell ref="L607:L608"/>
    <mergeCell ref="B609:B610"/>
    <mergeCell ref="F609:F610"/>
    <mergeCell ref="G609:G610"/>
    <mergeCell ref="H609:H610"/>
    <mergeCell ref="I609:I610"/>
    <mergeCell ref="J609:J610"/>
    <mergeCell ref="K609:K610"/>
    <mergeCell ref="L609:L610"/>
    <mergeCell ref="B611:B612"/>
    <mergeCell ref="F611:F612"/>
    <mergeCell ref="G611:G612"/>
    <mergeCell ref="H611:H612"/>
    <mergeCell ref="I611:I612"/>
    <mergeCell ref="J611:J612"/>
    <mergeCell ref="K611:K612"/>
    <mergeCell ref="L611:L612"/>
    <mergeCell ref="B613:B614"/>
    <mergeCell ref="F613:F614"/>
    <mergeCell ref="G613:G614"/>
    <mergeCell ref="H613:H614"/>
    <mergeCell ref="I613:I614"/>
    <mergeCell ref="J613:J614"/>
    <mergeCell ref="K613:K614"/>
    <mergeCell ref="L613:L614"/>
    <mergeCell ref="B615:B616"/>
    <mergeCell ref="F615:F616"/>
    <mergeCell ref="G615:G616"/>
    <mergeCell ref="H615:H616"/>
    <mergeCell ref="I615:I616"/>
    <mergeCell ref="J615:J616"/>
    <mergeCell ref="K615:K616"/>
    <mergeCell ref="L615:L616"/>
    <mergeCell ref="B617:B618"/>
    <mergeCell ref="F617:F618"/>
    <mergeCell ref="G617:G618"/>
    <mergeCell ref="H617:H618"/>
    <mergeCell ref="I617:I618"/>
    <mergeCell ref="J617:J618"/>
    <mergeCell ref="K617:K618"/>
    <mergeCell ref="L617:L618"/>
    <mergeCell ref="B619:B620"/>
    <mergeCell ref="F619:F620"/>
    <mergeCell ref="G619:G620"/>
    <mergeCell ref="H619:H620"/>
    <mergeCell ref="I619:I620"/>
    <mergeCell ref="J619:J620"/>
    <mergeCell ref="K619:K620"/>
    <mergeCell ref="L619:L620"/>
    <mergeCell ref="B621:B622"/>
    <mergeCell ref="F621:F622"/>
    <mergeCell ref="G621:G622"/>
    <mergeCell ref="H621:H622"/>
    <mergeCell ref="I621:I622"/>
    <mergeCell ref="J621:J622"/>
    <mergeCell ref="K621:K622"/>
    <mergeCell ref="L621:L622"/>
    <mergeCell ref="B623:B624"/>
    <mergeCell ref="F623:F624"/>
    <mergeCell ref="G623:G624"/>
    <mergeCell ref="H623:H624"/>
    <mergeCell ref="I623:I624"/>
    <mergeCell ref="J623:J624"/>
    <mergeCell ref="K623:K624"/>
    <mergeCell ref="L623:L624"/>
    <mergeCell ref="B625:B626"/>
    <mergeCell ref="F625:F626"/>
    <mergeCell ref="G625:G626"/>
    <mergeCell ref="H625:H626"/>
    <mergeCell ref="I625:I626"/>
    <mergeCell ref="J625:J626"/>
    <mergeCell ref="K625:K626"/>
    <mergeCell ref="L625:L626"/>
    <mergeCell ref="B627:B628"/>
    <mergeCell ref="F627:F628"/>
    <mergeCell ref="G627:G628"/>
    <mergeCell ref="H627:H628"/>
    <mergeCell ref="I627:I628"/>
    <mergeCell ref="J627:J628"/>
    <mergeCell ref="K627:K628"/>
    <mergeCell ref="L627:L628"/>
    <mergeCell ref="B639:B640"/>
    <mergeCell ref="F639:F640"/>
    <mergeCell ref="G639:G640"/>
    <mergeCell ref="H639:H640"/>
    <mergeCell ref="I639:I640"/>
    <mergeCell ref="J639:J640"/>
    <mergeCell ref="K639:K640"/>
    <mergeCell ref="L639:L640"/>
    <mergeCell ref="B629:B630"/>
    <mergeCell ref="F629:F630"/>
    <mergeCell ref="G629:G630"/>
    <mergeCell ref="H629:H630"/>
    <mergeCell ref="I629:I630"/>
    <mergeCell ref="J629:J630"/>
    <mergeCell ref="K629:K630"/>
    <mergeCell ref="L629:L630"/>
    <mergeCell ref="B631:B632"/>
    <mergeCell ref="F631:F632"/>
    <mergeCell ref="G631:G632"/>
    <mergeCell ref="H631:H632"/>
    <mergeCell ref="I631:I632"/>
    <mergeCell ref="J631:J632"/>
    <mergeCell ref="K631:K632"/>
    <mergeCell ref="L631:L632"/>
    <mergeCell ref="B633:B634"/>
    <mergeCell ref="F633:F634"/>
    <mergeCell ref="G633:G634"/>
    <mergeCell ref="H633:H634"/>
    <mergeCell ref="I633:I634"/>
    <mergeCell ref="J633:J634"/>
    <mergeCell ref="K633:K634"/>
    <mergeCell ref="L633:L634"/>
    <mergeCell ref="B641:B642"/>
    <mergeCell ref="F641:F642"/>
    <mergeCell ref="G641:G642"/>
    <mergeCell ref="H641:H642"/>
    <mergeCell ref="I641:I642"/>
    <mergeCell ref="J641:J642"/>
    <mergeCell ref="K641:K642"/>
    <mergeCell ref="L641:L642"/>
    <mergeCell ref="B643:B644"/>
    <mergeCell ref="F643:F644"/>
    <mergeCell ref="G643:G644"/>
    <mergeCell ref="H643:H644"/>
    <mergeCell ref="I643:I644"/>
    <mergeCell ref="J643:J644"/>
    <mergeCell ref="K643:K644"/>
    <mergeCell ref="L643:L644"/>
    <mergeCell ref="B635:B636"/>
    <mergeCell ref="F635:F636"/>
    <mergeCell ref="G635:G636"/>
    <mergeCell ref="H635:H636"/>
    <mergeCell ref="I635:I636"/>
    <mergeCell ref="J635:J636"/>
    <mergeCell ref="K635:K636"/>
    <mergeCell ref="L635:L636"/>
    <mergeCell ref="B637:B638"/>
    <mergeCell ref="F637:F638"/>
    <mergeCell ref="G637:G638"/>
    <mergeCell ref="H637:H638"/>
    <mergeCell ref="I637:I638"/>
    <mergeCell ref="J637:J638"/>
    <mergeCell ref="K637:K638"/>
    <mergeCell ref="L637:L638"/>
  </mergeCells>
  <pageMargins left="0.2" right="0.2" top="0.33" bottom="0.3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COAL DETAILS</vt:lpstr>
      <vt:lpstr>summary</vt:lpstr>
      <vt:lpstr>Party wise Production</vt:lpstr>
      <vt:lpstr>Sheet1</vt:lpstr>
      <vt:lpstr>PRODUCTIVITY ANALYSIS 2022-23</vt:lpstr>
      <vt:lpstr>'COAL DETAILS'!Print_Area</vt:lpstr>
      <vt:lpstr>'Party wise Production'!Print_Area</vt:lpstr>
      <vt:lpstr>'PRODUCTIVITY ANALYSIS 2022-23'!Print_Area</vt:lpstr>
      <vt:lpstr>Sheet1!Print_Area</vt:lpstr>
      <vt:lpstr>summary!Print_Area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2024-01-19T10:45:18Z</dcterms:modified>
</cp:coreProperties>
</file>