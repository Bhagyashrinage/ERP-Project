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2120" windowHeight="8010"/>
  </bookViews>
  <sheets>
    <sheet name="SUMMARY " sheetId="8" r:id="rId1"/>
    <sheet name="APRIL-23" sheetId="5" r:id="rId2"/>
    <sheet name="May -23 " sheetId="9" r:id="rId3"/>
    <sheet name="JUN -23" sheetId="15" r:id="rId4"/>
    <sheet name="JULY -23 " sheetId="16" r:id="rId5"/>
    <sheet name="AUG -23  " sheetId="17" r:id="rId6"/>
    <sheet name="SEP -23" sheetId="18" r:id="rId7"/>
    <sheet name="OCT -23 " sheetId="19" r:id="rId8"/>
    <sheet name="NOV -23  " sheetId="20" r:id="rId9"/>
    <sheet name="DEC -23" sheetId="21" r:id="rId10"/>
    <sheet name="JAN -24 " sheetId="22" r:id="rId11"/>
  </sheets>
  <definedNames>
    <definedName name="_xlnm._FilterDatabase" localSheetId="1" hidden="1">'APRIL-23'!$B$4:$J$76</definedName>
    <definedName name="_xlnm._FilterDatabase" localSheetId="5" hidden="1">'AUG -23  '!$A$4:$M$132</definedName>
    <definedName name="_xlnm._FilterDatabase" localSheetId="9" hidden="1">'DEC -23'!$B$4:$L$146</definedName>
    <definedName name="_xlnm._FilterDatabase" localSheetId="10" hidden="1">'JAN -24 '!$B$4:$L$83</definedName>
    <definedName name="_xlnm._FilterDatabase" localSheetId="4" hidden="1">'JULY -23 '!$B$4:$J$94</definedName>
    <definedName name="_xlnm._FilterDatabase" localSheetId="3" hidden="1">'JUN -23'!$B$4:$J$97</definedName>
    <definedName name="_xlnm._FilterDatabase" localSheetId="2" hidden="1">'May -23 '!$B$4:$J$30</definedName>
    <definedName name="_xlnm._FilterDatabase" localSheetId="8" hidden="1">'NOV -23  '!$B$4:$L$128</definedName>
    <definedName name="_xlnm._FilterDatabase" localSheetId="7" hidden="1">'OCT -23 '!$B$4:$L$111</definedName>
    <definedName name="_xlnm._FilterDatabase" localSheetId="6" hidden="1">'SEP -23'!$A$4:$L$109</definedName>
    <definedName name="_xlnm.Print_Area" localSheetId="1">'APRIL-23'!$B$2:$J$76</definedName>
    <definedName name="_xlnm.Print_Area" localSheetId="5">'AUG -23  '!#REF!</definedName>
    <definedName name="_xlnm.Print_Area" localSheetId="9">'DEC -23'!$B$2:$I$146</definedName>
    <definedName name="_xlnm.Print_Area" localSheetId="10">'JAN -24 '!$B$2:$I$147</definedName>
    <definedName name="_xlnm.Print_Area" localSheetId="4">'JULY -23 '!#REF!</definedName>
    <definedName name="_xlnm.Print_Area" localSheetId="3">'JUN -23'!#REF!</definedName>
    <definedName name="_xlnm.Print_Area" localSheetId="2">'May -23 '!#REF!</definedName>
    <definedName name="_xlnm.Print_Area" localSheetId="8">'NOV -23  '!$B$2:$I$128</definedName>
    <definedName name="_xlnm.Print_Area" localSheetId="7">'OCT -23 '!$B$48:$K$111</definedName>
    <definedName name="_xlnm.Print_Area" localSheetId="6">'SEP -23'!$B$2:$J$109</definedName>
    <definedName name="_xlnm.Print_Area" localSheetId="0">'SUMMARY '!$A$1:$G$19</definedName>
  </definedNames>
  <calcPr calcId="124519"/>
</workbook>
</file>

<file path=xl/calcChain.xml><?xml version="1.0" encoding="utf-8"?>
<calcChain xmlns="http://schemas.openxmlformats.org/spreadsheetml/2006/main">
  <c r="E71" i="22"/>
  <c r="G71"/>
  <c r="F71"/>
  <c r="I71" s="1"/>
  <c r="G146" l="1"/>
  <c r="F146"/>
  <c r="G145"/>
  <c r="F145"/>
  <c r="G144"/>
  <c r="F144"/>
  <c r="G143"/>
  <c r="I143" s="1"/>
  <c r="F143"/>
  <c r="G142"/>
  <c r="F142"/>
  <c r="G141"/>
  <c r="I141" s="1"/>
  <c r="F141"/>
  <c r="G140"/>
  <c r="F140"/>
  <c r="G139"/>
  <c r="F139"/>
  <c r="G138"/>
  <c r="F138"/>
  <c r="G137"/>
  <c r="I137" s="1"/>
  <c r="F137"/>
  <c r="G136"/>
  <c r="F136"/>
  <c r="G135"/>
  <c r="I135" s="1"/>
  <c r="F135"/>
  <c r="G134"/>
  <c r="F134"/>
  <c r="G133"/>
  <c r="I133" s="1"/>
  <c r="F133"/>
  <c r="G132"/>
  <c r="F132"/>
  <c r="G131"/>
  <c r="F131"/>
  <c r="G130"/>
  <c r="I130" s="1"/>
  <c r="F130"/>
  <c r="G129"/>
  <c r="F129"/>
  <c r="G128"/>
  <c r="I128" s="1"/>
  <c r="F128"/>
  <c r="G127"/>
  <c r="F127"/>
  <c r="G126"/>
  <c r="F126"/>
  <c r="G125"/>
  <c r="F125"/>
  <c r="G124"/>
  <c r="F124"/>
  <c r="G123"/>
  <c r="F123"/>
  <c r="G122"/>
  <c r="I122" s="1"/>
  <c r="F122"/>
  <c r="G121"/>
  <c r="F121"/>
  <c r="G120"/>
  <c r="I120" s="1"/>
  <c r="F120"/>
  <c r="G119"/>
  <c r="F119"/>
  <c r="G118"/>
  <c r="I118" s="1"/>
  <c r="F118"/>
  <c r="G117"/>
  <c r="F117"/>
  <c r="G116"/>
  <c r="I116" s="1"/>
  <c r="F116"/>
  <c r="G115"/>
  <c r="F115"/>
  <c r="G114"/>
  <c r="I114" s="1"/>
  <c r="F114"/>
  <c r="G113"/>
  <c r="F113"/>
  <c r="G112"/>
  <c r="F112"/>
  <c r="G111"/>
  <c r="F111"/>
  <c r="G110"/>
  <c r="F110"/>
  <c r="G109"/>
  <c r="F109"/>
  <c r="G108"/>
  <c r="I108" s="1"/>
  <c r="F108"/>
  <c r="G107"/>
  <c r="F107"/>
  <c r="G106"/>
  <c r="F106"/>
  <c r="G105"/>
  <c r="F105"/>
  <c r="G104"/>
  <c r="F104"/>
  <c r="G103"/>
  <c r="F103"/>
  <c r="G102"/>
  <c r="F102"/>
  <c r="G101"/>
  <c r="F101"/>
  <c r="G100"/>
  <c r="F100"/>
  <c r="G99"/>
  <c r="F99"/>
  <c r="G98"/>
  <c r="F98"/>
  <c r="G97"/>
  <c r="F97"/>
  <c r="G96"/>
  <c r="F96"/>
  <c r="G95"/>
  <c r="F95"/>
  <c r="G94"/>
  <c r="F94"/>
  <c r="G93"/>
  <c r="F93"/>
  <c r="G92"/>
  <c r="F92"/>
  <c r="G91"/>
  <c r="I91" s="1"/>
  <c r="F91"/>
  <c r="G90"/>
  <c r="F90"/>
  <c r="G89"/>
  <c r="F89"/>
  <c r="G88"/>
  <c r="F88"/>
  <c r="G87"/>
  <c r="F87"/>
  <c r="G86"/>
  <c r="F86"/>
  <c r="G85"/>
  <c r="I85" s="1"/>
  <c r="F85"/>
  <c r="G84"/>
  <c r="F84"/>
  <c r="G83"/>
  <c r="F83"/>
  <c r="G82"/>
  <c r="F82"/>
  <c r="G81"/>
  <c r="I81" s="1"/>
  <c r="F81"/>
  <c r="G80"/>
  <c r="F80"/>
  <c r="I80" s="1"/>
  <c r="G79"/>
  <c r="I79" s="1"/>
  <c r="F79"/>
  <c r="G78"/>
  <c r="F78"/>
  <c r="G77"/>
  <c r="I77" s="1"/>
  <c r="F77"/>
  <c r="G76"/>
  <c r="F76"/>
  <c r="G75"/>
  <c r="I75" s="1"/>
  <c r="F75"/>
  <c r="G74"/>
  <c r="F74"/>
  <c r="G73"/>
  <c r="F73"/>
  <c r="I73" s="1"/>
  <c r="G72"/>
  <c r="F72"/>
  <c r="I72" s="1"/>
  <c r="G70"/>
  <c r="F70"/>
  <c r="I70" s="1"/>
  <c r="G69"/>
  <c r="F69"/>
  <c r="I69" s="1"/>
  <c r="G68"/>
  <c r="F68"/>
  <c r="I68" s="1"/>
  <c r="G67"/>
  <c r="I67" s="1"/>
  <c r="F67"/>
  <c r="G66"/>
  <c r="I66" s="1"/>
  <c r="F66"/>
  <c r="G65"/>
  <c r="I65" s="1"/>
  <c r="F65"/>
  <c r="G64"/>
  <c r="I64" s="1"/>
  <c r="F64"/>
  <c r="G63"/>
  <c r="I63" s="1"/>
  <c r="F63"/>
  <c r="G62"/>
  <c r="I62" s="1"/>
  <c r="F62"/>
  <c r="G61"/>
  <c r="I61" s="1"/>
  <c r="F61"/>
  <c r="G60"/>
  <c r="I60" s="1"/>
  <c r="F60"/>
  <c r="G59"/>
  <c r="F59"/>
  <c r="I59" s="1"/>
  <c r="G58"/>
  <c r="F58"/>
  <c r="I58" s="1"/>
  <c r="G57"/>
  <c r="I57" s="1"/>
  <c r="F57"/>
  <c r="G56"/>
  <c r="F56"/>
  <c r="I56" s="1"/>
  <c r="G55"/>
  <c r="I55" s="1"/>
  <c r="F55"/>
  <c r="G54"/>
  <c r="I54" s="1"/>
  <c r="F54"/>
  <c r="G53"/>
  <c r="I53" s="1"/>
  <c r="F53"/>
  <c r="G52"/>
  <c r="I52" s="1"/>
  <c r="F52"/>
  <c r="G51"/>
  <c r="I51" s="1"/>
  <c r="F51"/>
  <c r="G50"/>
  <c r="I50" s="1"/>
  <c r="F50"/>
  <c r="G49"/>
  <c r="I49" s="1"/>
  <c r="F49"/>
  <c r="G48"/>
  <c r="I48" s="1"/>
  <c r="F48"/>
  <c r="G47"/>
  <c r="F47"/>
  <c r="I47" s="1"/>
  <c r="G46"/>
  <c r="I46" s="1"/>
  <c r="F46"/>
  <c r="G45"/>
  <c r="I45" s="1"/>
  <c r="F45"/>
  <c r="G44"/>
  <c r="I44" s="1"/>
  <c r="F44"/>
  <c r="G43"/>
  <c r="I43" s="1"/>
  <c r="F43"/>
  <c r="G42"/>
  <c r="I42" s="1"/>
  <c r="F42"/>
  <c r="G41"/>
  <c r="F41"/>
  <c r="I41" s="1"/>
  <c r="G40"/>
  <c r="I40" s="1"/>
  <c r="F40"/>
  <c r="G39"/>
  <c r="I39" s="1"/>
  <c r="F39"/>
  <c r="G38"/>
  <c r="F38"/>
  <c r="I38" s="1"/>
  <c r="G37"/>
  <c r="I37" s="1"/>
  <c r="F37"/>
  <c r="G36"/>
  <c r="F36"/>
  <c r="I36" s="1"/>
  <c r="G35"/>
  <c r="I35" s="1"/>
  <c r="F35"/>
  <c r="G34"/>
  <c r="I34" s="1"/>
  <c r="F34"/>
  <c r="G33"/>
  <c r="F33"/>
  <c r="I33" s="1"/>
  <c r="G32"/>
  <c r="I32" s="1"/>
  <c r="F32"/>
  <c r="G31"/>
  <c r="F31"/>
  <c r="I31" s="1"/>
  <c r="G30"/>
  <c r="F30"/>
  <c r="I30" s="1"/>
  <c r="G29"/>
  <c r="F29"/>
  <c r="I29" s="1"/>
  <c r="G28"/>
  <c r="I28" s="1"/>
  <c r="F28"/>
  <c r="G27"/>
  <c r="F27"/>
  <c r="I27" s="1"/>
  <c r="G26"/>
  <c r="I26" s="1"/>
  <c r="F26"/>
  <c r="G25"/>
  <c r="I25" s="1"/>
  <c r="F25"/>
  <c r="G24"/>
  <c r="F24"/>
  <c r="I24" s="1"/>
  <c r="G23"/>
  <c r="F23"/>
  <c r="I23" s="1"/>
  <c r="G22"/>
  <c r="F22"/>
  <c r="I22" s="1"/>
  <c r="G21"/>
  <c r="I21" s="1"/>
  <c r="F21"/>
  <c r="G20"/>
  <c r="I20" s="1"/>
  <c r="F20"/>
  <c r="G19"/>
  <c r="I19" s="1"/>
  <c r="F19"/>
  <c r="G18"/>
  <c r="I18" s="1"/>
  <c r="F18"/>
  <c r="G17"/>
  <c r="F17"/>
  <c r="I17" s="1"/>
  <c r="G16"/>
  <c r="I16" s="1"/>
  <c r="F16"/>
  <c r="G15"/>
  <c r="I15" s="1"/>
  <c r="F15"/>
  <c r="G14"/>
  <c r="F14"/>
  <c r="I14" s="1"/>
  <c r="G13"/>
  <c r="F13"/>
  <c r="I13" s="1"/>
  <c r="G12"/>
  <c r="F12"/>
  <c r="I12" s="1"/>
  <c r="G11"/>
  <c r="F11"/>
  <c r="I11" s="1"/>
  <c r="G10"/>
  <c r="F10"/>
  <c r="I10" s="1"/>
  <c r="G9"/>
  <c r="F9"/>
  <c r="I9" s="1"/>
  <c r="G8"/>
  <c r="I8" s="1"/>
  <c r="F8"/>
  <c r="G7"/>
  <c r="I7" s="1"/>
  <c r="F7"/>
  <c r="G6"/>
  <c r="I6" s="1"/>
  <c r="F6"/>
  <c r="G5"/>
  <c r="I5" s="1"/>
  <c r="F5"/>
  <c r="I144"/>
  <c r="I142"/>
  <c r="I140"/>
  <c r="I139"/>
  <c r="I138"/>
  <c r="I136"/>
  <c r="I134"/>
  <c r="I131"/>
  <c r="I129"/>
  <c r="I127"/>
  <c r="I126"/>
  <c r="I125"/>
  <c r="I124"/>
  <c r="I123"/>
  <c r="I121"/>
  <c r="I119"/>
  <c r="I117"/>
  <c r="I115"/>
  <c r="I113"/>
  <c r="I112"/>
  <c r="I111"/>
  <c r="I110"/>
  <c r="I109"/>
  <c r="I107"/>
  <c r="I106"/>
  <c r="I105"/>
  <c r="I104"/>
  <c r="I103"/>
  <c r="I102"/>
  <c r="I101"/>
  <c r="I100"/>
  <c r="I99"/>
  <c r="I98"/>
  <c r="I96"/>
  <c r="I95"/>
  <c r="I94"/>
  <c r="D147"/>
  <c r="B12" i="8" s="1"/>
  <c r="I92" i="22"/>
  <c r="I90"/>
  <c r="I89"/>
  <c r="I88"/>
  <c r="I87"/>
  <c r="I86"/>
  <c r="I84"/>
  <c r="I83"/>
  <c r="I82"/>
  <c r="I78"/>
  <c r="I76"/>
  <c r="I74"/>
  <c r="E147"/>
  <c r="D131" i="21"/>
  <c r="C12" i="8" l="1"/>
  <c r="E151" i="22"/>
  <c r="I93"/>
  <c r="I97"/>
  <c r="I132"/>
  <c r="G141" i="21"/>
  <c r="I141" s="1"/>
  <c r="F141"/>
  <c r="G140"/>
  <c r="I140" s="1"/>
  <c r="F140"/>
  <c r="G139"/>
  <c r="I139" s="1"/>
  <c r="F139"/>
  <c r="G135"/>
  <c r="F135"/>
  <c r="I135" s="1"/>
  <c r="G134"/>
  <c r="I134" s="1"/>
  <c r="F134"/>
  <c r="G133"/>
  <c r="I133" s="1"/>
  <c r="F133"/>
  <c r="G132"/>
  <c r="I132" s="1"/>
  <c r="F132"/>
  <c r="G131"/>
  <c r="F131"/>
  <c r="I131" s="1"/>
  <c r="G130"/>
  <c r="I130" s="1"/>
  <c r="F130"/>
  <c r="G129"/>
  <c r="I129" s="1"/>
  <c r="F129"/>
  <c r="G128"/>
  <c r="I128" s="1"/>
  <c r="F128"/>
  <c r="G147" i="22" l="1"/>
  <c r="E12" i="8" s="1"/>
  <c r="F147" i="22"/>
  <c r="G142" i="21"/>
  <c r="I142" s="1"/>
  <c r="F142"/>
  <c r="G138"/>
  <c r="F138"/>
  <c r="I138" s="1"/>
  <c r="G137"/>
  <c r="F137"/>
  <c r="I137" s="1"/>
  <c r="G136"/>
  <c r="I136" s="1"/>
  <c r="F136"/>
  <c r="G127"/>
  <c r="I127" s="1"/>
  <c r="F127"/>
  <c r="G126"/>
  <c r="F126"/>
  <c r="I126" s="1"/>
  <c r="G125"/>
  <c r="F125"/>
  <c r="I125" s="1"/>
  <c r="D12" i="8" l="1"/>
  <c r="H147" i="22"/>
  <c r="E91" i="21"/>
  <c r="D96"/>
  <c r="D92"/>
  <c r="E72"/>
  <c r="I147" i="22" l="1"/>
  <c r="F12" i="8"/>
  <c r="G120" i="20"/>
  <c r="F7" i="21"/>
  <c r="I7" s="1"/>
  <c r="G7"/>
  <c r="G143" l="1"/>
  <c r="I143" s="1"/>
  <c r="F143"/>
  <c r="G124"/>
  <c r="I124" s="1"/>
  <c r="F124"/>
  <c r="G123"/>
  <c r="F123"/>
  <c r="I123" s="1"/>
  <c r="G122"/>
  <c r="I122" s="1"/>
  <c r="F122"/>
  <c r="G121"/>
  <c r="I121" s="1"/>
  <c r="F121"/>
  <c r="G120"/>
  <c r="I120" s="1"/>
  <c r="F120"/>
  <c r="G119"/>
  <c r="I119" s="1"/>
  <c r="F119"/>
  <c r="G118"/>
  <c r="F118"/>
  <c r="I118" s="1"/>
  <c r="G117"/>
  <c r="I117" s="1"/>
  <c r="F117"/>
  <c r="G116"/>
  <c r="F116"/>
  <c r="I116" s="1"/>
  <c r="G115"/>
  <c r="I115" s="1"/>
  <c r="F115"/>
  <c r="G114"/>
  <c r="I114" s="1"/>
  <c r="F114"/>
  <c r="G113"/>
  <c r="I113" s="1"/>
  <c r="F113"/>
  <c r="G112"/>
  <c r="I112" s="1"/>
  <c r="F112"/>
  <c r="G111"/>
  <c r="F111"/>
  <c r="I111" s="1"/>
  <c r="G110"/>
  <c r="I110" s="1"/>
  <c r="F110"/>
  <c r="G109"/>
  <c r="F109"/>
  <c r="I109" s="1"/>
  <c r="G108"/>
  <c r="F108"/>
  <c r="I108" s="1"/>
  <c r="G107"/>
  <c r="I107" s="1"/>
  <c r="F107"/>
  <c r="G106"/>
  <c r="F106"/>
  <c r="I106" s="1"/>
  <c r="G105"/>
  <c r="F105"/>
  <c r="I105" s="1"/>
  <c r="G104"/>
  <c r="F104"/>
  <c r="I104" s="1"/>
  <c r="G103"/>
  <c r="F103"/>
  <c r="I103" s="1"/>
  <c r="G102"/>
  <c r="F102"/>
  <c r="I102" s="1"/>
  <c r="G101"/>
  <c r="F101"/>
  <c r="I101" s="1"/>
  <c r="G100"/>
  <c r="F100"/>
  <c r="I100" s="1"/>
  <c r="G99"/>
  <c r="F99"/>
  <c r="I99" s="1"/>
  <c r="G98"/>
  <c r="F98"/>
  <c r="I98" s="1"/>
  <c r="G97"/>
  <c r="F97"/>
  <c r="I97" s="1"/>
  <c r="G96"/>
  <c r="F96"/>
  <c r="I96" s="1"/>
  <c r="G95"/>
  <c r="I95" s="1"/>
  <c r="F95"/>
  <c r="G94"/>
  <c r="F94"/>
  <c r="I94" s="1"/>
  <c r="G93"/>
  <c r="F93"/>
  <c r="I93" s="1"/>
  <c r="G92"/>
  <c r="I92" s="1"/>
  <c r="F92"/>
  <c r="G91"/>
  <c r="F91"/>
  <c r="I91" s="1"/>
  <c r="G90"/>
  <c r="I90" s="1"/>
  <c r="F90"/>
  <c r="G89"/>
  <c r="I89" s="1"/>
  <c r="F89"/>
  <c r="G88"/>
  <c r="F88"/>
  <c r="I88" s="1"/>
  <c r="G87"/>
  <c r="I87" s="1"/>
  <c r="F87"/>
  <c r="G86"/>
  <c r="F86"/>
  <c r="I86" s="1"/>
  <c r="G85"/>
  <c r="I85" s="1"/>
  <c r="F85"/>
  <c r="G84"/>
  <c r="I84" s="1"/>
  <c r="F84"/>
  <c r="G83"/>
  <c r="I83" s="1"/>
  <c r="F83"/>
  <c r="G82"/>
  <c r="F82"/>
  <c r="I82" s="1"/>
  <c r="G81"/>
  <c r="F81"/>
  <c r="I81" s="1"/>
  <c r="G80"/>
  <c r="I80" s="1"/>
  <c r="F80"/>
  <c r="G79"/>
  <c r="F79"/>
  <c r="I79" s="1"/>
  <c r="G78"/>
  <c r="I78" s="1"/>
  <c r="F78"/>
  <c r="G77"/>
  <c r="I77" s="1"/>
  <c r="F77"/>
  <c r="G76"/>
  <c r="I76" s="1"/>
  <c r="F76"/>
  <c r="G75"/>
  <c r="I75" s="1"/>
  <c r="F75"/>
  <c r="G74"/>
  <c r="I74" s="1"/>
  <c r="F74"/>
  <c r="G73"/>
  <c r="I73" s="1"/>
  <c r="F73"/>
  <c r="G72"/>
  <c r="F72"/>
  <c r="I72" s="1"/>
  <c r="G71"/>
  <c r="I71" s="1"/>
  <c r="F71"/>
  <c r="G70"/>
  <c r="I70" s="1"/>
  <c r="F70"/>
  <c r="G69"/>
  <c r="I69" s="1"/>
  <c r="F69"/>
  <c r="G68"/>
  <c r="I68" s="1"/>
  <c r="F68"/>
  <c r="G67"/>
  <c r="I67" s="1"/>
  <c r="F67"/>
  <c r="G66"/>
  <c r="I66" s="1"/>
  <c r="F66"/>
  <c r="G65"/>
  <c r="I65" s="1"/>
  <c r="F65"/>
  <c r="G64"/>
  <c r="I64" s="1"/>
  <c r="F64"/>
  <c r="G63"/>
  <c r="I63" s="1"/>
  <c r="F63"/>
  <c r="G62"/>
  <c r="I62" s="1"/>
  <c r="F62"/>
  <c r="G61"/>
  <c r="I61" s="1"/>
  <c r="F61"/>
  <c r="G60"/>
  <c r="F60"/>
  <c r="I60" s="1"/>
  <c r="G59"/>
  <c r="I59" s="1"/>
  <c r="F59"/>
  <c r="G58"/>
  <c r="I58" s="1"/>
  <c r="F58"/>
  <c r="G57"/>
  <c r="F57"/>
  <c r="I57" s="1"/>
  <c r="G56"/>
  <c r="I56" s="1"/>
  <c r="F56"/>
  <c r="G55"/>
  <c r="I55" s="1"/>
  <c r="F55"/>
  <c r="G54"/>
  <c r="I54" s="1"/>
  <c r="F54"/>
  <c r="G53"/>
  <c r="I53" s="1"/>
  <c r="F53"/>
  <c r="G52"/>
  <c r="I52" s="1"/>
  <c r="F52"/>
  <c r="G51"/>
  <c r="I51" s="1"/>
  <c r="F51"/>
  <c r="G50"/>
  <c r="I50" s="1"/>
  <c r="F50"/>
  <c r="G49"/>
  <c r="I49" s="1"/>
  <c r="F49"/>
  <c r="G48"/>
  <c r="I48" s="1"/>
  <c r="F48"/>
  <c r="G47"/>
  <c r="I47" s="1"/>
  <c r="F47"/>
  <c r="G46"/>
  <c r="I46" s="1"/>
  <c r="F46"/>
  <c r="G45"/>
  <c r="I45" s="1"/>
  <c r="F45"/>
  <c r="G44"/>
  <c r="I44" s="1"/>
  <c r="F44"/>
  <c r="G43"/>
  <c r="I43" s="1"/>
  <c r="F43"/>
  <c r="G42"/>
  <c r="I42" s="1"/>
  <c r="F42"/>
  <c r="G41"/>
  <c r="I41" s="1"/>
  <c r="F41"/>
  <c r="G40"/>
  <c r="I40" s="1"/>
  <c r="F40"/>
  <c r="G39"/>
  <c r="F39"/>
  <c r="I39" s="1"/>
  <c r="G38"/>
  <c r="I38" s="1"/>
  <c r="F38"/>
  <c r="G37"/>
  <c r="I37" s="1"/>
  <c r="F37"/>
  <c r="G36"/>
  <c r="I36" s="1"/>
  <c r="F36"/>
  <c r="G35"/>
  <c r="I35" s="1"/>
  <c r="F35"/>
  <c r="G34"/>
  <c r="I34" s="1"/>
  <c r="F34"/>
  <c r="G33"/>
  <c r="I33" s="1"/>
  <c r="F33"/>
  <c r="G32"/>
  <c r="I32" s="1"/>
  <c r="F32"/>
  <c r="G31"/>
  <c r="F31"/>
  <c r="I31" s="1"/>
  <c r="G30"/>
  <c r="I30" s="1"/>
  <c r="F30"/>
  <c r="G29"/>
  <c r="I29" s="1"/>
  <c r="F29"/>
  <c r="G28"/>
  <c r="I28" s="1"/>
  <c r="F28"/>
  <c r="G27"/>
  <c r="I27" s="1"/>
  <c r="F27"/>
  <c r="G26"/>
  <c r="I26" s="1"/>
  <c r="F26"/>
  <c r="G25"/>
  <c r="I25" s="1"/>
  <c r="F25"/>
  <c r="G24"/>
  <c r="I24" s="1"/>
  <c r="F24"/>
  <c r="G23"/>
  <c r="F23"/>
  <c r="I23" s="1"/>
  <c r="G22"/>
  <c r="I22" s="1"/>
  <c r="F22"/>
  <c r="G21"/>
  <c r="I21" s="1"/>
  <c r="F21"/>
  <c r="G20"/>
  <c r="I20" s="1"/>
  <c r="F20"/>
  <c r="G19"/>
  <c r="I19" s="1"/>
  <c r="F19"/>
  <c r="G18"/>
  <c r="I18" s="1"/>
  <c r="F18"/>
  <c r="G17"/>
  <c r="I17" s="1"/>
  <c r="F17"/>
  <c r="G16"/>
  <c r="I16" s="1"/>
  <c r="F16"/>
  <c r="G15"/>
  <c r="F15"/>
  <c r="I15" s="1"/>
  <c r="G14"/>
  <c r="I14" s="1"/>
  <c r="F14"/>
  <c r="G13"/>
  <c r="I13" s="1"/>
  <c r="F13"/>
  <c r="G12"/>
  <c r="F12"/>
  <c r="I12" s="1"/>
  <c r="G11"/>
  <c r="I11" s="1"/>
  <c r="F11"/>
  <c r="G10"/>
  <c r="I10" s="1"/>
  <c r="F10"/>
  <c r="G9"/>
  <c r="F9"/>
  <c r="I9" s="1"/>
  <c r="G8"/>
  <c r="I8" s="1"/>
  <c r="F8"/>
  <c r="G6"/>
  <c r="I6" s="1"/>
  <c r="F6"/>
  <c r="G145"/>
  <c r="F145"/>
  <c r="G144"/>
  <c r="F144"/>
  <c r="E146"/>
  <c r="C11" i="8" s="1"/>
  <c r="D146" i="21"/>
  <c r="B11" i="8" s="1"/>
  <c r="G5" i="21"/>
  <c r="I5" s="1"/>
  <c r="F5"/>
  <c r="D114" i="20"/>
  <c r="D113"/>
  <c r="D94"/>
  <c r="D89"/>
  <c r="G146" i="21" l="1"/>
  <c r="E11" i="8" s="1"/>
  <c r="F146" i="21"/>
  <c r="D11" i="8" s="1"/>
  <c r="G117" i="20"/>
  <c r="I117" s="1"/>
  <c r="F117"/>
  <c r="G116"/>
  <c r="I116" s="1"/>
  <c r="F116"/>
  <c r="G115"/>
  <c r="I115" s="1"/>
  <c r="F115"/>
  <c r="G114"/>
  <c r="I114" s="1"/>
  <c r="F114"/>
  <c r="G113"/>
  <c r="I113" s="1"/>
  <c r="F113"/>
  <c r="G112"/>
  <c r="F112"/>
  <c r="I112" s="1"/>
  <c r="G111"/>
  <c r="F111"/>
  <c r="I111" s="1"/>
  <c r="G110"/>
  <c r="I110" s="1"/>
  <c r="F110"/>
  <c r="G109"/>
  <c r="I109" s="1"/>
  <c r="F109"/>
  <c r="F120"/>
  <c r="I120" s="1"/>
  <c r="G119"/>
  <c r="I119" s="1"/>
  <c r="F119"/>
  <c r="G118"/>
  <c r="I118" s="1"/>
  <c r="F118"/>
  <c r="G108"/>
  <c r="F108"/>
  <c r="I108" s="1"/>
  <c r="G107"/>
  <c r="I107" s="1"/>
  <c r="F107"/>
  <c r="G106"/>
  <c r="F106"/>
  <c r="I106" s="1"/>
  <c r="G105"/>
  <c r="F105"/>
  <c r="I105" s="1"/>
  <c r="G104"/>
  <c r="F104"/>
  <c r="I104" s="1"/>
  <c r="H146" i="21" l="1"/>
  <c r="I146" l="1"/>
  <c r="F11" i="8"/>
  <c r="E79" i="20" l="1"/>
  <c r="D79"/>
  <c r="E128" l="1"/>
  <c r="D128"/>
  <c r="B10" i="8" s="1"/>
  <c r="D40" i="20"/>
  <c r="D31"/>
  <c r="D30"/>
  <c r="D64"/>
  <c r="D62"/>
  <c r="D77"/>
  <c r="D78"/>
  <c r="D73"/>
  <c r="D74"/>
  <c r="D71"/>
  <c r="E76"/>
  <c r="C10" i="8" l="1"/>
  <c r="G47" i="20" l="1"/>
  <c r="I47" s="1"/>
  <c r="F47"/>
  <c r="F9" i="8"/>
  <c r="F8"/>
  <c r="G7"/>
  <c r="G6"/>
  <c r="G5"/>
  <c r="G4"/>
  <c r="G3"/>
  <c r="G8"/>
  <c r="G9"/>
  <c r="E107" i="19" l="1"/>
  <c r="D107"/>
  <c r="G127" i="20"/>
  <c r="I127" s="1"/>
  <c r="F127"/>
  <c r="G126"/>
  <c r="I126" s="1"/>
  <c r="F126"/>
  <c r="G125"/>
  <c r="I125" s="1"/>
  <c r="F125"/>
  <c r="G124"/>
  <c r="I124" s="1"/>
  <c r="F124"/>
  <c r="G123"/>
  <c r="I123" s="1"/>
  <c r="F123"/>
  <c r="G122"/>
  <c r="I122" s="1"/>
  <c r="F122"/>
  <c r="G121"/>
  <c r="I121" s="1"/>
  <c r="F121"/>
  <c r="G103"/>
  <c r="F103"/>
  <c r="I103" s="1"/>
  <c r="G102"/>
  <c r="I102" s="1"/>
  <c r="F102"/>
  <c r="G101"/>
  <c r="F101"/>
  <c r="I101" s="1"/>
  <c r="G100"/>
  <c r="I100" s="1"/>
  <c r="F100"/>
  <c r="G99"/>
  <c r="F99"/>
  <c r="I99" s="1"/>
  <c r="G98"/>
  <c r="I98" s="1"/>
  <c r="F98"/>
  <c r="G97"/>
  <c r="I97" s="1"/>
  <c r="F97"/>
  <c r="G96"/>
  <c r="F96"/>
  <c r="I96" s="1"/>
  <c r="G95"/>
  <c r="F95"/>
  <c r="I95" s="1"/>
  <c r="G94"/>
  <c r="I94" s="1"/>
  <c r="F94"/>
  <c r="G93"/>
  <c r="I93" s="1"/>
  <c r="F93"/>
  <c r="G92"/>
  <c r="F92"/>
  <c r="I92" s="1"/>
  <c r="G91"/>
  <c r="F91"/>
  <c r="I91" s="1"/>
  <c r="G90"/>
  <c r="F90"/>
  <c r="I90" s="1"/>
  <c r="G89"/>
  <c r="F89"/>
  <c r="I89" s="1"/>
  <c r="G88"/>
  <c r="I88" s="1"/>
  <c r="F88"/>
  <c r="G87"/>
  <c r="F87"/>
  <c r="I87" s="1"/>
  <c r="G86"/>
  <c r="I86" s="1"/>
  <c r="F86"/>
  <c r="G85"/>
  <c r="F85"/>
  <c r="I85" s="1"/>
  <c r="G84"/>
  <c r="F84"/>
  <c r="I84" s="1"/>
  <c r="G83"/>
  <c r="F83"/>
  <c r="I83" s="1"/>
  <c r="G82"/>
  <c r="F82"/>
  <c r="I82" s="1"/>
  <c r="G81"/>
  <c r="F81"/>
  <c r="I81" s="1"/>
  <c r="F80"/>
  <c r="I80" s="1"/>
  <c r="G79"/>
  <c r="F79"/>
  <c r="I79" s="1"/>
  <c r="G78"/>
  <c r="F78"/>
  <c r="I78" s="1"/>
  <c r="G77"/>
  <c r="F77"/>
  <c r="I77" s="1"/>
  <c r="G76"/>
  <c r="F76"/>
  <c r="I76" s="1"/>
  <c r="G75"/>
  <c r="F75"/>
  <c r="I75" s="1"/>
  <c r="G74"/>
  <c r="I74" s="1"/>
  <c r="F74"/>
  <c r="G73"/>
  <c r="I73" s="1"/>
  <c r="F73"/>
  <c r="G72"/>
  <c r="I72" s="1"/>
  <c r="F72"/>
  <c r="G71"/>
  <c r="F71"/>
  <c r="I71" s="1"/>
  <c r="G70"/>
  <c r="F70"/>
  <c r="I70" s="1"/>
  <c r="G69"/>
  <c r="I69" s="1"/>
  <c r="F69"/>
  <c r="G68"/>
  <c r="F68"/>
  <c r="I68" s="1"/>
  <c r="G67"/>
  <c r="I67" s="1"/>
  <c r="F67"/>
  <c r="G66"/>
  <c r="F66"/>
  <c r="I66" s="1"/>
  <c r="G65"/>
  <c r="I65" s="1"/>
  <c r="F65"/>
  <c r="G64"/>
  <c r="I64" s="1"/>
  <c r="F64"/>
  <c r="G63"/>
  <c r="F63"/>
  <c r="I63" s="1"/>
  <c r="G62"/>
  <c r="I62" s="1"/>
  <c r="F62"/>
  <c r="G61"/>
  <c r="F61"/>
  <c r="I61" s="1"/>
  <c r="G60"/>
  <c r="F60"/>
  <c r="I60" s="1"/>
  <c r="G59"/>
  <c r="F59"/>
  <c r="I59" s="1"/>
  <c r="G58"/>
  <c r="I58" s="1"/>
  <c r="F58"/>
  <c r="G57"/>
  <c r="I57" s="1"/>
  <c r="F57"/>
  <c r="G56"/>
  <c r="I56" s="1"/>
  <c r="F56"/>
  <c r="G55"/>
  <c r="F55"/>
  <c r="I55" s="1"/>
  <c r="G54"/>
  <c r="F54"/>
  <c r="I54" s="1"/>
  <c r="G53"/>
  <c r="F53"/>
  <c r="I53" s="1"/>
  <c r="G52"/>
  <c r="F52"/>
  <c r="I52" s="1"/>
  <c r="G51"/>
  <c r="I51" s="1"/>
  <c r="F51"/>
  <c r="G50"/>
  <c r="F50"/>
  <c r="I50" s="1"/>
  <c r="G49"/>
  <c r="I49" s="1"/>
  <c r="F49"/>
  <c r="G48"/>
  <c r="I48" s="1"/>
  <c r="F48"/>
  <c r="G46"/>
  <c r="I46" s="1"/>
  <c r="F46"/>
  <c r="G45"/>
  <c r="F45"/>
  <c r="I45" s="1"/>
  <c r="G44"/>
  <c r="F44"/>
  <c r="I44" s="1"/>
  <c r="G43"/>
  <c r="I43" s="1"/>
  <c r="F43"/>
  <c r="G42"/>
  <c r="F42"/>
  <c r="I42" s="1"/>
  <c r="G41"/>
  <c r="I41" s="1"/>
  <c r="F41"/>
  <c r="G40"/>
  <c r="I40" s="1"/>
  <c r="F40"/>
  <c r="G39"/>
  <c r="F39"/>
  <c r="I39" s="1"/>
  <c r="G38"/>
  <c r="I38" s="1"/>
  <c r="F38"/>
  <c r="G37"/>
  <c r="F37"/>
  <c r="I37" s="1"/>
  <c r="G36"/>
  <c r="I36" s="1"/>
  <c r="F36"/>
  <c r="G35"/>
  <c r="I35" s="1"/>
  <c r="F35"/>
  <c r="G34"/>
  <c r="I34" s="1"/>
  <c r="F34"/>
  <c r="G33"/>
  <c r="I33" s="1"/>
  <c r="F33"/>
  <c r="G32"/>
  <c r="I32" s="1"/>
  <c r="F32"/>
  <c r="G31"/>
  <c r="F31"/>
  <c r="I31" s="1"/>
  <c r="G30"/>
  <c r="F30"/>
  <c r="G29"/>
  <c r="F29"/>
  <c r="I29" s="1"/>
  <c r="G28"/>
  <c r="I28" s="1"/>
  <c r="F28"/>
  <c r="G27"/>
  <c r="I27" s="1"/>
  <c r="F27"/>
  <c r="G26"/>
  <c r="I26" s="1"/>
  <c r="F26"/>
  <c r="G25"/>
  <c r="F25"/>
  <c r="I25" s="1"/>
  <c r="G24"/>
  <c r="F24"/>
  <c r="I24" s="1"/>
  <c r="G23"/>
  <c r="F23"/>
  <c r="I23" s="1"/>
  <c r="G22"/>
  <c r="I22" s="1"/>
  <c r="F22"/>
  <c r="G21"/>
  <c r="F21"/>
  <c r="I21" s="1"/>
  <c r="G20"/>
  <c r="F20"/>
  <c r="I20" s="1"/>
  <c r="G19"/>
  <c r="I19" s="1"/>
  <c r="F19"/>
  <c r="G18"/>
  <c r="I18" s="1"/>
  <c r="F18"/>
  <c r="G17"/>
  <c r="I17" s="1"/>
  <c r="F17"/>
  <c r="G16"/>
  <c r="F16"/>
  <c r="I16" s="1"/>
  <c r="G15"/>
  <c r="F15"/>
  <c r="I15" s="1"/>
  <c r="G14"/>
  <c r="I14" s="1"/>
  <c r="F14"/>
  <c r="G13"/>
  <c r="I13" s="1"/>
  <c r="F13"/>
  <c r="G12"/>
  <c r="I12" s="1"/>
  <c r="F12"/>
  <c r="G11"/>
  <c r="I11" s="1"/>
  <c r="F11"/>
  <c r="G10"/>
  <c r="F10"/>
  <c r="I10" s="1"/>
  <c r="G9"/>
  <c r="F9"/>
  <c r="I9" s="1"/>
  <c r="G8"/>
  <c r="F8"/>
  <c r="I8" s="1"/>
  <c r="G7"/>
  <c r="I7" s="1"/>
  <c r="F7"/>
  <c r="G6"/>
  <c r="I6" s="1"/>
  <c r="F6"/>
  <c r="G5"/>
  <c r="F5"/>
  <c r="I5" s="1"/>
  <c r="F128" l="1"/>
  <c r="I30"/>
  <c r="G80"/>
  <c r="G128" l="1"/>
  <c r="H128" s="1"/>
  <c r="I128" s="1"/>
  <c r="D10" i="8"/>
  <c r="E10" l="1"/>
  <c r="F10" s="1"/>
  <c r="F18" s="1"/>
  <c r="E80" i="19"/>
  <c r="E18" i="8" l="1"/>
  <c r="G44" i="19"/>
  <c r="G42"/>
  <c r="G40"/>
  <c r="G38"/>
  <c r="G36"/>
  <c r="G34"/>
  <c r="I34" s="1"/>
  <c r="F18"/>
  <c r="I18" s="1"/>
  <c r="D108" i="1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G43" i="19"/>
  <c r="G41"/>
  <c r="G39"/>
  <c r="G37"/>
  <c r="G35"/>
  <c r="G29"/>
  <c r="G18" l="1"/>
  <c r="G108"/>
  <c r="F108"/>
  <c r="I108" s="1"/>
  <c r="G107"/>
  <c r="I107" s="1"/>
  <c r="F107"/>
  <c r="G106"/>
  <c r="F106"/>
  <c r="I106" s="1"/>
  <c r="G105"/>
  <c r="F105"/>
  <c r="I105" s="1"/>
  <c r="G104"/>
  <c r="I104" s="1"/>
  <c r="F104"/>
  <c r="G103"/>
  <c r="I103" s="1"/>
  <c r="F103"/>
  <c r="G102"/>
  <c r="F102"/>
  <c r="I102" s="1"/>
  <c r="G101"/>
  <c r="F101"/>
  <c r="I101" s="1"/>
  <c r="G100"/>
  <c r="F100"/>
  <c r="I100" s="1"/>
  <c r="G99"/>
  <c r="I99" s="1"/>
  <c r="F99"/>
  <c r="G98"/>
  <c r="I98" s="1"/>
  <c r="F98"/>
  <c r="G97"/>
  <c r="F97"/>
  <c r="I97" s="1"/>
  <c r="G96"/>
  <c r="F96"/>
  <c r="I96" s="1"/>
  <c r="G95"/>
  <c r="F95"/>
  <c r="I95" s="1"/>
  <c r="G94"/>
  <c r="F94"/>
  <c r="I94" s="1"/>
  <c r="G93"/>
  <c r="F93"/>
  <c r="I93" s="1"/>
  <c r="G92"/>
  <c r="F92"/>
  <c r="I92" s="1"/>
  <c r="G91"/>
  <c r="I91" s="1"/>
  <c r="F91"/>
  <c r="G90"/>
  <c r="I90" s="1"/>
  <c r="F90"/>
  <c r="G89"/>
  <c r="I89" s="1"/>
  <c r="F89"/>
  <c r="G88"/>
  <c r="I88" s="1"/>
  <c r="F88"/>
  <c r="G87"/>
  <c r="F87"/>
  <c r="I87" s="1"/>
  <c r="G86"/>
  <c r="I86" s="1"/>
  <c r="F86"/>
  <c r="G85"/>
  <c r="I85" s="1"/>
  <c r="F85"/>
  <c r="G84"/>
  <c r="F84"/>
  <c r="I84" s="1"/>
  <c r="G83"/>
  <c r="F83"/>
  <c r="I83" s="1"/>
  <c r="G82"/>
  <c r="F82"/>
  <c r="I82" s="1"/>
  <c r="G81"/>
  <c r="F81"/>
  <c r="I81" s="1"/>
  <c r="G80"/>
  <c r="F80"/>
  <c r="I80" s="1"/>
  <c r="G79"/>
  <c r="I79" s="1"/>
  <c r="F79"/>
  <c r="G78"/>
  <c r="I78" s="1"/>
  <c r="F78"/>
  <c r="G77"/>
  <c r="I77" s="1"/>
  <c r="F77"/>
  <c r="G76"/>
  <c r="I76" s="1"/>
  <c r="F76"/>
  <c r="G75"/>
  <c r="I75" s="1"/>
  <c r="F75"/>
  <c r="G74"/>
  <c r="F74"/>
  <c r="I74" s="1"/>
  <c r="G73"/>
  <c r="F73"/>
  <c r="I73" s="1"/>
  <c r="G72"/>
  <c r="I72" s="1"/>
  <c r="F72"/>
  <c r="G71"/>
  <c r="I71" s="1"/>
  <c r="F71"/>
  <c r="G70"/>
  <c r="I70" s="1"/>
  <c r="F70"/>
  <c r="G69"/>
  <c r="I69" s="1"/>
  <c r="F69"/>
  <c r="G68"/>
  <c r="I68" s="1"/>
  <c r="F68"/>
  <c r="G67"/>
  <c r="I67" s="1"/>
  <c r="F67"/>
  <c r="G66"/>
  <c r="F66"/>
  <c r="I66" s="1"/>
  <c r="G65"/>
  <c r="I65" s="1"/>
  <c r="F65"/>
  <c r="G64"/>
  <c r="F64"/>
  <c r="I64" s="1"/>
  <c r="G63"/>
  <c r="I63" s="1"/>
  <c r="F63"/>
  <c r="G62"/>
  <c r="I62" s="1"/>
  <c r="F62"/>
  <c r="G61"/>
  <c r="I61" s="1"/>
  <c r="F61"/>
  <c r="G60"/>
  <c r="I60" s="1"/>
  <c r="F60"/>
  <c r="G59"/>
  <c r="I59" s="1"/>
  <c r="F59"/>
  <c r="G58"/>
  <c r="I58" s="1"/>
  <c r="F58"/>
  <c r="G57"/>
  <c r="F57"/>
  <c r="I57" s="1"/>
  <c r="G56"/>
  <c r="I56" s="1"/>
  <c r="F56"/>
  <c r="G55"/>
  <c r="F55"/>
  <c r="I55" s="1"/>
  <c r="G54"/>
  <c r="I54" s="1"/>
  <c r="F54"/>
  <c r="G53"/>
  <c r="F53"/>
  <c r="I53" s="1"/>
  <c r="G52"/>
  <c r="F52"/>
  <c r="I52" s="1"/>
  <c r="G51"/>
  <c r="F51"/>
  <c r="I51" s="1"/>
  <c r="G50"/>
  <c r="I50" s="1"/>
  <c r="F50"/>
  <c r="G49"/>
  <c r="F49"/>
  <c r="I49" s="1"/>
  <c r="G48"/>
  <c r="F48"/>
  <c r="I48" s="1"/>
  <c r="G47"/>
  <c r="I47" s="1"/>
  <c r="F47"/>
  <c r="G46"/>
  <c r="I46" s="1"/>
  <c r="F46"/>
  <c r="G45"/>
  <c r="F45"/>
  <c r="I45" s="1"/>
  <c r="F44"/>
  <c r="I44" s="1"/>
  <c r="F43"/>
  <c r="I43" s="1"/>
  <c r="F42"/>
  <c r="I42" s="1"/>
  <c r="F41"/>
  <c r="I41" s="1"/>
  <c r="F40"/>
  <c r="I40" s="1"/>
  <c r="F39"/>
  <c r="I39" s="1"/>
  <c r="F38"/>
  <c r="I38" s="1"/>
  <c r="F37"/>
  <c r="I37" s="1"/>
  <c r="F36"/>
  <c r="I36" s="1"/>
  <c r="F35"/>
  <c r="I35" s="1"/>
  <c r="F34"/>
  <c r="G33"/>
  <c r="F33"/>
  <c r="I33" s="1"/>
  <c r="G32"/>
  <c r="F32"/>
  <c r="I32" s="1"/>
  <c r="G31"/>
  <c r="F31"/>
  <c r="I31" s="1"/>
  <c r="G30"/>
  <c r="I30" s="1"/>
  <c r="F30"/>
  <c r="F29"/>
  <c r="I29" s="1"/>
  <c r="G28"/>
  <c r="F28"/>
  <c r="I28" s="1"/>
  <c r="G27"/>
  <c r="F27"/>
  <c r="I27" s="1"/>
  <c r="G26"/>
  <c r="F26"/>
  <c r="I26" s="1"/>
  <c r="G25"/>
  <c r="F25"/>
  <c r="I25" s="1"/>
  <c r="G24"/>
  <c r="F24"/>
  <c r="I24" s="1"/>
  <c r="G23"/>
  <c r="I23" s="1"/>
  <c r="F23"/>
  <c r="G22"/>
  <c r="I22" s="1"/>
  <c r="F22"/>
  <c r="G21"/>
  <c r="F21"/>
  <c r="I21" s="1"/>
  <c r="G20"/>
  <c r="I20" s="1"/>
  <c r="F20"/>
  <c r="G19"/>
  <c r="F19"/>
  <c r="I19" s="1"/>
  <c r="G17"/>
  <c r="F17"/>
  <c r="I17" s="1"/>
  <c r="G16"/>
  <c r="F16"/>
  <c r="I16" s="1"/>
  <c r="G15"/>
  <c r="F15"/>
  <c r="I15" s="1"/>
  <c r="G14"/>
  <c r="F14"/>
  <c r="I14" s="1"/>
  <c r="G13"/>
  <c r="F13"/>
  <c r="I13" s="1"/>
  <c r="G12"/>
  <c r="F12"/>
  <c r="I12" s="1"/>
  <c r="G11"/>
  <c r="F11"/>
  <c r="I11" s="1"/>
  <c r="G10"/>
  <c r="F10"/>
  <c r="I10" s="1"/>
  <c r="G9"/>
  <c r="F9"/>
  <c r="I9" s="1"/>
  <c r="G8"/>
  <c r="F8"/>
  <c r="I8" s="1"/>
  <c r="G7"/>
  <c r="F7"/>
  <c r="I7" s="1"/>
  <c r="G6"/>
  <c r="F6"/>
  <c r="I6" s="1"/>
  <c r="G5"/>
  <c r="F5"/>
  <c r="I5" s="1"/>
  <c r="E111"/>
  <c r="D111"/>
  <c r="B9" i="8" s="1"/>
  <c r="G110" i="19"/>
  <c r="F110"/>
  <c r="I110" s="1"/>
  <c r="G109"/>
  <c r="I109" s="1"/>
  <c r="F109"/>
  <c r="J114" i="17"/>
  <c r="J111"/>
  <c r="J110"/>
  <c r="J109"/>
  <c r="J108"/>
  <c r="J106"/>
  <c r="J104"/>
  <c r="J103"/>
  <c r="J102"/>
  <c r="J96"/>
  <c r="J95"/>
  <c r="J93"/>
  <c r="J92"/>
  <c r="J91"/>
  <c r="J89"/>
  <c r="J88"/>
  <c r="J86"/>
  <c r="J85"/>
  <c r="J84"/>
  <c r="J83"/>
  <c r="J81"/>
  <c r="J80"/>
  <c r="J79"/>
  <c r="J78"/>
  <c r="J77"/>
  <c r="J75"/>
  <c r="J74"/>
  <c r="J73"/>
  <c r="J72"/>
  <c r="J71"/>
  <c r="J70"/>
  <c r="J69"/>
  <c r="J68"/>
  <c r="J67"/>
  <c r="J66"/>
  <c r="J65"/>
  <c r="J64"/>
  <c r="J60"/>
  <c r="J59"/>
  <c r="J58"/>
  <c r="J57"/>
  <c r="J56"/>
  <c r="J55"/>
  <c r="J53"/>
  <c r="J52"/>
  <c r="J50"/>
  <c r="J49"/>
  <c r="J47"/>
  <c r="J46"/>
  <c r="J44"/>
  <c r="J42"/>
  <c r="J41"/>
  <c r="J40"/>
  <c r="J39"/>
  <c r="J38"/>
  <c r="J36"/>
  <c r="J35"/>
  <c r="J33"/>
  <c r="J32"/>
  <c r="J30"/>
  <c r="J29"/>
  <c r="J28"/>
  <c r="J27"/>
  <c r="J26"/>
  <c r="J24"/>
  <c r="J23"/>
  <c r="J22"/>
  <c r="J19"/>
  <c r="J14"/>
  <c r="J13"/>
  <c r="J12"/>
  <c r="J11"/>
  <c r="J10"/>
  <c r="J8"/>
  <c r="D109" i="18"/>
  <c r="B8" i="8" s="1"/>
  <c r="G108" i="18"/>
  <c r="F108"/>
  <c r="I108" s="1"/>
  <c r="G107"/>
  <c r="I107" s="1"/>
  <c r="F107"/>
  <c r="G106"/>
  <c r="F106"/>
  <c r="I106" s="1"/>
  <c r="G105"/>
  <c r="I105" s="1"/>
  <c r="F105"/>
  <c r="G104"/>
  <c r="F104"/>
  <c r="I104" s="1"/>
  <c r="G103"/>
  <c r="F103"/>
  <c r="I103" s="1"/>
  <c r="G102"/>
  <c r="F102"/>
  <c r="I102" s="1"/>
  <c r="G101"/>
  <c r="F101"/>
  <c r="I101" s="1"/>
  <c r="G100"/>
  <c r="F100"/>
  <c r="I100" s="1"/>
  <c r="G99"/>
  <c r="I99" s="1"/>
  <c r="F99"/>
  <c r="G98"/>
  <c r="I98" s="1"/>
  <c r="F98"/>
  <c r="G97"/>
  <c r="F97"/>
  <c r="I97" s="1"/>
  <c r="G96"/>
  <c r="F96"/>
  <c r="I96" s="1"/>
  <c r="G95"/>
  <c r="I95" s="1"/>
  <c r="F95"/>
  <c r="G94"/>
  <c r="I94" s="1"/>
  <c r="F94"/>
  <c r="G93"/>
  <c r="F93"/>
  <c r="I93" s="1"/>
  <c r="G92"/>
  <c r="I92" s="1"/>
  <c r="F92"/>
  <c r="G91"/>
  <c r="F91"/>
  <c r="I91" s="1"/>
  <c r="G90"/>
  <c r="F90"/>
  <c r="I90" s="1"/>
  <c r="G89"/>
  <c r="F89"/>
  <c r="I89" s="1"/>
  <c r="G88"/>
  <c r="F88"/>
  <c r="I88" s="1"/>
  <c r="G87"/>
  <c r="I87" s="1"/>
  <c r="F87"/>
  <c r="G86"/>
  <c r="I86" s="1"/>
  <c r="F86"/>
  <c r="G85"/>
  <c r="F85"/>
  <c r="I85" s="1"/>
  <c r="G84"/>
  <c r="F84"/>
  <c r="I84" s="1"/>
  <c r="G83"/>
  <c r="F83"/>
  <c r="I83" s="1"/>
  <c r="G82"/>
  <c r="I82" s="1"/>
  <c r="F82"/>
  <c r="G81"/>
  <c r="I81" s="1"/>
  <c r="F81"/>
  <c r="G80"/>
  <c r="F80"/>
  <c r="I80" s="1"/>
  <c r="G79"/>
  <c r="F79"/>
  <c r="I79" s="1"/>
  <c r="G78"/>
  <c r="F78"/>
  <c r="I78" s="1"/>
  <c r="G77"/>
  <c r="F77"/>
  <c r="I77" s="1"/>
  <c r="G76"/>
  <c r="F76"/>
  <c r="I76" s="1"/>
  <c r="G75"/>
  <c r="F75"/>
  <c r="I75" s="1"/>
  <c r="G74"/>
  <c r="F74"/>
  <c r="I74" s="1"/>
  <c r="G73"/>
  <c r="F73"/>
  <c r="I73" s="1"/>
  <c r="G72"/>
  <c r="I72" s="1"/>
  <c r="F72"/>
  <c r="G71"/>
  <c r="F71"/>
  <c r="I71" s="1"/>
  <c r="G70"/>
  <c r="F70"/>
  <c r="I70" s="1"/>
  <c r="G69"/>
  <c r="F69"/>
  <c r="I69" s="1"/>
  <c r="G68"/>
  <c r="F68"/>
  <c r="I68" s="1"/>
  <c r="G67"/>
  <c r="F67"/>
  <c r="I67" s="1"/>
  <c r="G66"/>
  <c r="F66"/>
  <c r="I66" s="1"/>
  <c r="G65"/>
  <c r="I65" s="1"/>
  <c r="F65"/>
  <c r="G64"/>
  <c r="F64"/>
  <c r="I64" s="1"/>
  <c r="G63"/>
  <c r="F63"/>
  <c r="I63" s="1"/>
  <c r="G62"/>
  <c r="F62"/>
  <c r="I62" s="1"/>
  <c r="G61"/>
  <c r="F61"/>
  <c r="I61" s="1"/>
  <c r="G60"/>
  <c r="I60" s="1"/>
  <c r="F60"/>
  <c r="G59"/>
  <c r="F59"/>
  <c r="I59" s="1"/>
  <c r="G58"/>
  <c r="F58"/>
  <c r="I58" s="1"/>
  <c r="G57"/>
  <c r="F57"/>
  <c r="I57" s="1"/>
  <c r="G56"/>
  <c r="F56"/>
  <c r="I56" s="1"/>
  <c r="G55"/>
  <c r="F55"/>
  <c r="I55" s="1"/>
  <c r="G54"/>
  <c r="F54"/>
  <c r="I54" s="1"/>
  <c r="G53"/>
  <c r="F53"/>
  <c r="I53" s="1"/>
  <c r="G52"/>
  <c r="F52"/>
  <c r="I52" s="1"/>
  <c r="G51"/>
  <c r="F51"/>
  <c r="I51" s="1"/>
  <c r="G50"/>
  <c r="I50" s="1"/>
  <c r="F50"/>
  <c r="G49"/>
  <c r="F49"/>
  <c r="I49" s="1"/>
  <c r="G48"/>
  <c r="F48"/>
  <c r="I48" s="1"/>
  <c r="G47"/>
  <c r="F47"/>
  <c r="I47" s="1"/>
  <c r="G46"/>
  <c r="F46"/>
  <c r="I46" s="1"/>
  <c r="G45"/>
  <c r="F45"/>
  <c r="I45" s="1"/>
  <c r="G44"/>
  <c r="I44" s="1"/>
  <c r="F44"/>
  <c r="G43"/>
  <c r="F43"/>
  <c r="I43" s="1"/>
  <c r="G42"/>
  <c r="I42" s="1"/>
  <c r="F42"/>
  <c r="G41"/>
  <c r="F41"/>
  <c r="I41" s="1"/>
  <c r="G40"/>
  <c r="F40"/>
  <c r="I40" s="1"/>
  <c r="G39"/>
  <c r="I39" s="1"/>
  <c r="F39"/>
  <c r="G38"/>
  <c r="F38"/>
  <c r="I38" s="1"/>
  <c r="G37"/>
  <c r="F37"/>
  <c r="I37" s="1"/>
  <c r="G36"/>
  <c r="F36"/>
  <c r="I36" s="1"/>
  <c r="G35"/>
  <c r="F35"/>
  <c r="I35" s="1"/>
  <c r="G34"/>
  <c r="F34"/>
  <c r="I34" s="1"/>
  <c r="G33"/>
  <c r="I33" s="1"/>
  <c r="F33"/>
  <c r="G32"/>
  <c r="F32"/>
  <c r="I32" s="1"/>
  <c r="G31"/>
  <c r="I31" s="1"/>
  <c r="F31"/>
  <c r="G30"/>
  <c r="I30" s="1"/>
  <c r="F30"/>
  <c r="G29"/>
  <c r="F29"/>
  <c r="I29" s="1"/>
  <c r="G28"/>
  <c r="I28" s="1"/>
  <c r="F28"/>
  <c r="G27"/>
  <c r="F27"/>
  <c r="I27" s="1"/>
  <c r="G26"/>
  <c r="I26" s="1"/>
  <c r="F26"/>
  <c r="G25"/>
  <c r="F25"/>
  <c r="I25" s="1"/>
  <c r="G24"/>
  <c r="F24"/>
  <c r="I24" s="1"/>
  <c r="G23"/>
  <c r="F23"/>
  <c r="I23" s="1"/>
  <c r="G22"/>
  <c r="I22" s="1"/>
  <c r="F22"/>
  <c r="G21"/>
  <c r="F21"/>
  <c r="I21" s="1"/>
  <c r="G20"/>
  <c r="F20"/>
  <c r="I20" s="1"/>
  <c r="G19"/>
  <c r="F19"/>
  <c r="I19" s="1"/>
  <c r="G18"/>
  <c r="F18"/>
  <c r="I18" s="1"/>
  <c r="G17"/>
  <c r="F17"/>
  <c r="I17" s="1"/>
  <c r="G16"/>
  <c r="F16"/>
  <c r="I16" s="1"/>
  <c r="G15"/>
  <c r="F15"/>
  <c r="I15" s="1"/>
  <c r="G14"/>
  <c r="F14"/>
  <c r="I14" s="1"/>
  <c r="G13"/>
  <c r="I13" s="1"/>
  <c r="F13"/>
  <c r="G12"/>
  <c r="F12"/>
  <c r="I12" s="1"/>
  <c r="G11"/>
  <c r="F11"/>
  <c r="I11" s="1"/>
  <c r="G10"/>
  <c r="I10" s="1"/>
  <c r="F10"/>
  <c r="G9"/>
  <c r="F9"/>
  <c r="I9" s="1"/>
  <c r="G8"/>
  <c r="F8"/>
  <c r="I8" s="1"/>
  <c r="G7"/>
  <c r="F7"/>
  <c r="I7" s="1"/>
  <c r="G6"/>
  <c r="F6"/>
  <c r="I6" s="1"/>
  <c r="G5"/>
  <c r="F5"/>
  <c r="I5" s="1"/>
  <c r="F131" i="17"/>
  <c r="J131" s="1"/>
  <c r="G131"/>
  <c r="F130"/>
  <c r="J130" s="1"/>
  <c r="G130"/>
  <c r="F129"/>
  <c r="J129" s="1"/>
  <c r="G129"/>
  <c r="E113"/>
  <c r="C9" i="8" l="1"/>
  <c r="F111" i="19"/>
  <c r="D9" i="8" s="1"/>
  <c r="G111" i="19"/>
  <c r="E9" i="8" s="1"/>
  <c r="G109" i="18"/>
  <c r="E8" i="8" s="1"/>
  <c r="F109" i="18"/>
  <c r="D8" i="8" s="1"/>
  <c r="E109" i="18"/>
  <c r="C8" i="8" s="1"/>
  <c r="F128" i="17"/>
  <c r="J128" s="1"/>
  <c r="G128"/>
  <c r="F127"/>
  <c r="J127" s="1"/>
  <c r="G127"/>
  <c r="F126"/>
  <c r="J126" s="1"/>
  <c r="G126"/>
  <c r="F125"/>
  <c r="J125" s="1"/>
  <c r="G125"/>
  <c r="F124"/>
  <c r="J124" s="1"/>
  <c r="G124"/>
  <c r="F123"/>
  <c r="J123" s="1"/>
  <c r="G123"/>
  <c r="F122"/>
  <c r="J122" s="1"/>
  <c r="G122"/>
  <c r="F121"/>
  <c r="J121" s="1"/>
  <c r="G121"/>
  <c r="F120"/>
  <c r="J120" s="1"/>
  <c r="G120"/>
  <c r="F119"/>
  <c r="J119" s="1"/>
  <c r="G119"/>
  <c r="F118"/>
  <c r="G118"/>
  <c r="J118" s="1"/>
  <c r="F117"/>
  <c r="J117" s="1"/>
  <c r="G117"/>
  <c r="F116"/>
  <c r="J116" s="1"/>
  <c r="G116"/>
  <c r="F115"/>
  <c r="J115" s="1"/>
  <c r="G115"/>
  <c r="F114"/>
  <c r="G114"/>
  <c r="G110"/>
  <c r="F110"/>
  <c r="G109"/>
  <c r="F109"/>
  <c r="G108"/>
  <c r="F108"/>
  <c r="G107"/>
  <c r="F107"/>
  <c r="J107" s="1"/>
  <c r="G106"/>
  <c r="F106"/>
  <c r="G105"/>
  <c r="F105"/>
  <c r="J105" s="1"/>
  <c r="G104"/>
  <c r="F104"/>
  <c r="G103"/>
  <c r="F103"/>
  <c r="G102"/>
  <c r="F102"/>
  <c r="G101"/>
  <c r="F101"/>
  <c r="J101" s="1"/>
  <c r="G100"/>
  <c r="F100"/>
  <c r="J100" s="1"/>
  <c r="G99"/>
  <c r="F99"/>
  <c r="J99" s="1"/>
  <c r="G98"/>
  <c r="F98"/>
  <c r="J98" s="1"/>
  <c r="G97"/>
  <c r="F97"/>
  <c r="J97" s="1"/>
  <c r="G96"/>
  <c r="F96"/>
  <c r="G95"/>
  <c r="F95"/>
  <c r="G94"/>
  <c r="F94"/>
  <c r="J94" s="1"/>
  <c r="G93"/>
  <c r="F93"/>
  <c r="G92"/>
  <c r="F92"/>
  <c r="G91"/>
  <c r="F91"/>
  <c r="G90"/>
  <c r="F90"/>
  <c r="J90" s="1"/>
  <c r="G89"/>
  <c r="F89"/>
  <c r="G88"/>
  <c r="F88"/>
  <c r="G87"/>
  <c r="F87"/>
  <c r="J87" s="1"/>
  <c r="G86"/>
  <c r="F86"/>
  <c r="D132"/>
  <c r="D94" i="16"/>
  <c r="E94"/>
  <c r="G93"/>
  <c r="J93" s="1"/>
  <c r="F93"/>
  <c r="G92"/>
  <c r="J92" s="1"/>
  <c r="F92"/>
  <c r="G91"/>
  <c r="F91"/>
  <c r="J91" s="1"/>
  <c r="G90"/>
  <c r="J90" s="1"/>
  <c r="F90"/>
  <c r="G89"/>
  <c r="J89" s="1"/>
  <c r="F89"/>
  <c r="E90" i="15"/>
  <c r="H111" i="19" l="1"/>
  <c r="I111" s="1"/>
  <c r="H109" i="18"/>
  <c r="I109" s="1"/>
  <c r="F96" i="15"/>
  <c r="J96" s="1"/>
  <c r="G96"/>
  <c r="F95"/>
  <c r="G95"/>
  <c r="F94"/>
  <c r="J94" s="1"/>
  <c r="G94"/>
  <c r="F93"/>
  <c r="G93"/>
  <c r="J93" s="1"/>
  <c r="F92"/>
  <c r="G92"/>
  <c r="J92" s="1"/>
  <c r="F91"/>
  <c r="J91" s="1"/>
  <c r="G91"/>
  <c r="F90"/>
  <c r="J90" s="1"/>
  <c r="G90"/>
  <c r="F89"/>
  <c r="G89"/>
  <c r="J89" s="1"/>
  <c r="E132" i="17"/>
  <c r="B7" i="8"/>
  <c r="G113" i="17"/>
  <c r="F113"/>
  <c r="J113" s="1"/>
  <c r="G112"/>
  <c r="F112"/>
  <c r="J112" s="1"/>
  <c r="G111"/>
  <c r="F111"/>
  <c r="G85"/>
  <c r="F85"/>
  <c r="G84"/>
  <c r="F84"/>
  <c r="G83"/>
  <c r="F83"/>
  <c r="G82"/>
  <c r="F82"/>
  <c r="J82" s="1"/>
  <c r="G81"/>
  <c r="F81"/>
  <c r="G80"/>
  <c r="F80"/>
  <c r="G79"/>
  <c r="F79"/>
  <c r="G78"/>
  <c r="F78"/>
  <c r="G77"/>
  <c r="F77"/>
  <c r="G76"/>
  <c r="F76"/>
  <c r="J76" s="1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J63" s="1"/>
  <c r="G62"/>
  <c r="F62"/>
  <c r="J62" s="1"/>
  <c r="G61"/>
  <c r="F61"/>
  <c r="J61" s="1"/>
  <c r="G60"/>
  <c r="F60"/>
  <c r="G59"/>
  <c r="F59"/>
  <c r="G58"/>
  <c r="F58"/>
  <c r="G57"/>
  <c r="F57"/>
  <c r="G56"/>
  <c r="F56"/>
  <c r="G55"/>
  <c r="F55"/>
  <c r="G54"/>
  <c r="F54"/>
  <c r="J54" s="1"/>
  <c r="G53"/>
  <c r="F53"/>
  <c r="G52"/>
  <c r="F52"/>
  <c r="G51"/>
  <c r="F51"/>
  <c r="J51" s="1"/>
  <c r="G50"/>
  <c r="F50"/>
  <c r="G49"/>
  <c r="F49"/>
  <c r="G48"/>
  <c r="F48"/>
  <c r="J48" s="1"/>
  <c r="G47"/>
  <c r="F47"/>
  <c r="G46"/>
  <c r="F46"/>
  <c r="G45"/>
  <c r="F45"/>
  <c r="J45" s="1"/>
  <c r="G44"/>
  <c r="F44"/>
  <c r="G43"/>
  <c r="F43"/>
  <c r="J43" s="1"/>
  <c r="G42"/>
  <c r="F42"/>
  <c r="G41"/>
  <c r="F41"/>
  <c r="G40"/>
  <c r="F40"/>
  <c r="G39"/>
  <c r="F39"/>
  <c r="G38"/>
  <c r="F38"/>
  <c r="G37"/>
  <c r="F37"/>
  <c r="J37" s="1"/>
  <c r="G36"/>
  <c r="F36"/>
  <c r="G35"/>
  <c r="F35"/>
  <c r="G34"/>
  <c r="F34"/>
  <c r="J34" s="1"/>
  <c r="G33"/>
  <c r="F33"/>
  <c r="G32"/>
  <c r="F32"/>
  <c r="G31"/>
  <c r="F31"/>
  <c r="J31" s="1"/>
  <c r="G30"/>
  <c r="F30"/>
  <c r="G29"/>
  <c r="F29"/>
  <c r="G28"/>
  <c r="F28"/>
  <c r="G27"/>
  <c r="F27"/>
  <c r="G26"/>
  <c r="F26"/>
  <c r="G25"/>
  <c r="F25"/>
  <c r="J25" s="1"/>
  <c r="G24"/>
  <c r="F24"/>
  <c r="G23"/>
  <c r="F23"/>
  <c r="G22"/>
  <c r="F22"/>
  <c r="G21"/>
  <c r="F21"/>
  <c r="J21" s="1"/>
  <c r="G20"/>
  <c r="F20"/>
  <c r="J20" s="1"/>
  <c r="G19"/>
  <c r="F19"/>
  <c r="G18"/>
  <c r="F18"/>
  <c r="J18" s="1"/>
  <c r="G17"/>
  <c r="F17"/>
  <c r="J17" s="1"/>
  <c r="G16"/>
  <c r="F16"/>
  <c r="J16" s="1"/>
  <c r="G15"/>
  <c r="F15"/>
  <c r="J15" s="1"/>
  <c r="G14"/>
  <c r="F14"/>
  <c r="G13"/>
  <c r="F13"/>
  <c r="G12"/>
  <c r="F12"/>
  <c r="G11"/>
  <c r="F11"/>
  <c r="G10"/>
  <c r="F10"/>
  <c r="G9"/>
  <c r="F9"/>
  <c r="J9" s="1"/>
  <c r="G8"/>
  <c r="F8"/>
  <c r="G7"/>
  <c r="F7"/>
  <c r="J7" s="1"/>
  <c r="G6"/>
  <c r="F6"/>
  <c r="J6" s="1"/>
  <c r="G5"/>
  <c r="J5" s="1"/>
  <c r="F5"/>
  <c r="C6" i="8"/>
  <c r="B6"/>
  <c r="G88" i="16"/>
  <c r="J88" s="1"/>
  <c r="F88"/>
  <c r="G87"/>
  <c r="F87"/>
  <c r="J87" s="1"/>
  <c r="G86"/>
  <c r="F86"/>
  <c r="J86" s="1"/>
  <c r="G85"/>
  <c r="F85"/>
  <c r="J85" s="1"/>
  <c r="G84"/>
  <c r="J84" s="1"/>
  <c r="F84"/>
  <c r="G83"/>
  <c r="J83" s="1"/>
  <c r="F83"/>
  <c r="G82"/>
  <c r="F82"/>
  <c r="J82" s="1"/>
  <c r="G81"/>
  <c r="F81"/>
  <c r="J81" s="1"/>
  <c r="G80"/>
  <c r="J80" s="1"/>
  <c r="F80"/>
  <c r="G79"/>
  <c r="F79"/>
  <c r="J79" s="1"/>
  <c r="G78"/>
  <c r="F78"/>
  <c r="J78" s="1"/>
  <c r="G77"/>
  <c r="J77" s="1"/>
  <c r="F77"/>
  <c r="G76"/>
  <c r="F76"/>
  <c r="J76" s="1"/>
  <c r="G75"/>
  <c r="F75"/>
  <c r="J75" s="1"/>
  <c r="G74"/>
  <c r="F74"/>
  <c r="J74" s="1"/>
  <c r="G73"/>
  <c r="F73"/>
  <c r="J73" s="1"/>
  <c r="G72"/>
  <c r="F72"/>
  <c r="J72" s="1"/>
  <c r="G71"/>
  <c r="F71"/>
  <c r="J71" s="1"/>
  <c r="G70"/>
  <c r="J70" s="1"/>
  <c r="F70"/>
  <c r="G69"/>
  <c r="F69"/>
  <c r="J69" s="1"/>
  <c r="G68"/>
  <c r="F68"/>
  <c r="J68" s="1"/>
  <c r="G67"/>
  <c r="J67" s="1"/>
  <c r="F67"/>
  <c r="G66"/>
  <c r="F66"/>
  <c r="J66" s="1"/>
  <c r="G65"/>
  <c r="F65"/>
  <c r="J65" s="1"/>
  <c r="G64"/>
  <c r="F64"/>
  <c r="J64" s="1"/>
  <c r="G63"/>
  <c r="F63"/>
  <c r="J63" s="1"/>
  <c r="G62"/>
  <c r="F62"/>
  <c r="J62" s="1"/>
  <c r="G61"/>
  <c r="F61"/>
  <c r="J61" s="1"/>
  <c r="G60"/>
  <c r="J60" s="1"/>
  <c r="F60"/>
  <c r="G59"/>
  <c r="F59"/>
  <c r="J59" s="1"/>
  <c r="G58"/>
  <c r="F58"/>
  <c r="J58" s="1"/>
  <c r="G57"/>
  <c r="F57"/>
  <c r="J57" s="1"/>
  <c r="G56"/>
  <c r="F56"/>
  <c r="J56" s="1"/>
  <c r="G55"/>
  <c r="F55"/>
  <c r="J55" s="1"/>
  <c r="G54"/>
  <c r="F54"/>
  <c r="J54" s="1"/>
  <c r="G53"/>
  <c r="F53"/>
  <c r="J53" s="1"/>
  <c r="G52"/>
  <c r="F52"/>
  <c r="J52" s="1"/>
  <c r="G51"/>
  <c r="J51" s="1"/>
  <c r="F51"/>
  <c r="G50"/>
  <c r="J50" s="1"/>
  <c r="F50"/>
  <c r="G49"/>
  <c r="J49" s="1"/>
  <c r="F49"/>
  <c r="G48"/>
  <c r="J48" s="1"/>
  <c r="F48"/>
  <c r="G47"/>
  <c r="J47" s="1"/>
  <c r="F47"/>
  <c r="G46"/>
  <c r="F46"/>
  <c r="J46" s="1"/>
  <c r="G45"/>
  <c r="J45" s="1"/>
  <c r="F45"/>
  <c r="G44"/>
  <c r="F44"/>
  <c r="J44" s="1"/>
  <c r="G43"/>
  <c r="J43" s="1"/>
  <c r="F43"/>
  <c r="G42"/>
  <c r="J42" s="1"/>
  <c r="F42"/>
  <c r="G41"/>
  <c r="J41" s="1"/>
  <c r="F41"/>
  <c r="G40"/>
  <c r="F40"/>
  <c r="J40" s="1"/>
  <c r="G39"/>
  <c r="J39" s="1"/>
  <c r="F39"/>
  <c r="G38"/>
  <c r="F38"/>
  <c r="J38" s="1"/>
  <c r="G37"/>
  <c r="J37" s="1"/>
  <c r="F37"/>
  <c r="G36"/>
  <c r="J36" s="1"/>
  <c r="F36"/>
  <c r="G35"/>
  <c r="J35" s="1"/>
  <c r="F35"/>
  <c r="G34"/>
  <c r="F34"/>
  <c r="J34" s="1"/>
  <c r="G33"/>
  <c r="J33" s="1"/>
  <c r="F33"/>
  <c r="G32"/>
  <c r="J32" s="1"/>
  <c r="F32"/>
  <c r="G31"/>
  <c r="J31" s="1"/>
  <c r="F31"/>
  <c r="G30"/>
  <c r="J30" s="1"/>
  <c r="F30"/>
  <c r="G29"/>
  <c r="J29" s="1"/>
  <c r="F29"/>
  <c r="G28"/>
  <c r="J28" s="1"/>
  <c r="F28"/>
  <c r="G27"/>
  <c r="J27" s="1"/>
  <c r="F27"/>
  <c r="G26"/>
  <c r="J26" s="1"/>
  <c r="F26"/>
  <c r="G25"/>
  <c r="J25" s="1"/>
  <c r="F25"/>
  <c r="G24"/>
  <c r="J24" s="1"/>
  <c r="F24"/>
  <c r="G23"/>
  <c r="J23" s="1"/>
  <c r="F23"/>
  <c r="G22"/>
  <c r="J22" s="1"/>
  <c r="F22"/>
  <c r="G21"/>
  <c r="J21" s="1"/>
  <c r="F21"/>
  <c r="G20"/>
  <c r="F20"/>
  <c r="J20" s="1"/>
  <c r="G19"/>
  <c r="J19" s="1"/>
  <c r="F19"/>
  <c r="G18"/>
  <c r="F18"/>
  <c r="J18" s="1"/>
  <c r="G17"/>
  <c r="J17" s="1"/>
  <c r="F17"/>
  <c r="G16"/>
  <c r="F16"/>
  <c r="J16" s="1"/>
  <c r="G15"/>
  <c r="J15" s="1"/>
  <c r="F15"/>
  <c r="G14"/>
  <c r="J14" s="1"/>
  <c r="F14"/>
  <c r="G13"/>
  <c r="F13"/>
  <c r="J13" s="1"/>
  <c r="G12"/>
  <c r="J12" s="1"/>
  <c r="F12"/>
  <c r="G11"/>
  <c r="J11" s="1"/>
  <c r="F11"/>
  <c r="G10"/>
  <c r="F10"/>
  <c r="J10" s="1"/>
  <c r="G9"/>
  <c r="F9"/>
  <c r="J9" s="1"/>
  <c r="G8"/>
  <c r="J8" s="1"/>
  <c r="F8"/>
  <c r="G7"/>
  <c r="F7"/>
  <c r="J7" s="1"/>
  <c r="G6"/>
  <c r="J6" s="1"/>
  <c r="F6"/>
  <c r="G5"/>
  <c r="J5" s="1"/>
  <c r="F5"/>
  <c r="E97" i="15"/>
  <c r="D97"/>
  <c r="F88"/>
  <c r="G88"/>
  <c r="J88" s="1"/>
  <c r="F87"/>
  <c r="J87" s="1"/>
  <c r="G87"/>
  <c r="F86"/>
  <c r="J86" s="1"/>
  <c r="G86"/>
  <c r="F85"/>
  <c r="G85"/>
  <c r="J85" s="1"/>
  <c r="F84"/>
  <c r="J84" s="1"/>
  <c r="G84"/>
  <c r="F83"/>
  <c r="J83" s="1"/>
  <c r="G83"/>
  <c r="F82"/>
  <c r="J82" s="1"/>
  <c r="G82"/>
  <c r="G81"/>
  <c r="F81"/>
  <c r="J81" s="1"/>
  <c r="G80"/>
  <c r="F80"/>
  <c r="J80" s="1"/>
  <c r="G79"/>
  <c r="F79"/>
  <c r="J79" s="1"/>
  <c r="G78"/>
  <c r="F78"/>
  <c r="J78" s="1"/>
  <c r="G77"/>
  <c r="F77"/>
  <c r="J77" s="1"/>
  <c r="J95"/>
  <c r="F76"/>
  <c r="G76"/>
  <c r="J76" s="1"/>
  <c r="F75"/>
  <c r="G75"/>
  <c r="J75" s="1"/>
  <c r="F74"/>
  <c r="G74"/>
  <c r="J74" s="1"/>
  <c r="F73"/>
  <c r="J73" s="1"/>
  <c r="G73"/>
  <c r="F72"/>
  <c r="G72"/>
  <c r="J72" s="1"/>
  <c r="F71"/>
  <c r="J71" s="1"/>
  <c r="G71"/>
  <c r="F70"/>
  <c r="J70" s="1"/>
  <c r="G70"/>
  <c r="F69"/>
  <c r="J69" s="1"/>
  <c r="G69"/>
  <c r="F68"/>
  <c r="G68"/>
  <c r="J68" s="1"/>
  <c r="F67"/>
  <c r="G67"/>
  <c r="J67" s="1"/>
  <c r="F66"/>
  <c r="J66" s="1"/>
  <c r="G66"/>
  <c r="F65"/>
  <c r="J65" s="1"/>
  <c r="G65"/>
  <c r="F64"/>
  <c r="J64" s="1"/>
  <c r="G64"/>
  <c r="F63"/>
  <c r="G63"/>
  <c r="J63" s="1"/>
  <c r="F62"/>
  <c r="G62"/>
  <c r="J62" s="1"/>
  <c r="F61"/>
  <c r="G61"/>
  <c r="J61" s="1"/>
  <c r="F60"/>
  <c r="G60"/>
  <c r="J60" s="1"/>
  <c r="F59"/>
  <c r="G59"/>
  <c r="J59" s="1"/>
  <c r="F58"/>
  <c r="G58"/>
  <c r="J58" s="1"/>
  <c r="F57"/>
  <c r="J57" s="1"/>
  <c r="G57"/>
  <c r="F56"/>
  <c r="G56"/>
  <c r="J56" s="1"/>
  <c r="F55"/>
  <c r="G55"/>
  <c r="J55" s="1"/>
  <c r="F54"/>
  <c r="G54"/>
  <c r="J54" s="1"/>
  <c r="F53"/>
  <c r="J53" s="1"/>
  <c r="G53"/>
  <c r="F52"/>
  <c r="G52"/>
  <c r="J52" s="1"/>
  <c r="F51"/>
  <c r="G51"/>
  <c r="J51" s="1"/>
  <c r="F50"/>
  <c r="J50" s="1"/>
  <c r="G50"/>
  <c r="F49"/>
  <c r="G49"/>
  <c r="J49" s="1"/>
  <c r="F48"/>
  <c r="G48"/>
  <c r="J48" s="1"/>
  <c r="F47"/>
  <c r="G47"/>
  <c r="J47" s="1"/>
  <c r="F46"/>
  <c r="J46" s="1"/>
  <c r="G46"/>
  <c r="F45"/>
  <c r="J45" s="1"/>
  <c r="G45"/>
  <c r="F44"/>
  <c r="G44"/>
  <c r="J44" s="1"/>
  <c r="F43"/>
  <c r="G43"/>
  <c r="J43" s="1"/>
  <c r="F42"/>
  <c r="G42"/>
  <c r="J42" s="1"/>
  <c r="G41"/>
  <c r="G40"/>
  <c r="J40" s="1"/>
  <c r="G39"/>
  <c r="F41"/>
  <c r="J41" s="1"/>
  <c r="F40"/>
  <c r="F39"/>
  <c r="J39" s="1"/>
  <c r="C7" i="8" l="1"/>
  <c r="F132" i="17"/>
  <c r="D7" i="8" s="1"/>
  <c r="G94" i="16"/>
  <c r="E6" i="8" s="1"/>
  <c r="G132" i="17"/>
  <c r="E7" i="8" s="1"/>
  <c r="F7" s="1"/>
  <c r="F94" i="16"/>
  <c r="D6" i="8" s="1"/>
  <c r="F38" i="15"/>
  <c r="G38"/>
  <c r="J38" s="1"/>
  <c r="F37"/>
  <c r="G37"/>
  <c r="J37" s="1"/>
  <c r="F36"/>
  <c r="G36"/>
  <c r="J36" s="1"/>
  <c r="F35"/>
  <c r="J35" s="1"/>
  <c r="G35"/>
  <c r="F34"/>
  <c r="G34"/>
  <c r="J34" s="1"/>
  <c r="G33"/>
  <c r="F33"/>
  <c r="J33" s="1"/>
  <c r="G32"/>
  <c r="J32" s="1"/>
  <c r="F32"/>
  <c r="G31"/>
  <c r="J31" s="1"/>
  <c r="F31"/>
  <c r="G30"/>
  <c r="J30" s="1"/>
  <c r="F30"/>
  <c r="F29"/>
  <c r="J29" s="1"/>
  <c r="G29"/>
  <c r="F28"/>
  <c r="J28" s="1"/>
  <c r="G28"/>
  <c r="F27"/>
  <c r="G27"/>
  <c r="J27" s="1"/>
  <c r="F26"/>
  <c r="J26" s="1"/>
  <c r="G26"/>
  <c r="F25"/>
  <c r="G25"/>
  <c r="J25" s="1"/>
  <c r="F24"/>
  <c r="J24" s="1"/>
  <c r="G24"/>
  <c r="F23"/>
  <c r="G23"/>
  <c r="J23" s="1"/>
  <c r="F22"/>
  <c r="G22"/>
  <c r="J22" s="1"/>
  <c r="F21"/>
  <c r="J21" s="1"/>
  <c r="G21"/>
  <c r="J30" i="9"/>
  <c r="J38" i="5"/>
  <c r="J40"/>
  <c r="G40"/>
  <c r="H132" i="17" l="1"/>
  <c r="J132" s="1"/>
  <c r="F6" i="8"/>
  <c r="H94" i="16"/>
  <c r="J94" s="1"/>
  <c r="E18" i="9"/>
  <c r="G15" l="1"/>
  <c r="F15"/>
  <c r="J15" s="1"/>
  <c r="G14"/>
  <c r="F14"/>
  <c r="J14" s="1"/>
  <c r="G13"/>
  <c r="F13"/>
  <c r="J13" s="1"/>
  <c r="G12"/>
  <c r="F12"/>
  <c r="J12" s="1"/>
  <c r="G11"/>
  <c r="F11"/>
  <c r="J11" s="1"/>
  <c r="G29"/>
  <c r="J29" s="1"/>
  <c r="F29"/>
  <c r="G28"/>
  <c r="J28" s="1"/>
  <c r="F28"/>
  <c r="G27"/>
  <c r="J27" s="1"/>
  <c r="F27"/>
  <c r="G26"/>
  <c r="F26"/>
  <c r="J26" s="1"/>
  <c r="J73" i="5"/>
  <c r="J8"/>
  <c r="J7"/>
  <c r="J6"/>
  <c r="J5"/>
  <c r="C5" i="8"/>
  <c r="B5"/>
  <c r="G20" i="15"/>
  <c r="J20" s="1"/>
  <c r="F20"/>
  <c r="G19"/>
  <c r="J19" s="1"/>
  <c r="F19"/>
  <c r="G18"/>
  <c r="J18" s="1"/>
  <c r="F18"/>
  <c r="G17"/>
  <c r="J17" s="1"/>
  <c r="F17"/>
  <c r="G16"/>
  <c r="F16"/>
  <c r="J16" s="1"/>
  <c r="G15"/>
  <c r="J15" s="1"/>
  <c r="F15"/>
  <c r="G14"/>
  <c r="J14" s="1"/>
  <c r="F14"/>
  <c r="G13"/>
  <c r="F13"/>
  <c r="J13" s="1"/>
  <c r="G12"/>
  <c r="F12"/>
  <c r="J12" s="1"/>
  <c r="G11"/>
  <c r="J11" s="1"/>
  <c r="F11"/>
  <c r="G10"/>
  <c r="J10" s="1"/>
  <c r="F10"/>
  <c r="G9"/>
  <c r="J9" s="1"/>
  <c r="F9"/>
  <c r="G8"/>
  <c r="F8"/>
  <c r="J8" s="1"/>
  <c r="G7"/>
  <c r="J7" s="1"/>
  <c r="F7"/>
  <c r="G6"/>
  <c r="J6" s="1"/>
  <c r="F6"/>
  <c r="G5"/>
  <c r="G97" s="1"/>
  <c r="F5"/>
  <c r="E76" i="5"/>
  <c r="D33"/>
  <c r="D76" s="1"/>
  <c r="F97" i="15" l="1"/>
  <c r="H97" s="1"/>
  <c r="E5" i="8"/>
  <c r="J5" i="15"/>
  <c r="D5" i="8" l="1"/>
  <c r="F5" s="1"/>
  <c r="J97" i="15"/>
  <c r="G75" i="5"/>
  <c r="F75"/>
  <c r="J75" s="1"/>
  <c r="G74"/>
  <c r="J74" s="1"/>
  <c r="F74"/>
  <c r="G73"/>
  <c r="F73"/>
  <c r="G72"/>
  <c r="F72"/>
  <c r="G71"/>
  <c r="F71"/>
  <c r="J71" s="1"/>
  <c r="G70"/>
  <c r="F70"/>
  <c r="J70" s="1"/>
  <c r="G69"/>
  <c r="J69" s="1"/>
  <c r="F69"/>
  <c r="G68"/>
  <c r="J68" s="1"/>
  <c r="F68"/>
  <c r="G67"/>
  <c r="F67"/>
  <c r="J67" s="1"/>
  <c r="G66"/>
  <c r="F66"/>
  <c r="J66" s="1"/>
  <c r="G65"/>
  <c r="F65"/>
  <c r="J65" s="1"/>
  <c r="G64"/>
  <c r="J64" s="1"/>
  <c r="F64"/>
  <c r="G63"/>
  <c r="J63" s="1"/>
  <c r="F63"/>
  <c r="G62"/>
  <c r="J62" s="1"/>
  <c r="F62"/>
  <c r="G61"/>
  <c r="F61"/>
  <c r="J61" s="1"/>
  <c r="G60"/>
  <c r="J60" s="1"/>
  <c r="F60"/>
  <c r="G59"/>
  <c r="J59" s="1"/>
  <c r="F59"/>
  <c r="G58"/>
  <c r="F58"/>
  <c r="J58" s="1"/>
  <c r="G57"/>
  <c r="J57" s="1"/>
  <c r="F57"/>
  <c r="G56"/>
  <c r="F56"/>
  <c r="J56" s="1"/>
  <c r="G55"/>
  <c r="J55" s="1"/>
  <c r="F55"/>
  <c r="G54"/>
  <c r="J54" s="1"/>
  <c r="F54"/>
  <c r="G53"/>
  <c r="J53" s="1"/>
  <c r="F53"/>
  <c r="G52"/>
  <c r="J52" s="1"/>
  <c r="F52"/>
  <c r="G51"/>
  <c r="J51" s="1"/>
  <c r="F51"/>
  <c r="G50"/>
  <c r="F50"/>
  <c r="J50" s="1"/>
  <c r="G49"/>
  <c r="J49" s="1"/>
  <c r="F49"/>
  <c r="G48"/>
  <c r="F48"/>
  <c r="J48" s="1"/>
  <c r="G47"/>
  <c r="J47" s="1"/>
  <c r="F47"/>
  <c r="G46"/>
  <c r="J46" s="1"/>
  <c r="F46"/>
  <c r="G45"/>
  <c r="J45" s="1"/>
  <c r="F45"/>
  <c r="G44"/>
  <c r="J44" s="1"/>
  <c r="F44"/>
  <c r="G43"/>
  <c r="F43"/>
  <c r="J43" s="1"/>
  <c r="G42"/>
  <c r="F42"/>
  <c r="J42" s="1"/>
  <c r="G41"/>
  <c r="J41" s="1"/>
  <c r="F41"/>
  <c r="F40"/>
  <c r="G39"/>
  <c r="F39"/>
  <c r="J39" s="1"/>
  <c r="G38"/>
  <c r="F38"/>
  <c r="G37"/>
  <c r="J37" s="1"/>
  <c r="F37"/>
  <c r="G36"/>
  <c r="J36" s="1"/>
  <c r="F36"/>
  <c r="G35"/>
  <c r="J35" s="1"/>
  <c r="F35"/>
  <c r="G34"/>
  <c r="J34" s="1"/>
  <c r="F34"/>
  <c r="G33"/>
  <c r="J33" s="1"/>
  <c r="F33"/>
  <c r="G32"/>
  <c r="J32" s="1"/>
  <c r="F32"/>
  <c r="G31"/>
  <c r="F31"/>
  <c r="J31" s="1"/>
  <c r="G30"/>
  <c r="J30" s="1"/>
  <c r="F30"/>
  <c r="G29"/>
  <c r="J29" s="1"/>
  <c r="F29"/>
  <c r="G10"/>
  <c r="J10" s="1"/>
  <c r="F10"/>
  <c r="J72" l="1"/>
  <c r="G28"/>
  <c r="J28" s="1"/>
  <c r="G25" i="9" l="1"/>
  <c r="J25" s="1"/>
  <c r="F25"/>
  <c r="G24"/>
  <c r="F24"/>
  <c r="J24" s="1"/>
  <c r="G23"/>
  <c r="J23" s="1"/>
  <c r="F23"/>
  <c r="G22"/>
  <c r="J22" s="1"/>
  <c r="F22"/>
  <c r="G21"/>
  <c r="J21" s="1"/>
  <c r="F21"/>
  <c r="F20"/>
  <c r="G19"/>
  <c r="J19" s="1"/>
  <c r="F19"/>
  <c r="G18"/>
  <c r="J18" s="1"/>
  <c r="F18"/>
  <c r="G17"/>
  <c r="F17"/>
  <c r="J17" s="1"/>
  <c r="G16"/>
  <c r="J16" s="1"/>
  <c r="F16"/>
  <c r="F10"/>
  <c r="G9"/>
  <c r="F9"/>
  <c r="J9" s="1"/>
  <c r="G8"/>
  <c r="J8" s="1"/>
  <c r="F8"/>
  <c r="G7"/>
  <c r="J7" s="1"/>
  <c r="F7"/>
  <c r="G6"/>
  <c r="J6" s="1"/>
  <c r="F6"/>
  <c r="G5"/>
  <c r="F5"/>
  <c r="J5" s="1"/>
  <c r="J15" i="8" l="1"/>
  <c r="K15" s="1"/>
  <c r="J11"/>
  <c r="K11" s="1"/>
  <c r="G10" i="9"/>
  <c r="J10" s="1"/>
  <c r="G20"/>
  <c r="J20" s="1"/>
  <c r="D30"/>
  <c r="B4" i="8" s="1"/>
  <c r="I18"/>
  <c r="J16"/>
  <c r="K16" s="1"/>
  <c r="J14"/>
  <c r="K14" s="1"/>
  <c r="J13"/>
  <c r="K13" s="1"/>
  <c r="J12"/>
  <c r="K12" s="1"/>
  <c r="G10"/>
  <c r="J10"/>
  <c r="K10" s="1"/>
  <c r="J9"/>
  <c r="K9" s="1"/>
  <c r="J8"/>
  <c r="K8" s="1"/>
  <c r="J7"/>
  <c r="K7" s="1"/>
  <c r="J6"/>
  <c r="K6" s="1"/>
  <c r="F30" i="9" l="1"/>
  <c r="D4" i="8" s="1"/>
  <c r="E30" i="9"/>
  <c r="C4" i="8" s="1"/>
  <c r="J4" s="1"/>
  <c r="K4" s="1"/>
  <c r="G30" i="9"/>
  <c r="E4" i="8" s="1"/>
  <c r="F4" l="1"/>
  <c r="J5"/>
  <c r="K5" s="1"/>
  <c r="H30" i="9"/>
  <c r="G15" i="8" l="1"/>
  <c r="G14"/>
  <c r="G13"/>
  <c r="G12"/>
  <c r="G11"/>
  <c r="C3" l="1"/>
  <c r="F28" i="5"/>
  <c r="G27"/>
  <c r="F27"/>
  <c r="J27" s="1"/>
  <c r="J3" i="8" l="1"/>
  <c r="C18"/>
  <c r="G18" s="1"/>
  <c r="F24" i="5"/>
  <c r="G26"/>
  <c r="J26" s="1"/>
  <c r="F26"/>
  <c r="G25"/>
  <c r="J25" s="1"/>
  <c r="F25"/>
  <c r="G24"/>
  <c r="J24" s="1"/>
  <c r="G23"/>
  <c r="J23" s="1"/>
  <c r="F23"/>
  <c r="B3" i="8"/>
  <c r="B18" s="1"/>
  <c r="K3" l="1"/>
  <c r="K18" s="1"/>
  <c r="J18"/>
  <c r="G22" i="5"/>
  <c r="J22" s="1"/>
  <c r="F22"/>
  <c r="G21"/>
  <c r="J21" s="1"/>
  <c r="F21"/>
  <c r="G20"/>
  <c r="J20" s="1"/>
  <c r="F20"/>
  <c r="G19"/>
  <c r="J19" s="1"/>
  <c r="F19"/>
  <c r="G18" l="1"/>
  <c r="F18"/>
  <c r="J18" s="1"/>
  <c r="G17"/>
  <c r="J17" s="1"/>
  <c r="F17"/>
  <c r="G16"/>
  <c r="J16" s="1"/>
  <c r="F16"/>
  <c r="G12" l="1"/>
  <c r="J12" s="1"/>
  <c r="F12"/>
  <c r="G11"/>
  <c r="J11" s="1"/>
  <c r="F11"/>
  <c r="G9"/>
  <c r="F9"/>
  <c r="J9" s="1"/>
  <c r="G8"/>
  <c r="F8"/>
  <c r="G7"/>
  <c r="F7"/>
  <c r="G6"/>
  <c r="F6"/>
  <c r="G15" l="1"/>
  <c r="F15"/>
  <c r="J15" s="1"/>
  <c r="G14"/>
  <c r="J14" s="1"/>
  <c r="F14"/>
  <c r="G13"/>
  <c r="J13" s="1"/>
  <c r="F13"/>
  <c r="G5"/>
  <c r="G76" s="1"/>
  <c r="F5"/>
  <c r="F76" s="1"/>
  <c r="H76" l="1"/>
  <c r="E3" i="8"/>
  <c r="J76" i="5" l="1"/>
  <c r="D3" i="8"/>
  <c r="F3" s="1"/>
  <c r="D18" l="1"/>
</calcChain>
</file>

<file path=xl/sharedStrings.xml><?xml version="1.0" encoding="utf-8"?>
<sst xmlns="http://schemas.openxmlformats.org/spreadsheetml/2006/main" count="3687" uniqueCount="701">
  <si>
    <t>DISP.DATE</t>
  </si>
  <si>
    <t>PARTY</t>
  </si>
  <si>
    <t>KATA WT</t>
  </si>
  <si>
    <t>SEC.WT</t>
  </si>
  <si>
    <t>(+) WT</t>
  </si>
  <si>
    <t>(-)WT</t>
  </si>
  <si>
    <t>VEHICLE.NO.</t>
  </si>
  <si>
    <t>Net (+/-) %</t>
  </si>
  <si>
    <t>KEC BUB</t>
  </si>
  <si>
    <t>MH40Y9844</t>
  </si>
  <si>
    <t xml:space="preserve">SECTION </t>
  </si>
  <si>
    <t>MH40Y2044</t>
  </si>
  <si>
    <t>MH46AR8099</t>
  </si>
  <si>
    <t>MH40Y3944</t>
  </si>
  <si>
    <t>HT-130X130X11</t>
  </si>
  <si>
    <t>MH40Y4944</t>
  </si>
  <si>
    <t>MH46AF3590</t>
  </si>
  <si>
    <t xml:space="preserve">Dispatched </t>
  </si>
  <si>
    <t>MONTHS</t>
  </si>
  <si>
    <t>Net (+/-) mt</t>
  </si>
  <si>
    <t>PG Qty</t>
  </si>
  <si>
    <t>NPG Qty</t>
  </si>
  <si>
    <t>TOTAL</t>
  </si>
  <si>
    <t>MH40Y4044</t>
  </si>
  <si>
    <t>MH46AR4423</t>
  </si>
  <si>
    <t>HT-100X7</t>
  </si>
  <si>
    <t>HT-90X6</t>
  </si>
  <si>
    <t>HT-130X10</t>
  </si>
  <si>
    <t>HT-130X11</t>
  </si>
  <si>
    <t>MS-90X6</t>
  </si>
  <si>
    <t>HT-150X16</t>
  </si>
  <si>
    <t>MH40Y5844</t>
  </si>
  <si>
    <t>MH361155</t>
  </si>
  <si>
    <t>HT-150X15</t>
  </si>
  <si>
    <t>HT-150X12</t>
  </si>
  <si>
    <t>MS-100X6</t>
  </si>
  <si>
    <t>HT-110X7, 100X8</t>
  </si>
  <si>
    <t>HT-90X6,7</t>
  </si>
  <si>
    <t>MH31FC2215</t>
  </si>
  <si>
    <t>MH31FC2620</t>
  </si>
  <si>
    <t>MH31FC2568</t>
  </si>
  <si>
    <t>MH40CM3181</t>
  </si>
  <si>
    <t>MH31FC2622</t>
  </si>
  <si>
    <t>HT-150X20</t>
  </si>
  <si>
    <t>MH31FC2213</t>
  </si>
  <si>
    <t>MH31FC2566</t>
  </si>
  <si>
    <t>MH40CM3182</t>
  </si>
  <si>
    <t>Vinar BUB Angle Section wt. &amp; Kata wt. Difference 2023-2024</t>
  </si>
  <si>
    <t>Apr,23</t>
  </si>
  <si>
    <t>04.04.23</t>
  </si>
  <si>
    <t>05.04.23</t>
  </si>
  <si>
    <t>06.04.23</t>
  </si>
  <si>
    <t>MH31FCC2213</t>
  </si>
  <si>
    <t>MH31FC2629</t>
  </si>
  <si>
    <t>08.04.23</t>
  </si>
  <si>
    <t>09.04.23</t>
  </si>
  <si>
    <t>MS-80X6</t>
  </si>
  <si>
    <t>MS-90X90X7,6</t>
  </si>
  <si>
    <t>HT-100X7,80X80X6</t>
  </si>
  <si>
    <t>MS-90X7</t>
  </si>
  <si>
    <t>MH31FC2623</t>
  </si>
  <si>
    <t>MH31FC2338</t>
  </si>
  <si>
    <t>MH40N5505</t>
  </si>
  <si>
    <t>MH34AB1845</t>
  </si>
  <si>
    <t>HT-80X6 MS-10X6,8 80X6</t>
  </si>
  <si>
    <t>MS-9X6,80X6, 75X6</t>
  </si>
  <si>
    <t>10.04.23</t>
  </si>
  <si>
    <t>11.04.23</t>
  </si>
  <si>
    <t>MH40AK0269</t>
  </si>
  <si>
    <t>MH31FC5543</t>
  </si>
  <si>
    <t>MS-65X5,90X5,75X6,5</t>
  </si>
  <si>
    <t>HT-75X5,6 90X6,</t>
  </si>
  <si>
    <t>HT-75X6, MS-75X6</t>
  </si>
  <si>
    <t>HT-100X7, 150X12 MS-75X6</t>
  </si>
  <si>
    <t>12.04.23</t>
  </si>
  <si>
    <t>MH31FC2564</t>
  </si>
  <si>
    <t>HT-90X6,90X5, 90X7</t>
  </si>
  <si>
    <t>MS-100X6,8,9,MS-80X6 HT-150X15,12</t>
  </si>
  <si>
    <t>HT-90X5, 90X7, 110X10</t>
  </si>
  <si>
    <t>13.04.23</t>
  </si>
  <si>
    <t>14.04.23</t>
  </si>
  <si>
    <t>HT-75X6 HT-150X12,15 MS-80X6</t>
  </si>
  <si>
    <t>HT-110X6,110X8, MS-90X6</t>
  </si>
  <si>
    <t>HT-100X6, 110X6,110X8</t>
  </si>
  <si>
    <t>MS-100X7, HT-80X6 150X12</t>
  </si>
  <si>
    <t>MS-90X6, 100X7 HT-100X6 HT-130X10</t>
  </si>
  <si>
    <t>15.04.23</t>
  </si>
  <si>
    <t>16.04.23</t>
  </si>
  <si>
    <t>HT-150X150X14, 110X8,MS-90X6</t>
  </si>
  <si>
    <t>HT-110X8, MS-100X6</t>
  </si>
  <si>
    <t>HT-110X9, 110X7, HT-100X6</t>
  </si>
  <si>
    <t>HT-110X8,75X6, 5</t>
  </si>
  <si>
    <t>HT-130X130X12</t>
  </si>
  <si>
    <t>17.04.23</t>
  </si>
  <si>
    <t>18.04.23</t>
  </si>
  <si>
    <t>HT-100X9,150X12, 100X7,75X6,  MS-75X6, 90X7</t>
  </si>
  <si>
    <t>HT-10X6,90X7.6 MS-90X7</t>
  </si>
  <si>
    <t>HT-130X12, 90X5,90X7 MS-110X8</t>
  </si>
  <si>
    <t>19.04.23</t>
  </si>
  <si>
    <t>20.04.23</t>
  </si>
  <si>
    <t>HT-110X7, 100X6</t>
  </si>
  <si>
    <t>HT-130X9, 130X10</t>
  </si>
  <si>
    <t>HT-130X12, 110X8,9</t>
  </si>
  <si>
    <t xml:space="preserve">HT-130X12, 110X8 </t>
  </si>
  <si>
    <t>130X130X12</t>
  </si>
  <si>
    <t>21.04.23</t>
  </si>
  <si>
    <t>22.04.23</t>
  </si>
  <si>
    <t>MH40Y3590</t>
  </si>
  <si>
    <t>MH31FC2392</t>
  </si>
  <si>
    <t>HT-130X12</t>
  </si>
  <si>
    <t>HT-110X8,10,7,6,9</t>
  </si>
  <si>
    <t>HT-150X12, 15, HT-80X6 MS-90X6,80X6</t>
  </si>
  <si>
    <t>23.04.23</t>
  </si>
  <si>
    <t>MS-120X8, 110X7, 110X6, 120X10 HT-100X8</t>
  </si>
  <si>
    <t>HT-130X11, 130X9</t>
  </si>
  <si>
    <t>HT-120X10, 120X8, 120X10, 90X7110X9 HT-110X8</t>
  </si>
  <si>
    <t>25.04.23</t>
  </si>
  <si>
    <t>24.04.23</t>
  </si>
  <si>
    <t>MH46AFR4423</t>
  </si>
  <si>
    <t>HT-120X10, 110X9</t>
  </si>
  <si>
    <t>HT-130X9, 130X12, 130X9, 110X6</t>
  </si>
  <si>
    <t>HT-130X12, 120X9, 120X8 100X6 120X9 10X10</t>
  </si>
  <si>
    <t>HT-120X10, 130X10, 100X10 130X10 100X10</t>
  </si>
  <si>
    <t>26.04.23</t>
  </si>
  <si>
    <t>27.04.23</t>
  </si>
  <si>
    <t>HT-130X10, 120X10, 120X9, 100X6, 100X7, 120X9</t>
  </si>
  <si>
    <t>HT-120X10,9</t>
  </si>
  <si>
    <t xml:space="preserve">HT-120X8, 120X9, </t>
  </si>
  <si>
    <t xml:space="preserve">          SEC.&amp; KATA WT,DIFFERENCE ANGLE   aPRIL  2023 (vil bub)</t>
  </si>
  <si>
    <t>28.04.23</t>
  </si>
  <si>
    <t>HT-80X6/5,130X8</t>
  </si>
  <si>
    <t>29.04.23</t>
  </si>
  <si>
    <t>HT-120X9,7, 80X6, 100X7</t>
  </si>
  <si>
    <t>30.04.23</t>
  </si>
  <si>
    <t>120X7, 130X9</t>
  </si>
  <si>
    <t>HT-80X6, 80X5, 120X8,</t>
  </si>
  <si>
    <t>02.05.23</t>
  </si>
  <si>
    <t>KEC BB</t>
  </si>
  <si>
    <t>HT-80X5, 120X8</t>
  </si>
  <si>
    <t>04.05.23</t>
  </si>
  <si>
    <t>HT-130X130X10</t>
  </si>
  <si>
    <t>06.05.23</t>
  </si>
  <si>
    <t>HT-100X6, 130X9, 120X10, 130X8,10 80X6 110X6,7</t>
  </si>
  <si>
    <t>12.05.23</t>
  </si>
  <si>
    <t>MH40CM5134</t>
  </si>
  <si>
    <t>13.05.23</t>
  </si>
  <si>
    <t>HT-150X18</t>
  </si>
  <si>
    <t>MH31FC2567</t>
  </si>
  <si>
    <t>HT-150X14/10</t>
  </si>
  <si>
    <t>14.05.23</t>
  </si>
  <si>
    <t>HT-150X150X14/16/10/15/10</t>
  </si>
  <si>
    <t>15.05.23</t>
  </si>
  <si>
    <t>MH31FC2627</t>
  </si>
  <si>
    <t>HT-150X12/15/18</t>
  </si>
  <si>
    <t>MH40CM3184</t>
  </si>
  <si>
    <t>HT-150X16/18/20/12</t>
  </si>
  <si>
    <t>16.05.23</t>
  </si>
  <si>
    <t>MH40BG1844</t>
  </si>
  <si>
    <t xml:space="preserve">HT-150X12 /17 110X8/7 80X6, </t>
  </si>
  <si>
    <t>24.05.23</t>
  </si>
  <si>
    <t>HT-150X16/18/15/12/10 130X10 100X9</t>
  </si>
  <si>
    <t>25.05.23</t>
  </si>
  <si>
    <t>HT-100X100X8</t>
  </si>
  <si>
    <t>HT-100X100X8/7</t>
  </si>
  <si>
    <t>26.05.23</t>
  </si>
  <si>
    <t>HT-100X6/7</t>
  </si>
  <si>
    <t>HT-130X10/8/12 100X7</t>
  </si>
  <si>
    <t>28.05.23</t>
  </si>
  <si>
    <t>HT-100X7/ 75X75X6</t>
  </si>
  <si>
    <t>HT-90X90X6/7/6</t>
  </si>
  <si>
    <t>29.05.23</t>
  </si>
  <si>
    <t>HT-75X75X6 90X90X7 110X9</t>
  </si>
  <si>
    <t>HT-110X110X8/9</t>
  </si>
  <si>
    <t>HT-110X110X8 90X90X6</t>
  </si>
  <si>
    <t>30.05.23</t>
  </si>
  <si>
    <t>HT-90X6 100X7 110X110X10 /7</t>
  </si>
  <si>
    <t>HT-110X8/ 75X6 90X7 100X7</t>
  </si>
  <si>
    <t xml:space="preserve">MS-90X7 100X7 120X9 </t>
  </si>
  <si>
    <t>01.06.23</t>
  </si>
  <si>
    <t>02.06.23</t>
  </si>
  <si>
    <t xml:space="preserve">KEC BB </t>
  </si>
  <si>
    <t xml:space="preserve">HT-100X100X7/75X75X6 75X75X5 </t>
  </si>
  <si>
    <t>HT-75X75X5 120X12 100X8 100X7 90X7</t>
  </si>
  <si>
    <t>MS-120X120X12 120X9 100X12</t>
  </si>
  <si>
    <t xml:space="preserve">          SEC.&amp; KATA WT,DIFFERENCE ANGLE   MAY  2023 (vil bub)</t>
  </si>
  <si>
    <t>03.06.23</t>
  </si>
  <si>
    <t>HT-120X9, 110X10,7 100X7, 8 , 12</t>
  </si>
  <si>
    <t>MH40CM4419</t>
  </si>
  <si>
    <t>HT-130X130X9</t>
  </si>
  <si>
    <t>HT-100X100X8/7 130X9 110X8</t>
  </si>
  <si>
    <t>04.06.23</t>
  </si>
  <si>
    <t>HT-90X7 110X10 75X6 130X10</t>
  </si>
  <si>
    <t>HT-100X7/6</t>
  </si>
  <si>
    <t>HT-90X6, 110X8 100X10 ,6</t>
  </si>
  <si>
    <t>HT-120X9, 130X10, 130X9</t>
  </si>
  <si>
    <t>05.06.23</t>
  </si>
  <si>
    <t>06.06.23</t>
  </si>
  <si>
    <t>08.06.23</t>
  </si>
  <si>
    <t>MH31FC2216</t>
  </si>
  <si>
    <t>HT-120X9</t>
  </si>
  <si>
    <t xml:space="preserve">HT-100X7, 90X7 </t>
  </si>
  <si>
    <t>HT-120X120X10</t>
  </si>
  <si>
    <t>HT-120X120X9</t>
  </si>
  <si>
    <t>HT-120X9/10, 100X8/7</t>
  </si>
  <si>
    <t>MH40BG0308</t>
  </si>
  <si>
    <t>MH49AT1953</t>
  </si>
  <si>
    <t>KEC JBP</t>
  </si>
  <si>
    <t>HT-120X9,110X8, 130X10, 100X7</t>
  </si>
  <si>
    <t>09.06.23</t>
  </si>
  <si>
    <t>MH40N7379</t>
  </si>
  <si>
    <t>MH49AY0506</t>
  </si>
  <si>
    <t>MH49AY0503</t>
  </si>
  <si>
    <t>MH49AT2926</t>
  </si>
  <si>
    <t>MS-75X75X8</t>
  </si>
  <si>
    <t>MS-75X75X8 90X90X6</t>
  </si>
  <si>
    <t>10.06.23</t>
  </si>
  <si>
    <t>MH40AK6005</t>
  </si>
  <si>
    <t>MH40AK2189</t>
  </si>
  <si>
    <t>MH49AT2907</t>
  </si>
  <si>
    <t>MH34M6622</t>
  </si>
  <si>
    <t>MS-90X6 75X8/6/8</t>
  </si>
  <si>
    <t>11.06.23</t>
  </si>
  <si>
    <t>12.06.23</t>
  </si>
  <si>
    <t>13.06.23</t>
  </si>
  <si>
    <t>MH40CM3180</t>
  </si>
  <si>
    <t>HT-80X80X6/5 MS-120X8</t>
  </si>
  <si>
    <t>HT-130X130X10,100X10,120X9</t>
  </si>
  <si>
    <t>HT-150X12, 80X6/5, 80X5</t>
  </si>
  <si>
    <t>14.06.23</t>
  </si>
  <si>
    <t>HT-15X12, 15, 16, 18 80X6, 100X7 120X9</t>
  </si>
  <si>
    <t>MH40CM3183</t>
  </si>
  <si>
    <t>15.06.23</t>
  </si>
  <si>
    <t>16.06.23</t>
  </si>
  <si>
    <t>HT-150X10,12,15,16,18</t>
  </si>
  <si>
    <t>MS-120X9 HT-130X9</t>
  </si>
  <si>
    <t>HT-130X9</t>
  </si>
  <si>
    <t>MS-120X8</t>
  </si>
  <si>
    <t>HT-120X120X9/150X12 110X9 MS-70X5</t>
  </si>
  <si>
    <t>MS-120X8-120X8</t>
  </si>
  <si>
    <t>HT-120X120X9 150X12 110X9/65X65</t>
  </si>
  <si>
    <t>17.06.23</t>
  </si>
  <si>
    <t>19.06.23</t>
  </si>
  <si>
    <t>20.06.23</t>
  </si>
  <si>
    <t>MH31FC2217</t>
  </si>
  <si>
    <t>MH31FC2621</t>
  </si>
  <si>
    <t>HT-100X100X10, 120X9 110X10</t>
  </si>
  <si>
    <t>HT-150X150X15</t>
  </si>
  <si>
    <t>HT-120X120X8</t>
  </si>
  <si>
    <t>HT-150X150X15/12</t>
  </si>
  <si>
    <t>22.06.23</t>
  </si>
  <si>
    <t>HT-120X8/10/9 80X6</t>
  </si>
  <si>
    <t>HT-110X8/10/9 120X10 150X16 MS-90X6/7 75X5/6 150X15X20</t>
  </si>
  <si>
    <t>23.06.23</t>
  </si>
  <si>
    <t>MH49AT4594</t>
  </si>
  <si>
    <t xml:space="preserve">HT-150X12,100X8, 110X6, </t>
  </si>
  <si>
    <t xml:space="preserve">MS-75X75X8, 90X8, 75X5, 75X6 </t>
  </si>
  <si>
    <t>HT-120X120X9, HT-150X12</t>
  </si>
  <si>
    <t>24.06.23</t>
  </si>
  <si>
    <t>150X12,90X6</t>
  </si>
  <si>
    <t>HT-130X10,15 80X6 150X15</t>
  </si>
  <si>
    <t>HT-75X75X5/6MS-90X6/ 7</t>
  </si>
  <si>
    <t xml:space="preserve">HT-150X12 </t>
  </si>
  <si>
    <t>25.06.23</t>
  </si>
  <si>
    <t>MS-120X8 HT-150X12, MS-120X8</t>
  </si>
  <si>
    <t>MS-130X9</t>
  </si>
  <si>
    <t>HT-70X5/6 HT-90X6</t>
  </si>
  <si>
    <t>HT-150X20 75X5 150X15 150X12</t>
  </si>
  <si>
    <t>HT-150X12 MS-130X9 HT-110X10</t>
  </si>
  <si>
    <t>26.06.23</t>
  </si>
  <si>
    <t>HT-110X9 110X8 80X6 130X9 150X10</t>
  </si>
  <si>
    <t>HT-110X8 110X7</t>
  </si>
  <si>
    <t>HT/MS-75X56 110X8  70X5</t>
  </si>
  <si>
    <t>HT-80X6, MS-130X9 150X10</t>
  </si>
  <si>
    <t>HT-150X15, 120X9</t>
  </si>
  <si>
    <t>27.06.23</t>
  </si>
  <si>
    <t>28.06.23</t>
  </si>
  <si>
    <t>29.06.23</t>
  </si>
  <si>
    <t>MH31FC2023</t>
  </si>
  <si>
    <t xml:space="preserve">HT-110X9 </t>
  </si>
  <si>
    <t>HT150X15, 10 MS-130X9 , 120X9 HT-130X10</t>
  </si>
  <si>
    <t>HT-110X9, 110X7 110X8 150X15</t>
  </si>
  <si>
    <t>HT-90X90X6, 7</t>
  </si>
  <si>
    <t>HT-110X110X8, 10</t>
  </si>
  <si>
    <t>HT-110X8 150X10 130X9 150X15 130X9</t>
  </si>
  <si>
    <t>HT-100X8</t>
  </si>
  <si>
    <t xml:space="preserve">          SEC.&amp; KATA WT,DIFFERENCE ANGLE   JUN  2023 (vil bub)</t>
  </si>
  <si>
    <t>30.06.23</t>
  </si>
  <si>
    <t>MH40AK5044</t>
  </si>
  <si>
    <t>01.07.23</t>
  </si>
  <si>
    <t>MH04FD6732</t>
  </si>
  <si>
    <t>02.07.23</t>
  </si>
  <si>
    <t>MH40AK4183</t>
  </si>
  <si>
    <t>03.07.23</t>
  </si>
  <si>
    <t>MH40AK6075</t>
  </si>
  <si>
    <t>MH49AT0403</t>
  </si>
  <si>
    <t>04.07.23</t>
  </si>
  <si>
    <t>MH46H6074</t>
  </si>
  <si>
    <t>MH46H6281</t>
  </si>
  <si>
    <t>05.07.23</t>
  </si>
  <si>
    <t>06.07.23</t>
  </si>
  <si>
    <t>MH40AK1958</t>
  </si>
  <si>
    <t>07.07.23</t>
  </si>
  <si>
    <t>MH49AT1947</t>
  </si>
  <si>
    <t>08.07.23</t>
  </si>
  <si>
    <t>09.07.23</t>
  </si>
  <si>
    <t>10.07.23</t>
  </si>
  <si>
    <t>CG07JD0717</t>
  </si>
  <si>
    <t>MH31FC2337</t>
  </si>
  <si>
    <t>11.07.23</t>
  </si>
  <si>
    <t>12.07.23</t>
  </si>
  <si>
    <t>MH40Y1047</t>
  </si>
  <si>
    <t>13.07.23</t>
  </si>
  <si>
    <t>14.07.23</t>
  </si>
  <si>
    <t>15.07.23</t>
  </si>
  <si>
    <t>16.07.23</t>
  </si>
  <si>
    <t>MH40N7423</t>
  </si>
  <si>
    <t>MH40AK9944</t>
  </si>
  <si>
    <t>17.07.23</t>
  </si>
  <si>
    <t>18.07.23</t>
  </si>
  <si>
    <t>20.07.23</t>
  </si>
  <si>
    <t>21.07.23</t>
  </si>
  <si>
    <t>MH40Y5644</t>
  </si>
  <si>
    <t>MH40BG0309</t>
  </si>
  <si>
    <t>MH40Y3144</t>
  </si>
  <si>
    <t>22.07.23</t>
  </si>
  <si>
    <t>23.07.23</t>
  </si>
  <si>
    <t>24.07.23</t>
  </si>
  <si>
    <t>25.07.23</t>
  </si>
  <si>
    <t>MH40Y0987</t>
  </si>
  <si>
    <t>MH40BG0544</t>
  </si>
  <si>
    <t>MH40AK1960</t>
  </si>
  <si>
    <t>26.07.23</t>
  </si>
  <si>
    <t>27.07.23</t>
  </si>
  <si>
    <t>28.07.23</t>
  </si>
  <si>
    <t>29.07.23</t>
  </si>
  <si>
    <t>30.07.23</t>
  </si>
  <si>
    <t>MH40AK5144</t>
  </si>
  <si>
    <t>31.07.23</t>
  </si>
  <si>
    <t>01.08.23</t>
  </si>
  <si>
    <t>03.08.23</t>
  </si>
  <si>
    <t>04.08.23</t>
  </si>
  <si>
    <t>MH40CD3182</t>
  </si>
  <si>
    <t>MH40Y9744</t>
  </si>
  <si>
    <t>05.08.23</t>
  </si>
  <si>
    <t>MH40BG0307</t>
  </si>
  <si>
    <t>MH40Y9944</t>
  </si>
  <si>
    <t>06.08.23</t>
  </si>
  <si>
    <t>07.08.23</t>
  </si>
  <si>
    <t>MH40AK6003</t>
  </si>
  <si>
    <t>08.08.23</t>
  </si>
  <si>
    <t>09.08.23</t>
  </si>
  <si>
    <t>10.08.23</t>
  </si>
  <si>
    <t>MH49AT0506</t>
  </si>
  <si>
    <t>11.08.23</t>
  </si>
  <si>
    <t>MH40CM3134</t>
  </si>
  <si>
    <t>12.08.23</t>
  </si>
  <si>
    <t>13.08.23</t>
  </si>
  <si>
    <t>14.08.23</t>
  </si>
  <si>
    <t>16.08.23</t>
  </si>
  <si>
    <t>17.08.23</t>
  </si>
  <si>
    <t>18.08.23</t>
  </si>
  <si>
    <t>MH40YN2550</t>
  </si>
  <si>
    <t>MH31CQ2844</t>
  </si>
  <si>
    <t>19.08.23</t>
  </si>
  <si>
    <t>20.08.23</t>
  </si>
  <si>
    <t>MH49AT4596</t>
  </si>
  <si>
    <t>MH40AK2944</t>
  </si>
  <si>
    <t>21.08.23</t>
  </si>
  <si>
    <t xml:space="preserve">          SEC.&amp; KATA WT,DIFFERENCE ANGLE   JULY  2023 (vil bub)</t>
  </si>
  <si>
    <t xml:space="preserve">          SEC.&amp; KATA WT,DIFFERENCE ANGLE   AUG  2023 (vil bub)</t>
  </si>
  <si>
    <t>22.08.23</t>
  </si>
  <si>
    <t>23.08.23</t>
  </si>
  <si>
    <t>MH49AT1950</t>
  </si>
  <si>
    <t>MH40N7378</t>
  </si>
  <si>
    <t>MH40AK6002</t>
  </si>
  <si>
    <t>MH40AK6074</t>
  </si>
  <si>
    <t>MH49AT0509</t>
  </si>
  <si>
    <t>24.08.23</t>
  </si>
  <si>
    <t>MH46BG0386</t>
  </si>
  <si>
    <t>MH49AT0503</t>
  </si>
  <si>
    <t>MH49AT4595</t>
  </si>
  <si>
    <t>MH49AT3076</t>
  </si>
  <si>
    <t>25.08.23</t>
  </si>
  <si>
    <t>NL02Q8700</t>
  </si>
  <si>
    <t>26.08.23</t>
  </si>
  <si>
    <t>27.08.23</t>
  </si>
  <si>
    <t>MH49AT3082</t>
  </si>
  <si>
    <t>MH40CM6495</t>
  </si>
  <si>
    <t>MH40CM6395</t>
  </si>
  <si>
    <t>28.08.23</t>
  </si>
  <si>
    <t>29.08.23</t>
  </si>
  <si>
    <t>30.08.23</t>
  </si>
  <si>
    <t>31.08.23</t>
  </si>
  <si>
    <t xml:space="preserve">          SEC.&amp; KATA WT,DIFFERENCE ANGLE   SEP  2023 (vil bub)</t>
  </si>
  <si>
    <t>01.09.23</t>
  </si>
  <si>
    <t>MH40CM5395</t>
  </si>
  <si>
    <t>MH04FD0626</t>
  </si>
  <si>
    <t>02.09.23</t>
  </si>
  <si>
    <t>DD01P9222</t>
  </si>
  <si>
    <t>MH43Y8877</t>
  </si>
  <si>
    <t>RJ06GC1521</t>
  </si>
  <si>
    <t>03.09.23</t>
  </si>
  <si>
    <t>KEC BBE</t>
  </si>
  <si>
    <t>MH40BL2575</t>
  </si>
  <si>
    <t>MH40CM5195</t>
  </si>
  <si>
    <t>NL02Q2829</t>
  </si>
  <si>
    <t>NL01AE1488</t>
  </si>
  <si>
    <t>04.09.23</t>
  </si>
  <si>
    <t>05.09.23</t>
  </si>
  <si>
    <t>MH46BF4104</t>
  </si>
  <si>
    <t>MH49AT6261</t>
  </si>
  <si>
    <t>MH46BU7742</t>
  </si>
  <si>
    <t>MH46H3436</t>
  </si>
  <si>
    <t>06.09.23</t>
  </si>
  <si>
    <t>07.09.23</t>
  </si>
  <si>
    <t>NL01AC2480</t>
  </si>
  <si>
    <t>MH49AT0397</t>
  </si>
  <si>
    <t>MH46BF0155</t>
  </si>
  <si>
    <t>08.09.23</t>
  </si>
  <si>
    <t>MH40BG0396</t>
  </si>
  <si>
    <t>09.09.23</t>
  </si>
  <si>
    <t>MH46CL0553</t>
  </si>
  <si>
    <t>10.09.23</t>
  </si>
  <si>
    <t>MH49AT2913</t>
  </si>
  <si>
    <t>MH40Y0781</t>
  </si>
  <si>
    <t>11.09.23</t>
  </si>
  <si>
    <t>12.09.23</t>
  </si>
  <si>
    <t>MH46AR3342</t>
  </si>
  <si>
    <t>MH23AU1166</t>
  </si>
  <si>
    <t>13.09.23</t>
  </si>
  <si>
    <t>14.09.23</t>
  </si>
  <si>
    <t>15.09.23</t>
  </si>
  <si>
    <t>MH46AF2874</t>
  </si>
  <si>
    <t>DD01H9358</t>
  </si>
  <si>
    <t>MH46AR4835</t>
  </si>
  <si>
    <t>MH40CM5196</t>
  </si>
  <si>
    <t>MH46BB8956</t>
  </si>
  <si>
    <t>DN09P9897</t>
  </si>
  <si>
    <t>MH49AT0410</t>
  </si>
  <si>
    <t>MH49AT0406</t>
  </si>
  <si>
    <t>MH49AT0399</t>
  </si>
  <si>
    <t>16.09.23</t>
  </si>
  <si>
    <t>MH16CD6667</t>
  </si>
  <si>
    <t>MH46AR5345</t>
  </si>
  <si>
    <t>NL01L5654</t>
  </si>
  <si>
    <t>MH42AT0510</t>
  </si>
  <si>
    <t>18.09.23</t>
  </si>
  <si>
    <t>DD01H9169</t>
  </si>
  <si>
    <t>MH23AU9477</t>
  </si>
  <si>
    <t>MH46BF7799</t>
  </si>
  <si>
    <t>19.09.23</t>
  </si>
  <si>
    <t>20.09.23</t>
  </si>
  <si>
    <t>MH23W5112</t>
  </si>
  <si>
    <t>MH49AT0501</t>
  </si>
  <si>
    <t>MH46BB5715</t>
  </si>
  <si>
    <t>MH40AK7728</t>
  </si>
  <si>
    <t>GJ15AV6565</t>
  </si>
  <si>
    <t>MH49AT3053</t>
  </si>
  <si>
    <t>21.09.23</t>
  </si>
  <si>
    <t>DD01N9807</t>
  </si>
  <si>
    <t>DD01P9772</t>
  </si>
  <si>
    <t>PG</t>
  </si>
  <si>
    <t>PG/NPG</t>
  </si>
  <si>
    <t>NPG</t>
  </si>
  <si>
    <t>22.09.23</t>
  </si>
  <si>
    <t>NL01AE2966</t>
  </si>
  <si>
    <t>MH04GR9022</t>
  </si>
  <si>
    <t>23.09.23</t>
  </si>
  <si>
    <t>24.09.23</t>
  </si>
  <si>
    <t>MH15GV2929</t>
  </si>
  <si>
    <t>KEC BBR</t>
  </si>
  <si>
    <t>MH40Y9955</t>
  </si>
  <si>
    <t>26.09.23</t>
  </si>
  <si>
    <t>27.09.23</t>
  </si>
  <si>
    <t>28.09.23</t>
  </si>
  <si>
    <t>NL01AG8543</t>
  </si>
  <si>
    <t>GJ39T0483</t>
  </si>
  <si>
    <t>MH04JU8939</t>
  </si>
  <si>
    <t>29.09.23</t>
  </si>
  <si>
    <t>30.09.23</t>
  </si>
  <si>
    <t>MH46BU7064</t>
  </si>
  <si>
    <t>MH40CM0656</t>
  </si>
  <si>
    <t>MH40CM0647</t>
  </si>
  <si>
    <t>NL01AC6497</t>
  </si>
  <si>
    <t>MH40AK3044</t>
  </si>
  <si>
    <t>MH31CQ2840</t>
  </si>
  <si>
    <t>01.10.23</t>
  </si>
  <si>
    <t>02.10.23</t>
  </si>
  <si>
    <t>03.10.23</t>
  </si>
  <si>
    <t>04.10.23</t>
  </si>
  <si>
    <t>05.10.23</t>
  </si>
  <si>
    <t>MH49AT6275</t>
  </si>
  <si>
    <t>06.10.23</t>
  </si>
  <si>
    <t>07.10.23</t>
  </si>
  <si>
    <t>MH49AT1954</t>
  </si>
  <si>
    <t>MH40AK6073</t>
  </si>
  <si>
    <t>MH49AT1956</t>
  </si>
  <si>
    <t>MH40AK6001</t>
  </si>
  <si>
    <t>08.10.23</t>
  </si>
  <si>
    <t>MH49AT1955</t>
  </si>
  <si>
    <t>09.10.23</t>
  </si>
  <si>
    <t>MH49AT0504</t>
  </si>
  <si>
    <t>MH49AT4593</t>
  </si>
  <si>
    <t>11.10.23</t>
  </si>
  <si>
    <t>MH49AT3051</t>
  </si>
  <si>
    <t>12.10.23</t>
  </si>
  <si>
    <t>14.10.23</t>
  </si>
  <si>
    <t>MH49AT0409</t>
  </si>
  <si>
    <t>MH49AT0401</t>
  </si>
  <si>
    <t>15.10.23</t>
  </si>
  <si>
    <t>SECTION</t>
  </si>
  <si>
    <t>HT-150X12/14</t>
  </si>
  <si>
    <t>HT-150X11/12/10/15 HT-130X11/10</t>
  </si>
  <si>
    <t>HT-110X7 HT-150X11/12</t>
  </si>
  <si>
    <t>HT-75X6/5 HT-90X6</t>
  </si>
  <si>
    <t>HT-110X7/6/ MS-110X6</t>
  </si>
  <si>
    <t>HT-150X150X16/18</t>
  </si>
  <si>
    <t>MS-75X75X5/ 80X80X5</t>
  </si>
  <si>
    <t>HT-110X6/110X8</t>
  </si>
  <si>
    <t>HT-150X15/14/17/ HT-110X7 HT-110X8 75X5/6</t>
  </si>
  <si>
    <t>16.10.23</t>
  </si>
  <si>
    <t>MH49AT6305</t>
  </si>
  <si>
    <t>MH49AT3081</t>
  </si>
  <si>
    <t>17.10.23</t>
  </si>
  <si>
    <t>MH49AT3052</t>
  </si>
  <si>
    <t>RJ09GC6853</t>
  </si>
  <si>
    <t>18.10.23</t>
  </si>
  <si>
    <t>19.10.23</t>
  </si>
  <si>
    <t>KEC JPR</t>
  </si>
  <si>
    <t>20.10.23</t>
  </si>
  <si>
    <t>MH49AT2912</t>
  </si>
  <si>
    <t>MH49AT0502</t>
  </si>
  <si>
    <t>MH40AK1956</t>
  </si>
  <si>
    <t>MH40BG0311</t>
  </si>
  <si>
    <t>MH49AT0510</t>
  </si>
  <si>
    <t>MH40AK4386</t>
  </si>
  <si>
    <t>21.10.23</t>
  </si>
  <si>
    <t>22.10.23</t>
  </si>
  <si>
    <t>MH49AT2950</t>
  </si>
  <si>
    <t>MH40CD4291</t>
  </si>
  <si>
    <t>MH49AT2947</t>
  </si>
  <si>
    <t>MH49AT2909</t>
  </si>
  <si>
    <t>MH49AT1951</t>
  </si>
  <si>
    <t>23.10.23</t>
  </si>
  <si>
    <t>26.10.23</t>
  </si>
  <si>
    <t>RJ01GC0844</t>
  </si>
  <si>
    <t>27.10.23</t>
  </si>
  <si>
    <t>MH49AT4601</t>
  </si>
  <si>
    <t>28.10.23</t>
  </si>
  <si>
    <t>MH40AK6004</t>
  </si>
  <si>
    <t>29.10.23</t>
  </si>
  <si>
    <t>MH49AT2922</t>
  </si>
  <si>
    <t>30.10.23</t>
  </si>
  <si>
    <t>31.10.23</t>
  </si>
  <si>
    <t>MH49AT6271</t>
  </si>
  <si>
    <t>MH49AT2915</t>
  </si>
  <si>
    <t>01.11.23</t>
  </si>
  <si>
    <t>MH49AT0507</t>
  </si>
  <si>
    <t>02.11.23</t>
  </si>
  <si>
    <t>MH49AT04597</t>
  </si>
  <si>
    <t>03.11.23</t>
  </si>
  <si>
    <t>MH49AT2914</t>
  </si>
  <si>
    <t>MH49AT2946</t>
  </si>
  <si>
    <t>04.11.23</t>
  </si>
  <si>
    <t>05.11.23</t>
  </si>
  <si>
    <t>MH40AK1961</t>
  </si>
  <si>
    <t>MH43AF3590</t>
  </si>
  <si>
    <t>06.11.23</t>
  </si>
  <si>
    <t>KEC DUBAI</t>
  </si>
  <si>
    <t>07.11.23</t>
  </si>
  <si>
    <t>MH46BF1550</t>
  </si>
  <si>
    <t>MH46BB4119</t>
  </si>
  <si>
    <t>08.11.23</t>
  </si>
  <si>
    <t>MH40AK1959</t>
  </si>
  <si>
    <t>09.11.23</t>
  </si>
  <si>
    <t>10.11.23</t>
  </si>
  <si>
    <t>11.11.23</t>
  </si>
  <si>
    <t>15.11.23</t>
  </si>
  <si>
    <t>MH49AT3050</t>
  </si>
  <si>
    <t>MH49AT0508</t>
  </si>
  <si>
    <t>16.11.23</t>
  </si>
  <si>
    <t>MH40BG0669</t>
  </si>
  <si>
    <t>NPG/PG</t>
  </si>
  <si>
    <t>17.11.23</t>
  </si>
  <si>
    <t>MH46BF9229</t>
  </si>
  <si>
    <t>MH40AK2182</t>
  </si>
  <si>
    <t>18.11.23</t>
  </si>
  <si>
    <t>19.11.23</t>
  </si>
  <si>
    <t>MH46CL0512</t>
  </si>
  <si>
    <t>MH49AT0405</t>
  </si>
  <si>
    <t>PB05AB2666</t>
  </si>
  <si>
    <t>20.11.23</t>
  </si>
  <si>
    <t>GJ12AZ5648</t>
  </si>
  <si>
    <t>MH43CE0838</t>
  </si>
  <si>
    <t>21.11.23</t>
  </si>
  <si>
    <t>22.11.23</t>
  </si>
  <si>
    <t>23.11.23</t>
  </si>
  <si>
    <t>MH46H3531</t>
  </si>
  <si>
    <t>24.11.23</t>
  </si>
  <si>
    <t>MH43BG4230</t>
  </si>
  <si>
    <t>25.11.23</t>
  </si>
  <si>
    <t>MH49AT6390</t>
  </si>
  <si>
    <t>26.11.23</t>
  </si>
  <si>
    <t>27.11.23</t>
  </si>
  <si>
    <t>MH46 AF3590</t>
  </si>
  <si>
    <t>28.11.23</t>
  </si>
  <si>
    <t>MH43BP8942</t>
  </si>
  <si>
    <t>29.11.23</t>
  </si>
  <si>
    <t>30.11.23</t>
  </si>
  <si>
    <t>01.12.23</t>
  </si>
  <si>
    <t xml:space="preserve">          SEC.&amp; KATA WT,DIFFERENCE ANGLE   OCT  2023 (vil bub)</t>
  </si>
  <si>
    <t xml:space="preserve">          SEC.&amp; KATA WT,DIFFERENCE ANGLE   nOV  2023 (vil bub)</t>
  </si>
  <si>
    <t xml:space="preserve">          SEC.&amp; KATA WT,DIFFERENCE ANGLE  DEC  2023 (vil bub)</t>
  </si>
  <si>
    <t>02.12.23</t>
  </si>
  <si>
    <t>03.12.23</t>
  </si>
  <si>
    <t>04.12.23</t>
  </si>
  <si>
    <t>MH40Y1455</t>
  </si>
  <si>
    <t>05.12.23</t>
  </si>
  <si>
    <t>06.12.23</t>
  </si>
  <si>
    <t>MH49AT2949</t>
  </si>
  <si>
    <t>07.12.23</t>
  </si>
  <si>
    <t>08.12.23</t>
  </si>
  <si>
    <t>MH40AK4384</t>
  </si>
  <si>
    <t>MH49AT2928</t>
  </si>
  <si>
    <t>MH49AT1952</t>
  </si>
  <si>
    <t>MH40Y 4044</t>
  </si>
  <si>
    <t>09.12.23</t>
  </si>
  <si>
    <t>10.12.23</t>
  </si>
  <si>
    <t>11.12.23</t>
  </si>
  <si>
    <t>12.12.23</t>
  </si>
  <si>
    <t>13.12.23</t>
  </si>
  <si>
    <t>14.12.23</t>
  </si>
  <si>
    <t>MH40-AK 1959</t>
  </si>
  <si>
    <t>MH40BG 0309</t>
  </si>
  <si>
    <t>MH31CQ3544</t>
  </si>
  <si>
    <t>MH40Y1355</t>
  </si>
  <si>
    <t>CG07BE9905</t>
  </si>
  <si>
    <t>MH40BG0310</t>
  </si>
  <si>
    <t>15.12.23</t>
  </si>
  <si>
    <t>MH46H5913</t>
  </si>
  <si>
    <t>16.12.23</t>
  </si>
  <si>
    <t>17.12.23</t>
  </si>
  <si>
    <t>18.12.23</t>
  </si>
  <si>
    <t>19.12.23</t>
  </si>
  <si>
    <t>21.12.23</t>
  </si>
  <si>
    <t>22.12.23</t>
  </si>
  <si>
    <t>MH40CD5362</t>
  </si>
  <si>
    <t>23.12.23</t>
  </si>
  <si>
    <t>KEC Dubai</t>
  </si>
  <si>
    <t>MH40CD4082</t>
  </si>
  <si>
    <t>MH40CM0711</t>
  </si>
  <si>
    <t>24.12.23</t>
  </si>
  <si>
    <t>MH40CM0710</t>
  </si>
  <si>
    <t>MH40BG4442</t>
  </si>
  <si>
    <t>MH40CM0614</t>
  </si>
  <si>
    <t>25.12.23</t>
  </si>
  <si>
    <t>MH40CM0705</t>
  </si>
  <si>
    <t>MH40CD4087</t>
  </si>
  <si>
    <t>26.12.23</t>
  </si>
  <si>
    <t>27.12.23</t>
  </si>
  <si>
    <t>PB02EP9448</t>
  </si>
  <si>
    <t>28.12.23</t>
  </si>
  <si>
    <t>29.12.23</t>
  </si>
  <si>
    <t>MH49AT 0406</t>
  </si>
  <si>
    <t>MH49AT 0403</t>
  </si>
  <si>
    <t>MH40AK 2190</t>
  </si>
  <si>
    <t>MH49AT1949</t>
  </si>
  <si>
    <t>30.12.23</t>
  </si>
  <si>
    <t>31.12.23</t>
  </si>
  <si>
    <t>MH 49AT2950</t>
  </si>
  <si>
    <t xml:space="preserve">          SEC.&amp; KATA WT,DIFFERENCE ANGLE  JAN  2024 (vil bub)</t>
  </si>
  <si>
    <t>01.01.24</t>
  </si>
  <si>
    <t>01.02.24</t>
  </si>
  <si>
    <t>02.01.24</t>
  </si>
  <si>
    <t>03.01.24</t>
  </si>
  <si>
    <t>04.01.24</t>
  </si>
  <si>
    <t>05.01.24</t>
  </si>
  <si>
    <t>06.01.24</t>
  </si>
  <si>
    <t>07.01.24</t>
  </si>
  <si>
    <t>08.01.24</t>
  </si>
  <si>
    <t>09.01.24</t>
  </si>
  <si>
    <t>10.01.24</t>
  </si>
  <si>
    <t>11.01.24</t>
  </si>
  <si>
    <t>12.01.24</t>
  </si>
  <si>
    <t>13.01.24</t>
  </si>
  <si>
    <t>KEB BB</t>
  </si>
  <si>
    <t>KCE BB</t>
  </si>
  <si>
    <t>MH49AT3048</t>
  </si>
  <si>
    <t>MH40AT0397</t>
  </si>
  <si>
    <t>NL01Q7459</t>
  </si>
  <si>
    <t>PB22D9922</t>
  </si>
  <si>
    <t>MH46H1801</t>
  </si>
  <si>
    <t>MH43Y2178</t>
  </si>
  <si>
    <t>MH43Y4311</t>
  </si>
  <si>
    <t>MH49AT0402</t>
  </si>
  <si>
    <t>MH46AR2694</t>
  </si>
  <si>
    <t>MH23AU1543</t>
  </si>
  <si>
    <t>MH46AR2778</t>
  </si>
  <si>
    <t>14.01.24</t>
  </si>
  <si>
    <t>MH46BU7392</t>
  </si>
  <si>
    <t>MH49AT0398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</si>
</sst>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%"/>
    <numFmt numFmtId="166" formatCode="#,##0.000_);\-#,##0.000"/>
  </numFmts>
  <fonts count="16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color theme="1"/>
      <name val="Algerian"/>
      <family val="5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9"/>
      <color indexed="8"/>
      <name val="Arial"/>
      <family val="2"/>
    </font>
    <font>
      <b/>
      <sz val="12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right"/>
    </xf>
    <xf numFmtId="10" fontId="6" fillId="0" borderId="1" xfId="1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6" fillId="0" borderId="0" xfId="0" applyFont="1"/>
    <xf numFmtId="0" fontId="5" fillId="3" borderId="1" xfId="0" quotePrefix="1" applyFont="1" applyFill="1" applyBorder="1"/>
    <xf numFmtId="164" fontId="6" fillId="0" borderId="1" xfId="0" applyNumberFormat="1" applyFont="1" applyBorder="1" applyAlignment="1">
      <alignment horizontal="center"/>
    </xf>
    <xf numFmtId="165" fontId="13" fillId="0" borderId="1" xfId="1" applyNumberFormat="1" applyFont="1" applyBorder="1" applyAlignment="1">
      <alignment horizontal="right"/>
    </xf>
    <xf numFmtId="0" fontId="13" fillId="4" borderId="1" xfId="0" applyFont="1" applyFill="1" applyBorder="1"/>
    <xf numFmtId="164" fontId="13" fillId="4" borderId="1" xfId="0" applyNumberFormat="1" applyFont="1" applyFill="1" applyBorder="1"/>
    <xf numFmtId="17" fontId="5" fillId="3" borderId="1" xfId="0" applyNumberFormat="1" applyFont="1" applyFill="1" applyBorder="1" applyAlignment="1">
      <alignment horizontal="left"/>
    </xf>
    <xf numFmtId="17" fontId="5" fillId="3" borderId="1" xfId="0" quotePrefix="1" applyNumberFormat="1" applyFont="1" applyFill="1" applyBorder="1" applyAlignment="1">
      <alignment horizontal="left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165" fontId="12" fillId="0" borderId="1" xfId="1" applyNumberFormat="1" applyFont="1" applyBorder="1" applyAlignment="1"/>
    <xf numFmtId="164" fontId="12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13" fillId="0" borderId="1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/>
    <xf numFmtId="164" fontId="1" fillId="5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6" fontId="14" fillId="0" borderId="1" xfId="0" applyNumberFormat="1" applyFont="1" applyFill="1" applyBorder="1" applyAlignment="1" applyProtection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7" xfId="0" applyFill="1" applyBorder="1"/>
    <xf numFmtId="17" fontId="7" fillId="2" borderId="0" xfId="0" applyNumberFormat="1" applyFont="1" applyFill="1" applyBorder="1" applyAlignment="1">
      <alignment horizontal="center"/>
    </xf>
    <xf numFmtId="10" fontId="6" fillId="0" borderId="1" xfId="1" applyNumberFormat="1" applyFont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" fontId="7" fillId="2" borderId="0" xfId="0" applyNumberFormat="1" applyFont="1" applyFill="1" applyBorder="1" applyAlignment="1">
      <alignment horizontal="center"/>
    </xf>
    <xf numFmtId="17" fontId="7" fillId="2" borderId="0" xfId="0" applyNumberFormat="1" applyFont="1" applyFill="1" applyBorder="1" applyAlignment="1">
      <alignment horizontal="center"/>
    </xf>
    <xf numFmtId="17" fontId="7" fillId="2" borderId="0" xfId="0" applyNumberFormat="1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17" fontId="7" fillId="2" borderId="2" xfId="0" applyNumberFormat="1" applyFont="1" applyFill="1" applyBorder="1" applyAlignment="1">
      <alignment horizontal="left"/>
    </xf>
    <xf numFmtId="17" fontId="7" fillId="2" borderId="3" xfId="0" quotePrefix="1" applyNumberFormat="1" applyFont="1" applyFill="1" applyBorder="1" applyAlignment="1">
      <alignment horizontal="left"/>
    </xf>
    <xf numFmtId="17" fontId="7" fillId="2" borderId="4" xfId="0" quotePrefix="1" applyNumberFormat="1" applyFont="1" applyFill="1" applyBorder="1" applyAlignment="1">
      <alignment horizontal="left"/>
    </xf>
    <xf numFmtId="17" fontId="7" fillId="2" borderId="6" xfId="0" applyNumberFormat="1" applyFont="1" applyFill="1" applyBorder="1" applyAlignment="1">
      <alignment horizontal="center"/>
    </xf>
    <xf numFmtId="17" fontId="7" fillId="2" borderId="0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9"/>
  <sheetViews>
    <sheetView tabSelected="1" workbookViewId="0">
      <selection activeCell="C12" sqref="C12"/>
    </sheetView>
  </sheetViews>
  <sheetFormatPr defaultColWidth="15.28515625" defaultRowHeight="15"/>
  <cols>
    <col min="1" max="1" width="14.28515625" style="22" customWidth="1"/>
    <col min="2" max="2" width="13.7109375" style="37" customWidth="1"/>
    <col min="3" max="3" width="15" style="37" customWidth="1"/>
    <col min="4" max="4" width="10.7109375" style="37" customWidth="1"/>
    <col min="5" max="5" width="12.140625" style="37" customWidth="1"/>
    <col min="6" max="6" width="14" style="37" customWidth="1"/>
    <col min="7" max="7" width="13.140625" style="37" customWidth="1"/>
    <col min="8" max="8" width="13.140625" style="37" hidden="1" customWidth="1"/>
    <col min="9" max="9" width="10.140625" style="22" hidden="1" customWidth="1"/>
    <col min="10" max="11" width="15.28515625" style="22" hidden="1" customWidth="1"/>
    <col min="12" max="16384" width="15.28515625" style="22"/>
  </cols>
  <sheetData>
    <row r="1" spans="1:11" s="17" customFormat="1" ht="15.75">
      <c r="A1" s="13" t="s">
        <v>47</v>
      </c>
      <c r="B1" s="14"/>
      <c r="C1" s="14"/>
      <c r="D1" s="14"/>
      <c r="E1" s="15"/>
      <c r="F1" s="15"/>
      <c r="G1" s="15"/>
      <c r="H1" s="16"/>
      <c r="I1" s="54" t="s">
        <v>17</v>
      </c>
      <c r="J1" s="54"/>
      <c r="K1" s="54"/>
    </row>
    <row r="2" spans="1:11">
      <c r="A2" s="18" t="s">
        <v>18</v>
      </c>
      <c r="B2" s="19" t="s">
        <v>2</v>
      </c>
      <c r="C2" s="19" t="s">
        <v>3</v>
      </c>
      <c r="D2" s="19" t="s">
        <v>4</v>
      </c>
      <c r="E2" s="19" t="s">
        <v>5</v>
      </c>
      <c r="F2" s="5" t="s">
        <v>19</v>
      </c>
      <c r="G2" s="5" t="s">
        <v>7</v>
      </c>
      <c r="H2" s="20"/>
      <c r="I2" s="21" t="s">
        <v>20</v>
      </c>
      <c r="J2" s="21" t="s">
        <v>21</v>
      </c>
      <c r="K2" s="21" t="s">
        <v>22</v>
      </c>
    </row>
    <row r="3" spans="1:11">
      <c r="A3" s="23" t="s">
        <v>48</v>
      </c>
      <c r="B3" s="24">
        <f>+'APRIL-23'!D76</f>
        <v>2093.706000000001</v>
      </c>
      <c r="C3" s="24">
        <f>+'APRIL-23'!E76</f>
        <v>2100.5189999999998</v>
      </c>
      <c r="D3" s="24">
        <f>+'APRIL-23'!F76</f>
        <v>3.0039999999999978</v>
      </c>
      <c r="E3" s="24">
        <f>+'APRIL-23'!G76</f>
        <v>-9.8169999999999789</v>
      </c>
      <c r="F3" s="30">
        <f t="shared" ref="F3:F7" si="0">SUM(D3:E3)</f>
        <v>-6.8129999999999811</v>
      </c>
      <c r="G3" s="9">
        <f t="shared" ref="G3:G9" si="1">F3/C3</f>
        <v>-3.243484110355575E-3</v>
      </c>
      <c r="H3" s="25"/>
      <c r="I3" s="26"/>
      <c r="J3" s="27">
        <f t="shared" ref="J3" si="2">C3-I3</f>
        <v>2100.5189999999998</v>
      </c>
      <c r="K3" s="27">
        <f t="shared" ref="K3" si="3">+J3+I3</f>
        <v>2100.5189999999998</v>
      </c>
    </row>
    <row r="4" spans="1:11">
      <c r="A4" s="28">
        <v>45064</v>
      </c>
      <c r="B4" s="24">
        <f>+'May -23 '!D30</f>
        <v>716.37999999999988</v>
      </c>
      <c r="C4" s="24">
        <f>+'May -23 '!E30</f>
        <v>717.30000000000007</v>
      </c>
      <c r="D4" s="24">
        <f>+'May -23 '!F30</f>
        <v>0.92700000000000671</v>
      </c>
      <c r="E4" s="24">
        <f>+'May -23 '!G30</f>
        <v>-1.8470000000000035</v>
      </c>
      <c r="F4" s="30">
        <f t="shared" si="0"/>
        <v>-0.91999999999999682</v>
      </c>
      <c r="G4" s="9">
        <f t="shared" si="1"/>
        <v>-1.2825874808308892E-3</v>
      </c>
      <c r="H4" s="25"/>
      <c r="I4" s="26"/>
      <c r="J4" s="27">
        <f t="shared" ref="J4" si="4">C4-I4</f>
        <v>717.30000000000007</v>
      </c>
      <c r="K4" s="27">
        <f t="shared" ref="K4" si="5">+J4+I4</f>
        <v>717.30000000000007</v>
      </c>
    </row>
    <row r="5" spans="1:11">
      <c r="A5" s="29">
        <v>45095</v>
      </c>
      <c r="B5" s="24">
        <f>+'JUN -23'!D97</f>
        <v>2545.9700000000012</v>
      </c>
      <c r="C5" s="24">
        <f>+'JUN -23'!E97</f>
        <v>2546.7620000000006</v>
      </c>
      <c r="D5" s="24">
        <f>+'JUN -23'!F97</f>
        <v>4.7160000000000188</v>
      </c>
      <c r="E5" s="24">
        <f>+'JUN -23'!G97</f>
        <v>-5.5079999999999938</v>
      </c>
      <c r="F5" s="30">
        <f t="shared" si="0"/>
        <v>-0.79199999999997495</v>
      </c>
      <c r="G5" s="9">
        <f t="shared" si="1"/>
        <v>-3.1098312288308633E-4</v>
      </c>
      <c r="H5" s="25"/>
      <c r="I5" s="26"/>
      <c r="J5" s="27">
        <f t="shared" ref="J5:J16" si="6">C5-I5</f>
        <v>2546.7620000000006</v>
      </c>
      <c r="K5" s="27">
        <f t="shared" ref="K5:K11" si="7">+J5+I5</f>
        <v>2546.7620000000006</v>
      </c>
    </row>
    <row r="6" spans="1:11">
      <c r="A6" s="29">
        <v>45125</v>
      </c>
      <c r="B6" s="24">
        <f>+'JULY -23 '!D94</f>
        <v>2575.0200000000018</v>
      </c>
      <c r="C6" s="24">
        <f>+'JULY -23 '!E94</f>
        <v>2578.6110000000008</v>
      </c>
      <c r="D6" s="24">
        <f>+'JULY -23 '!F94</f>
        <v>5.856999999999978</v>
      </c>
      <c r="E6" s="24">
        <f>+'JULY -23 '!G94</f>
        <v>-9.4479999999999915</v>
      </c>
      <c r="F6" s="30">
        <f t="shared" si="0"/>
        <v>-3.5910000000000135</v>
      </c>
      <c r="G6" s="9">
        <f t="shared" si="1"/>
        <v>-1.392610207588509E-3</v>
      </c>
      <c r="H6" s="25"/>
      <c r="I6" s="26"/>
      <c r="J6" s="27">
        <f t="shared" si="6"/>
        <v>2578.6110000000008</v>
      </c>
      <c r="K6" s="27">
        <f t="shared" si="7"/>
        <v>2578.6110000000008</v>
      </c>
    </row>
    <row r="7" spans="1:11">
      <c r="A7" s="29">
        <v>45156</v>
      </c>
      <c r="B7" s="24">
        <f>+'AUG -23  '!D132</f>
        <v>3794.3370000000018</v>
      </c>
      <c r="C7" s="24">
        <f>+'AUG -23  '!E132</f>
        <v>3801.5749999999998</v>
      </c>
      <c r="D7" s="24">
        <f>+'AUG -23  '!F132</f>
        <v>7.6199999999999806</v>
      </c>
      <c r="E7" s="24">
        <f>+'AUG -23  '!G132</f>
        <v>-14.858000000000022</v>
      </c>
      <c r="F7" s="30">
        <f t="shared" si="0"/>
        <v>-7.2380000000000413</v>
      </c>
      <c r="G7" s="9">
        <f t="shared" si="1"/>
        <v>-1.9039477058850718E-3</v>
      </c>
      <c r="H7" s="25"/>
      <c r="I7" s="26"/>
      <c r="J7" s="27">
        <f t="shared" si="6"/>
        <v>3801.5749999999998</v>
      </c>
      <c r="K7" s="27">
        <f t="shared" si="7"/>
        <v>3801.5749999999998</v>
      </c>
    </row>
    <row r="8" spans="1:11">
      <c r="A8" s="29">
        <v>45187</v>
      </c>
      <c r="B8" s="24">
        <f>+'SEP -23'!D109</f>
        <v>2948.8700000000008</v>
      </c>
      <c r="C8" s="24">
        <f>+'SEP -23'!E109</f>
        <v>2935.7520000000013</v>
      </c>
      <c r="D8" s="24">
        <f>+'SEP -23'!F109</f>
        <v>15.553000000000004</v>
      </c>
      <c r="E8" s="24">
        <f>+'SEP -23'!G109</f>
        <v>-2.4350000000000289</v>
      </c>
      <c r="F8" s="30">
        <f>SUM(D8:E8)</f>
        <v>13.117999999999975</v>
      </c>
      <c r="G8" s="9">
        <f t="shared" si="1"/>
        <v>4.4683610877212961E-3</v>
      </c>
      <c r="H8" s="25"/>
      <c r="I8" s="26"/>
      <c r="J8" s="27">
        <f t="shared" si="6"/>
        <v>2935.7520000000013</v>
      </c>
      <c r="K8" s="27">
        <f t="shared" si="7"/>
        <v>2935.7520000000013</v>
      </c>
    </row>
    <row r="9" spans="1:11">
      <c r="A9" s="29">
        <v>45217</v>
      </c>
      <c r="B9" s="24">
        <f>+'OCT -23 '!D111</f>
        <v>3372.0770000000025</v>
      </c>
      <c r="C9" s="24">
        <f>+'OCT -23 '!E111</f>
        <v>3365.7400000000002</v>
      </c>
      <c r="D9" s="24">
        <f>+'OCT -23 '!F111</f>
        <v>13.319999999999972</v>
      </c>
      <c r="E9" s="24">
        <f>+'OCT -23 '!G111</f>
        <v>-6.9830000000000041</v>
      </c>
      <c r="F9" s="30">
        <f>SUM(D9:E9)</f>
        <v>6.3369999999999678</v>
      </c>
      <c r="G9" s="9">
        <f t="shared" si="1"/>
        <v>1.8827954625134345E-3</v>
      </c>
      <c r="H9" s="25"/>
      <c r="I9" s="26"/>
      <c r="J9" s="27">
        <f t="shared" si="6"/>
        <v>3365.7400000000002</v>
      </c>
      <c r="K9" s="27">
        <f t="shared" si="7"/>
        <v>3365.7400000000002</v>
      </c>
    </row>
    <row r="10" spans="1:11">
      <c r="A10" s="29">
        <v>45248</v>
      </c>
      <c r="B10" s="24">
        <f>+'NOV -23  '!D128</f>
        <v>3765.076</v>
      </c>
      <c r="C10" s="24">
        <f>+'NOV -23  '!E128</f>
        <v>3768.7760050000011</v>
      </c>
      <c r="D10" s="24">
        <f>+'NOV -23  '!F128</f>
        <v>5.937285000000017</v>
      </c>
      <c r="E10" s="24">
        <f>+'NOV -23  '!G128</f>
        <v>-9.6372900000000321</v>
      </c>
      <c r="F10" s="30">
        <f>SUM(D10:E10)</f>
        <v>-3.7000050000000151</v>
      </c>
      <c r="G10" s="9">
        <f t="shared" ref="G10" si="8">F10/C10</f>
        <v>-9.8175242972552666E-4</v>
      </c>
      <c r="H10" s="25"/>
      <c r="I10" s="26"/>
      <c r="J10" s="27">
        <f t="shared" si="6"/>
        <v>3768.7760050000011</v>
      </c>
      <c r="K10" s="27">
        <f t="shared" si="7"/>
        <v>3768.7760050000011</v>
      </c>
    </row>
    <row r="11" spans="1:11">
      <c r="A11" s="29">
        <v>45278</v>
      </c>
      <c r="B11" s="24">
        <f>+'DEC -23'!D146</f>
        <v>4478.9400000000014</v>
      </c>
      <c r="C11" s="24">
        <f>+'DEC -23'!E146</f>
        <v>4497.1433614999978</v>
      </c>
      <c r="D11" s="24">
        <f>+'DEC -23'!F146</f>
        <v>6.1620399999999904</v>
      </c>
      <c r="E11" s="24">
        <f>+'DEC -23'!G146</f>
        <v>-24.365401500000015</v>
      </c>
      <c r="F11" s="24">
        <f>+'DEC -23'!H146</f>
        <v>-18.203361500000025</v>
      </c>
      <c r="G11" s="9">
        <f>F11/C11</f>
        <v>-4.0477609977566716E-3</v>
      </c>
      <c r="H11" s="25"/>
      <c r="I11" s="26"/>
      <c r="J11" s="27">
        <f t="shared" si="6"/>
        <v>4497.1433614999978</v>
      </c>
      <c r="K11" s="27">
        <f t="shared" si="7"/>
        <v>4497.1433614999978</v>
      </c>
    </row>
    <row r="12" spans="1:11">
      <c r="A12" s="29">
        <v>45310</v>
      </c>
      <c r="B12" s="24">
        <f>+'JAN -24 '!D147</f>
        <v>2047.1799999999994</v>
      </c>
      <c r="C12" s="24">
        <f>+'JAN -24 '!E147</f>
        <v>2053.2419999999997</v>
      </c>
      <c r="D12" s="24">
        <f>+'JAN -24 '!F147</f>
        <v>2.9289999999999807</v>
      </c>
      <c r="E12" s="24">
        <f>+'JAN -24 '!G147</f>
        <v>-8.9909999999999997</v>
      </c>
      <c r="F12" s="24">
        <f>+'JAN -24 '!H147</f>
        <v>-6.0620000000000189</v>
      </c>
      <c r="G12" s="9">
        <f t="shared" ref="G12:G15" si="9">F12/C12</f>
        <v>-2.9524040517386746E-3</v>
      </c>
      <c r="H12" s="25"/>
      <c r="I12" s="26"/>
      <c r="J12" s="27">
        <f t="shared" si="6"/>
        <v>2053.2419999999997</v>
      </c>
      <c r="K12" s="27">
        <f>+J12+I12</f>
        <v>2053.2419999999997</v>
      </c>
    </row>
    <row r="13" spans="1:11">
      <c r="A13" s="29">
        <v>45342</v>
      </c>
      <c r="B13" s="24"/>
      <c r="C13" s="24"/>
      <c r="D13" s="24"/>
      <c r="E13" s="24"/>
      <c r="F13" s="24"/>
      <c r="G13" s="9" t="e">
        <f>F13/C13</f>
        <v>#DIV/0!</v>
      </c>
      <c r="H13" s="25"/>
      <c r="I13" s="26"/>
      <c r="J13" s="27">
        <f t="shared" si="6"/>
        <v>0</v>
      </c>
      <c r="K13" s="27">
        <f t="shared" ref="K13:K16" si="10">+J13+I13</f>
        <v>0</v>
      </c>
    </row>
    <row r="14" spans="1:11">
      <c r="A14" s="29">
        <v>45371</v>
      </c>
      <c r="B14" s="24"/>
      <c r="C14" s="24"/>
      <c r="D14" s="24"/>
      <c r="E14" s="24"/>
      <c r="F14" s="24"/>
      <c r="G14" s="9" t="e">
        <f t="shared" si="9"/>
        <v>#DIV/0!</v>
      </c>
      <c r="H14" s="25"/>
      <c r="I14" s="26"/>
      <c r="J14" s="27">
        <f t="shared" si="6"/>
        <v>0</v>
      </c>
      <c r="K14" s="27">
        <f t="shared" si="10"/>
        <v>0</v>
      </c>
    </row>
    <row r="15" spans="1:11">
      <c r="A15" s="29"/>
      <c r="B15" s="24"/>
      <c r="C15" s="24"/>
      <c r="D15" s="24"/>
      <c r="E15" s="24"/>
      <c r="F15" s="24"/>
      <c r="G15" s="9" t="e">
        <f t="shared" si="9"/>
        <v>#DIV/0!</v>
      </c>
      <c r="H15" s="25"/>
      <c r="I15" s="26"/>
      <c r="J15" s="27">
        <f t="shared" si="6"/>
        <v>0</v>
      </c>
      <c r="K15" s="27">
        <f t="shared" si="10"/>
        <v>0</v>
      </c>
    </row>
    <row r="16" spans="1:11">
      <c r="A16" s="29"/>
      <c r="B16" s="24"/>
      <c r="C16" s="24"/>
      <c r="D16" s="24"/>
      <c r="E16" s="24"/>
      <c r="F16" s="24"/>
      <c r="G16" s="9"/>
      <c r="H16" s="25"/>
      <c r="I16" s="26"/>
      <c r="J16" s="27">
        <f t="shared" si="6"/>
        <v>0</v>
      </c>
      <c r="K16" s="27">
        <f t="shared" si="10"/>
        <v>0</v>
      </c>
    </row>
    <row r="17" spans="1:11" ht="15.75" customHeight="1">
      <c r="A17" s="29"/>
      <c r="B17" s="24"/>
      <c r="C17" s="24"/>
      <c r="D17" s="24"/>
      <c r="E17" s="24"/>
      <c r="F17" s="24"/>
      <c r="G17" s="9"/>
      <c r="H17" s="25"/>
      <c r="I17" s="26"/>
      <c r="J17" s="27"/>
      <c r="K17" s="27"/>
    </row>
    <row r="18" spans="1:11">
      <c r="A18" s="31"/>
      <c r="B18" s="10">
        <f>SUM(B3:B16)</f>
        <v>28337.556000000011</v>
      </c>
      <c r="C18" s="10">
        <f>SUM(C3:C16)</f>
        <v>28365.420366499999</v>
      </c>
      <c r="D18" s="10">
        <f>SUM(D3:D16)</f>
        <v>66.025324999999953</v>
      </c>
      <c r="E18" s="10">
        <f>SUM(E3:E16)</f>
        <v>-93.889691500000083</v>
      </c>
      <c r="F18" s="10">
        <f>SUM(F3:F16)</f>
        <v>-27.864366500000123</v>
      </c>
      <c r="G18" s="9">
        <f>F18/C18</f>
        <v>-9.8233575035991264E-4</v>
      </c>
      <c r="H18" s="32"/>
      <c r="I18" s="33">
        <f>SUM(I3:I16)</f>
        <v>0</v>
      </c>
      <c r="J18" s="33">
        <f>SUM(J3:J16)</f>
        <v>28365.420366499999</v>
      </c>
      <c r="K18" s="33">
        <f>SUM(K3:K16)</f>
        <v>28365.420366499999</v>
      </c>
    </row>
    <row r="19" spans="1:11">
      <c r="A19" s="31"/>
      <c r="B19" s="34"/>
      <c r="C19" s="34"/>
      <c r="D19" s="34"/>
      <c r="E19" s="34"/>
      <c r="F19" s="34"/>
      <c r="G19" s="35"/>
      <c r="H19" s="36"/>
      <c r="I19" s="26"/>
      <c r="J19" s="26"/>
      <c r="K19" s="26"/>
    </row>
  </sheetData>
  <mergeCells count="1">
    <mergeCell ref="I1:K1"/>
  </mergeCells>
  <pageMargins left="0.31" right="0.2" top="0.75" bottom="0.75" header="0.3" footer="0.3"/>
  <pageSetup paperSize="9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B1:J76"/>
  <sheetViews>
    <sheetView zoomScaleSheetLayoutView="100" workbookViewId="0">
      <pane ySplit="4" topLeftCell="A65" activePane="bottomLeft" state="frozen"/>
      <selection pane="bottomLeft" activeCell="B4" sqref="B4:H22"/>
    </sheetView>
  </sheetViews>
  <sheetFormatPr defaultRowHeight="15"/>
  <cols>
    <col min="2" max="2" width="12" customWidth="1"/>
    <col min="3" max="3" width="12.28515625" customWidth="1"/>
    <col min="4" max="4" width="15" customWidth="1"/>
    <col min="5" max="5" width="15.5703125" customWidth="1"/>
    <col min="6" max="6" width="11" customWidth="1"/>
    <col min="7" max="7" width="11.28515625" customWidth="1"/>
    <col min="8" max="8" width="18.28515625" customWidth="1"/>
    <col min="9" max="9" width="35.42578125" bestFit="1" customWidth="1"/>
    <col min="10" max="11" width="12.28515625" bestFit="1" customWidth="1"/>
    <col min="13" max="13" width="15.28515625" bestFit="1" customWidth="1"/>
    <col min="14" max="14" width="9.42578125" bestFit="1" customWidth="1"/>
    <col min="17" max="17" width="12.85546875" bestFit="1" customWidth="1"/>
  </cols>
  <sheetData>
    <row r="1" spans="2:10" ht="15.75" thickBot="1"/>
    <row r="2" spans="2:10" ht="20.25" thickBot="1">
      <c r="B2" s="55" t="s">
        <v>128</v>
      </c>
      <c r="C2" s="56"/>
      <c r="D2" s="56"/>
      <c r="E2" s="56"/>
      <c r="F2" s="56"/>
      <c r="G2" s="56"/>
      <c r="H2" s="56"/>
      <c r="I2" s="57"/>
    </row>
    <row r="4" spans="2:10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4" t="s">
        <v>10</v>
      </c>
      <c r="J4" s="5" t="s">
        <v>7</v>
      </c>
    </row>
    <row r="5" spans="2:10" ht="15.75">
      <c r="B5" s="4" t="s">
        <v>49</v>
      </c>
      <c r="C5" s="4" t="s">
        <v>8</v>
      </c>
      <c r="D5" s="2">
        <v>24.27</v>
      </c>
      <c r="E5" s="2">
        <v>24.507000000000001</v>
      </c>
      <c r="F5" s="2">
        <f t="shared" ref="F5:F13" si="0">IF(D5-E5&lt;=0,0,D5-E5)</f>
        <v>0</v>
      </c>
      <c r="G5" s="2">
        <f t="shared" ref="G5:G13" si="1">IF(D5-E5&gt;=0,0,D5-E5)</f>
        <v>-0.23700000000000188</v>
      </c>
      <c r="H5" s="3" t="s">
        <v>40</v>
      </c>
      <c r="I5" s="4" t="s">
        <v>29</v>
      </c>
      <c r="J5" s="12">
        <f>G5/E5</f>
        <v>-9.670706328804091E-3</v>
      </c>
    </row>
    <row r="6" spans="2:10" ht="15.75">
      <c r="B6" s="4" t="s">
        <v>49</v>
      </c>
      <c r="C6" s="4" t="s">
        <v>8</v>
      </c>
      <c r="D6" s="2">
        <v>24.96</v>
      </c>
      <c r="E6" s="2">
        <v>25.228999999999999</v>
      </c>
      <c r="F6" s="2">
        <f t="shared" ref="F6:F12" si="2">IF(D6-E6&lt;=0,0,D6-E6)</f>
        <v>0</v>
      </c>
      <c r="G6" s="2">
        <f t="shared" ref="G6:G12" si="3">IF(D6-E6&gt;=0,0,D6-E6)</f>
        <v>-0.26899999999999835</v>
      </c>
      <c r="H6" s="3" t="s">
        <v>46</v>
      </c>
      <c r="I6" s="4" t="s">
        <v>56</v>
      </c>
      <c r="J6" s="12">
        <f>G6/E6</f>
        <v>-1.0662333029450171E-2</v>
      </c>
    </row>
    <row r="7" spans="2:10" ht="15.75">
      <c r="B7" s="4" t="s">
        <v>49</v>
      </c>
      <c r="C7" s="4" t="s">
        <v>8</v>
      </c>
      <c r="D7" s="2">
        <v>24.21</v>
      </c>
      <c r="E7" s="2">
        <v>24.437000000000001</v>
      </c>
      <c r="F7" s="2">
        <f t="shared" si="2"/>
        <v>0</v>
      </c>
      <c r="G7" s="2">
        <f t="shared" si="3"/>
        <v>-0.22700000000000031</v>
      </c>
      <c r="H7" s="3" t="s">
        <v>52</v>
      </c>
      <c r="I7" s="4" t="s">
        <v>57</v>
      </c>
      <c r="J7" s="12">
        <f>G7/E7</f>
        <v>-9.289192617751782E-3</v>
      </c>
    </row>
    <row r="8" spans="2:10" ht="15.75">
      <c r="B8" s="4" t="s">
        <v>50</v>
      </c>
      <c r="C8" s="4" t="s">
        <v>8</v>
      </c>
      <c r="D8" s="2">
        <v>24.58</v>
      </c>
      <c r="E8" s="2">
        <v>24.488</v>
      </c>
      <c r="F8" s="2">
        <f t="shared" si="2"/>
        <v>9.1999999999998749E-2</v>
      </c>
      <c r="G8" s="2">
        <f t="shared" si="3"/>
        <v>0</v>
      </c>
      <c r="H8" s="3" t="s">
        <v>39</v>
      </c>
      <c r="I8" s="4" t="s">
        <v>43</v>
      </c>
      <c r="J8" s="12">
        <f>F8/E8</f>
        <v>3.7569421757595047E-3</v>
      </c>
    </row>
    <row r="9" spans="2:10" ht="15.75">
      <c r="B9" s="4" t="s">
        <v>50</v>
      </c>
      <c r="C9" s="4" t="s">
        <v>8</v>
      </c>
      <c r="D9" s="2">
        <v>24.55</v>
      </c>
      <c r="E9" s="2">
        <v>24.471</v>
      </c>
      <c r="F9" s="2">
        <f t="shared" si="2"/>
        <v>7.9000000000000625E-2</v>
      </c>
      <c r="G9" s="2">
        <f t="shared" si="3"/>
        <v>0</v>
      </c>
      <c r="H9" s="3" t="s">
        <v>53</v>
      </c>
      <c r="I9" s="4" t="s">
        <v>58</v>
      </c>
      <c r="J9" s="12">
        <f>F9/E9</f>
        <v>3.2283110620735002E-3</v>
      </c>
    </row>
    <row r="10" spans="2:10" ht="15.75">
      <c r="B10" s="4" t="s">
        <v>51</v>
      </c>
      <c r="C10" s="4" t="s">
        <v>8</v>
      </c>
      <c r="D10" s="2">
        <v>24.81</v>
      </c>
      <c r="E10" s="2">
        <v>24.876999999999999</v>
      </c>
      <c r="F10" s="2">
        <f>IF(D10-E10&lt;=0,0,D10-E10)</f>
        <v>0</v>
      </c>
      <c r="G10" s="2">
        <f>IF(D10-E10&gt;=0,0,D10-E10)</f>
        <v>-6.7000000000000171E-2</v>
      </c>
      <c r="H10" s="3" t="s">
        <v>40</v>
      </c>
      <c r="I10" s="4" t="s">
        <v>30</v>
      </c>
      <c r="J10" s="12">
        <f>G10/E10</f>
        <v>-2.6932507939060246E-3</v>
      </c>
    </row>
    <row r="11" spans="2:10" ht="15.75">
      <c r="B11" s="4" t="s">
        <v>51</v>
      </c>
      <c r="C11" s="4" t="s">
        <v>8</v>
      </c>
      <c r="D11" s="2">
        <v>24.95</v>
      </c>
      <c r="E11" s="2">
        <v>24.968</v>
      </c>
      <c r="F11" s="2">
        <f t="shared" si="2"/>
        <v>0</v>
      </c>
      <c r="G11" s="2">
        <f t="shared" si="3"/>
        <v>-1.8000000000000682E-2</v>
      </c>
      <c r="H11" s="3" t="s">
        <v>41</v>
      </c>
      <c r="I11" s="4" t="s">
        <v>30</v>
      </c>
      <c r="J11" s="12">
        <f>G11/E11</f>
        <v>-7.2092278115991196E-4</v>
      </c>
    </row>
    <row r="12" spans="2:10" ht="15.75">
      <c r="B12" s="4" t="s">
        <v>51</v>
      </c>
      <c r="C12" s="4" t="s">
        <v>8</v>
      </c>
      <c r="D12" s="2">
        <v>24.42</v>
      </c>
      <c r="E12" s="2">
        <v>24.567</v>
      </c>
      <c r="F12" s="2">
        <f t="shared" si="2"/>
        <v>0</v>
      </c>
      <c r="G12" s="2">
        <f t="shared" si="3"/>
        <v>-0.14699999999999847</v>
      </c>
      <c r="H12" s="3" t="s">
        <v>44</v>
      </c>
      <c r="I12" s="4" t="s">
        <v>29</v>
      </c>
      <c r="J12" s="12">
        <f>G12/E12</f>
        <v>-5.9836365856636327E-3</v>
      </c>
    </row>
    <row r="13" spans="2:10" ht="15.75">
      <c r="B13" s="4" t="s">
        <v>51</v>
      </c>
      <c r="C13" s="4" t="s">
        <v>8</v>
      </c>
      <c r="D13" s="2">
        <v>24.59</v>
      </c>
      <c r="E13" s="2">
        <v>24.858000000000001</v>
      </c>
      <c r="F13" s="2">
        <f t="shared" si="0"/>
        <v>0</v>
      </c>
      <c r="G13" s="2">
        <f t="shared" si="1"/>
        <v>-0.26800000000000068</v>
      </c>
      <c r="H13" s="3" t="s">
        <v>45</v>
      </c>
      <c r="I13" s="4" t="s">
        <v>59</v>
      </c>
      <c r="J13" s="12">
        <f>G13/E13</f>
        <v>-1.0781237428594444E-2</v>
      </c>
    </row>
    <row r="14" spans="2:10" ht="15.75">
      <c r="B14" s="4" t="s">
        <v>51</v>
      </c>
      <c r="C14" s="4" t="s">
        <v>8</v>
      </c>
      <c r="D14" s="2">
        <v>24.39</v>
      </c>
      <c r="E14" s="2">
        <v>24.757999999999999</v>
      </c>
      <c r="F14" s="2">
        <f t="shared" ref="F14:F15" si="4">IF(D14-E14&lt;=0,0,D14-E14)</f>
        <v>0</v>
      </c>
      <c r="G14" s="2">
        <f t="shared" ref="G14:G15" si="5">IF(D14-E14&gt;=0,0,D14-E14)</f>
        <v>-0.36799999999999855</v>
      </c>
      <c r="H14" s="3" t="s">
        <v>46</v>
      </c>
      <c r="I14" s="4" t="s">
        <v>29</v>
      </c>
      <c r="J14" s="12">
        <f>G14/E14</f>
        <v>-1.4863882381452401E-2</v>
      </c>
    </row>
    <row r="15" spans="2:10" ht="15.75">
      <c r="B15" s="4" t="s">
        <v>54</v>
      </c>
      <c r="C15" s="4" t="s">
        <v>8</v>
      </c>
      <c r="D15" s="2">
        <v>24.5</v>
      </c>
      <c r="E15" s="2">
        <v>24.488</v>
      </c>
      <c r="F15" s="2">
        <f t="shared" si="4"/>
        <v>1.2000000000000455E-2</v>
      </c>
      <c r="G15" s="2">
        <f t="shared" si="5"/>
        <v>0</v>
      </c>
      <c r="H15" s="3" t="s">
        <v>60</v>
      </c>
      <c r="I15" s="4" t="s">
        <v>30</v>
      </c>
      <c r="J15" s="12">
        <f>F15/E15</f>
        <v>4.9003593596865631E-4</v>
      </c>
    </row>
    <row r="16" spans="2:10" ht="15.75">
      <c r="B16" s="4" t="s">
        <v>54</v>
      </c>
      <c r="C16" s="4" t="s">
        <v>8</v>
      </c>
      <c r="D16" s="2">
        <v>24.46</v>
      </c>
      <c r="E16" s="2">
        <v>24.62</v>
      </c>
      <c r="F16" s="2">
        <f t="shared" ref="F16:F18" si="6">IF(D16-E16&lt;=0,0,D16-E16)</f>
        <v>0</v>
      </c>
      <c r="G16" s="2">
        <f t="shared" ref="G16:G18" si="7">IF(D16-E16&gt;=0,0,D16-E16)</f>
        <v>-0.16000000000000014</v>
      </c>
      <c r="H16" s="3" t="s">
        <v>32</v>
      </c>
      <c r="I16" s="4" t="s">
        <v>33</v>
      </c>
      <c r="J16" s="12">
        <f>G16/E16</f>
        <v>-6.4987814784727921E-3</v>
      </c>
    </row>
    <row r="17" spans="2:10" ht="15.75">
      <c r="B17" s="4" t="s">
        <v>54</v>
      </c>
      <c r="C17" s="4" t="s">
        <v>8</v>
      </c>
      <c r="D17" s="2">
        <v>24.47</v>
      </c>
      <c r="E17" s="2">
        <v>24.51</v>
      </c>
      <c r="F17" s="2">
        <f t="shared" si="6"/>
        <v>0</v>
      </c>
      <c r="G17" s="2">
        <f t="shared" si="7"/>
        <v>-4.00000000000027E-2</v>
      </c>
      <c r="H17" s="3" t="s">
        <v>61</v>
      </c>
      <c r="I17" s="4" t="s">
        <v>56</v>
      </c>
      <c r="J17" s="12">
        <f>G17/E17</f>
        <v>-1.6319869441045573E-3</v>
      </c>
    </row>
    <row r="18" spans="2:10" ht="15.75">
      <c r="B18" s="4" t="s">
        <v>54</v>
      </c>
      <c r="C18" s="4" t="s">
        <v>8</v>
      </c>
      <c r="D18" s="2">
        <v>24.5</v>
      </c>
      <c r="E18" s="2">
        <v>24.398</v>
      </c>
      <c r="F18" s="2">
        <f t="shared" si="6"/>
        <v>0.10200000000000031</v>
      </c>
      <c r="G18" s="2">
        <f t="shared" si="7"/>
        <v>0</v>
      </c>
      <c r="H18" s="3" t="s">
        <v>46</v>
      </c>
      <c r="I18" s="4" t="s">
        <v>34</v>
      </c>
      <c r="J18" s="12">
        <f>F18/E18</f>
        <v>4.1806705467661411E-3</v>
      </c>
    </row>
    <row r="19" spans="2:10" ht="15.75">
      <c r="B19" s="4" t="s">
        <v>55</v>
      </c>
      <c r="C19" s="4" t="s">
        <v>8</v>
      </c>
      <c r="D19" s="2">
        <v>25.12</v>
      </c>
      <c r="E19" s="2">
        <v>25.29</v>
      </c>
      <c r="F19" s="2">
        <f t="shared" ref="F19:F26" si="8">IF(D19-E19&lt;=0,0,D19-E19)</f>
        <v>0</v>
      </c>
      <c r="G19" s="2">
        <f t="shared" ref="G19:G26" si="9">IF(D19-E19&gt;=0,0,D19-E19)</f>
        <v>-0.16999999999999815</v>
      </c>
      <c r="H19" s="3" t="s">
        <v>39</v>
      </c>
      <c r="I19" s="4" t="s">
        <v>33</v>
      </c>
      <c r="J19" s="12">
        <f t="shared" ref="J19:J26" si="10">G19/E19</f>
        <v>-6.7220245156187491E-3</v>
      </c>
    </row>
    <row r="20" spans="2:10" ht="15.75">
      <c r="B20" s="4" t="s">
        <v>55</v>
      </c>
      <c r="C20" s="4" t="s">
        <v>8</v>
      </c>
      <c r="D20" s="2">
        <v>24.63</v>
      </c>
      <c r="E20" s="2">
        <v>24.696000000000002</v>
      </c>
      <c r="F20" s="2">
        <f t="shared" si="8"/>
        <v>0</v>
      </c>
      <c r="G20" s="2">
        <f t="shared" si="9"/>
        <v>-6.6000000000002501E-2</v>
      </c>
      <c r="H20" s="3" t="s">
        <v>62</v>
      </c>
      <c r="I20" s="4" t="s">
        <v>64</v>
      </c>
      <c r="J20" s="12">
        <f t="shared" si="10"/>
        <v>-2.6724975704568552E-3</v>
      </c>
    </row>
    <row r="21" spans="2:10" ht="15.75">
      <c r="B21" s="4" t="s">
        <v>55</v>
      </c>
      <c r="C21" s="4" t="s">
        <v>8</v>
      </c>
      <c r="D21" s="2">
        <v>25.08</v>
      </c>
      <c r="E21" s="2">
        <v>25.35</v>
      </c>
      <c r="F21" s="2">
        <f t="shared" si="8"/>
        <v>0</v>
      </c>
      <c r="G21" s="2">
        <f t="shared" si="9"/>
        <v>-0.27000000000000313</v>
      </c>
      <c r="H21" s="3" t="s">
        <v>63</v>
      </c>
      <c r="I21" s="4" t="s">
        <v>65</v>
      </c>
      <c r="J21" s="12">
        <f t="shared" si="10"/>
        <v>-1.065088757396462E-2</v>
      </c>
    </row>
    <row r="22" spans="2:10" ht="15.75">
      <c r="B22" s="4" t="s">
        <v>55</v>
      </c>
      <c r="C22" s="4" t="s">
        <v>8</v>
      </c>
      <c r="D22" s="2">
        <v>24.16</v>
      </c>
      <c r="E22" s="2">
        <v>24.308</v>
      </c>
      <c r="F22" s="2">
        <f t="shared" si="8"/>
        <v>0</v>
      </c>
      <c r="G22" s="2">
        <f t="shared" si="9"/>
        <v>-0.14799999999999969</v>
      </c>
      <c r="H22" s="3" t="s">
        <v>68</v>
      </c>
      <c r="I22" s="4" t="s">
        <v>35</v>
      </c>
      <c r="J22" s="12">
        <f t="shared" si="10"/>
        <v>-6.0885305249300517E-3</v>
      </c>
    </row>
    <row r="23" spans="2:10" ht="15.75">
      <c r="B23" s="4" t="s">
        <v>55</v>
      </c>
      <c r="C23" s="4" t="s">
        <v>8</v>
      </c>
      <c r="D23" s="2">
        <v>31.26</v>
      </c>
      <c r="E23" s="2">
        <v>31.300999999999998</v>
      </c>
      <c r="F23" s="2">
        <f t="shared" si="8"/>
        <v>0</v>
      </c>
      <c r="G23" s="2">
        <f t="shared" si="9"/>
        <v>-4.0999999999996817E-2</v>
      </c>
      <c r="H23" s="3" t="s">
        <v>12</v>
      </c>
      <c r="I23" s="4" t="s">
        <v>70</v>
      </c>
      <c r="J23" s="12">
        <f t="shared" si="10"/>
        <v>-1.3098623047185975E-3</v>
      </c>
    </row>
    <row r="24" spans="2:10" ht="15.75">
      <c r="B24" s="4" t="s">
        <v>66</v>
      </c>
      <c r="C24" s="4" t="s">
        <v>8</v>
      </c>
      <c r="D24" s="2">
        <v>31.82</v>
      </c>
      <c r="E24" s="2">
        <v>31.919</v>
      </c>
      <c r="F24" s="2">
        <f t="shared" si="8"/>
        <v>0</v>
      </c>
      <c r="G24" s="2">
        <f t="shared" si="9"/>
        <v>-9.9000000000000199E-2</v>
      </c>
      <c r="H24" s="3" t="s">
        <v>23</v>
      </c>
      <c r="I24" s="4" t="s">
        <v>71</v>
      </c>
      <c r="J24" s="12">
        <f t="shared" si="10"/>
        <v>-3.1016009273473542E-3</v>
      </c>
    </row>
    <row r="25" spans="2:10" ht="15.75">
      <c r="B25" s="4" t="s">
        <v>66</v>
      </c>
      <c r="C25" s="4" t="s">
        <v>8</v>
      </c>
      <c r="D25" s="2">
        <v>24.49</v>
      </c>
      <c r="E25" s="2">
        <v>25.071999999999999</v>
      </c>
      <c r="F25" s="2">
        <f t="shared" si="8"/>
        <v>0</v>
      </c>
      <c r="G25" s="2">
        <f t="shared" si="9"/>
        <v>-0.58200000000000074</v>
      </c>
      <c r="H25" s="3" t="s">
        <v>42</v>
      </c>
      <c r="I25" s="4" t="s">
        <v>72</v>
      </c>
      <c r="J25" s="12">
        <f t="shared" si="10"/>
        <v>-2.3213146139119366E-2</v>
      </c>
    </row>
    <row r="26" spans="2:10" ht="15.75">
      <c r="B26" s="4" t="s">
        <v>66</v>
      </c>
      <c r="C26" s="4" t="s">
        <v>8</v>
      </c>
      <c r="D26" s="2">
        <v>31.26</v>
      </c>
      <c r="E26" s="2">
        <v>31.497</v>
      </c>
      <c r="F26" s="2">
        <f t="shared" si="8"/>
        <v>0</v>
      </c>
      <c r="G26" s="2">
        <f t="shared" si="9"/>
        <v>-0.23699999999999832</v>
      </c>
      <c r="H26" s="3" t="s">
        <v>11</v>
      </c>
      <c r="I26" s="4" t="s">
        <v>26</v>
      </c>
      <c r="J26" s="12">
        <f t="shared" si="10"/>
        <v>-7.5245261453471225E-3</v>
      </c>
    </row>
    <row r="27" spans="2:10" ht="15.75">
      <c r="B27" s="4" t="s">
        <v>67</v>
      </c>
      <c r="C27" s="4" t="s">
        <v>8</v>
      </c>
      <c r="D27" s="2">
        <v>25.21</v>
      </c>
      <c r="E27" s="2">
        <v>24.978999999999999</v>
      </c>
      <c r="F27" s="2">
        <f t="shared" ref="F27:F28" si="11">IF(D27-E27&lt;=0,0,D27-E27)</f>
        <v>0.23100000000000165</v>
      </c>
      <c r="G27" s="2">
        <f t="shared" ref="G27" si="12">IF(D27-E27&gt;=0,0,D27-E27)</f>
        <v>0</v>
      </c>
      <c r="H27" s="3" t="s">
        <v>69</v>
      </c>
      <c r="I27" s="4" t="s">
        <v>73</v>
      </c>
      <c r="J27" s="12">
        <f>F27/E27</f>
        <v>9.2477681252252555E-3</v>
      </c>
    </row>
    <row r="28" spans="2:10" ht="15.75">
      <c r="B28" s="4" t="s">
        <v>67</v>
      </c>
      <c r="C28" s="4" t="s">
        <v>8</v>
      </c>
      <c r="D28" s="2">
        <v>31.91</v>
      </c>
      <c r="E28" s="2">
        <v>31.931000000000001</v>
      </c>
      <c r="F28" s="2">
        <f t="shared" si="11"/>
        <v>0</v>
      </c>
      <c r="G28" s="2">
        <f>IF(D28-E28&gt;=0,0,D28-E28)</f>
        <v>-2.1000000000000796E-2</v>
      </c>
      <c r="H28" s="3" t="s">
        <v>13</v>
      </c>
      <c r="I28" s="4" t="s">
        <v>76</v>
      </c>
      <c r="J28" s="12">
        <f>G28/E28</f>
        <v>-6.5766809683382279E-4</v>
      </c>
    </row>
    <row r="29" spans="2:10" ht="15.75">
      <c r="B29" s="4" t="s">
        <v>67</v>
      </c>
      <c r="C29" s="4" t="s">
        <v>8</v>
      </c>
      <c r="D29" s="2">
        <v>30.88</v>
      </c>
      <c r="E29" s="2">
        <v>31.021000000000001</v>
      </c>
      <c r="F29" s="2">
        <f t="shared" ref="F29:F75" si="13">IF(D29-E29&lt;=0,0,D29-E29)</f>
        <v>0</v>
      </c>
      <c r="G29" s="2">
        <f t="shared" ref="G29:G75" si="14">IF(D29-E29&gt;=0,0,D29-E29)</f>
        <v>-0.14100000000000179</v>
      </c>
      <c r="H29" s="3" t="s">
        <v>24</v>
      </c>
      <c r="I29" s="4" t="s">
        <v>26</v>
      </c>
      <c r="J29" s="12">
        <f>G29/E29</f>
        <v>-4.5453080171497301E-3</v>
      </c>
    </row>
    <row r="30" spans="2:10" ht="15.75">
      <c r="B30" s="4" t="s">
        <v>67</v>
      </c>
      <c r="C30" s="4" t="s">
        <v>8</v>
      </c>
      <c r="D30" s="2">
        <v>24.69</v>
      </c>
      <c r="E30" s="2">
        <v>24.943000000000001</v>
      </c>
      <c r="F30" s="2">
        <f t="shared" si="13"/>
        <v>0</v>
      </c>
      <c r="G30" s="2">
        <f t="shared" si="14"/>
        <v>-0.25300000000000011</v>
      </c>
      <c r="H30" s="3" t="s">
        <v>75</v>
      </c>
      <c r="I30" s="4" t="s">
        <v>77</v>
      </c>
      <c r="J30" s="12">
        <f>G30/E30</f>
        <v>-1.0143126328027907E-2</v>
      </c>
    </row>
    <row r="31" spans="2:10" ht="15.75">
      <c r="B31" s="4" t="s">
        <v>74</v>
      </c>
      <c r="C31" s="4" t="s">
        <v>8</v>
      </c>
      <c r="D31" s="2">
        <v>32.58</v>
      </c>
      <c r="E31" s="2">
        <v>32.520000000000003</v>
      </c>
      <c r="F31" s="2">
        <f t="shared" si="13"/>
        <v>5.9999999999995168E-2</v>
      </c>
      <c r="G31" s="2">
        <f t="shared" si="14"/>
        <v>0</v>
      </c>
      <c r="H31" s="3" t="s">
        <v>24</v>
      </c>
      <c r="I31" s="4" t="s">
        <v>78</v>
      </c>
      <c r="J31" s="12">
        <f>F31/E31</f>
        <v>1.845018450184353E-3</v>
      </c>
    </row>
    <row r="32" spans="2:10" ht="15.75">
      <c r="B32" s="4" t="s">
        <v>74</v>
      </c>
      <c r="C32" s="4" t="s">
        <v>8</v>
      </c>
      <c r="D32" s="2">
        <v>32.54</v>
      </c>
      <c r="E32" s="2">
        <v>32.948999999999998</v>
      </c>
      <c r="F32" s="2">
        <f t="shared" si="13"/>
        <v>0</v>
      </c>
      <c r="G32" s="2">
        <f t="shared" si="14"/>
        <v>-0.40899999999999892</v>
      </c>
      <c r="H32" s="3" t="s">
        <v>16</v>
      </c>
      <c r="I32" s="4" t="s">
        <v>37</v>
      </c>
      <c r="J32" s="12">
        <f t="shared" ref="J32:J37" si="15">G32/E32</f>
        <v>-1.2413123311784848E-2</v>
      </c>
    </row>
    <row r="33" spans="2:10" ht="15.75">
      <c r="B33" s="4" t="s">
        <v>79</v>
      </c>
      <c r="C33" s="4" t="s">
        <v>8</v>
      </c>
      <c r="D33" s="2">
        <f>24.83+0.306</f>
        <v>25.135999999999999</v>
      </c>
      <c r="E33" s="2">
        <v>25.145</v>
      </c>
      <c r="F33" s="2">
        <f t="shared" si="13"/>
        <v>0</v>
      </c>
      <c r="G33" s="2">
        <f t="shared" si="14"/>
        <v>-9.0000000000003411E-3</v>
      </c>
      <c r="H33" s="3" t="s">
        <v>40</v>
      </c>
      <c r="I33" s="4" t="s">
        <v>81</v>
      </c>
      <c r="J33" s="12">
        <f t="shared" si="15"/>
        <v>-3.5792404056473817E-4</v>
      </c>
    </row>
    <row r="34" spans="2:10" ht="15.75">
      <c r="B34" s="4" t="s">
        <v>79</v>
      </c>
      <c r="C34" s="4" t="s">
        <v>8</v>
      </c>
      <c r="D34" s="2">
        <v>32.24</v>
      </c>
      <c r="E34" s="2">
        <v>32.290999999999997</v>
      </c>
      <c r="F34" s="2">
        <f t="shared" si="13"/>
        <v>0</v>
      </c>
      <c r="G34" s="2">
        <f t="shared" si="14"/>
        <v>-5.0999999999994827E-2</v>
      </c>
      <c r="H34" s="3" t="s">
        <v>16</v>
      </c>
      <c r="I34" s="4" t="s">
        <v>82</v>
      </c>
      <c r="J34" s="12">
        <f t="shared" si="15"/>
        <v>-1.5793874454180679E-3</v>
      </c>
    </row>
    <row r="35" spans="2:10" ht="15.75">
      <c r="B35" s="4" t="s">
        <v>80</v>
      </c>
      <c r="C35" s="4" t="s">
        <v>8</v>
      </c>
      <c r="D35" s="2">
        <v>30.75</v>
      </c>
      <c r="E35" s="2">
        <v>31.029</v>
      </c>
      <c r="F35" s="2">
        <f t="shared" si="13"/>
        <v>0</v>
      </c>
      <c r="G35" s="2">
        <f t="shared" si="14"/>
        <v>-0.27899999999999991</v>
      </c>
      <c r="H35" s="3" t="s">
        <v>12</v>
      </c>
      <c r="I35" s="4" t="s">
        <v>83</v>
      </c>
      <c r="J35" s="12">
        <f t="shared" si="15"/>
        <v>-8.9915885139707982E-3</v>
      </c>
    </row>
    <row r="36" spans="2:10" ht="15.75">
      <c r="B36" s="4" t="s">
        <v>80</v>
      </c>
      <c r="C36" s="4" t="s">
        <v>8</v>
      </c>
      <c r="D36" s="2">
        <v>24.47</v>
      </c>
      <c r="E36" s="2">
        <v>24.602</v>
      </c>
      <c r="F36" s="2">
        <f t="shared" si="13"/>
        <v>0</v>
      </c>
      <c r="G36" s="2">
        <f t="shared" si="14"/>
        <v>-0.13200000000000145</v>
      </c>
      <c r="H36" s="3" t="s">
        <v>38</v>
      </c>
      <c r="I36" s="4" t="s">
        <v>84</v>
      </c>
      <c r="J36" s="12">
        <f t="shared" si="15"/>
        <v>-5.3654174457361779E-3</v>
      </c>
    </row>
    <row r="37" spans="2:10" ht="15.75">
      <c r="B37" s="4" t="s">
        <v>80</v>
      </c>
      <c r="C37" s="4" t="s">
        <v>8</v>
      </c>
      <c r="D37" s="2">
        <v>31.85</v>
      </c>
      <c r="E37" s="2">
        <v>32.048999999999999</v>
      </c>
      <c r="F37" s="2">
        <f t="shared" si="13"/>
        <v>0</v>
      </c>
      <c r="G37" s="2">
        <f t="shared" si="14"/>
        <v>-0.19899999999999807</v>
      </c>
      <c r="H37" s="3" t="s">
        <v>13</v>
      </c>
      <c r="I37" s="4" t="s">
        <v>85</v>
      </c>
      <c r="J37" s="12">
        <f t="shared" si="15"/>
        <v>-6.2092420980373198E-3</v>
      </c>
    </row>
    <row r="38" spans="2:10" ht="15.75">
      <c r="B38" s="4" t="s">
        <v>80</v>
      </c>
      <c r="C38" s="4" t="s">
        <v>8</v>
      </c>
      <c r="D38" s="2">
        <v>31.46</v>
      </c>
      <c r="E38" s="2">
        <v>31.454000000000001</v>
      </c>
      <c r="F38" s="2">
        <f t="shared" si="13"/>
        <v>6.0000000000002274E-3</v>
      </c>
      <c r="G38" s="2">
        <f t="shared" si="14"/>
        <v>0</v>
      </c>
      <c r="H38" s="3" t="s">
        <v>23</v>
      </c>
      <c r="I38" s="4" t="s">
        <v>88</v>
      </c>
      <c r="J38" s="12">
        <f>F38/E38</f>
        <v>1.9075475297260211E-4</v>
      </c>
    </row>
    <row r="39" spans="2:10" ht="15.75">
      <c r="B39" s="4" t="s">
        <v>86</v>
      </c>
      <c r="C39" s="4" t="s">
        <v>8</v>
      </c>
      <c r="D39" s="2">
        <v>32.049999999999997</v>
      </c>
      <c r="E39" s="2">
        <v>32.031999999999996</v>
      </c>
      <c r="F39" s="2">
        <f t="shared" si="13"/>
        <v>1.8000000000000682E-2</v>
      </c>
      <c r="G39" s="2">
        <f t="shared" si="14"/>
        <v>0</v>
      </c>
      <c r="H39" s="3" t="s">
        <v>13</v>
      </c>
      <c r="I39" s="4" t="s">
        <v>89</v>
      </c>
      <c r="J39" s="12">
        <f>F39/E39</f>
        <v>5.6193806193808324E-4</v>
      </c>
    </row>
    <row r="40" spans="2:10" ht="15.75">
      <c r="B40" s="4" t="s">
        <v>86</v>
      </c>
      <c r="C40" s="4" t="s">
        <v>8</v>
      </c>
      <c r="D40" s="2">
        <v>32.130000000000003</v>
      </c>
      <c r="E40" s="2">
        <v>32.302999999999997</v>
      </c>
      <c r="F40" s="2">
        <f t="shared" si="13"/>
        <v>0</v>
      </c>
      <c r="G40" s="2">
        <f>IF(D40-E40&gt;=0,0,D40-E40)</f>
        <v>-0.17299999999999471</v>
      </c>
      <c r="H40" s="3" t="s">
        <v>16</v>
      </c>
      <c r="I40" s="4" t="s">
        <v>90</v>
      </c>
      <c r="J40" s="12">
        <f>G40/E40</f>
        <v>-5.3555397331515563E-3</v>
      </c>
    </row>
    <row r="41" spans="2:10" ht="15.75">
      <c r="B41" s="4" t="s">
        <v>87</v>
      </c>
      <c r="C41" s="4" t="s">
        <v>8</v>
      </c>
      <c r="D41" s="2">
        <v>32.450000000000003</v>
      </c>
      <c r="E41" s="2">
        <v>32.502000000000002</v>
      </c>
      <c r="F41" s="2">
        <f t="shared" si="13"/>
        <v>0</v>
      </c>
      <c r="G41" s="2">
        <f t="shared" si="14"/>
        <v>-5.1999999999999602E-2</v>
      </c>
      <c r="H41" s="3" t="s">
        <v>24</v>
      </c>
      <c r="I41" s="4" t="s">
        <v>91</v>
      </c>
      <c r="J41" s="12">
        <f>G41/E41</f>
        <v>-1.5999015445203248E-3</v>
      </c>
    </row>
    <row r="42" spans="2:10" ht="15.75">
      <c r="B42" s="4" t="s">
        <v>87</v>
      </c>
      <c r="C42" s="4" t="s">
        <v>8</v>
      </c>
      <c r="D42" s="2">
        <v>32.380000000000003</v>
      </c>
      <c r="E42" s="2">
        <v>32.286999999999999</v>
      </c>
      <c r="F42" s="2">
        <f t="shared" si="13"/>
        <v>9.3000000000003524E-2</v>
      </c>
      <c r="G42" s="2">
        <f t="shared" si="14"/>
        <v>0</v>
      </c>
      <c r="H42" s="3" t="s">
        <v>23</v>
      </c>
      <c r="I42" s="4" t="s">
        <v>92</v>
      </c>
      <c r="J42" s="12">
        <f>F42/E42</f>
        <v>2.8804162666089613E-3</v>
      </c>
    </row>
    <row r="43" spans="2:10" ht="15.75">
      <c r="B43" s="4" t="s">
        <v>93</v>
      </c>
      <c r="C43" s="4" t="s">
        <v>8</v>
      </c>
      <c r="D43" s="2">
        <v>22.19</v>
      </c>
      <c r="E43" s="2">
        <v>22.059000000000001</v>
      </c>
      <c r="F43" s="2">
        <f t="shared" si="13"/>
        <v>0.13100000000000023</v>
      </c>
      <c r="G43" s="2">
        <f t="shared" si="14"/>
        <v>0</v>
      </c>
      <c r="H43" s="3" t="s">
        <v>42</v>
      </c>
      <c r="I43" s="4" t="s">
        <v>95</v>
      </c>
      <c r="J43" s="12">
        <f>F43/E43</f>
        <v>5.9386191577134153E-3</v>
      </c>
    </row>
    <row r="44" spans="2:10" ht="15.75">
      <c r="B44" s="4" t="s">
        <v>93</v>
      </c>
      <c r="C44" s="4" t="s">
        <v>8</v>
      </c>
      <c r="D44" s="2">
        <v>32.92</v>
      </c>
      <c r="E44" s="2">
        <v>33.159999999999997</v>
      </c>
      <c r="F44" s="2">
        <f t="shared" si="13"/>
        <v>0</v>
      </c>
      <c r="G44" s="2">
        <f t="shared" si="14"/>
        <v>-0.23999999999999488</v>
      </c>
      <c r="H44" s="3" t="s">
        <v>24</v>
      </c>
      <c r="I44" s="4" t="s">
        <v>96</v>
      </c>
      <c r="J44" s="12">
        <f>G44/E44</f>
        <v>-7.2376357056693277E-3</v>
      </c>
    </row>
    <row r="45" spans="2:10" ht="15.75">
      <c r="B45" s="4" t="s">
        <v>93</v>
      </c>
      <c r="C45" s="4" t="s">
        <v>8</v>
      </c>
      <c r="D45" s="2">
        <v>31.81</v>
      </c>
      <c r="E45" s="2">
        <v>32.131</v>
      </c>
      <c r="F45" s="2">
        <f t="shared" si="13"/>
        <v>0</v>
      </c>
      <c r="G45" s="2">
        <f t="shared" si="14"/>
        <v>-0.32100000000000151</v>
      </c>
      <c r="H45" s="3" t="s">
        <v>11</v>
      </c>
      <c r="I45" s="4" t="s">
        <v>97</v>
      </c>
      <c r="J45" s="12">
        <f>G45/E45</f>
        <v>-9.990351996514317E-3</v>
      </c>
    </row>
    <row r="46" spans="2:10" ht="15.75">
      <c r="B46" s="4" t="s">
        <v>94</v>
      </c>
      <c r="C46" s="4" t="s">
        <v>8</v>
      </c>
      <c r="D46" s="2">
        <v>32.630000000000003</v>
      </c>
      <c r="E46" s="2">
        <v>32.686999999999998</v>
      </c>
      <c r="F46" s="2">
        <f t="shared" si="13"/>
        <v>0</v>
      </c>
      <c r="G46" s="2">
        <f t="shared" si="14"/>
        <v>-5.6999999999995055E-2</v>
      </c>
      <c r="H46" s="3" t="s">
        <v>24</v>
      </c>
      <c r="I46" s="4" t="s">
        <v>36</v>
      </c>
      <c r="J46" s="12">
        <f>G46/E46</f>
        <v>-1.7438125248568257E-3</v>
      </c>
    </row>
    <row r="47" spans="2:10" ht="15.75">
      <c r="B47" s="4" t="s">
        <v>94</v>
      </c>
      <c r="C47" s="4" t="s">
        <v>8</v>
      </c>
      <c r="D47" s="2">
        <v>32.4</v>
      </c>
      <c r="E47" s="2">
        <v>32.609000000000002</v>
      </c>
      <c r="F47" s="2">
        <f t="shared" si="13"/>
        <v>0</v>
      </c>
      <c r="G47" s="2">
        <f t="shared" si="14"/>
        <v>-0.20900000000000318</v>
      </c>
      <c r="H47" s="3" t="s">
        <v>23</v>
      </c>
      <c r="I47" s="4" t="s">
        <v>25</v>
      </c>
      <c r="J47" s="12">
        <f>G47/E47</f>
        <v>-6.4092735134473047E-3</v>
      </c>
    </row>
    <row r="48" spans="2:10" ht="15.75">
      <c r="B48" s="4" t="s">
        <v>94</v>
      </c>
      <c r="C48" s="4" t="s">
        <v>8</v>
      </c>
      <c r="D48" s="2">
        <v>32.18</v>
      </c>
      <c r="E48" s="2">
        <v>32.093000000000004</v>
      </c>
      <c r="F48" s="2">
        <f t="shared" si="13"/>
        <v>8.6999999999996191E-2</v>
      </c>
      <c r="G48" s="2">
        <f t="shared" si="14"/>
        <v>0</v>
      </c>
      <c r="H48" s="3" t="s">
        <v>13</v>
      </c>
      <c r="I48" s="4" t="s">
        <v>100</v>
      </c>
      <c r="J48" s="12">
        <f>F48/E48</f>
        <v>2.7108715296169316E-3</v>
      </c>
    </row>
    <row r="49" spans="2:10" ht="15.75">
      <c r="B49" s="4" t="s">
        <v>98</v>
      </c>
      <c r="C49" s="4" t="s">
        <v>8</v>
      </c>
      <c r="D49" s="2">
        <v>31.92</v>
      </c>
      <c r="E49" s="2">
        <v>32.262</v>
      </c>
      <c r="F49" s="2">
        <f t="shared" si="13"/>
        <v>0</v>
      </c>
      <c r="G49" s="2">
        <f t="shared" si="14"/>
        <v>-0.34199999999999875</v>
      </c>
      <c r="H49" s="3" t="s">
        <v>16</v>
      </c>
      <c r="I49" s="4" t="s">
        <v>25</v>
      </c>
      <c r="J49" s="12">
        <f>G49/E49</f>
        <v>-1.060070671378088E-2</v>
      </c>
    </row>
    <row r="50" spans="2:10" ht="15.75">
      <c r="B50" s="4" t="s">
        <v>98</v>
      </c>
      <c r="C50" s="4" t="s">
        <v>8</v>
      </c>
      <c r="D50" s="2">
        <v>32.729999999999997</v>
      </c>
      <c r="E50" s="2">
        <v>32.625999999999998</v>
      </c>
      <c r="F50" s="2">
        <f t="shared" si="13"/>
        <v>0.1039999999999992</v>
      </c>
      <c r="G50" s="2">
        <f t="shared" si="14"/>
        <v>0</v>
      </c>
      <c r="H50" s="3" t="s">
        <v>11</v>
      </c>
      <c r="I50" s="4" t="s">
        <v>101</v>
      </c>
      <c r="J50" s="12">
        <f>F50/E50</f>
        <v>3.187641758107007E-3</v>
      </c>
    </row>
    <row r="51" spans="2:10" ht="15.75">
      <c r="B51" s="4" t="s">
        <v>99</v>
      </c>
      <c r="C51" s="4" t="s">
        <v>8</v>
      </c>
      <c r="D51" s="2">
        <v>31.71</v>
      </c>
      <c r="E51" s="2">
        <v>31.760999999999999</v>
      </c>
      <c r="F51" s="2">
        <f t="shared" si="13"/>
        <v>0</v>
      </c>
      <c r="G51" s="2">
        <f t="shared" si="14"/>
        <v>-5.099999999999838E-2</v>
      </c>
      <c r="H51" s="3" t="s">
        <v>16</v>
      </c>
      <c r="I51" s="4" t="s">
        <v>104</v>
      </c>
      <c r="J51" s="12">
        <f>G51/E51</f>
        <v>-1.6057428922262643E-3</v>
      </c>
    </row>
    <row r="52" spans="2:10" ht="15.75">
      <c r="B52" s="4" t="s">
        <v>99</v>
      </c>
      <c r="C52" s="4" t="s">
        <v>8</v>
      </c>
      <c r="D52" s="2">
        <v>32.4</v>
      </c>
      <c r="E52" s="2">
        <v>32.424999999999997</v>
      </c>
      <c r="F52" s="2">
        <f t="shared" si="13"/>
        <v>0</v>
      </c>
      <c r="G52" s="2">
        <f t="shared" si="14"/>
        <v>-2.4999999999998579E-2</v>
      </c>
      <c r="H52" s="3" t="s">
        <v>13</v>
      </c>
      <c r="I52" s="4" t="s">
        <v>102</v>
      </c>
      <c r="J52" s="12">
        <f>G52/E52</f>
        <v>-7.7101002313025697E-4</v>
      </c>
    </row>
    <row r="53" spans="2:10" ht="15.75">
      <c r="B53" s="4" t="s">
        <v>99</v>
      </c>
      <c r="C53" s="4" t="s">
        <v>8</v>
      </c>
      <c r="D53" s="2">
        <v>32.89</v>
      </c>
      <c r="E53" s="2">
        <v>32.902999999999999</v>
      </c>
      <c r="F53" s="2">
        <f t="shared" si="13"/>
        <v>0</v>
      </c>
      <c r="G53" s="2">
        <f t="shared" si="14"/>
        <v>-1.2999999999998124E-2</v>
      </c>
      <c r="H53" s="3" t="s">
        <v>11</v>
      </c>
      <c r="I53" s="4" t="s">
        <v>103</v>
      </c>
      <c r="J53" s="12">
        <f>G53/E53</f>
        <v>-3.9510075069136932E-4</v>
      </c>
    </row>
    <row r="54" spans="2:10" ht="15.75">
      <c r="B54" s="4" t="s">
        <v>105</v>
      </c>
      <c r="C54" s="4" t="s">
        <v>8</v>
      </c>
      <c r="D54" s="2">
        <v>32.159999999999997</v>
      </c>
      <c r="E54" s="2">
        <v>32.284999999999997</v>
      </c>
      <c r="F54" s="2">
        <f t="shared" si="13"/>
        <v>0</v>
      </c>
      <c r="G54" s="2">
        <f t="shared" si="14"/>
        <v>-0.125</v>
      </c>
      <c r="H54" s="3" t="s">
        <v>107</v>
      </c>
      <c r="I54" s="4" t="s">
        <v>109</v>
      </c>
      <c r="J54" s="12">
        <f>G54/E54</f>
        <v>-3.871767074492799E-3</v>
      </c>
    </row>
    <row r="55" spans="2:10" ht="15.75">
      <c r="B55" s="4" t="s">
        <v>105</v>
      </c>
      <c r="C55" s="4" t="s">
        <v>8</v>
      </c>
      <c r="D55" s="2">
        <v>32.67</v>
      </c>
      <c r="E55" s="2">
        <v>32.780999999999999</v>
      </c>
      <c r="F55" s="2">
        <f t="shared" si="13"/>
        <v>0</v>
      </c>
      <c r="G55" s="2">
        <f t="shared" si="14"/>
        <v>-0.1109999999999971</v>
      </c>
      <c r="H55" s="3" t="s">
        <v>24</v>
      </c>
      <c r="I55" s="4" t="s">
        <v>110</v>
      </c>
      <c r="J55" s="12">
        <f>G55/E55</f>
        <v>-3.3861078063511518E-3</v>
      </c>
    </row>
    <row r="56" spans="2:10" ht="15.75">
      <c r="B56" s="4" t="s">
        <v>105</v>
      </c>
      <c r="C56" s="4" t="s">
        <v>8</v>
      </c>
      <c r="D56" s="2">
        <v>21.65</v>
      </c>
      <c r="E56" s="2">
        <v>21.588000000000001</v>
      </c>
      <c r="F56" s="2">
        <f t="shared" si="13"/>
        <v>6.1999999999997613E-2</v>
      </c>
      <c r="G56" s="2">
        <f t="shared" si="14"/>
        <v>0</v>
      </c>
      <c r="H56" s="3" t="s">
        <v>108</v>
      </c>
      <c r="I56" s="4" t="s">
        <v>111</v>
      </c>
      <c r="J56" s="12">
        <f>F56/E56</f>
        <v>2.8719659069852514E-3</v>
      </c>
    </row>
    <row r="57" spans="2:10" ht="15.75">
      <c r="B57" s="4" t="s">
        <v>105</v>
      </c>
      <c r="C57" s="4" t="s">
        <v>8</v>
      </c>
      <c r="D57" s="2">
        <v>32.11</v>
      </c>
      <c r="E57" s="2">
        <v>32.180999999999997</v>
      </c>
      <c r="F57" s="2">
        <f t="shared" si="13"/>
        <v>0</v>
      </c>
      <c r="G57" s="2">
        <f t="shared" si="14"/>
        <v>-7.0999999999997954E-2</v>
      </c>
      <c r="H57" s="3" t="s">
        <v>31</v>
      </c>
      <c r="I57" s="4" t="s">
        <v>27</v>
      </c>
      <c r="J57" s="12">
        <f>G57/E57</f>
        <v>-2.206270780895496E-3</v>
      </c>
    </row>
    <row r="58" spans="2:10" ht="15.75">
      <c r="B58" s="4" t="s">
        <v>106</v>
      </c>
      <c r="C58" s="4" t="s">
        <v>8</v>
      </c>
      <c r="D58" s="2">
        <v>33.67</v>
      </c>
      <c r="E58" s="2">
        <v>33.628</v>
      </c>
      <c r="F58" s="2">
        <f t="shared" si="13"/>
        <v>4.2000000000001592E-2</v>
      </c>
      <c r="G58" s="2">
        <f t="shared" si="14"/>
        <v>0</v>
      </c>
      <c r="H58" s="3" t="s">
        <v>11</v>
      </c>
      <c r="I58" s="4" t="s">
        <v>28</v>
      </c>
      <c r="J58" s="12">
        <f>F58/E58</f>
        <v>1.2489592006661588E-3</v>
      </c>
    </row>
    <row r="59" spans="2:10" ht="15.75">
      <c r="B59" s="4" t="s">
        <v>106</v>
      </c>
      <c r="C59" s="4" t="s">
        <v>8</v>
      </c>
      <c r="D59" s="2">
        <v>32.61</v>
      </c>
      <c r="E59" s="2">
        <v>32.658000000000001</v>
      </c>
      <c r="F59" s="2">
        <f t="shared" si="13"/>
        <v>0</v>
      </c>
      <c r="G59" s="2">
        <f t="shared" si="14"/>
        <v>-4.8000000000001819E-2</v>
      </c>
      <c r="H59" s="3" t="s">
        <v>13</v>
      </c>
      <c r="I59" s="4" t="s">
        <v>28</v>
      </c>
      <c r="J59" s="12">
        <f>G59/E59</f>
        <v>-1.4697776961235169E-3</v>
      </c>
    </row>
    <row r="60" spans="2:10" ht="15.75">
      <c r="B60" s="4" t="s">
        <v>106</v>
      </c>
      <c r="C60" s="4" t="s">
        <v>8</v>
      </c>
      <c r="D60" s="2">
        <v>31.91</v>
      </c>
      <c r="E60" s="2">
        <v>31.931999999999999</v>
      </c>
      <c r="F60" s="2">
        <f t="shared" si="13"/>
        <v>0</v>
      </c>
      <c r="G60" s="2">
        <f t="shared" si="14"/>
        <v>-2.1999999999998465E-2</v>
      </c>
      <c r="H60" s="3" t="s">
        <v>16</v>
      </c>
      <c r="I60" s="4" t="s">
        <v>113</v>
      </c>
      <c r="J60" s="12">
        <f>G60/E60</f>
        <v>-6.8896404860323399E-4</v>
      </c>
    </row>
    <row r="61" spans="2:10" ht="15.75">
      <c r="B61" s="4" t="s">
        <v>112</v>
      </c>
      <c r="C61" s="4" t="s">
        <v>8</v>
      </c>
      <c r="D61" s="2">
        <v>32.4</v>
      </c>
      <c r="E61" s="2">
        <v>32.155000000000001</v>
      </c>
      <c r="F61" s="2">
        <f t="shared" si="13"/>
        <v>0.24499999999999744</v>
      </c>
      <c r="G61" s="2">
        <f t="shared" si="14"/>
        <v>0</v>
      </c>
      <c r="H61" s="3" t="s">
        <v>16</v>
      </c>
      <c r="I61" s="4" t="s">
        <v>14</v>
      </c>
      <c r="J61" s="12">
        <f>F61/E61</f>
        <v>7.6193438034519497E-3</v>
      </c>
    </row>
    <row r="62" spans="2:10" ht="15.75">
      <c r="B62" s="4" t="s">
        <v>112</v>
      </c>
      <c r="C62" s="4" t="s">
        <v>8</v>
      </c>
      <c r="D62" s="2">
        <v>32.42</v>
      </c>
      <c r="E62" s="2">
        <v>33.789000000000001</v>
      </c>
      <c r="F62" s="2">
        <f t="shared" si="13"/>
        <v>0</v>
      </c>
      <c r="G62" s="2">
        <f t="shared" si="14"/>
        <v>-1.3689999999999998</v>
      </c>
      <c r="H62" s="3" t="s">
        <v>13</v>
      </c>
      <c r="I62" s="4" t="s">
        <v>114</v>
      </c>
      <c r="J62" s="12">
        <f>G62/E62</f>
        <v>-4.0516144307318938E-2</v>
      </c>
    </row>
    <row r="63" spans="2:10" ht="15.75">
      <c r="B63" s="4" t="s">
        <v>112</v>
      </c>
      <c r="C63" s="4" t="s">
        <v>8</v>
      </c>
      <c r="D63" s="2">
        <v>32.06</v>
      </c>
      <c r="E63" s="2">
        <v>32.115000000000002</v>
      </c>
      <c r="F63" s="2">
        <f t="shared" si="13"/>
        <v>0</v>
      </c>
      <c r="G63" s="2">
        <f t="shared" si="14"/>
        <v>-5.4999999999999716E-2</v>
      </c>
      <c r="H63" s="3" t="s">
        <v>11</v>
      </c>
      <c r="I63" s="4" t="s">
        <v>115</v>
      </c>
      <c r="J63" s="12">
        <f>G63/E63</f>
        <v>-1.7125953604234692E-3</v>
      </c>
    </row>
    <row r="64" spans="2:10" ht="15.75">
      <c r="B64" s="4" t="s">
        <v>112</v>
      </c>
      <c r="C64" s="4" t="s">
        <v>8</v>
      </c>
      <c r="D64" s="2">
        <v>32.24</v>
      </c>
      <c r="E64" s="2">
        <v>32.613</v>
      </c>
      <c r="F64" s="2">
        <f t="shared" si="13"/>
        <v>0</v>
      </c>
      <c r="G64" s="2">
        <f t="shared" si="14"/>
        <v>-0.37299999999999756</v>
      </c>
      <c r="H64" s="3" t="s">
        <v>15</v>
      </c>
      <c r="I64" s="4" t="s">
        <v>109</v>
      </c>
      <c r="J64" s="12">
        <f>G64/E64</f>
        <v>-1.1437156961947614E-2</v>
      </c>
    </row>
    <row r="65" spans="2:10" ht="15.75">
      <c r="B65" s="4" t="s">
        <v>117</v>
      </c>
      <c r="C65" s="4" t="s">
        <v>8</v>
      </c>
      <c r="D65" s="2">
        <v>32.31</v>
      </c>
      <c r="E65" s="2">
        <v>32.295000000000002</v>
      </c>
      <c r="F65" s="2">
        <f t="shared" si="13"/>
        <v>1.5000000000000568E-2</v>
      </c>
      <c r="G65" s="2">
        <f t="shared" si="14"/>
        <v>0</v>
      </c>
      <c r="H65" s="3" t="s">
        <v>16</v>
      </c>
      <c r="I65" s="4" t="s">
        <v>119</v>
      </c>
      <c r="J65" s="12">
        <f>F65/E65</f>
        <v>4.6446818392941841E-4</v>
      </c>
    </row>
    <row r="66" spans="2:10" ht="15.75">
      <c r="B66" s="4" t="s">
        <v>117</v>
      </c>
      <c r="C66" s="4" t="s">
        <v>8</v>
      </c>
      <c r="D66" s="2">
        <v>32.130000000000003</v>
      </c>
      <c r="E66" s="2">
        <v>32.058</v>
      </c>
      <c r="F66" s="2">
        <f t="shared" si="13"/>
        <v>7.2000000000002728E-2</v>
      </c>
      <c r="G66" s="2">
        <f t="shared" si="14"/>
        <v>0</v>
      </c>
      <c r="H66" s="3" t="s">
        <v>13</v>
      </c>
      <c r="I66" s="4" t="s">
        <v>120</v>
      </c>
      <c r="J66" s="12">
        <f>F66/E66</f>
        <v>2.2459292532286085E-3</v>
      </c>
    </row>
    <row r="67" spans="2:10" ht="15.75">
      <c r="B67" s="4" t="s">
        <v>117</v>
      </c>
      <c r="C67" s="4" t="s">
        <v>8</v>
      </c>
      <c r="D67" s="2">
        <v>32.799999999999997</v>
      </c>
      <c r="E67" s="2">
        <v>32.049999999999997</v>
      </c>
      <c r="F67" s="2">
        <f t="shared" si="13"/>
        <v>0.75</v>
      </c>
      <c r="G67" s="2">
        <f t="shared" si="14"/>
        <v>0</v>
      </c>
      <c r="H67" s="3" t="s">
        <v>11</v>
      </c>
      <c r="I67" s="4" t="s">
        <v>121</v>
      </c>
      <c r="J67" s="12">
        <f>F67/E67</f>
        <v>2.3400936037441498E-2</v>
      </c>
    </row>
    <row r="68" spans="2:10" ht="15.75">
      <c r="B68" s="4" t="s">
        <v>116</v>
      </c>
      <c r="C68" s="4" t="s">
        <v>8</v>
      </c>
      <c r="D68" s="2">
        <v>32.83</v>
      </c>
      <c r="E68" s="2">
        <v>33.439</v>
      </c>
      <c r="F68" s="2">
        <f t="shared" si="13"/>
        <v>0</v>
      </c>
      <c r="G68" s="2">
        <f t="shared" si="14"/>
        <v>-0.60900000000000176</v>
      </c>
      <c r="H68" s="3" t="s">
        <v>118</v>
      </c>
      <c r="I68" s="4" t="s">
        <v>122</v>
      </c>
      <c r="J68" s="12">
        <f>G68/E68</f>
        <v>-1.8212267113251048E-2</v>
      </c>
    </row>
    <row r="69" spans="2:10" ht="15.75">
      <c r="B69" s="4" t="s">
        <v>123</v>
      </c>
      <c r="C69" s="4" t="s">
        <v>8</v>
      </c>
      <c r="D69" s="2">
        <v>32.69</v>
      </c>
      <c r="E69" s="2">
        <v>32.755000000000003</v>
      </c>
      <c r="F69" s="2">
        <f t="shared" si="13"/>
        <v>0</v>
      </c>
      <c r="G69" s="2">
        <f t="shared" si="14"/>
        <v>-6.5000000000004832E-2</v>
      </c>
      <c r="H69" s="3" t="s">
        <v>9</v>
      </c>
      <c r="I69" s="4" t="s">
        <v>125</v>
      </c>
      <c r="J69" s="12">
        <f>G69/E69</f>
        <v>-1.9844298580370882E-3</v>
      </c>
    </row>
    <row r="70" spans="2:10" ht="15.75">
      <c r="B70" s="4" t="s">
        <v>123</v>
      </c>
      <c r="C70" s="4" t="s">
        <v>8</v>
      </c>
      <c r="D70" s="2">
        <v>32.72</v>
      </c>
      <c r="E70" s="2">
        <v>32.634999999999998</v>
      </c>
      <c r="F70" s="2">
        <f t="shared" si="13"/>
        <v>8.5000000000000853E-2</v>
      </c>
      <c r="G70" s="2">
        <f t="shared" si="14"/>
        <v>0</v>
      </c>
      <c r="H70" s="3" t="s">
        <v>16</v>
      </c>
      <c r="I70" s="4" t="s">
        <v>126</v>
      </c>
      <c r="J70" s="12">
        <f>F70/E70</f>
        <v>2.6045656503753904E-3</v>
      </c>
    </row>
    <row r="71" spans="2:10" ht="15.75">
      <c r="B71" s="4" t="s">
        <v>124</v>
      </c>
      <c r="C71" s="4" t="s">
        <v>8</v>
      </c>
      <c r="D71" s="2">
        <v>32.200000000000003</v>
      </c>
      <c r="E71" s="2">
        <v>31.968</v>
      </c>
      <c r="F71" s="2">
        <f t="shared" si="13"/>
        <v>0.23200000000000287</v>
      </c>
      <c r="G71" s="2">
        <f t="shared" si="14"/>
        <v>0</v>
      </c>
      <c r="H71" s="3" t="s">
        <v>11</v>
      </c>
      <c r="I71" s="4" t="s">
        <v>127</v>
      </c>
      <c r="J71" s="12">
        <f>F71/E71</f>
        <v>7.257257257257347E-3</v>
      </c>
    </row>
    <row r="72" spans="2:10" ht="15.75">
      <c r="B72" s="4" t="s">
        <v>129</v>
      </c>
      <c r="C72" s="4" t="s">
        <v>8</v>
      </c>
      <c r="D72" s="2">
        <v>33.5</v>
      </c>
      <c r="E72" s="2">
        <v>33.432000000000002</v>
      </c>
      <c r="F72" s="2">
        <f t="shared" si="13"/>
        <v>6.799999999999784E-2</v>
      </c>
      <c r="G72" s="2">
        <f t="shared" si="14"/>
        <v>0</v>
      </c>
      <c r="H72" s="3" t="s">
        <v>11</v>
      </c>
      <c r="I72" s="4" t="s">
        <v>130</v>
      </c>
      <c r="J72" s="12">
        <f t="shared" ref="J72" si="16">G72/E72</f>
        <v>0</v>
      </c>
    </row>
    <row r="73" spans="2:10" ht="15.75">
      <c r="B73" s="4" t="s">
        <v>131</v>
      </c>
      <c r="C73" s="4" t="s">
        <v>8</v>
      </c>
      <c r="D73" s="2">
        <v>31.76</v>
      </c>
      <c r="E73" s="2">
        <v>31.888000000000002</v>
      </c>
      <c r="F73" s="2">
        <f t="shared" si="13"/>
        <v>0</v>
      </c>
      <c r="G73" s="2">
        <f t="shared" si="14"/>
        <v>-0.12800000000000011</v>
      </c>
      <c r="H73" s="3" t="s">
        <v>16</v>
      </c>
      <c r="I73" s="4" t="s">
        <v>132</v>
      </c>
      <c r="J73" s="12">
        <f>G73/E73</f>
        <v>-4.0140491721023614E-3</v>
      </c>
    </row>
    <row r="74" spans="2:10" ht="15.75">
      <c r="B74" s="4" t="s">
        <v>133</v>
      </c>
      <c r="C74" s="4" t="s">
        <v>8</v>
      </c>
      <c r="D74" s="2">
        <v>31.63</v>
      </c>
      <c r="E74" s="2">
        <v>32.08</v>
      </c>
      <c r="F74" s="2">
        <f t="shared" si="13"/>
        <v>0</v>
      </c>
      <c r="G74" s="2">
        <f t="shared" si="14"/>
        <v>-0.44999999999999929</v>
      </c>
      <c r="H74" s="3" t="s">
        <v>9</v>
      </c>
      <c r="I74" s="4" t="s">
        <v>134</v>
      </c>
      <c r="J74" s="12">
        <f>G74/E74</f>
        <v>-1.4027431421446362E-2</v>
      </c>
    </row>
    <row r="75" spans="2:10" ht="15.75">
      <c r="B75" s="4" t="s">
        <v>133</v>
      </c>
      <c r="C75" s="4" t="s">
        <v>8</v>
      </c>
      <c r="D75" s="2">
        <v>33.25</v>
      </c>
      <c r="E75" s="2">
        <v>32.832000000000001</v>
      </c>
      <c r="F75" s="2">
        <f t="shared" si="13"/>
        <v>0.41799999999999926</v>
      </c>
      <c r="G75" s="2">
        <f t="shared" si="14"/>
        <v>0</v>
      </c>
      <c r="H75" s="3" t="s">
        <v>31</v>
      </c>
      <c r="I75" s="4" t="s">
        <v>135</v>
      </c>
      <c r="J75" s="12">
        <f>F75/E75</f>
        <v>1.2731481481481458E-2</v>
      </c>
    </row>
    <row r="76" spans="2:10" ht="15.75">
      <c r="B76" s="7"/>
      <c r="C76" s="7"/>
      <c r="D76" s="6">
        <f>SUM(D5:D75)</f>
        <v>2093.706000000001</v>
      </c>
      <c r="E76" s="6">
        <f>SUM(E5:E75)</f>
        <v>2100.5189999999998</v>
      </c>
      <c r="F76" s="6">
        <f>SUM(F5:F75)</f>
        <v>3.0039999999999978</v>
      </c>
      <c r="G76" s="6">
        <f>SUM(G5:G75)</f>
        <v>-9.8169999999999789</v>
      </c>
      <c r="H76" s="10">
        <f>SUM(F76:G76)</f>
        <v>-6.8129999999999811</v>
      </c>
      <c r="I76" s="9"/>
      <c r="J76" s="11">
        <f>H76/E76</f>
        <v>-3.243484110355575E-3</v>
      </c>
    </row>
  </sheetData>
  <mergeCells count="1">
    <mergeCell ref="B2:I2"/>
  </mergeCells>
  <pageMargins left="0.45" right="0.45" top="0.25" bottom="0.25" header="0.3" footer="0.3"/>
  <pageSetup paperSize="9" scale="66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B1:J30"/>
  <sheetViews>
    <sheetView zoomScaleSheetLayoutView="100" workbookViewId="0">
      <pane ySplit="4" topLeftCell="A5" activePane="bottomLeft" state="frozen"/>
      <selection pane="bottomLeft" activeCell="J5" sqref="J5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6.7109375" customWidth="1"/>
    <col min="9" max="9" width="35.42578125" bestFit="1" customWidth="1"/>
    <col min="10" max="10" width="11.42578125" customWidth="1"/>
    <col min="11" max="11" width="12.28515625" bestFit="1" customWidth="1"/>
    <col min="13" max="13" width="15.28515625" bestFit="1" customWidth="1"/>
    <col min="14" max="14" width="9.42578125" bestFit="1" customWidth="1"/>
    <col min="17" max="17" width="12.85546875" bestFit="1" customWidth="1"/>
  </cols>
  <sheetData>
    <row r="1" spans="2:10" ht="15.75" thickBot="1"/>
    <row r="2" spans="2:10" ht="20.25" thickBot="1">
      <c r="B2" s="55" t="s">
        <v>184</v>
      </c>
      <c r="C2" s="56"/>
      <c r="D2" s="56"/>
      <c r="E2" s="56"/>
      <c r="F2" s="56"/>
      <c r="G2" s="56"/>
      <c r="H2" s="56"/>
      <c r="I2" s="57"/>
    </row>
    <row r="4" spans="2:10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4" t="s">
        <v>10</v>
      </c>
      <c r="J4" s="5" t="s">
        <v>7</v>
      </c>
    </row>
    <row r="5" spans="2:10" ht="15.75">
      <c r="B5" s="4" t="s">
        <v>136</v>
      </c>
      <c r="C5" s="4" t="s">
        <v>137</v>
      </c>
      <c r="D5" s="2">
        <v>31.37</v>
      </c>
      <c r="E5" s="2">
        <v>31.228999999999999</v>
      </c>
      <c r="F5" s="2">
        <f t="shared" ref="F5:F23" si="0">IF(D5-E5&lt;=0,0,D5-E5)</f>
        <v>0.14100000000000179</v>
      </c>
      <c r="G5" s="2">
        <f t="shared" ref="G5:G23" si="1">IF(D5-E5&gt;=0,0,D5-E5)</f>
        <v>0</v>
      </c>
      <c r="H5" s="3" t="s">
        <v>16</v>
      </c>
      <c r="I5" s="4" t="s">
        <v>138</v>
      </c>
      <c r="J5" s="12">
        <f>F5/E5</f>
        <v>4.5150341029172175E-3</v>
      </c>
    </row>
    <row r="6" spans="2:10" ht="15.75">
      <c r="B6" s="4" t="s">
        <v>139</v>
      </c>
      <c r="C6" s="4" t="s">
        <v>137</v>
      </c>
      <c r="D6" s="2">
        <v>33.07</v>
      </c>
      <c r="E6" s="2">
        <v>33.186999999999998</v>
      </c>
      <c r="F6" s="2">
        <f t="shared" si="0"/>
        <v>0</v>
      </c>
      <c r="G6" s="2">
        <f t="shared" si="1"/>
        <v>-0.11699999999999733</v>
      </c>
      <c r="H6" s="3" t="s">
        <v>15</v>
      </c>
      <c r="I6" s="4" t="s">
        <v>140</v>
      </c>
      <c r="J6" s="12">
        <f>G6/E6</f>
        <v>-3.5254768433421921E-3</v>
      </c>
    </row>
    <row r="7" spans="2:10" ht="15.75">
      <c r="B7" s="4" t="s">
        <v>139</v>
      </c>
      <c r="C7" s="4" t="s">
        <v>137</v>
      </c>
      <c r="D7" s="2">
        <v>33.32</v>
      </c>
      <c r="E7" s="2">
        <v>33.411999999999999</v>
      </c>
      <c r="F7" s="2">
        <f t="shared" si="0"/>
        <v>0</v>
      </c>
      <c r="G7" s="2">
        <f t="shared" si="1"/>
        <v>-9.1999999999998749E-2</v>
      </c>
      <c r="H7" s="3" t="s">
        <v>23</v>
      </c>
      <c r="I7" s="4" t="s">
        <v>140</v>
      </c>
      <c r="J7" s="12">
        <f>G7/E7</f>
        <v>-2.7535017359032309E-3</v>
      </c>
    </row>
    <row r="8" spans="2:10" ht="15.75">
      <c r="B8" s="4" t="s">
        <v>141</v>
      </c>
      <c r="C8" s="4" t="s">
        <v>137</v>
      </c>
      <c r="D8" s="2">
        <v>26.19</v>
      </c>
      <c r="E8" s="2">
        <v>26.204000000000001</v>
      </c>
      <c r="F8" s="2">
        <f t="shared" si="0"/>
        <v>0</v>
      </c>
      <c r="G8" s="2">
        <f t="shared" si="1"/>
        <v>-1.3999999999999346E-2</v>
      </c>
      <c r="H8" s="3" t="s">
        <v>11</v>
      </c>
      <c r="I8" s="4" t="s">
        <v>142</v>
      </c>
      <c r="J8" s="12">
        <f>G8/E8</f>
        <v>-5.3426957716376684E-4</v>
      </c>
    </row>
    <row r="9" spans="2:10" ht="15.75">
      <c r="B9" s="4" t="s">
        <v>143</v>
      </c>
      <c r="C9" s="4" t="s">
        <v>137</v>
      </c>
      <c r="D9" s="2">
        <v>24.99</v>
      </c>
      <c r="E9" s="2">
        <v>24.821000000000002</v>
      </c>
      <c r="F9" s="2">
        <f t="shared" si="0"/>
        <v>0.16899999999999693</v>
      </c>
      <c r="G9" s="2">
        <f t="shared" si="1"/>
        <v>0</v>
      </c>
      <c r="H9" s="3" t="s">
        <v>144</v>
      </c>
      <c r="I9" s="4" t="s">
        <v>34</v>
      </c>
      <c r="J9" s="12">
        <f>F9/E9</f>
        <v>6.8087506546874385E-3</v>
      </c>
    </row>
    <row r="10" spans="2:10" ht="15.75">
      <c r="B10" s="4" t="s">
        <v>145</v>
      </c>
      <c r="C10" s="4" t="s">
        <v>137</v>
      </c>
      <c r="D10" s="2">
        <v>24.59</v>
      </c>
      <c r="E10" s="2">
        <v>24.687000000000001</v>
      </c>
      <c r="F10" s="2">
        <f t="shared" si="0"/>
        <v>0</v>
      </c>
      <c r="G10" s="2">
        <f t="shared" si="1"/>
        <v>-9.7000000000001307E-2</v>
      </c>
      <c r="H10" s="3" t="s">
        <v>38</v>
      </c>
      <c r="I10" s="4" t="s">
        <v>146</v>
      </c>
      <c r="J10" s="12">
        <f>G10/E10</f>
        <v>-3.9291935026532707E-3</v>
      </c>
    </row>
    <row r="11" spans="2:10" ht="15.75">
      <c r="B11" s="4" t="s">
        <v>145</v>
      </c>
      <c r="C11" s="4" t="s">
        <v>137</v>
      </c>
      <c r="D11" s="2">
        <v>24.61</v>
      </c>
      <c r="E11" s="2">
        <v>24.355</v>
      </c>
      <c r="F11" s="2">
        <f t="shared" ref="F11:F15" si="2">IF(D11-E11&lt;=0,0,D11-E11)</f>
        <v>0.25499999999999901</v>
      </c>
      <c r="G11" s="2">
        <f t="shared" ref="G11:G15" si="3">IF(D11-E11&gt;=0,0,D11-E11)</f>
        <v>0</v>
      </c>
      <c r="H11" s="3" t="s">
        <v>147</v>
      </c>
      <c r="I11" s="4" t="s">
        <v>148</v>
      </c>
      <c r="J11" s="12">
        <f>F11/E11</f>
        <v>1.0470129336891768E-2</v>
      </c>
    </row>
    <row r="12" spans="2:10" ht="15.75">
      <c r="B12" s="4" t="s">
        <v>149</v>
      </c>
      <c r="C12" s="4" t="s">
        <v>137</v>
      </c>
      <c r="D12" s="2">
        <v>25.19</v>
      </c>
      <c r="E12" s="2">
        <v>25.114999999999998</v>
      </c>
      <c r="F12" s="2">
        <f t="shared" si="2"/>
        <v>7.5000000000002842E-2</v>
      </c>
      <c r="G12" s="2">
        <f t="shared" si="3"/>
        <v>0</v>
      </c>
      <c r="H12" s="3" t="s">
        <v>41</v>
      </c>
      <c r="I12" s="4" t="s">
        <v>34</v>
      </c>
      <c r="J12" s="12">
        <f>F12/E12</f>
        <v>2.9862631893291997E-3</v>
      </c>
    </row>
    <row r="13" spans="2:10" ht="15.75">
      <c r="B13" s="4" t="s">
        <v>149</v>
      </c>
      <c r="C13" s="4" t="s">
        <v>137</v>
      </c>
      <c r="D13" s="2">
        <v>25.01</v>
      </c>
      <c r="E13" s="2">
        <v>24.855</v>
      </c>
      <c r="F13" s="2">
        <f t="shared" si="2"/>
        <v>0.15500000000000114</v>
      </c>
      <c r="G13" s="2">
        <f t="shared" si="3"/>
        <v>0</v>
      </c>
      <c r="H13" s="3" t="s">
        <v>144</v>
      </c>
      <c r="I13" s="4" t="s">
        <v>150</v>
      </c>
      <c r="J13" s="12">
        <f>F13/E13</f>
        <v>6.2361697847516046E-3</v>
      </c>
    </row>
    <row r="14" spans="2:10" ht="15.75">
      <c r="B14" s="4" t="s">
        <v>151</v>
      </c>
      <c r="C14" s="4" t="s">
        <v>137</v>
      </c>
      <c r="D14" s="2">
        <v>24.69</v>
      </c>
      <c r="E14" s="2">
        <v>24.614999999999998</v>
      </c>
      <c r="F14" s="2">
        <f t="shared" si="2"/>
        <v>7.5000000000002842E-2</v>
      </c>
      <c r="G14" s="2">
        <f t="shared" si="3"/>
        <v>0</v>
      </c>
      <c r="H14" s="3" t="s">
        <v>152</v>
      </c>
      <c r="I14" s="4" t="s">
        <v>153</v>
      </c>
      <c r="J14" s="12">
        <f>F14/E14</f>
        <v>3.0469226081658684E-3</v>
      </c>
    </row>
    <row r="15" spans="2:10" ht="15.75">
      <c r="B15" s="4" t="s">
        <v>151</v>
      </c>
      <c r="C15" s="4" t="s">
        <v>137</v>
      </c>
      <c r="D15" s="2">
        <v>24.89</v>
      </c>
      <c r="E15" s="2">
        <v>24.855</v>
      </c>
      <c r="F15" s="2">
        <f t="shared" si="2"/>
        <v>3.5000000000000142E-2</v>
      </c>
      <c r="G15" s="2">
        <f t="shared" si="3"/>
        <v>0</v>
      </c>
      <c r="H15" s="3" t="s">
        <v>154</v>
      </c>
      <c r="I15" s="4" t="s">
        <v>155</v>
      </c>
      <c r="J15" s="12">
        <f>F15/E15</f>
        <v>1.4081673707503578E-3</v>
      </c>
    </row>
    <row r="16" spans="2:10" ht="15.75">
      <c r="B16" s="4" t="s">
        <v>156</v>
      </c>
      <c r="C16" s="4" t="s">
        <v>137</v>
      </c>
      <c r="D16" s="2">
        <v>3.81</v>
      </c>
      <c r="E16" s="2">
        <v>3.8170000000000002</v>
      </c>
      <c r="F16" s="2">
        <f t="shared" si="0"/>
        <v>0</v>
      </c>
      <c r="G16" s="2">
        <f t="shared" si="1"/>
        <v>-7.0000000000001172E-3</v>
      </c>
      <c r="H16" s="3" t="s">
        <v>157</v>
      </c>
      <c r="I16" s="4" t="s">
        <v>158</v>
      </c>
      <c r="J16" s="12">
        <f>G16/E16</f>
        <v>-1.833900969347686E-3</v>
      </c>
    </row>
    <row r="17" spans="2:10" ht="15.75">
      <c r="B17" s="4" t="s">
        <v>159</v>
      </c>
      <c r="C17" s="4" t="s">
        <v>137</v>
      </c>
      <c r="D17" s="2">
        <v>24.5</v>
      </c>
      <c r="E17" s="2">
        <v>24.497</v>
      </c>
      <c r="F17" s="2">
        <f t="shared" si="0"/>
        <v>3.0000000000001137E-3</v>
      </c>
      <c r="G17" s="2">
        <f t="shared" si="1"/>
        <v>0</v>
      </c>
      <c r="H17" s="3" t="s">
        <v>46</v>
      </c>
      <c r="I17" s="4" t="s">
        <v>160</v>
      </c>
      <c r="J17" s="12">
        <f>F17/E17</f>
        <v>1.22463975180639E-4</v>
      </c>
    </row>
    <row r="18" spans="2:10" ht="15.75">
      <c r="B18" s="4" t="s">
        <v>161</v>
      </c>
      <c r="C18" s="4" t="s">
        <v>137</v>
      </c>
      <c r="D18" s="2">
        <v>33.82</v>
      </c>
      <c r="E18" s="2">
        <f>13.279+20.6</f>
        <v>33.879000000000005</v>
      </c>
      <c r="F18" s="2">
        <f t="shared" si="0"/>
        <v>0</v>
      </c>
      <c r="G18" s="2">
        <f t="shared" si="1"/>
        <v>-5.9000000000004604E-2</v>
      </c>
      <c r="H18" s="3" t="s">
        <v>16</v>
      </c>
      <c r="I18" s="4" t="s">
        <v>162</v>
      </c>
      <c r="J18" s="12">
        <f t="shared" ref="J18:J23" si="4">G18/E18</f>
        <v>-1.7414917795686E-3</v>
      </c>
    </row>
    <row r="19" spans="2:10" ht="15.75">
      <c r="B19" s="4" t="s">
        <v>161</v>
      </c>
      <c r="C19" s="4" t="s">
        <v>137</v>
      </c>
      <c r="D19" s="2">
        <v>32.35</v>
      </c>
      <c r="E19" s="2">
        <v>32.555999999999997</v>
      </c>
      <c r="F19" s="2">
        <f t="shared" si="0"/>
        <v>0</v>
      </c>
      <c r="G19" s="2">
        <f t="shared" si="1"/>
        <v>-0.20599999999999596</v>
      </c>
      <c r="H19" s="3" t="s">
        <v>13</v>
      </c>
      <c r="I19" s="4" t="s">
        <v>163</v>
      </c>
      <c r="J19" s="12">
        <f t="shared" si="4"/>
        <v>-6.3275586681409259E-3</v>
      </c>
    </row>
    <row r="20" spans="2:10" ht="15.75">
      <c r="B20" s="4" t="s">
        <v>164</v>
      </c>
      <c r="C20" s="4" t="s">
        <v>137</v>
      </c>
      <c r="D20" s="2">
        <v>33.51</v>
      </c>
      <c r="E20" s="2">
        <v>33.566000000000003</v>
      </c>
      <c r="F20" s="2">
        <f t="shared" si="0"/>
        <v>0</v>
      </c>
      <c r="G20" s="2">
        <f t="shared" si="1"/>
        <v>-5.6000000000004491E-2</v>
      </c>
      <c r="H20" s="3" t="s">
        <v>16</v>
      </c>
      <c r="I20" s="4" t="s">
        <v>165</v>
      </c>
      <c r="J20" s="12">
        <f t="shared" si="4"/>
        <v>-1.6683548829173713E-3</v>
      </c>
    </row>
    <row r="21" spans="2:10" ht="15.75">
      <c r="B21" s="4" t="s">
        <v>164</v>
      </c>
      <c r="C21" s="4" t="s">
        <v>137</v>
      </c>
      <c r="D21" s="2">
        <v>33.450000000000003</v>
      </c>
      <c r="E21" s="2">
        <v>33.61</v>
      </c>
      <c r="F21" s="2">
        <f t="shared" si="0"/>
        <v>0</v>
      </c>
      <c r="G21" s="2">
        <f t="shared" si="1"/>
        <v>-0.15999999999999659</v>
      </c>
      <c r="H21" s="3" t="s">
        <v>13</v>
      </c>
      <c r="I21" s="4" t="s">
        <v>166</v>
      </c>
      <c r="J21" s="12">
        <f t="shared" si="4"/>
        <v>-4.7604879500147751E-3</v>
      </c>
    </row>
    <row r="22" spans="2:10" ht="15.75">
      <c r="B22" s="4" t="s">
        <v>167</v>
      </c>
      <c r="C22" s="4" t="s">
        <v>137</v>
      </c>
      <c r="D22" s="2">
        <v>32.24</v>
      </c>
      <c r="E22" s="2">
        <v>32.445</v>
      </c>
      <c r="F22" s="2">
        <f t="shared" si="0"/>
        <v>0</v>
      </c>
      <c r="G22" s="2">
        <f t="shared" si="1"/>
        <v>-0.20499999999999829</v>
      </c>
      <c r="H22" s="3" t="s">
        <v>16</v>
      </c>
      <c r="I22" s="4" t="s">
        <v>168</v>
      </c>
      <c r="J22" s="12">
        <f t="shared" si="4"/>
        <v>-6.3183849591616058E-3</v>
      </c>
    </row>
    <row r="23" spans="2:10" ht="15.75">
      <c r="B23" s="4" t="s">
        <v>167</v>
      </c>
      <c r="C23" s="4" t="s">
        <v>137</v>
      </c>
      <c r="D23" s="2">
        <v>32.46</v>
      </c>
      <c r="E23" s="2">
        <v>32.731999999999999</v>
      </c>
      <c r="F23" s="2">
        <f t="shared" si="0"/>
        <v>0</v>
      </c>
      <c r="G23" s="2">
        <f t="shared" si="1"/>
        <v>-0.27199999999999847</v>
      </c>
      <c r="H23" s="3" t="s">
        <v>11</v>
      </c>
      <c r="I23" s="4" t="s">
        <v>169</v>
      </c>
      <c r="J23" s="12">
        <f t="shared" si="4"/>
        <v>-8.3099107906635244E-3</v>
      </c>
    </row>
    <row r="24" spans="2:10" ht="15.75">
      <c r="B24" s="4" t="s">
        <v>170</v>
      </c>
      <c r="C24" s="4" t="s">
        <v>137</v>
      </c>
      <c r="D24" s="2">
        <v>31.91</v>
      </c>
      <c r="E24" s="2">
        <v>31.890999999999998</v>
      </c>
      <c r="F24" s="2">
        <f t="shared" ref="F24:F25" si="5">IF(D24-E24&lt;=0,0,D24-E24)</f>
        <v>1.9000000000001904E-2</v>
      </c>
      <c r="G24" s="2">
        <f t="shared" ref="G24:G25" si="6">IF(D24-E24&gt;=0,0,D24-E24)</f>
        <v>0</v>
      </c>
      <c r="H24" s="3" t="s">
        <v>16</v>
      </c>
      <c r="I24" s="4" t="s">
        <v>171</v>
      </c>
      <c r="J24" s="12">
        <f>F24/E24</f>
        <v>5.9577937349101335E-4</v>
      </c>
    </row>
    <row r="25" spans="2:10" ht="15.75">
      <c r="B25" s="4" t="s">
        <v>170</v>
      </c>
      <c r="C25" s="4" t="s">
        <v>137</v>
      </c>
      <c r="D25" s="2">
        <v>32.29</v>
      </c>
      <c r="E25" s="2">
        <v>32.304000000000002</v>
      </c>
      <c r="F25" s="2">
        <f t="shared" si="5"/>
        <v>0</v>
      </c>
      <c r="G25" s="2">
        <f t="shared" si="6"/>
        <v>-1.4000000000002899E-2</v>
      </c>
      <c r="H25" s="3" t="s">
        <v>13</v>
      </c>
      <c r="I25" s="4" t="s">
        <v>172</v>
      </c>
      <c r="J25" s="12">
        <f>G25/E25</f>
        <v>-4.333828628034577E-4</v>
      </c>
    </row>
    <row r="26" spans="2:10" ht="15.75">
      <c r="B26" s="4" t="s">
        <v>170</v>
      </c>
      <c r="C26" s="4" t="s">
        <v>137</v>
      </c>
      <c r="D26" s="2">
        <v>32.24</v>
      </c>
      <c r="E26" s="2">
        <v>32.414999999999999</v>
      </c>
      <c r="F26" s="2">
        <f t="shared" ref="F26:F29" si="7">IF(D26-E26&lt;=0,0,D26-E26)</f>
        <v>0</v>
      </c>
      <c r="G26" s="2">
        <f t="shared" ref="G26:G29" si="8">IF(D26-E26&gt;=0,0,D26-E26)</f>
        <v>-0.17499999999999716</v>
      </c>
      <c r="H26" s="3" t="s">
        <v>11</v>
      </c>
      <c r="I26" s="4" t="s">
        <v>173</v>
      </c>
      <c r="J26" s="12">
        <f>F26/E26</f>
        <v>0</v>
      </c>
    </row>
    <row r="27" spans="2:10" ht="15.75">
      <c r="B27" s="4" t="s">
        <v>174</v>
      </c>
      <c r="C27" s="4" t="s">
        <v>137</v>
      </c>
      <c r="D27" s="2">
        <v>31.61</v>
      </c>
      <c r="E27" s="2">
        <v>31.831</v>
      </c>
      <c r="F27" s="2">
        <f t="shared" si="7"/>
        <v>0</v>
      </c>
      <c r="G27" s="2">
        <f t="shared" si="8"/>
        <v>-0.22100000000000009</v>
      </c>
      <c r="H27" s="3" t="s">
        <v>16</v>
      </c>
      <c r="I27" s="4" t="s">
        <v>175</v>
      </c>
      <c r="J27" s="12">
        <f>G27/E27</f>
        <v>-6.9429172818950106E-3</v>
      </c>
    </row>
    <row r="28" spans="2:10" ht="15.75">
      <c r="B28" s="4" t="s">
        <v>174</v>
      </c>
      <c r="C28" s="4" t="s">
        <v>137</v>
      </c>
      <c r="D28" s="2">
        <v>31.97</v>
      </c>
      <c r="E28" s="2">
        <v>32.078000000000003</v>
      </c>
      <c r="F28" s="2">
        <f t="shared" si="7"/>
        <v>0</v>
      </c>
      <c r="G28" s="2">
        <f t="shared" si="8"/>
        <v>-0.10800000000000409</v>
      </c>
      <c r="H28" s="3" t="s">
        <v>11</v>
      </c>
      <c r="I28" s="4" t="s">
        <v>176</v>
      </c>
      <c r="J28" s="12">
        <f>G28/E28</f>
        <v>-3.3667934409877202E-3</v>
      </c>
    </row>
    <row r="29" spans="2:10" ht="15.75">
      <c r="B29" s="4" t="s">
        <v>174</v>
      </c>
      <c r="C29" s="4" t="s">
        <v>137</v>
      </c>
      <c r="D29" s="2">
        <v>32.299999999999997</v>
      </c>
      <c r="E29" s="2">
        <v>32.344000000000001</v>
      </c>
      <c r="F29" s="2">
        <f t="shared" si="7"/>
        <v>0</v>
      </c>
      <c r="G29" s="2">
        <f t="shared" si="8"/>
        <v>-4.4000000000004036E-2</v>
      </c>
      <c r="H29" s="3" t="s">
        <v>13</v>
      </c>
      <c r="I29" s="4" t="s">
        <v>177</v>
      </c>
      <c r="J29" s="12">
        <f>G29/E29</f>
        <v>-1.3603759584468228E-3</v>
      </c>
    </row>
    <row r="30" spans="2:10" ht="15.75">
      <c r="B30" s="7"/>
      <c r="C30" s="7"/>
      <c r="D30" s="6">
        <f>SUM(D5:D29)</f>
        <v>716.37999999999988</v>
      </c>
      <c r="E30" s="6">
        <f>SUM(E5:E29)</f>
        <v>717.30000000000007</v>
      </c>
      <c r="F30" s="6">
        <f>SUM(F5:F29)</f>
        <v>0.92700000000000671</v>
      </c>
      <c r="G30" s="6">
        <f>SUM(G5:G29)</f>
        <v>-1.8470000000000035</v>
      </c>
      <c r="H30" s="10">
        <f>SUM(F30:G30)</f>
        <v>-0.91999999999999682</v>
      </c>
      <c r="I30" s="9"/>
      <c r="J30" s="11">
        <f>H30/E30</f>
        <v>-1.2825874808308892E-3</v>
      </c>
    </row>
  </sheetData>
  <mergeCells count="1">
    <mergeCell ref="B2:I2"/>
  </mergeCells>
  <pageMargins left="0.45" right="0.45" top="0.25" bottom="0.25" header="0.3" footer="0.3"/>
  <pageSetup paperSize="9" scale="71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B1:J97"/>
  <sheetViews>
    <sheetView zoomScaleSheetLayoutView="100" workbookViewId="0">
      <pane ySplit="4" topLeftCell="A82" activePane="bottomLeft" state="frozen"/>
      <selection pane="bottomLeft" activeCell="M89" sqref="M89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6.7109375" customWidth="1"/>
    <col min="9" max="9" width="35.42578125" hidden="1" customWidth="1"/>
    <col min="10" max="10" width="11.42578125" customWidth="1"/>
    <col min="11" max="11" width="12.28515625" bestFit="1" customWidth="1"/>
    <col min="13" max="13" width="15.28515625" bestFit="1" customWidth="1"/>
    <col min="14" max="14" width="9.42578125" bestFit="1" customWidth="1"/>
    <col min="17" max="17" width="12.85546875" bestFit="1" customWidth="1"/>
  </cols>
  <sheetData>
    <row r="1" spans="2:10" ht="15.75" thickBot="1"/>
    <row r="2" spans="2:10" ht="20.25" thickBot="1">
      <c r="B2" s="55" t="s">
        <v>285</v>
      </c>
      <c r="C2" s="56"/>
      <c r="D2" s="56"/>
      <c r="E2" s="56"/>
      <c r="F2" s="56"/>
      <c r="G2" s="56"/>
      <c r="H2" s="56"/>
      <c r="I2" s="57"/>
    </row>
    <row r="4" spans="2:10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4" t="s">
        <v>10</v>
      </c>
      <c r="J4" s="5" t="s">
        <v>7</v>
      </c>
    </row>
    <row r="5" spans="2:10" ht="15.75">
      <c r="B5" s="4" t="s">
        <v>178</v>
      </c>
      <c r="C5" s="4" t="s">
        <v>180</v>
      </c>
      <c r="D5" s="2">
        <v>24.38</v>
      </c>
      <c r="E5" s="2">
        <v>24.63</v>
      </c>
      <c r="F5" s="2">
        <f t="shared" ref="F5:F28" si="0">IF(D5-E5&lt;=0,0,D5-E5)</f>
        <v>0</v>
      </c>
      <c r="G5" s="2">
        <f t="shared" ref="G5:G29" si="1">IF(D5-E5&gt;=0,0,D5-E5)</f>
        <v>-0.25</v>
      </c>
      <c r="H5" s="3" t="s">
        <v>40</v>
      </c>
      <c r="I5" s="4" t="s">
        <v>140</v>
      </c>
      <c r="J5" s="12">
        <f t="shared" ref="J5:J27" si="2">G5/E5</f>
        <v>-1.0150223304912708E-2</v>
      </c>
    </row>
    <row r="6" spans="2:10" ht="15.75">
      <c r="B6" s="4" t="s">
        <v>178</v>
      </c>
      <c r="C6" s="4" t="s">
        <v>180</v>
      </c>
      <c r="D6" s="2">
        <v>32.270000000000003</v>
      </c>
      <c r="E6" s="2">
        <v>32.424999999999997</v>
      </c>
      <c r="F6" s="2">
        <f t="shared" si="0"/>
        <v>0</v>
      </c>
      <c r="G6" s="2">
        <f t="shared" si="1"/>
        <v>-0.15499999999999403</v>
      </c>
      <c r="H6" s="3" t="s">
        <v>11</v>
      </c>
      <c r="I6" s="4" t="s">
        <v>182</v>
      </c>
      <c r="J6" s="12">
        <f t="shared" si="2"/>
        <v>-4.7802621434076802E-3</v>
      </c>
    </row>
    <row r="7" spans="2:10" ht="15.75">
      <c r="B7" s="4" t="s">
        <v>178</v>
      </c>
      <c r="C7" s="4" t="s">
        <v>180</v>
      </c>
      <c r="D7" s="2">
        <v>31.97</v>
      </c>
      <c r="E7" s="2">
        <v>32.097000000000001</v>
      </c>
      <c r="F7" s="2">
        <f t="shared" si="0"/>
        <v>0</v>
      </c>
      <c r="G7" s="2">
        <f t="shared" si="1"/>
        <v>-0.12700000000000244</v>
      </c>
      <c r="H7" s="3" t="s">
        <v>15</v>
      </c>
      <c r="I7" s="4" t="s">
        <v>183</v>
      </c>
      <c r="J7" s="12">
        <f t="shared" si="2"/>
        <v>-3.9567560831231096E-3</v>
      </c>
    </row>
    <row r="8" spans="2:10" ht="15.75">
      <c r="B8" s="4" t="s">
        <v>178</v>
      </c>
      <c r="C8" s="4" t="s">
        <v>180</v>
      </c>
      <c r="D8" s="2">
        <v>24.63</v>
      </c>
      <c r="E8" s="2">
        <v>24.587</v>
      </c>
      <c r="F8" s="2">
        <f t="shared" si="0"/>
        <v>4.2999999999999261E-2</v>
      </c>
      <c r="G8" s="2">
        <f t="shared" si="1"/>
        <v>0</v>
      </c>
      <c r="H8" s="3" t="s">
        <v>53</v>
      </c>
      <c r="I8" s="4" t="s">
        <v>181</v>
      </c>
      <c r="J8" s="12">
        <f>F8/E8</f>
        <v>1.7488916907308441E-3</v>
      </c>
    </row>
    <row r="9" spans="2:10" ht="15.75">
      <c r="B9" s="4" t="s">
        <v>179</v>
      </c>
      <c r="C9" s="4" t="s">
        <v>180</v>
      </c>
      <c r="D9" s="2">
        <v>25.2</v>
      </c>
      <c r="E9" s="2">
        <v>25.27</v>
      </c>
      <c r="F9" s="2">
        <f t="shared" si="0"/>
        <v>0</v>
      </c>
      <c r="G9" s="2">
        <f t="shared" si="1"/>
        <v>-7.0000000000000284E-2</v>
      </c>
      <c r="H9" s="3" t="s">
        <v>147</v>
      </c>
      <c r="I9" s="4" t="s">
        <v>140</v>
      </c>
      <c r="J9" s="12">
        <f t="shared" si="2"/>
        <v>-2.7700831024930861E-3</v>
      </c>
    </row>
    <row r="10" spans="2:10" ht="15.75">
      <c r="B10" s="4" t="s">
        <v>185</v>
      </c>
      <c r="C10" s="4" t="s">
        <v>180</v>
      </c>
      <c r="D10" s="2">
        <v>29.85</v>
      </c>
      <c r="E10" s="2">
        <v>29.891999999999999</v>
      </c>
      <c r="F10" s="2">
        <f t="shared" si="0"/>
        <v>0</v>
      </c>
      <c r="G10" s="2">
        <f t="shared" si="1"/>
        <v>-4.1999999999998039E-2</v>
      </c>
      <c r="H10" s="3" t="s">
        <v>11</v>
      </c>
      <c r="I10" s="4" t="s">
        <v>186</v>
      </c>
      <c r="J10" s="12">
        <f t="shared" si="2"/>
        <v>-1.4050582095543303E-3</v>
      </c>
    </row>
    <row r="11" spans="2:10" ht="15.75">
      <c r="B11" s="4" t="s">
        <v>185</v>
      </c>
      <c r="C11" s="4" t="s">
        <v>180</v>
      </c>
      <c r="D11" s="2">
        <v>25.15</v>
      </c>
      <c r="E11" s="2">
        <v>25.151</v>
      </c>
      <c r="F11" s="2">
        <f t="shared" si="0"/>
        <v>0</v>
      </c>
      <c r="G11" s="2">
        <f t="shared" si="1"/>
        <v>-1.0000000000012221E-3</v>
      </c>
      <c r="H11" s="3" t="s">
        <v>44</v>
      </c>
      <c r="I11" s="4" t="s">
        <v>188</v>
      </c>
      <c r="J11" s="12">
        <f t="shared" si="2"/>
        <v>-3.9759850503010701E-5</v>
      </c>
    </row>
    <row r="12" spans="2:10" ht="15.75">
      <c r="B12" s="4" t="s">
        <v>185</v>
      </c>
      <c r="C12" s="4" t="s">
        <v>180</v>
      </c>
      <c r="D12" s="2">
        <v>24.87</v>
      </c>
      <c r="E12" s="2">
        <v>24.832999999999998</v>
      </c>
      <c r="F12" s="2">
        <f t="shared" si="0"/>
        <v>3.7000000000002586E-2</v>
      </c>
      <c r="G12" s="2">
        <f t="shared" si="1"/>
        <v>0</v>
      </c>
      <c r="H12" s="3" t="s">
        <v>187</v>
      </c>
      <c r="I12" s="4" t="s">
        <v>189</v>
      </c>
      <c r="J12" s="12">
        <f t="shared" ref="J12:J13" si="3">F12/E12</f>
        <v>1.489952885273732E-3</v>
      </c>
    </row>
    <row r="13" spans="2:10" ht="15.75">
      <c r="B13" s="4" t="s">
        <v>190</v>
      </c>
      <c r="C13" s="4" t="s">
        <v>180</v>
      </c>
      <c r="D13" s="2">
        <v>25.46</v>
      </c>
      <c r="E13" s="2">
        <v>25.236000000000001</v>
      </c>
      <c r="F13" s="2">
        <f t="shared" si="0"/>
        <v>0.2240000000000002</v>
      </c>
      <c r="G13" s="2">
        <f t="shared" si="1"/>
        <v>0</v>
      </c>
      <c r="H13" s="3" t="s">
        <v>46</v>
      </c>
      <c r="I13" s="4" t="s">
        <v>191</v>
      </c>
      <c r="J13" s="12">
        <f t="shared" si="3"/>
        <v>8.8762085909018934E-3</v>
      </c>
    </row>
    <row r="14" spans="2:10" ht="15.75">
      <c r="B14" s="4" t="s">
        <v>190</v>
      </c>
      <c r="C14" s="4" t="s">
        <v>180</v>
      </c>
      <c r="D14" s="2">
        <v>24.72</v>
      </c>
      <c r="E14" s="2">
        <v>24.817</v>
      </c>
      <c r="F14" s="2">
        <f t="shared" si="0"/>
        <v>0</v>
      </c>
      <c r="G14" s="2">
        <f t="shared" si="1"/>
        <v>-9.7000000000001307E-2</v>
      </c>
      <c r="H14" s="3" t="s">
        <v>41</v>
      </c>
      <c r="I14" s="4" t="s">
        <v>192</v>
      </c>
      <c r="J14" s="12">
        <f t="shared" si="2"/>
        <v>-3.9086110327598541E-3</v>
      </c>
    </row>
    <row r="15" spans="2:10" ht="15.75">
      <c r="B15" s="4" t="s">
        <v>190</v>
      </c>
      <c r="C15" s="4" t="s">
        <v>180</v>
      </c>
      <c r="D15" s="2">
        <v>24.74</v>
      </c>
      <c r="E15" s="2">
        <v>24.8</v>
      </c>
      <c r="F15" s="2">
        <f t="shared" si="0"/>
        <v>0</v>
      </c>
      <c r="G15" s="2">
        <f t="shared" si="1"/>
        <v>-6.0000000000002274E-2</v>
      </c>
      <c r="H15" s="3" t="s">
        <v>75</v>
      </c>
      <c r="I15" s="4" t="s">
        <v>193</v>
      </c>
      <c r="J15" s="12">
        <f t="shared" si="2"/>
        <v>-2.419354838709769E-3</v>
      </c>
    </row>
    <row r="16" spans="2:10" ht="15.75">
      <c r="B16" s="4" t="s">
        <v>190</v>
      </c>
      <c r="C16" s="4" t="s">
        <v>180</v>
      </c>
      <c r="D16" s="2">
        <v>31.97</v>
      </c>
      <c r="E16" s="2">
        <v>31.614000000000001</v>
      </c>
      <c r="F16" s="2">
        <f t="shared" si="0"/>
        <v>0.3559999999999981</v>
      </c>
      <c r="G16" s="2">
        <f t="shared" si="1"/>
        <v>0</v>
      </c>
      <c r="H16" s="3" t="s">
        <v>16</v>
      </c>
      <c r="I16" s="4" t="s">
        <v>194</v>
      </c>
      <c r="J16" s="12">
        <f>F16/E16</f>
        <v>1.1260833807806608E-2</v>
      </c>
    </row>
    <row r="17" spans="2:10" ht="15.75">
      <c r="B17" s="4" t="s">
        <v>195</v>
      </c>
      <c r="C17" s="4" t="s">
        <v>180</v>
      </c>
      <c r="D17" s="2">
        <v>25.17</v>
      </c>
      <c r="E17" s="2">
        <v>25.196000000000002</v>
      </c>
      <c r="F17" s="2">
        <f t="shared" si="0"/>
        <v>0</v>
      </c>
      <c r="G17" s="2">
        <f t="shared" si="1"/>
        <v>-2.5999999999999801E-2</v>
      </c>
      <c r="H17" s="3" t="s">
        <v>147</v>
      </c>
      <c r="I17" s="4" t="s">
        <v>199</v>
      </c>
      <c r="J17" s="12">
        <f t="shared" si="2"/>
        <v>-1.0319098269566519E-3</v>
      </c>
    </row>
    <row r="18" spans="2:10" ht="15.75">
      <c r="B18" s="4" t="s">
        <v>196</v>
      </c>
      <c r="C18" s="4" t="s">
        <v>180</v>
      </c>
      <c r="D18" s="2">
        <v>25.09</v>
      </c>
      <c r="E18" s="2">
        <v>25.123000000000001</v>
      </c>
      <c r="F18" s="2">
        <f t="shared" si="0"/>
        <v>0</v>
      </c>
      <c r="G18" s="2">
        <f t="shared" si="1"/>
        <v>-3.3000000000001251E-2</v>
      </c>
      <c r="H18" s="3" t="s">
        <v>198</v>
      </c>
      <c r="I18" s="4" t="s">
        <v>199</v>
      </c>
      <c r="J18" s="12">
        <f t="shared" si="2"/>
        <v>-1.3135373960116725E-3</v>
      </c>
    </row>
    <row r="19" spans="2:10" ht="15.75">
      <c r="B19" s="4" t="s">
        <v>196</v>
      </c>
      <c r="C19" s="4" t="s">
        <v>180</v>
      </c>
      <c r="D19" s="2">
        <v>31.91</v>
      </c>
      <c r="E19" s="2">
        <v>32.231999999999999</v>
      </c>
      <c r="F19" s="2">
        <f t="shared" si="0"/>
        <v>0</v>
      </c>
      <c r="G19" s="2">
        <f t="shared" si="1"/>
        <v>-0.32199999999999918</v>
      </c>
      <c r="H19" s="3" t="s">
        <v>16</v>
      </c>
      <c r="I19" s="4" t="s">
        <v>200</v>
      </c>
      <c r="J19" s="12">
        <f t="shared" si="2"/>
        <v>-9.9900719781583266E-3</v>
      </c>
    </row>
    <row r="20" spans="2:10" ht="15.75">
      <c r="B20" s="4" t="s">
        <v>196</v>
      </c>
      <c r="C20" s="4" t="s">
        <v>180</v>
      </c>
      <c r="D20" s="2">
        <v>12.8</v>
      </c>
      <c r="E20" s="2">
        <v>12.933999999999999</v>
      </c>
      <c r="F20" s="2">
        <f t="shared" si="0"/>
        <v>0</v>
      </c>
      <c r="G20" s="2">
        <f t="shared" si="1"/>
        <v>-0.13399999999999856</v>
      </c>
      <c r="H20" s="3" t="s">
        <v>9</v>
      </c>
      <c r="I20" s="4" t="s">
        <v>201</v>
      </c>
      <c r="J20" s="12">
        <f t="shared" si="2"/>
        <v>-1.0360290706664494E-2</v>
      </c>
    </row>
    <row r="21" spans="2:10" ht="15.75">
      <c r="B21" s="4" t="s">
        <v>196</v>
      </c>
      <c r="C21" s="4" t="s">
        <v>180</v>
      </c>
      <c r="D21" s="2">
        <v>24.69</v>
      </c>
      <c r="E21" s="2">
        <v>24.666</v>
      </c>
      <c r="F21" s="2">
        <f t="shared" si="0"/>
        <v>2.4000000000000909E-2</v>
      </c>
      <c r="G21" s="2">
        <f t="shared" si="1"/>
        <v>0</v>
      </c>
      <c r="H21" s="3" t="s">
        <v>53</v>
      </c>
      <c r="I21" s="4" t="s">
        <v>202</v>
      </c>
      <c r="J21" s="12">
        <f>F21/E21</f>
        <v>9.7299927025058417E-4</v>
      </c>
    </row>
    <row r="22" spans="2:10" ht="15.75">
      <c r="B22" s="4" t="s">
        <v>197</v>
      </c>
      <c r="C22" s="4" t="s">
        <v>180</v>
      </c>
      <c r="D22" s="2">
        <v>25.41</v>
      </c>
      <c r="E22" s="2">
        <v>25.454000000000001</v>
      </c>
      <c r="F22" s="2">
        <f t="shared" si="0"/>
        <v>0</v>
      </c>
      <c r="G22" s="2">
        <f t="shared" si="1"/>
        <v>-4.4000000000000483E-2</v>
      </c>
      <c r="H22" s="3" t="s">
        <v>46</v>
      </c>
      <c r="I22" s="4" t="s">
        <v>203</v>
      </c>
      <c r="J22" s="12">
        <f t="shared" si="2"/>
        <v>-1.7286084701815228E-3</v>
      </c>
    </row>
    <row r="23" spans="2:10" ht="15.75">
      <c r="B23" s="4" t="s">
        <v>197</v>
      </c>
      <c r="C23" s="4" t="s">
        <v>180</v>
      </c>
      <c r="D23" s="2">
        <v>24.99</v>
      </c>
      <c r="E23" s="2">
        <v>25.035</v>
      </c>
      <c r="F23" s="2">
        <f t="shared" si="0"/>
        <v>0</v>
      </c>
      <c r="G23" s="2">
        <f t="shared" si="1"/>
        <v>-4.5000000000001705E-2</v>
      </c>
      <c r="H23" s="3" t="s">
        <v>38</v>
      </c>
      <c r="I23" s="4" t="s">
        <v>207</v>
      </c>
      <c r="J23" s="12">
        <f t="shared" si="2"/>
        <v>-1.7974835230677732E-3</v>
      </c>
    </row>
    <row r="24" spans="2:10" ht="15.75">
      <c r="B24" s="4" t="s">
        <v>197</v>
      </c>
      <c r="C24" s="4" t="s">
        <v>206</v>
      </c>
      <c r="D24" s="2">
        <v>32.51</v>
      </c>
      <c r="E24" s="2">
        <v>32.387</v>
      </c>
      <c r="F24" s="2">
        <f t="shared" si="0"/>
        <v>0.12299999999999756</v>
      </c>
      <c r="G24" s="2">
        <f t="shared" si="1"/>
        <v>0</v>
      </c>
      <c r="H24" s="3" t="s">
        <v>204</v>
      </c>
      <c r="I24" s="4" t="s">
        <v>213</v>
      </c>
      <c r="J24" s="12">
        <f>F24/E24</f>
        <v>3.7978201130082303E-3</v>
      </c>
    </row>
    <row r="25" spans="2:10" ht="15.75">
      <c r="B25" s="4" t="s">
        <v>197</v>
      </c>
      <c r="C25" s="4" t="s">
        <v>206</v>
      </c>
      <c r="D25" s="2">
        <v>32.56</v>
      </c>
      <c r="E25" s="2">
        <v>32.768000000000001</v>
      </c>
      <c r="F25" s="2">
        <f t="shared" si="0"/>
        <v>0</v>
      </c>
      <c r="G25" s="2">
        <f t="shared" si="1"/>
        <v>-0.20799999999999841</v>
      </c>
      <c r="H25" s="3" t="s">
        <v>205</v>
      </c>
      <c r="I25" s="4" t="s">
        <v>213</v>
      </c>
      <c r="J25" s="12">
        <f t="shared" si="2"/>
        <v>-6.3476562499999514E-3</v>
      </c>
    </row>
    <row r="26" spans="2:10" ht="15.75">
      <c r="B26" s="4" t="s">
        <v>197</v>
      </c>
      <c r="C26" s="4" t="s">
        <v>206</v>
      </c>
      <c r="D26" s="2">
        <v>20.46</v>
      </c>
      <c r="E26" s="2">
        <v>20.448</v>
      </c>
      <c r="F26" s="2">
        <f t="shared" si="0"/>
        <v>1.2000000000000455E-2</v>
      </c>
      <c r="G26" s="2">
        <f t="shared" si="1"/>
        <v>0</v>
      </c>
      <c r="H26" s="3" t="s">
        <v>209</v>
      </c>
      <c r="I26" s="4" t="s">
        <v>213</v>
      </c>
      <c r="J26" s="12">
        <f>F26/E26</f>
        <v>5.8685446009391895E-4</v>
      </c>
    </row>
    <row r="27" spans="2:10" ht="15.75">
      <c r="B27" s="4" t="s">
        <v>208</v>
      </c>
      <c r="C27" s="4" t="s">
        <v>206</v>
      </c>
      <c r="D27" s="2">
        <v>32.770000000000003</v>
      </c>
      <c r="E27" s="2">
        <v>32.801000000000002</v>
      </c>
      <c r="F27" s="2">
        <f t="shared" si="0"/>
        <v>0</v>
      </c>
      <c r="G27" s="2">
        <f t="shared" si="1"/>
        <v>-3.0999999999998806E-2</v>
      </c>
      <c r="H27" s="3" t="s">
        <v>210</v>
      </c>
      <c r="I27" s="4" t="s">
        <v>213</v>
      </c>
      <c r="J27" s="12">
        <f t="shared" si="2"/>
        <v>-9.4509313740431095E-4</v>
      </c>
    </row>
    <row r="28" spans="2:10" ht="15.75">
      <c r="B28" s="4" t="s">
        <v>208</v>
      </c>
      <c r="C28" s="4" t="s">
        <v>206</v>
      </c>
      <c r="D28" s="2">
        <v>32.99</v>
      </c>
      <c r="E28" s="2">
        <v>32.765000000000001</v>
      </c>
      <c r="F28" s="2">
        <f t="shared" si="0"/>
        <v>0.22500000000000142</v>
      </c>
      <c r="G28" s="2">
        <f t="shared" si="1"/>
        <v>0</v>
      </c>
      <c r="H28" s="3" t="s">
        <v>211</v>
      </c>
      <c r="I28" s="4" t="s">
        <v>213</v>
      </c>
      <c r="J28" s="12">
        <f t="shared" ref="J28:J29" si="4">F28/E28</f>
        <v>6.8670837784221396E-3</v>
      </c>
    </row>
    <row r="29" spans="2:10" ht="15.75">
      <c r="B29" s="4" t="s">
        <v>208</v>
      </c>
      <c r="C29" s="4" t="s">
        <v>206</v>
      </c>
      <c r="D29" s="2">
        <v>32.71</v>
      </c>
      <c r="E29" s="2">
        <v>32.627000000000002</v>
      </c>
      <c r="F29" s="2">
        <f>IF(D29-E29&lt;=0,0,D29-E29)</f>
        <v>8.2999999999998408E-2</v>
      </c>
      <c r="G29" s="2">
        <f t="shared" si="1"/>
        <v>0</v>
      </c>
      <c r="H29" s="3" t="s">
        <v>212</v>
      </c>
      <c r="I29" s="4" t="s">
        <v>214</v>
      </c>
      <c r="J29" s="12">
        <f t="shared" si="4"/>
        <v>2.54390535446098E-3</v>
      </c>
    </row>
    <row r="30" spans="2:10" ht="15.75">
      <c r="B30" s="4" t="s">
        <v>208</v>
      </c>
      <c r="C30" s="4" t="s">
        <v>206</v>
      </c>
      <c r="D30" s="2">
        <v>32.450000000000003</v>
      </c>
      <c r="E30" s="2">
        <v>32.517000000000003</v>
      </c>
      <c r="F30" s="2">
        <f t="shared" ref="F30:F40" si="5">IF(D30-E30&lt;=0,0,D30-E30)</f>
        <v>0</v>
      </c>
      <c r="G30" s="2">
        <f t="shared" ref="G30:G38" si="6">IF(D30-E30&gt;=0,0,D30-E30)</f>
        <v>-6.7000000000000171E-2</v>
      </c>
      <c r="H30" s="3" t="s">
        <v>216</v>
      </c>
      <c r="I30" s="4" t="s">
        <v>213</v>
      </c>
      <c r="J30" s="12">
        <f t="shared" ref="J30:J95" si="7">G30/E30</f>
        <v>-2.0604606821047504E-3</v>
      </c>
    </row>
    <row r="31" spans="2:10" ht="15.75">
      <c r="B31" s="4" t="s">
        <v>215</v>
      </c>
      <c r="C31" s="4" t="s">
        <v>206</v>
      </c>
      <c r="D31" s="2">
        <v>32.44</v>
      </c>
      <c r="E31" s="2">
        <v>32.53</v>
      </c>
      <c r="F31" s="2">
        <f t="shared" si="5"/>
        <v>0</v>
      </c>
      <c r="G31" s="2">
        <f t="shared" si="6"/>
        <v>-9.0000000000003411E-2</v>
      </c>
      <c r="H31" s="3" t="s">
        <v>217</v>
      </c>
      <c r="I31" s="4" t="s">
        <v>220</v>
      </c>
      <c r="J31" s="12">
        <f t="shared" si="7"/>
        <v>-2.7666769136183034E-3</v>
      </c>
    </row>
    <row r="32" spans="2:10" ht="15.75">
      <c r="B32" s="4" t="s">
        <v>215</v>
      </c>
      <c r="C32" s="4" t="s">
        <v>206</v>
      </c>
      <c r="D32" s="2">
        <v>32.83</v>
      </c>
      <c r="E32" s="2">
        <v>32.975000000000001</v>
      </c>
      <c r="F32" s="2">
        <f t="shared" si="5"/>
        <v>0</v>
      </c>
      <c r="G32" s="2">
        <f t="shared" si="6"/>
        <v>-0.14500000000000313</v>
      </c>
      <c r="H32" s="3" t="s">
        <v>218</v>
      </c>
      <c r="I32" s="4" t="s">
        <v>220</v>
      </c>
      <c r="J32" s="12">
        <f t="shared" si="7"/>
        <v>-4.3972706595906937E-3</v>
      </c>
    </row>
    <row r="33" spans="2:10" ht="15.75">
      <c r="B33" s="4" t="s">
        <v>221</v>
      </c>
      <c r="C33" s="4" t="s">
        <v>180</v>
      </c>
      <c r="D33" s="2">
        <v>25.14</v>
      </c>
      <c r="E33" s="2">
        <v>25.113</v>
      </c>
      <c r="F33" s="2">
        <f t="shared" si="5"/>
        <v>2.7000000000001023E-2</v>
      </c>
      <c r="G33" s="2">
        <f t="shared" si="6"/>
        <v>0</v>
      </c>
      <c r="H33" s="3" t="s">
        <v>219</v>
      </c>
      <c r="I33" s="4" t="s">
        <v>29</v>
      </c>
      <c r="J33" s="12">
        <f>F33/E33</f>
        <v>1.0751403655477651E-3</v>
      </c>
    </row>
    <row r="34" spans="2:10" ht="15.75">
      <c r="B34" s="4" t="s">
        <v>221</v>
      </c>
      <c r="C34" s="4" t="s">
        <v>180</v>
      </c>
      <c r="D34" s="2">
        <v>32.22</v>
      </c>
      <c r="E34" s="2">
        <v>32.357999999999997</v>
      </c>
      <c r="F34" s="2">
        <f t="shared" si="5"/>
        <v>0</v>
      </c>
      <c r="G34" s="2">
        <f t="shared" si="6"/>
        <v>-0.13799999999999812</v>
      </c>
      <c r="H34" s="3" t="s">
        <v>15</v>
      </c>
      <c r="I34" s="4" t="s">
        <v>225</v>
      </c>
      <c r="J34" s="12">
        <f t="shared" si="7"/>
        <v>-4.2647876877433136E-3</v>
      </c>
    </row>
    <row r="35" spans="2:10" ht="15.75">
      <c r="B35" s="4" t="s">
        <v>222</v>
      </c>
      <c r="C35" s="4" t="s">
        <v>180</v>
      </c>
      <c r="D35" s="2">
        <v>25.04</v>
      </c>
      <c r="E35" s="2">
        <v>24.8</v>
      </c>
      <c r="F35" s="2">
        <f t="shared" si="5"/>
        <v>0.23999999999999844</v>
      </c>
      <c r="G35" s="2">
        <f t="shared" si="6"/>
        <v>0</v>
      </c>
      <c r="H35" s="3" t="s">
        <v>224</v>
      </c>
      <c r="I35" s="4" t="s">
        <v>226</v>
      </c>
      <c r="J35" s="12">
        <f>F35/E35</f>
        <v>9.6774193548386459E-3</v>
      </c>
    </row>
    <row r="36" spans="2:10" ht="15.75">
      <c r="B36" s="4" t="s">
        <v>223</v>
      </c>
      <c r="C36" s="4" t="s">
        <v>180</v>
      </c>
      <c r="D36" s="2">
        <v>32.89</v>
      </c>
      <c r="E36" s="2">
        <v>32.909999999999997</v>
      </c>
      <c r="F36" s="2">
        <f t="shared" si="5"/>
        <v>0</v>
      </c>
      <c r="G36" s="2">
        <f t="shared" si="6"/>
        <v>-1.9999999999996021E-2</v>
      </c>
      <c r="H36" s="3" t="s">
        <v>13</v>
      </c>
      <c r="I36" s="4" t="s">
        <v>227</v>
      </c>
      <c r="J36" s="12">
        <f t="shared" si="7"/>
        <v>-6.0771801883913775E-4</v>
      </c>
    </row>
    <row r="37" spans="2:10" ht="15.75">
      <c r="B37" s="4" t="s">
        <v>223</v>
      </c>
      <c r="C37" s="4" t="s">
        <v>180</v>
      </c>
      <c r="D37" s="2">
        <v>32.479999999999997</v>
      </c>
      <c r="E37" s="2">
        <v>32.686</v>
      </c>
      <c r="F37" s="2">
        <f t="shared" si="5"/>
        <v>0</v>
      </c>
      <c r="G37" s="2">
        <f t="shared" si="6"/>
        <v>-0.20600000000000307</v>
      </c>
      <c r="H37" s="3" t="s">
        <v>15</v>
      </c>
      <c r="I37" s="4" t="s">
        <v>229</v>
      </c>
      <c r="J37" s="12">
        <f t="shared" si="7"/>
        <v>-6.3023924616044504E-3</v>
      </c>
    </row>
    <row r="38" spans="2:10" ht="15.75">
      <c r="B38" s="4" t="s">
        <v>228</v>
      </c>
      <c r="C38" s="4" t="s">
        <v>180</v>
      </c>
      <c r="D38" s="2">
        <v>24.87</v>
      </c>
      <c r="E38" s="2">
        <v>25.209</v>
      </c>
      <c r="F38" s="2">
        <f t="shared" si="5"/>
        <v>0</v>
      </c>
      <c r="G38" s="2">
        <f t="shared" si="6"/>
        <v>-0.33899999999999864</v>
      </c>
      <c r="H38" s="3" t="s">
        <v>39</v>
      </c>
      <c r="I38" s="4" t="s">
        <v>140</v>
      </c>
      <c r="J38" s="12">
        <f t="shared" si="7"/>
        <v>-1.3447578245864518E-2</v>
      </c>
    </row>
    <row r="39" spans="2:10" ht="15.75">
      <c r="B39" s="4" t="s">
        <v>228</v>
      </c>
      <c r="C39" s="4" t="s">
        <v>180</v>
      </c>
      <c r="D39" s="2">
        <v>24.87</v>
      </c>
      <c r="E39" s="2">
        <v>24.571000000000002</v>
      </c>
      <c r="F39" s="2">
        <f t="shared" si="5"/>
        <v>0.29899999999999949</v>
      </c>
      <c r="G39" s="2">
        <f t="shared" ref="G39:G76" si="8">IF(D39-E39&gt;=0,0,D39-E39)</f>
        <v>0</v>
      </c>
      <c r="H39" s="3" t="s">
        <v>198</v>
      </c>
      <c r="I39" s="4" t="s">
        <v>233</v>
      </c>
      <c r="J39" s="12">
        <f>F39/E39</f>
        <v>1.2168816897969129E-2</v>
      </c>
    </row>
    <row r="40" spans="2:10" ht="15.75">
      <c r="B40" s="4" t="s">
        <v>228</v>
      </c>
      <c r="C40" s="4" t="s">
        <v>180</v>
      </c>
      <c r="D40" s="2">
        <v>24.73</v>
      </c>
      <c r="E40" s="2">
        <v>24.800999999999998</v>
      </c>
      <c r="F40" s="2">
        <f t="shared" si="5"/>
        <v>0</v>
      </c>
      <c r="G40" s="2">
        <f t="shared" si="8"/>
        <v>-7.0999999999997954E-2</v>
      </c>
      <c r="H40" s="3" t="s">
        <v>60</v>
      </c>
      <c r="I40" s="4" t="s">
        <v>234</v>
      </c>
      <c r="J40" s="12">
        <f t="shared" ref="J40" si="9">G40/E40</f>
        <v>-2.8627877908148042E-3</v>
      </c>
    </row>
    <row r="41" spans="2:10" ht="15.75">
      <c r="B41" s="4" t="s">
        <v>228</v>
      </c>
      <c r="C41" s="4" t="s">
        <v>180</v>
      </c>
      <c r="D41" s="2">
        <v>25.05</v>
      </c>
      <c r="E41" s="2">
        <v>24.969000000000001</v>
      </c>
      <c r="F41" s="2">
        <f t="shared" ref="F41:F76" si="10">IF(D41-E41&lt;=0,0,D41-E41)</f>
        <v>8.0999999999999517E-2</v>
      </c>
      <c r="G41" s="2">
        <f t="shared" si="8"/>
        <v>0</v>
      </c>
      <c r="H41" s="3" t="s">
        <v>230</v>
      </c>
      <c r="I41" s="4" t="s">
        <v>235</v>
      </c>
      <c r="J41" s="12">
        <f>F41/E41</f>
        <v>3.2440225880091119E-3</v>
      </c>
    </row>
    <row r="42" spans="2:10" ht="15.75">
      <c r="B42" s="4" t="s">
        <v>228</v>
      </c>
      <c r="C42" s="4" t="s">
        <v>180</v>
      </c>
      <c r="D42" s="2">
        <v>31.4</v>
      </c>
      <c r="E42" s="2">
        <v>31.462</v>
      </c>
      <c r="F42" s="2">
        <f t="shared" si="10"/>
        <v>0</v>
      </c>
      <c r="G42" s="2">
        <f t="shared" si="8"/>
        <v>-6.2000000000001165E-2</v>
      </c>
      <c r="H42" s="3" t="s">
        <v>13</v>
      </c>
      <c r="I42" s="4" t="s">
        <v>236</v>
      </c>
      <c r="J42" s="12">
        <f t="shared" ref="J42:J44" si="11">G42/E42</f>
        <v>-1.970631237683592E-3</v>
      </c>
    </row>
    <row r="43" spans="2:10" ht="15.75">
      <c r="B43" s="4" t="s">
        <v>231</v>
      </c>
      <c r="C43" s="4" t="s">
        <v>180</v>
      </c>
      <c r="D43" s="2">
        <v>25.16</v>
      </c>
      <c r="E43" s="2">
        <v>25.204999999999998</v>
      </c>
      <c r="F43" s="2">
        <f t="shared" si="10"/>
        <v>0</v>
      </c>
      <c r="G43" s="2">
        <f t="shared" si="8"/>
        <v>-4.4999999999998153E-2</v>
      </c>
      <c r="H43" s="3" t="s">
        <v>42</v>
      </c>
      <c r="I43" s="4" t="s">
        <v>236</v>
      </c>
      <c r="J43" s="12">
        <f t="shared" si="11"/>
        <v>-1.785360047609528E-3</v>
      </c>
    </row>
    <row r="44" spans="2:10" ht="15.75">
      <c r="B44" s="4" t="s">
        <v>231</v>
      </c>
      <c r="C44" s="4" t="s">
        <v>180</v>
      </c>
      <c r="D44" s="2">
        <v>24.71</v>
      </c>
      <c r="E44" s="2">
        <v>25.016999999999999</v>
      </c>
      <c r="F44" s="2">
        <f t="shared" si="10"/>
        <v>0</v>
      </c>
      <c r="G44" s="2">
        <f t="shared" si="8"/>
        <v>-0.30699999999999861</v>
      </c>
      <c r="H44" s="3" t="s">
        <v>61</v>
      </c>
      <c r="I44" s="4" t="s">
        <v>237</v>
      </c>
      <c r="J44" s="12">
        <f t="shared" si="11"/>
        <v>-1.2271655274413344E-2</v>
      </c>
    </row>
    <row r="45" spans="2:10" ht="15.75">
      <c r="B45" s="4" t="s">
        <v>232</v>
      </c>
      <c r="C45" s="4" t="s">
        <v>180</v>
      </c>
      <c r="D45" s="2">
        <v>24.44</v>
      </c>
      <c r="E45" s="2">
        <v>24.347000000000001</v>
      </c>
      <c r="F45" s="2">
        <f t="shared" si="10"/>
        <v>9.2999999999999972E-2</v>
      </c>
      <c r="G45" s="2">
        <f t="shared" si="8"/>
        <v>0</v>
      </c>
      <c r="H45" s="3" t="s">
        <v>39</v>
      </c>
      <c r="I45" s="4" t="s">
        <v>238</v>
      </c>
      <c r="J45" s="12">
        <f t="shared" ref="J45:J46" si="12">F45/E45</f>
        <v>3.8197724565654893E-3</v>
      </c>
    </row>
    <row r="46" spans="2:10" ht="15.75">
      <c r="B46" s="4" t="s">
        <v>232</v>
      </c>
      <c r="C46" s="4" t="s">
        <v>180</v>
      </c>
      <c r="D46" s="2">
        <v>24.69</v>
      </c>
      <c r="E46" s="2">
        <v>24.402999999999999</v>
      </c>
      <c r="F46" s="2">
        <f t="shared" si="10"/>
        <v>0.28700000000000259</v>
      </c>
      <c r="G46" s="2">
        <f t="shared" si="8"/>
        <v>0</v>
      </c>
      <c r="H46" s="3" t="s">
        <v>147</v>
      </c>
      <c r="I46" s="4" t="s">
        <v>239</v>
      </c>
      <c r="J46" s="12">
        <f t="shared" si="12"/>
        <v>1.1760849075933394E-2</v>
      </c>
    </row>
    <row r="47" spans="2:10" ht="15.75">
      <c r="B47" s="4" t="s">
        <v>232</v>
      </c>
      <c r="C47" s="4" t="s">
        <v>180</v>
      </c>
      <c r="D47" s="2">
        <v>33.159999999999997</v>
      </c>
      <c r="E47" s="2">
        <v>33.255000000000003</v>
      </c>
      <c r="F47" s="2">
        <f t="shared" si="10"/>
        <v>0</v>
      </c>
      <c r="G47" s="2">
        <f t="shared" si="8"/>
        <v>-9.5000000000005969E-2</v>
      </c>
      <c r="H47" s="3" t="s">
        <v>13</v>
      </c>
      <c r="I47" s="4" t="s">
        <v>227</v>
      </c>
      <c r="J47" s="12">
        <f t="shared" si="7"/>
        <v>-2.8567132761992469E-3</v>
      </c>
    </row>
    <row r="48" spans="2:10" ht="15.75">
      <c r="B48" s="4" t="s">
        <v>240</v>
      </c>
      <c r="C48" s="4" t="s">
        <v>180</v>
      </c>
      <c r="D48" s="2">
        <v>24.89</v>
      </c>
      <c r="E48" s="2">
        <v>24.911999999999999</v>
      </c>
      <c r="F48" s="2">
        <f t="shared" si="10"/>
        <v>0</v>
      </c>
      <c r="G48" s="2">
        <f t="shared" si="8"/>
        <v>-2.1999999999998465E-2</v>
      </c>
      <c r="H48" s="3" t="s">
        <v>75</v>
      </c>
      <c r="I48" s="4" t="s">
        <v>245</v>
      </c>
      <c r="J48" s="12">
        <f t="shared" si="7"/>
        <v>-8.8310854206801804E-4</v>
      </c>
    </row>
    <row r="49" spans="2:10" ht="15.75">
      <c r="B49" s="4" t="s">
        <v>241</v>
      </c>
      <c r="C49" s="4" t="s">
        <v>180</v>
      </c>
      <c r="D49" s="2">
        <v>24.75</v>
      </c>
      <c r="E49" s="2">
        <v>24.876999999999999</v>
      </c>
      <c r="F49" s="2">
        <f t="shared" si="10"/>
        <v>0</v>
      </c>
      <c r="G49" s="2">
        <f t="shared" si="8"/>
        <v>-0.12699999999999889</v>
      </c>
      <c r="H49" s="3" t="s">
        <v>230</v>
      </c>
      <c r="I49" s="4" t="s">
        <v>246</v>
      </c>
      <c r="J49" s="12">
        <f t="shared" si="7"/>
        <v>-5.1051171765083775E-3</v>
      </c>
    </row>
    <row r="50" spans="2:10" ht="15.75">
      <c r="B50" s="4" t="s">
        <v>241</v>
      </c>
      <c r="C50" s="4" t="s">
        <v>180</v>
      </c>
      <c r="D50" s="2">
        <v>24.96</v>
      </c>
      <c r="E50" s="2">
        <v>24.957999999999998</v>
      </c>
      <c r="F50" s="2">
        <f t="shared" si="10"/>
        <v>2.0000000000024443E-3</v>
      </c>
      <c r="G50" s="2">
        <f t="shared" si="8"/>
        <v>0</v>
      </c>
      <c r="H50" s="3" t="s">
        <v>243</v>
      </c>
      <c r="I50" s="4" t="s">
        <v>246</v>
      </c>
      <c r="J50" s="12">
        <f>F50/E50</f>
        <v>8.013462617206685E-5</v>
      </c>
    </row>
    <row r="51" spans="2:10" ht="15.75">
      <c r="B51" s="4" t="s">
        <v>241</v>
      </c>
      <c r="C51" s="4" t="s">
        <v>180</v>
      </c>
      <c r="D51" s="2">
        <v>24.8</v>
      </c>
      <c r="E51" s="2">
        <v>24.876999999999999</v>
      </c>
      <c r="F51" s="2">
        <f t="shared" si="10"/>
        <v>0</v>
      </c>
      <c r="G51" s="2">
        <f t="shared" si="8"/>
        <v>-7.6999999999998181E-2</v>
      </c>
      <c r="H51" s="3" t="s">
        <v>187</v>
      </c>
      <c r="I51" s="4" t="s">
        <v>246</v>
      </c>
      <c r="J51" s="12">
        <f t="shared" si="7"/>
        <v>-3.0952285243396787E-3</v>
      </c>
    </row>
    <row r="52" spans="2:10" ht="15.75">
      <c r="B52" s="4" t="s">
        <v>241</v>
      </c>
      <c r="C52" s="4" t="s">
        <v>180</v>
      </c>
      <c r="D52" s="2">
        <v>25.23</v>
      </c>
      <c r="E52" s="2">
        <v>25.279</v>
      </c>
      <c r="F52" s="2">
        <f t="shared" si="10"/>
        <v>0</v>
      </c>
      <c r="G52" s="2">
        <f t="shared" si="8"/>
        <v>-4.8999999999999488E-2</v>
      </c>
      <c r="H52" s="3" t="s">
        <v>38</v>
      </c>
      <c r="I52" s="4" t="s">
        <v>246</v>
      </c>
      <c r="J52" s="12">
        <f t="shared" si="7"/>
        <v>-1.9383678151825424E-3</v>
      </c>
    </row>
    <row r="53" spans="2:10" ht="15.75">
      <c r="B53" s="4" t="s">
        <v>241</v>
      </c>
      <c r="C53" s="4" t="s">
        <v>180</v>
      </c>
      <c r="D53" s="2">
        <v>24.77</v>
      </c>
      <c r="E53" s="2">
        <v>24.655999999999999</v>
      </c>
      <c r="F53" s="2">
        <f t="shared" si="10"/>
        <v>0.11400000000000077</v>
      </c>
      <c r="G53" s="2">
        <f t="shared" si="8"/>
        <v>0</v>
      </c>
      <c r="H53" s="3" t="s">
        <v>144</v>
      </c>
      <c r="I53" s="4" t="s">
        <v>247</v>
      </c>
      <c r="J53" s="12">
        <f>F53/E53</f>
        <v>4.6236210253082725E-3</v>
      </c>
    </row>
    <row r="54" spans="2:10" ht="15.75">
      <c r="B54" s="4" t="s">
        <v>242</v>
      </c>
      <c r="C54" s="4" t="s">
        <v>180</v>
      </c>
      <c r="D54" s="2">
        <v>25.38</v>
      </c>
      <c r="E54" s="2">
        <v>25.385999999999999</v>
      </c>
      <c r="F54" s="2">
        <f t="shared" si="10"/>
        <v>0</v>
      </c>
      <c r="G54" s="2">
        <f t="shared" si="8"/>
        <v>-6.0000000000002274E-3</v>
      </c>
      <c r="H54" s="3" t="s">
        <v>244</v>
      </c>
      <c r="I54" s="4" t="s">
        <v>248</v>
      </c>
      <c r="J54" s="12">
        <f t="shared" si="7"/>
        <v>-2.3635074450485414E-4</v>
      </c>
    </row>
    <row r="55" spans="2:10" ht="15.75">
      <c r="B55" s="4" t="s">
        <v>242</v>
      </c>
      <c r="C55" s="4" t="s">
        <v>180</v>
      </c>
      <c r="D55" s="2">
        <v>24.21</v>
      </c>
      <c r="E55" s="2">
        <v>24.337</v>
      </c>
      <c r="F55" s="2">
        <f t="shared" si="10"/>
        <v>0</v>
      </c>
      <c r="G55" s="2">
        <f t="shared" si="8"/>
        <v>-0.12699999999999889</v>
      </c>
      <c r="H55" s="3" t="s">
        <v>44</v>
      </c>
      <c r="I55" s="4" t="s">
        <v>250</v>
      </c>
      <c r="J55" s="12">
        <f t="shared" si="7"/>
        <v>-5.2183917491884328E-3</v>
      </c>
    </row>
    <row r="56" spans="2:10" ht="15.75">
      <c r="B56" s="4" t="s">
        <v>242</v>
      </c>
      <c r="C56" s="4" t="s">
        <v>180</v>
      </c>
      <c r="D56" s="2">
        <v>32.57</v>
      </c>
      <c r="E56" s="2">
        <v>32.664000000000001</v>
      </c>
      <c r="F56" s="2">
        <f t="shared" si="10"/>
        <v>0</v>
      </c>
      <c r="G56" s="2">
        <f t="shared" si="8"/>
        <v>-9.4000000000001194E-2</v>
      </c>
      <c r="H56" s="3" t="s">
        <v>13</v>
      </c>
      <c r="I56" s="4" t="s">
        <v>251</v>
      </c>
      <c r="J56" s="12">
        <f t="shared" si="7"/>
        <v>-2.8777859417095635E-3</v>
      </c>
    </row>
    <row r="57" spans="2:10" ht="15.75">
      <c r="B57" s="4" t="s">
        <v>249</v>
      </c>
      <c r="C57" s="4" t="s">
        <v>180</v>
      </c>
      <c r="D57" s="2">
        <v>31.2</v>
      </c>
      <c r="E57" s="2">
        <v>31.094999999999999</v>
      </c>
      <c r="F57" s="2">
        <f t="shared" si="10"/>
        <v>0.10500000000000043</v>
      </c>
      <c r="G57" s="2">
        <f t="shared" si="8"/>
        <v>0</v>
      </c>
      <c r="H57" s="3" t="s">
        <v>12</v>
      </c>
      <c r="I57" s="4" t="s">
        <v>34</v>
      </c>
      <c r="J57" s="12">
        <f>F57/E57</f>
        <v>3.3767486734201779E-3</v>
      </c>
    </row>
    <row r="58" spans="2:10" ht="15.75">
      <c r="B58" s="4" t="s">
        <v>249</v>
      </c>
      <c r="C58" s="4" t="s">
        <v>180</v>
      </c>
      <c r="D58" s="2">
        <v>31.71</v>
      </c>
      <c r="E58" s="2">
        <v>31.832999999999998</v>
      </c>
      <c r="F58" s="2">
        <f t="shared" si="10"/>
        <v>0</v>
      </c>
      <c r="G58" s="2">
        <f t="shared" si="8"/>
        <v>-0.12299999999999756</v>
      </c>
      <c r="H58" s="3" t="s">
        <v>15</v>
      </c>
      <c r="I58" s="4" t="s">
        <v>254</v>
      </c>
      <c r="J58" s="12">
        <f t="shared" si="7"/>
        <v>-3.8639148053905559E-3</v>
      </c>
    </row>
    <row r="59" spans="2:10" ht="15.75">
      <c r="B59" s="4" t="s">
        <v>249</v>
      </c>
      <c r="C59" s="4" t="s">
        <v>206</v>
      </c>
      <c r="D59" s="2">
        <v>17.27</v>
      </c>
      <c r="E59" s="2">
        <v>17.305</v>
      </c>
      <c r="F59" s="2">
        <f t="shared" si="10"/>
        <v>0</v>
      </c>
      <c r="G59" s="2">
        <f t="shared" si="8"/>
        <v>-3.5000000000000142E-2</v>
      </c>
      <c r="H59" s="3" t="s">
        <v>253</v>
      </c>
      <c r="I59" s="4" t="s">
        <v>255</v>
      </c>
      <c r="J59" s="12">
        <f t="shared" si="7"/>
        <v>-2.0225368390638628E-3</v>
      </c>
    </row>
    <row r="60" spans="2:10" ht="15.75">
      <c r="B60" s="4" t="s">
        <v>252</v>
      </c>
      <c r="C60" s="4" t="s">
        <v>180</v>
      </c>
      <c r="D60" s="2">
        <v>24.97</v>
      </c>
      <c r="E60" s="2">
        <v>25.085999999999999</v>
      </c>
      <c r="F60" s="2">
        <f t="shared" si="10"/>
        <v>0</v>
      </c>
      <c r="G60" s="2">
        <f t="shared" si="8"/>
        <v>-0.11599999999999966</v>
      </c>
      <c r="H60" s="3" t="s">
        <v>230</v>
      </c>
      <c r="I60" s="4" t="s">
        <v>246</v>
      </c>
      <c r="J60" s="12">
        <f t="shared" si="7"/>
        <v>-4.6240931196683275E-3</v>
      </c>
    </row>
    <row r="61" spans="2:10" ht="15.75">
      <c r="B61" s="4" t="s">
        <v>252</v>
      </c>
      <c r="C61" s="4" t="s">
        <v>180</v>
      </c>
      <c r="D61" s="2">
        <v>24.51</v>
      </c>
      <c r="E61" s="2">
        <v>24.526</v>
      </c>
      <c r="F61" s="2">
        <f t="shared" si="10"/>
        <v>0</v>
      </c>
      <c r="G61" s="2">
        <f t="shared" si="8"/>
        <v>-1.5999999999998238E-2</v>
      </c>
      <c r="H61" s="3" t="s">
        <v>41</v>
      </c>
      <c r="I61" s="4" t="s">
        <v>256</v>
      </c>
      <c r="J61" s="12">
        <f t="shared" si="7"/>
        <v>-6.5236891462114646E-4</v>
      </c>
    </row>
    <row r="62" spans="2:10" ht="15.75">
      <c r="B62" s="4" t="s">
        <v>252</v>
      </c>
      <c r="C62" s="4" t="s">
        <v>180</v>
      </c>
      <c r="D62" s="2">
        <v>24.9</v>
      </c>
      <c r="E62" s="2">
        <v>25.027000000000001</v>
      </c>
      <c r="F62" s="2">
        <f t="shared" si="10"/>
        <v>0</v>
      </c>
      <c r="G62" s="2">
        <f t="shared" si="8"/>
        <v>-0.12700000000000244</v>
      </c>
      <c r="H62" s="3" t="s">
        <v>42</v>
      </c>
      <c r="I62" s="4" t="s">
        <v>33</v>
      </c>
      <c r="J62" s="12">
        <f t="shared" si="7"/>
        <v>-5.0745195189196646E-3</v>
      </c>
    </row>
    <row r="63" spans="2:10" ht="15.75">
      <c r="B63" s="4" t="s">
        <v>252</v>
      </c>
      <c r="C63" s="4" t="s">
        <v>180</v>
      </c>
      <c r="D63" s="2">
        <v>24.78</v>
      </c>
      <c r="E63" s="2">
        <v>24.937000000000001</v>
      </c>
      <c r="F63" s="2">
        <f t="shared" si="10"/>
        <v>0</v>
      </c>
      <c r="G63" s="2">
        <f t="shared" si="8"/>
        <v>-0.15700000000000003</v>
      </c>
      <c r="H63" s="3" t="s">
        <v>60</v>
      </c>
      <c r="I63" s="4" t="s">
        <v>33</v>
      </c>
      <c r="J63" s="12">
        <f t="shared" si="7"/>
        <v>-6.2958655812647884E-3</v>
      </c>
    </row>
    <row r="64" spans="2:10" ht="15.75">
      <c r="B64" s="4" t="s">
        <v>252</v>
      </c>
      <c r="C64" s="4" t="s">
        <v>180</v>
      </c>
      <c r="D64" s="2">
        <v>33.04</v>
      </c>
      <c r="E64" s="2">
        <v>32.853000000000002</v>
      </c>
      <c r="F64" s="2">
        <f t="shared" si="10"/>
        <v>0.18699999999999761</v>
      </c>
      <c r="G64" s="2">
        <f t="shared" si="8"/>
        <v>0</v>
      </c>
      <c r="H64" s="3" t="s">
        <v>13</v>
      </c>
      <c r="I64" s="4" t="s">
        <v>258</v>
      </c>
      <c r="J64" s="12">
        <f t="shared" ref="J64:J66" si="13">F64/E64</f>
        <v>5.6920220375611848E-3</v>
      </c>
    </row>
    <row r="65" spans="2:10" ht="15.75">
      <c r="B65" s="4" t="s">
        <v>252</v>
      </c>
      <c r="C65" s="4" t="s">
        <v>180</v>
      </c>
      <c r="D65" s="2">
        <v>24.3</v>
      </c>
      <c r="E65" s="2">
        <v>24.257000000000001</v>
      </c>
      <c r="F65" s="2">
        <f t="shared" si="10"/>
        <v>4.2999999999999261E-2</v>
      </c>
      <c r="G65" s="2">
        <f t="shared" si="8"/>
        <v>0</v>
      </c>
      <c r="H65" s="3" t="s">
        <v>40</v>
      </c>
      <c r="I65" s="4" t="s">
        <v>259</v>
      </c>
      <c r="J65" s="12">
        <f t="shared" si="13"/>
        <v>1.7726841736405679E-3</v>
      </c>
    </row>
    <row r="66" spans="2:10" ht="15.75">
      <c r="B66" s="4" t="s">
        <v>252</v>
      </c>
      <c r="C66" s="4" t="s">
        <v>180</v>
      </c>
      <c r="D66" s="2">
        <v>25.21</v>
      </c>
      <c r="E66" s="2">
        <v>25.192</v>
      </c>
      <c r="F66" s="2">
        <f t="shared" si="10"/>
        <v>1.8000000000000682E-2</v>
      </c>
      <c r="G66" s="2">
        <f t="shared" si="8"/>
        <v>0</v>
      </c>
      <c r="H66" s="3" t="s">
        <v>75</v>
      </c>
      <c r="I66" s="4" t="s">
        <v>34</v>
      </c>
      <c r="J66" s="12">
        <f t="shared" si="13"/>
        <v>7.1451254366468255E-4</v>
      </c>
    </row>
    <row r="67" spans="2:10" ht="15.75">
      <c r="B67" s="4" t="s">
        <v>252</v>
      </c>
      <c r="C67" s="4" t="s">
        <v>180</v>
      </c>
      <c r="D67" s="2">
        <v>29.82</v>
      </c>
      <c r="E67" s="2">
        <v>29.873000000000001</v>
      </c>
      <c r="F67" s="2">
        <f t="shared" si="10"/>
        <v>0</v>
      </c>
      <c r="G67" s="2">
        <f t="shared" si="8"/>
        <v>-5.3000000000000824E-2</v>
      </c>
      <c r="H67" s="3" t="s">
        <v>15</v>
      </c>
      <c r="I67" s="4" t="s">
        <v>260</v>
      </c>
      <c r="J67" s="12">
        <f t="shared" ref="J67:J76" si="14">G67/E67</f>
        <v>-1.7741773507850174E-3</v>
      </c>
    </row>
    <row r="68" spans="2:10" ht="15.75">
      <c r="B68" s="4" t="s">
        <v>257</v>
      </c>
      <c r="C68" s="4" t="s">
        <v>180</v>
      </c>
      <c r="D68" s="2">
        <v>24.91</v>
      </c>
      <c r="E68" s="2">
        <v>24.91</v>
      </c>
      <c r="F68" s="2">
        <f t="shared" si="10"/>
        <v>0</v>
      </c>
      <c r="G68" s="2">
        <f t="shared" si="8"/>
        <v>0</v>
      </c>
      <c r="H68" s="3" t="s">
        <v>154</v>
      </c>
      <c r="I68" s="4" t="s">
        <v>33</v>
      </c>
      <c r="J68" s="12">
        <f t="shared" si="14"/>
        <v>0</v>
      </c>
    </row>
    <row r="69" spans="2:10" ht="15.75">
      <c r="B69" s="4" t="s">
        <v>257</v>
      </c>
      <c r="C69" s="4" t="s">
        <v>180</v>
      </c>
      <c r="D69" s="2">
        <v>24.94</v>
      </c>
      <c r="E69" s="2">
        <v>24.914000000000001</v>
      </c>
      <c r="F69" s="2">
        <f t="shared" si="10"/>
        <v>2.5999999999999801E-2</v>
      </c>
      <c r="G69" s="2">
        <f t="shared" si="8"/>
        <v>0</v>
      </c>
      <c r="H69" s="3" t="s">
        <v>46</v>
      </c>
      <c r="I69" s="4" t="s">
        <v>261</v>
      </c>
      <c r="J69" s="12">
        <f t="shared" ref="J69:J71" si="15">F69/E69</f>
        <v>1.0435899494260176E-3</v>
      </c>
    </row>
    <row r="70" spans="2:10" ht="15.75">
      <c r="B70" s="4" t="s">
        <v>257</v>
      </c>
      <c r="C70" s="4" t="s">
        <v>180</v>
      </c>
      <c r="D70" s="2">
        <v>32.090000000000003</v>
      </c>
      <c r="E70" s="2">
        <v>32.067</v>
      </c>
      <c r="F70" s="2">
        <f t="shared" si="10"/>
        <v>2.300000000000324E-2</v>
      </c>
      <c r="G70" s="2">
        <f t="shared" si="8"/>
        <v>0</v>
      </c>
      <c r="H70" s="3" t="s">
        <v>23</v>
      </c>
      <c r="I70" s="4" t="s">
        <v>26</v>
      </c>
      <c r="J70" s="12">
        <f t="shared" si="15"/>
        <v>7.1724826145268467E-4</v>
      </c>
    </row>
    <row r="71" spans="2:10" ht="15.75">
      <c r="B71" s="4" t="s">
        <v>257</v>
      </c>
      <c r="C71" s="4" t="s">
        <v>180</v>
      </c>
      <c r="D71" s="2">
        <v>25.15</v>
      </c>
      <c r="E71" s="2">
        <v>25.012</v>
      </c>
      <c r="F71" s="2">
        <f t="shared" si="10"/>
        <v>0.13799999999999812</v>
      </c>
      <c r="G71" s="2">
        <f t="shared" si="8"/>
        <v>0</v>
      </c>
      <c r="H71" s="3" t="s">
        <v>39</v>
      </c>
      <c r="I71" s="4" t="s">
        <v>263</v>
      </c>
      <c r="J71" s="12">
        <f t="shared" si="15"/>
        <v>5.5173516711977504E-3</v>
      </c>
    </row>
    <row r="72" spans="2:10" ht="15.75">
      <c r="B72" s="4" t="s">
        <v>257</v>
      </c>
      <c r="C72" s="4" t="s">
        <v>180</v>
      </c>
      <c r="D72" s="2">
        <v>24.81</v>
      </c>
      <c r="E72" s="2">
        <v>24.901</v>
      </c>
      <c r="F72" s="2">
        <f t="shared" si="10"/>
        <v>0</v>
      </c>
      <c r="G72" s="2">
        <f t="shared" si="8"/>
        <v>-9.100000000000108E-2</v>
      </c>
      <c r="H72" s="3" t="s">
        <v>147</v>
      </c>
      <c r="I72" s="4" t="s">
        <v>264</v>
      </c>
      <c r="J72" s="12">
        <f t="shared" si="14"/>
        <v>-3.6544717079635791E-3</v>
      </c>
    </row>
    <row r="73" spans="2:10" ht="15.75">
      <c r="B73" s="4" t="s">
        <v>257</v>
      </c>
      <c r="C73" s="4" t="s">
        <v>180</v>
      </c>
      <c r="D73" s="2">
        <v>24.32</v>
      </c>
      <c r="E73" s="2">
        <v>24.146999999999998</v>
      </c>
      <c r="F73" s="2">
        <f t="shared" si="10"/>
        <v>0.17300000000000182</v>
      </c>
      <c r="G73" s="2">
        <f t="shared" si="8"/>
        <v>0</v>
      </c>
      <c r="H73" s="3" t="s">
        <v>224</v>
      </c>
      <c r="I73" s="4" t="s">
        <v>33</v>
      </c>
      <c r="J73" s="12">
        <f>F73/E73</f>
        <v>7.164451070526435E-3</v>
      </c>
    </row>
    <row r="74" spans="2:10" ht="15.75">
      <c r="B74" s="4" t="s">
        <v>257</v>
      </c>
      <c r="C74" s="4" t="s">
        <v>180</v>
      </c>
      <c r="D74" s="2">
        <v>32.020000000000003</v>
      </c>
      <c r="E74" s="2">
        <v>32.43</v>
      </c>
      <c r="F74" s="2">
        <f t="shared" si="10"/>
        <v>0</v>
      </c>
      <c r="G74" s="2">
        <f t="shared" si="8"/>
        <v>-0.40999999999999659</v>
      </c>
      <c r="H74" s="3" t="s">
        <v>15</v>
      </c>
      <c r="I74" s="4" t="s">
        <v>265</v>
      </c>
      <c r="J74" s="12">
        <f t="shared" si="14"/>
        <v>-1.264261486278127E-2</v>
      </c>
    </row>
    <row r="75" spans="2:10" ht="15.75">
      <c r="B75" s="4" t="s">
        <v>262</v>
      </c>
      <c r="C75" s="4" t="s">
        <v>180</v>
      </c>
      <c r="D75" s="2">
        <v>28.89</v>
      </c>
      <c r="E75" s="2">
        <v>29.120999999999999</v>
      </c>
      <c r="F75" s="2">
        <f t="shared" si="10"/>
        <v>0</v>
      </c>
      <c r="G75" s="2">
        <f t="shared" si="8"/>
        <v>-0.2309999999999981</v>
      </c>
      <c r="H75" s="3" t="s">
        <v>23</v>
      </c>
      <c r="I75" s="4" t="s">
        <v>266</v>
      </c>
      <c r="J75" s="12">
        <f t="shared" si="14"/>
        <v>-7.9324199031626016E-3</v>
      </c>
    </row>
    <row r="76" spans="2:10" ht="15.75">
      <c r="B76" s="4" t="s">
        <v>262</v>
      </c>
      <c r="C76" s="4" t="s">
        <v>180</v>
      </c>
      <c r="D76" s="2">
        <v>24.97</v>
      </c>
      <c r="E76" s="2">
        <v>25.033000000000001</v>
      </c>
      <c r="F76" s="2">
        <f t="shared" si="10"/>
        <v>0</v>
      </c>
      <c r="G76" s="2">
        <f t="shared" si="8"/>
        <v>-6.3000000000002387E-2</v>
      </c>
      <c r="H76" s="3" t="s">
        <v>38</v>
      </c>
      <c r="I76" s="4" t="s">
        <v>267</v>
      </c>
      <c r="J76" s="12">
        <f t="shared" si="14"/>
        <v>-2.5166779850598164E-3</v>
      </c>
    </row>
    <row r="77" spans="2:10" ht="15.75">
      <c r="B77" s="4" t="s">
        <v>262</v>
      </c>
      <c r="C77" s="4" t="s">
        <v>180</v>
      </c>
      <c r="D77" s="2">
        <v>32.78</v>
      </c>
      <c r="E77" s="2">
        <v>32.619</v>
      </c>
      <c r="F77" s="2">
        <f t="shared" ref="F77:F96" si="16">IF(D77-E77&lt;=0,0,D77-E77)</f>
        <v>0.16100000000000136</v>
      </c>
      <c r="G77" s="2">
        <f t="shared" ref="G77:G96" si="17">IF(D77-E77&gt;=0,0,D77-E77)</f>
        <v>0</v>
      </c>
      <c r="H77" s="3" t="s">
        <v>13</v>
      </c>
      <c r="I77" s="4" t="s">
        <v>269</v>
      </c>
      <c r="J77" s="12">
        <f t="shared" ref="J77:J84" si="18">F77/E77</f>
        <v>4.9357736288666533E-3</v>
      </c>
    </row>
    <row r="78" spans="2:10" ht="15.75">
      <c r="B78" s="4" t="s">
        <v>262</v>
      </c>
      <c r="C78" s="4" t="s">
        <v>180</v>
      </c>
      <c r="D78" s="2">
        <v>24.25</v>
      </c>
      <c r="E78" s="2">
        <v>24.181999999999999</v>
      </c>
      <c r="F78" s="2">
        <f t="shared" si="16"/>
        <v>6.8000000000001393E-2</v>
      </c>
      <c r="G78" s="2">
        <f t="shared" si="17"/>
        <v>0</v>
      </c>
      <c r="H78" s="3" t="s">
        <v>40</v>
      </c>
      <c r="I78" s="4" t="s">
        <v>272</v>
      </c>
      <c r="J78" s="12">
        <f t="shared" si="18"/>
        <v>2.8120089322637249E-3</v>
      </c>
    </row>
    <row r="79" spans="2:10" ht="15.75">
      <c r="B79" s="4" t="s">
        <v>268</v>
      </c>
      <c r="C79" s="4" t="s">
        <v>180</v>
      </c>
      <c r="D79" s="2">
        <v>32.74</v>
      </c>
      <c r="E79" s="2">
        <v>32.549999999999997</v>
      </c>
      <c r="F79" s="2">
        <f t="shared" si="16"/>
        <v>0.19000000000000483</v>
      </c>
      <c r="G79" s="2">
        <f t="shared" si="17"/>
        <v>0</v>
      </c>
      <c r="H79" s="3" t="s">
        <v>13</v>
      </c>
      <c r="I79" s="4" t="s">
        <v>270</v>
      </c>
      <c r="J79" s="12">
        <f t="shared" si="18"/>
        <v>5.8371735791092122E-3</v>
      </c>
    </row>
    <row r="80" spans="2:10" ht="15.75">
      <c r="B80" s="4" t="s">
        <v>268</v>
      </c>
      <c r="C80" s="4" t="s">
        <v>180</v>
      </c>
      <c r="D80" s="2">
        <v>31.94</v>
      </c>
      <c r="E80" s="2">
        <v>31.928000000000001</v>
      </c>
      <c r="F80" s="2">
        <f t="shared" si="16"/>
        <v>1.2000000000000455E-2</v>
      </c>
      <c r="G80" s="2">
        <f t="shared" si="17"/>
        <v>0</v>
      </c>
      <c r="H80" s="3" t="s">
        <v>16</v>
      </c>
      <c r="I80" s="4" t="s">
        <v>271</v>
      </c>
      <c r="J80" s="12">
        <f t="shared" si="18"/>
        <v>3.7584565271863113E-4</v>
      </c>
    </row>
    <row r="81" spans="2:10" ht="15.75">
      <c r="B81" s="4" t="s">
        <v>268</v>
      </c>
      <c r="C81" s="4" t="s">
        <v>180</v>
      </c>
      <c r="D81" s="2">
        <v>25.43</v>
      </c>
      <c r="E81" s="2">
        <v>25.385999999999999</v>
      </c>
      <c r="F81" s="2">
        <f t="shared" si="16"/>
        <v>4.4000000000000483E-2</v>
      </c>
      <c r="G81" s="2">
        <f t="shared" si="17"/>
        <v>0</v>
      </c>
      <c r="H81" s="3" t="s">
        <v>243</v>
      </c>
      <c r="I81" s="4" t="s">
        <v>273</v>
      </c>
      <c r="J81" s="12">
        <f t="shared" si="18"/>
        <v>1.7332387930355504E-3</v>
      </c>
    </row>
    <row r="82" spans="2:10" ht="15.75">
      <c r="B82" s="4" t="s">
        <v>274</v>
      </c>
      <c r="C82" s="4" t="s">
        <v>180</v>
      </c>
      <c r="D82" s="2">
        <v>32.020000000000003</v>
      </c>
      <c r="E82" s="2">
        <v>31.896000000000001</v>
      </c>
      <c r="F82" s="2">
        <f t="shared" si="16"/>
        <v>0.12400000000000233</v>
      </c>
      <c r="G82" s="2">
        <f t="shared" si="17"/>
        <v>0</v>
      </c>
      <c r="H82" s="3" t="s">
        <v>16</v>
      </c>
      <c r="I82" s="4" t="s">
        <v>278</v>
      </c>
      <c r="J82" s="12">
        <f t="shared" si="18"/>
        <v>3.8876348131427867E-3</v>
      </c>
    </row>
    <row r="83" spans="2:10" ht="15.75">
      <c r="B83" s="4" t="s">
        <v>274</v>
      </c>
      <c r="C83" s="4" t="s">
        <v>180</v>
      </c>
      <c r="D83" s="2">
        <v>25.38</v>
      </c>
      <c r="E83" s="2">
        <v>25.334</v>
      </c>
      <c r="F83" s="2">
        <f t="shared" si="16"/>
        <v>4.5999999999999375E-2</v>
      </c>
      <c r="G83" s="2">
        <f t="shared" si="17"/>
        <v>0</v>
      </c>
      <c r="H83" s="3" t="s">
        <v>154</v>
      </c>
      <c r="I83" s="4" t="s">
        <v>279</v>
      </c>
      <c r="J83" s="12">
        <f t="shared" si="18"/>
        <v>1.8157416910081067E-3</v>
      </c>
    </row>
    <row r="84" spans="2:10" ht="15.75">
      <c r="B84" s="4" t="s">
        <v>274</v>
      </c>
      <c r="C84" s="4" t="s">
        <v>180</v>
      </c>
      <c r="D84" s="2">
        <v>32.08</v>
      </c>
      <c r="E84" s="2">
        <v>31.902000000000001</v>
      </c>
      <c r="F84" s="2">
        <f t="shared" si="16"/>
        <v>0.17799999999999727</v>
      </c>
      <c r="G84" s="2">
        <f t="shared" si="17"/>
        <v>0</v>
      </c>
      <c r="H84" s="3" t="s">
        <v>9</v>
      </c>
      <c r="I84" s="4" t="s">
        <v>280</v>
      </c>
      <c r="J84" s="12">
        <f t="shared" si="18"/>
        <v>5.5795874866778651E-3</v>
      </c>
    </row>
    <row r="85" spans="2:10" ht="15.75">
      <c r="B85" s="4" t="s">
        <v>275</v>
      </c>
      <c r="C85" s="4" t="s">
        <v>180</v>
      </c>
      <c r="D85" s="2">
        <v>31.98</v>
      </c>
      <c r="E85" s="2">
        <v>32.034999999999997</v>
      </c>
      <c r="F85" s="2">
        <f t="shared" si="16"/>
        <v>0</v>
      </c>
      <c r="G85" s="2">
        <f t="shared" si="17"/>
        <v>-5.4999999999996163E-2</v>
      </c>
      <c r="H85" s="3" t="s">
        <v>16</v>
      </c>
      <c r="I85" s="4" t="s">
        <v>281</v>
      </c>
      <c r="J85" s="12">
        <f t="shared" si="7"/>
        <v>-1.7168721710627804E-3</v>
      </c>
    </row>
    <row r="86" spans="2:10" ht="15.75">
      <c r="B86" s="4" t="s">
        <v>275</v>
      </c>
      <c r="C86" s="4" t="s">
        <v>180</v>
      </c>
      <c r="D86" s="2">
        <v>25.07</v>
      </c>
      <c r="E86" s="2">
        <v>24.946999999999999</v>
      </c>
      <c r="F86" s="2">
        <f t="shared" si="16"/>
        <v>0.12300000000000111</v>
      </c>
      <c r="G86" s="2">
        <f t="shared" si="17"/>
        <v>0</v>
      </c>
      <c r="H86" s="3" t="s">
        <v>244</v>
      </c>
      <c r="I86" s="4" t="s">
        <v>282</v>
      </c>
      <c r="J86" s="12">
        <f t="shared" ref="J86:J87" si="19">F86/E86</f>
        <v>4.9304525594260273E-3</v>
      </c>
    </row>
    <row r="87" spans="2:10" ht="15.75">
      <c r="B87" s="4" t="s">
        <v>275</v>
      </c>
      <c r="C87" s="4" t="s">
        <v>180</v>
      </c>
      <c r="D87" s="2">
        <v>25.13</v>
      </c>
      <c r="E87" s="2">
        <v>25.068000000000001</v>
      </c>
      <c r="F87" s="2">
        <f t="shared" si="16"/>
        <v>6.1999999999997613E-2</v>
      </c>
      <c r="G87" s="2">
        <f t="shared" si="17"/>
        <v>0</v>
      </c>
      <c r="H87" s="3" t="s">
        <v>277</v>
      </c>
      <c r="I87" s="4" t="s">
        <v>283</v>
      </c>
      <c r="J87" s="12">
        <f t="shared" si="19"/>
        <v>2.4732726982606354E-3</v>
      </c>
    </row>
    <row r="88" spans="2:10" ht="15.75">
      <c r="B88" s="4" t="s">
        <v>275</v>
      </c>
      <c r="C88" s="4" t="s">
        <v>180</v>
      </c>
      <c r="D88" s="2">
        <v>32.26</v>
      </c>
      <c r="E88" s="2">
        <v>32.308</v>
      </c>
      <c r="F88" s="2">
        <f t="shared" si="16"/>
        <v>0</v>
      </c>
      <c r="G88" s="2">
        <f t="shared" si="17"/>
        <v>-4.8000000000001819E-2</v>
      </c>
      <c r="H88" s="3" t="s">
        <v>9</v>
      </c>
      <c r="I88" s="4" t="s">
        <v>284</v>
      </c>
      <c r="J88" s="12">
        <f>G88/E88</f>
        <v>-1.4857001361892354E-3</v>
      </c>
    </row>
    <row r="89" spans="2:10" ht="15.75">
      <c r="B89" s="4" t="s">
        <v>276</v>
      </c>
      <c r="C89" s="4" t="s">
        <v>180</v>
      </c>
      <c r="D89" s="2">
        <v>32.22</v>
      </c>
      <c r="E89" s="2">
        <v>32.295000000000002</v>
      </c>
      <c r="F89" s="2">
        <f t="shared" si="16"/>
        <v>0</v>
      </c>
      <c r="G89" s="2">
        <f t="shared" si="17"/>
        <v>-7.5000000000002842E-2</v>
      </c>
      <c r="H89" s="3" t="s">
        <v>16</v>
      </c>
      <c r="I89" s="4"/>
      <c r="J89" s="12">
        <f t="shared" ref="J89:J93" si="20">G89/E89</f>
        <v>-2.322340919647092E-3</v>
      </c>
    </row>
    <row r="90" spans="2:10" ht="15.75">
      <c r="B90" s="4" t="s">
        <v>276</v>
      </c>
      <c r="C90" s="4" t="s">
        <v>180</v>
      </c>
      <c r="D90" s="2">
        <v>32.74</v>
      </c>
      <c r="E90" s="2">
        <f>32.448+0.006</f>
        <v>32.454000000000001</v>
      </c>
      <c r="F90" s="2">
        <f t="shared" si="16"/>
        <v>0.28600000000000136</v>
      </c>
      <c r="G90" s="2">
        <f t="shared" si="17"/>
        <v>0</v>
      </c>
      <c r="H90" s="3" t="s">
        <v>13</v>
      </c>
      <c r="I90" s="4"/>
      <c r="J90" s="12">
        <f t="shared" ref="J90:J91" si="21">F90/E90</f>
        <v>8.8124730387625985E-3</v>
      </c>
    </row>
    <row r="91" spans="2:10" ht="15.75">
      <c r="B91" s="4" t="s">
        <v>276</v>
      </c>
      <c r="C91" s="4" t="s">
        <v>180</v>
      </c>
      <c r="D91" s="2">
        <v>32.03</v>
      </c>
      <c r="E91" s="2">
        <v>31.9</v>
      </c>
      <c r="F91" s="2">
        <f t="shared" si="16"/>
        <v>0.13000000000000256</v>
      </c>
      <c r="G91" s="2">
        <f t="shared" si="17"/>
        <v>0</v>
      </c>
      <c r="H91" s="3" t="s">
        <v>287</v>
      </c>
      <c r="I91" s="4"/>
      <c r="J91" s="12">
        <f t="shared" si="21"/>
        <v>4.0752351097179491E-3</v>
      </c>
    </row>
    <row r="92" spans="2:10" ht="15.75">
      <c r="B92" s="4" t="s">
        <v>286</v>
      </c>
      <c r="C92" s="4" t="s">
        <v>180</v>
      </c>
      <c r="D92" s="2">
        <v>32</v>
      </c>
      <c r="E92" s="2">
        <v>32.094999999999999</v>
      </c>
      <c r="F92" s="2">
        <f t="shared" si="16"/>
        <v>0</v>
      </c>
      <c r="G92" s="2">
        <f t="shared" si="17"/>
        <v>-9.4999999999998863E-2</v>
      </c>
      <c r="H92" s="3" t="s">
        <v>16</v>
      </c>
      <c r="I92" s="4"/>
      <c r="J92" s="12">
        <f t="shared" si="20"/>
        <v>-2.9599626109985625E-3</v>
      </c>
    </row>
    <row r="93" spans="2:10" ht="15.75">
      <c r="B93" s="4" t="s">
        <v>286</v>
      </c>
      <c r="C93" s="4" t="s">
        <v>180</v>
      </c>
      <c r="D93" s="2">
        <v>31.09</v>
      </c>
      <c r="E93" s="2">
        <v>31.116</v>
      </c>
      <c r="F93" s="2">
        <f t="shared" si="16"/>
        <v>0</v>
      </c>
      <c r="G93" s="2">
        <f t="shared" si="17"/>
        <v>-2.5999999999999801E-2</v>
      </c>
      <c r="H93" s="3" t="s">
        <v>13</v>
      </c>
      <c r="I93" s="4"/>
      <c r="J93" s="12">
        <f t="shared" si="20"/>
        <v>-8.3558297981745089E-4</v>
      </c>
    </row>
    <row r="94" spans="2:10" ht="15.75">
      <c r="B94" s="4" t="s">
        <v>286</v>
      </c>
      <c r="C94" s="4" t="s">
        <v>180</v>
      </c>
      <c r="D94" s="2">
        <v>24.69</v>
      </c>
      <c r="E94" s="2">
        <v>24.634</v>
      </c>
      <c r="F94" s="2">
        <f t="shared" si="16"/>
        <v>5.6000000000000938E-2</v>
      </c>
      <c r="G94" s="2">
        <f t="shared" si="17"/>
        <v>0</v>
      </c>
      <c r="H94" s="3" t="s">
        <v>230</v>
      </c>
      <c r="I94" s="4"/>
      <c r="J94" s="12">
        <f>F94/E94</f>
        <v>2.2732808313713137E-3</v>
      </c>
    </row>
    <row r="95" spans="2:10" ht="15.75">
      <c r="B95" s="4" t="s">
        <v>286</v>
      </c>
      <c r="C95" s="4" t="s">
        <v>180</v>
      </c>
      <c r="D95" s="2">
        <v>24.91</v>
      </c>
      <c r="E95" s="2">
        <v>24.965</v>
      </c>
      <c r="F95" s="2">
        <f t="shared" si="16"/>
        <v>0</v>
      </c>
      <c r="G95" s="2">
        <f t="shared" si="17"/>
        <v>-5.4999999999999716E-2</v>
      </c>
      <c r="H95" s="3" t="s">
        <v>38</v>
      </c>
      <c r="I95" s="4"/>
      <c r="J95" s="12">
        <f t="shared" si="7"/>
        <v>-2.2030843180452521E-3</v>
      </c>
    </row>
    <row r="96" spans="2:10" ht="15.75">
      <c r="B96" s="4" t="s">
        <v>286</v>
      </c>
      <c r="C96" s="4" t="s">
        <v>180</v>
      </c>
      <c r="D96" s="2">
        <v>32.020000000000003</v>
      </c>
      <c r="E96" s="2">
        <v>31.766999999999999</v>
      </c>
      <c r="F96" s="2">
        <f t="shared" si="16"/>
        <v>0.25300000000000367</v>
      </c>
      <c r="G96" s="2">
        <f t="shared" si="17"/>
        <v>0</v>
      </c>
      <c r="H96" s="3" t="s">
        <v>12</v>
      </c>
      <c r="I96" s="4"/>
      <c r="J96" s="12">
        <f>F96/E96</f>
        <v>7.9642396197312833E-3</v>
      </c>
    </row>
    <row r="97" spans="2:10" ht="15.75">
      <c r="B97" s="7"/>
      <c r="C97" s="7"/>
      <c r="D97" s="6">
        <f>SUM(D5:D96)</f>
        <v>2545.9700000000012</v>
      </c>
      <c r="E97" s="6">
        <f>SUM(E5:E96)</f>
        <v>2546.7620000000006</v>
      </c>
      <c r="F97" s="6">
        <f>SUM(F5:F96)</f>
        <v>4.7160000000000188</v>
      </c>
      <c r="G97" s="6">
        <f>SUM(G5:G96)</f>
        <v>-5.5079999999999938</v>
      </c>
      <c r="H97" s="10">
        <f>SUM(F97:G97)</f>
        <v>-0.79199999999997495</v>
      </c>
      <c r="I97" s="9"/>
      <c r="J97" s="11">
        <f>H97/E97</f>
        <v>-3.1098312288308633E-4</v>
      </c>
    </row>
  </sheetData>
  <mergeCells count="1">
    <mergeCell ref="B2:I2"/>
  </mergeCells>
  <pageMargins left="0.45" right="0.45" top="0.25" bottom="0.25" header="0.3" footer="0.3"/>
  <pageSetup paperSize="9" scale="55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B1:J94"/>
  <sheetViews>
    <sheetView zoomScaleSheetLayoutView="100" workbookViewId="0">
      <pane ySplit="4" topLeftCell="A68" activePane="bottomLeft" state="frozen"/>
      <selection pane="bottomLeft" activeCell="H1" sqref="H1:J1048576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6.7109375" customWidth="1"/>
    <col min="9" max="9" width="35.42578125" customWidth="1"/>
    <col min="10" max="10" width="11.42578125" customWidth="1"/>
    <col min="11" max="11" width="12.28515625" bestFit="1" customWidth="1"/>
    <col min="13" max="13" width="15.28515625" bestFit="1" customWidth="1"/>
    <col min="14" max="14" width="9.42578125" bestFit="1" customWidth="1"/>
    <col min="17" max="17" width="12.85546875" bestFit="1" customWidth="1"/>
  </cols>
  <sheetData>
    <row r="1" spans="2:10" ht="15.75" thickBot="1"/>
    <row r="2" spans="2:10" ht="20.25" thickBot="1">
      <c r="B2" s="55" t="s">
        <v>368</v>
      </c>
      <c r="C2" s="56"/>
      <c r="D2" s="56"/>
      <c r="E2" s="56"/>
      <c r="F2" s="56"/>
      <c r="G2" s="56"/>
      <c r="H2" s="56"/>
      <c r="I2" s="57"/>
    </row>
    <row r="4" spans="2:10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4" t="s">
        <v>10</v>
      </c>
      <c r="J4" s="5" t="s">
        <v>7</v>
      </c>
    </row>
    <row r="5" spans="2:10" ht="15.75">
      <c r="B5" s="4" t="s">
        <v>288</v>
      </c>
      <c r="C5" s="4" t="s">
        <v>137</v>
      </c>
      <c r="D5" s="2">
        <v>31.83</v>
      </c>
      <c r="E5" s="2">
        <v>31.916</v>
      </c>
      <c r="F5" s="2">
        <f t="shared" ref="F5:F28" si="0">IF(D5-E5&lt;=0,0,D5-E5)</f>
        <v>0</v>
      </c>
      <c r="G5" s="2">
        <f t="shared" ref="G5:G68" si="1">IF(D5-E5&gt;=0,0,D5-E5)</f>
        <v>-8.6000000000002075E-2</v>
      </c>
      <c r="H5" s="3" t="s">
        <v>13</v>
      </c>
      <c r="I5" s="4"/>
      <c r="J5" s="12">
        <f>G5/E5</f>
        <v>-2.6945732547938987E-3</v>
      </c>
    </row>
    <row r="6" spans="2:10" ht="15.75">
      <c r="B6" s="4" t="s">
        <v>288</v>
      </c>
      <c r="C6" s="4" t="s">
        <v>137</v>
      </c>
      <c r="D6" s="2">
        <v>24</v>
      </c>
      <c r="E6" s="2">
        <v>24.731000000000002</v>
      </c>
      <c r="F6" s="2">
        <f t="shared" si="0"/>
        <v>0</v>
      </c>
      <c r="G6" s="2">
        <f t="shared" si="1"/>
        <v>-0.73100000000000165</v>
      </c>
      <c r="H6" s="3" t="s">
        <v>224</v>
      </c>
      <c r="I6" s="4"/>
      <c r="J6" s="12">
        <f>G6/E6</f>
        <v>-2.9558044559459852E-2</v>
      </c>
    </row>
    <row r="7" spans="2:10" ht="15.75">
      <c r="B7" s="4" t="s">
        <v>288</v>
      </c>
      <c r="C7" s="4" t="s">
        <v>137</v>
      </c>
      <c r="D7" s="2">
        <v>32.479999999999997</v>
      </c>
      <c r="E7" s="2">
        <v>32.207999999999998</v>
      </c>
      <c r="F7" s="2">
        <f t="shared" si="0"/>
        <v>0.27199999999999847</v>
      </c>
      <c r="G7" s="2">
        <f t="shared" si="1"/>
        <v>0</v>
      </c>
      <c r="H7" s="3" t="s">
        <v>23</v>
      </c>
      <c r="I7" s="4"/>
      <c r="J7" s="12">
        <f>F7/E7</f>
        <v>8.4451068057624958E-3</v>
      </c>
    </row>
    <row r="8" spans="2:10" ht="15.75">
      <c r="B8" s="4" t="s">
        <v>288</v>
      </c>
      <c r="C8" s="4" t="s">
        <v>137</v>
      </c>
      <c r="D8" s="2">
        <v>32.76</v>
      </c>
      <c r="E8" s="2">
        <v>32.787999999999997</v>
      </c>
      <c r="F8" s="2">
        <f t="shared" si="0"/>
        <v>0</v>
      </c>
      <c r="G8" s="2">
        <f t="shared" si="1"/>
        <v>-2.7999999999998693E-2</v>
      </c>
      <c r="H8" s="3" t="s">
        <v>289</v>
      </c>
      <c r="I8" s="4"/>
      <c r="J8" s="12">
        <f>G8/E8</f>
        <v>-8.5397096498715064E-4</v>
      </c>
    </row>
    <row r="9" spans="2:10" ht="15.75">
      <c r="B9" s="4" t="s">
        <v>290</v>
      </c>
      <c r="C9" s="4" t="s">
        <v>137</v>
      </c>
      <c r="D9" s="2">
        <v>25.37</v>
      </c>
      <c r="E9" s="2">
        <v>25.25</v>
      </c>
      <c r="F9" s="2">
        <f t="shared" si="0"/>
        <v>0.12000000000000099</v>
      </c>
      <c r="G9" s="2">
        <f t="shared" si="1"/>
        <v>0</v>
      </c>
      <c r="H9" s="3" t="s">
        <v>46</v>
      </c>
      <c r="I9" s="4"/>
      <c r="J9" s="12">
        <f>F9/E9</f>
        <v>4.7524752475247923E-3</v>
      </c>
    </row>
    <row r="10" spans="2:10" ht="15.75">
      <c r="B10" s="4" t="s">
        <v>290</v>
      </c>
      <c r="C10" s="4" t="s">
        <v>137</v>
      </c>
      <c r="D10" s="2">
        <v>31.96</v>
      </c>
      <c r="E10" s="2">
        <v>31.939</v>
      </c>
      <c r="F10" s="2">
        <f t="shared" si="0"/>
        <v>2.1000000000000796E-2</v>
      </c>
      <c r="G10" s="2">
        <f t="shared" si="1"/>
        <v>0</v>
      </c>
      <c r="H10" s="3" t="s">
        <v>13</v>
      </c>
      <c r="I10" s="4"/>
      <c r="J10" s="12">
        <f>F10/E10</f>
        <v>6.5750336579106403E-4</v>
      </c>
    </row>
    <row r="11" spans="2:10" ht="15.75">
      <c r="B11" s="4" t="s">
        <v>290</v>
      </c>
      <c r="C11" s="4" t="s">
        <v>137</v>
      </c>
      <c r="D11" s="2">
        <v>32.15</v>
      </c>
      <c r="E11" s="2">
        <v>32.594999999999999</v>
      </c>
      <c r="F11" s="2">
        <f t="shared" si="0"/>
        <v>0</v>
      </c>
      <c r="G11" s="2">
        <f t="shared" si="1"/>
        <v>-0.44500000000000028</v>
      </c>
      <c r="H11" s="3" t="s">
        <v>291</v>
      </c>
      <c r="I11" s="4"/>
      <c r="J11" s="12">
        <f t="shared" ref="J11:J12" si="2">G11/E11</f>
        <v>-1.3652400674950155E-2</v>
      </c>
    </row>
    <row r="12" spans="2:10" ht="15.75">
      <c r="B12" s="4" t="s">
        <v>290</v>
      </c>
      <c r="C12" s="4" t="s">
        <v>137</v>
      </c>
      <c r="D12" s="2">
        <v>31.6</v>
      </c>
      <c r="E12" s="2">
        <v>31.669</v>
      </c>
      <c r="F12" s="2">
        <f t="shared" si="0"/>
        <v>0</v>
      </c>
      <c r="G12" s="2">
        <f t="shared" si="1"/>
        <v>-6.8999999999999062E-2</v>
      </c>
      <c r="H12" s="3" t="s">
        <v>23</v>
      </c>
      <c r="I12" s="4"/>
      <c r="J12" s="12">
        <f t="shared" si="2"/>
        <v>-2.1787868262338268E-3</v>
      </c>
    </row>
    <row r="13" spans="2:10" ht="15.75">
      <c r="B13" s="4" t="s">
        <v>290</v>
      </c>
      <c r="C13" s="4" t="s">
        <v>137</v>
      </c>
      <c r="D13" s="2">
        <v>32.57</v>
      </c>
      <c r="E13" s="2">
        <v>32.543999999999997</v>
      </c>
      <c r="F13" s="2">
        <f t="shared" si="0"/>
        <v>2.6000000000003354E-2</v>
      </c>
      <c r="G13" s="2">
        <f t="shared" si="1"/>
        <v>0</v>
      </c>
      <c r="H13" s="3" t="s">
        <v>293</v>
      </c>
      <c r="I13" s="4"/>
      <c r="J13" s="12">
        <f>F13/E13</f>
        <v>7.989183874140658E-4</v>
      </c>
    </row>
    <row r="14" spans="2:10" ht="15.75">
      <c r="B14" s="4" t="s">
        <v>292</v>
      </c>
      <c r="C14" s="4" t="s">
        <v>137</v>
      </c>
      <c r="D14" s="2">
        <v>24.92</v>
      </c>
      <c r="E14" s="2">
        <v>24.946999999999999</v>
      </c>
      <c r="F14" s="2">
        <f t="shared" si="0"/>
        <v>0</v>
      </c>
      <c r="G14" s="2">
        <f t="shared" si="1"/>
        <v>-2.699999999999747E-2</v>
      </c>
      <c r="H14" s="3" t="s">
        <v>41</v>
      </c>
      <c r="I14" s="4"/>
      <c r="J14" s="12">
        <f t="shared" ref="J14:J15" si="3">G14/E14</f>
        <v>-1.0822944642641388E-3</v>
      </c>
    </row>
    <row r="15" spans="2:10" ht="15.75">
      <c r="B15" s="4" t="s">
        <v>292</v>
      </c>
      <c r="C15" s="4" t="s">
        <v>137</v>
      </c>
      <c r="D15" s="2">
        <v>32.11</v>
      </c>
      <c r="E15" s="2">
        <v>32.56</v>
      </c>
      <c r="F15" s="2">
        <f t="shared" si="0"/>
        <v>0</v>
      </c>
      <c r="G15" s="2">
        <f t="shared" si="1"/>
        <v>-0.45000000000000284</v>
      </c>
      <c r="H15" s="3" t="s">
        <v>294</v>
      </c>
      <c r="I15" s="4"/>
      <c r="J15" s="12">
        <f t="shared" si="3"/>
        <v>-1.3820638820638907E-2</v>
      </c>
    </row>
    <row r="16" spans="2:10" ht="15.75">
      <c r="B16" s="4" t="s">
        <v>292</v>
      </c>
      <c r="C16" s="4" t="s">
        <v>137</v>
      </c>
      <c r="D16" s="2">
        <v>25.12</v>
      </c>
      <c r="E16" s="2">
        <v>25.01</v>
      </c>
      <c r="F16" s="2">
        <f t="shared" si="0"/>
        <v>0.10999999999999943</v>
      </c>
      <c r="G16" s="2">
        <f t="shared" si="1"/>
        <v>0</v>
      </c>
      <c r="H16" s="3" t="s">
        <v>60</v>
      </c>
      <c r="I16" s="4"/>
      <c r="J16" s="12">
        <f>F16/E16</f>
        <v>4.3982407037184892E-3</v>
      </c>
    </row>
    <row r="17" spans="2:10" ht="15.75">
      <c r="B17" s="4" t="s">
        <v>292</v>
      </c>
      <c r="C17" s="4" t="s">
        <v>137</v>
      </c>
      <c r="D17" s="2">
        <v>31.87</v>
      </c>
      <c r="E17" s="2">
        <v>32.33</v>
      </c>
      <c r="F17" s="2">
        <f t="shared" si="0"/>
        <v>0</v>
      </c>
      <c r="G17" s="2">
        <f t="shared" si="1"/>
        <v>-0.4599999999999973</v>
      </c>
      <c r="H17" s="3" t="s">
        <v>13</v>
      </c>
      <c r="I17" s="4"/>
      <c r="J17" s="12">
        <f>G17/E17</f>
        <v>-1.4228270955768554E-2</v>
      </c>
    </row>
    <row r="18" spans="2:10" ht="15.75">
      <c r="B18" s="4" t="s">
        <v>292</v>
      </c>
      <c r="C18" s="4" t="s">
        <v>137</v>
      </c>
      <c r="D18" s="2">
        <v>32.57</v>
      </c>
      <c r="E18" s="2">
        <v>32.537999999999997</v>
      </c>
      <c r="F18" s="2">
        <f t="shared" si="0"/>
        <v>3.2000000000003581E-2</v>
      </c>
      <c r="G18" s="2">
        <f t="shared" si="1"/>
        <v>0</v>
      </c>
      <c r="H18" s="3" t="s">
        <v>16</v>
      </c>
      <c r="I18" s="4"/>
      <c r="J18" s="12">
        <f>F18/E18</f>
        <v>9.834654865081931E-4</v>
      </c>
    </row>
    <row r="19" spans="2:10" ht="15.75">
      <c r="B19" s="4" t="s">
        <v>295</v>
      </c>
      <c r="C19" s="4" t="s">
        <v>137</v>
      </c>
      <c r="D19" s="2">
        <v>31.33</v>
      </c>
      <c r="E19" s="2">
        <v>31.393999999999998</v>
      </c>
      <c r="F19" s="2">
        <f t="shared" si="0"/>
        <v>0</v>
      </c>
      <c r="G19" s="2">
        <f t="shared" si="1"/>
        <v>-6.4000000000000057E-2</v>
      </c>
      <c r="H19" s="3" t="s">
        <v>16</v>
      </c>
      <c r="I19" s="4"/>
      <c r="J19" s="12">
        <f>G19/E19</f>
        <v>-2.0386061030770231E-3</v>
      </c>
    </row>
    <row r="20" spans="2:10" ht="15.75">
      <c r="B20" s="4" t="s">
        <v>295</v>
      </c>
      <c r="C20" s="4" t="s">
        <v>137</v>
      </c>
      <c r="D20" s="2">
        <v>25.45</v>
      </c>
      <c r="E20" s="2">
        <v>25.350999999999999</v>
      </c>
      <c r="F20" s="2">
        <f t="shared" si="0"/>
        <v>9.9000000000000199E-2</v>
      </c>
      <c r="G20" s="2">
        <f t="shared" si="1"/>
        <v>0</v>
      </c>
      <c r="H20" s="3" t="s">
        <v>296</v>
      </c>
      <c r="I20" s="4"/>
      <c r="J20" s="12">
        <f>F20/E20</f>
        <v>3.9051713936333952E-3</v>
      </c>
    </row>
    <row r="21" spans="2:10" ht="15.75">
      <c r="B21" s="4" t="s">
        <v>295</v>
      </c>
      <c r="C21" s="4" t="s">
        <v>137</v>
      </c>
      <c r="D21" s="2">
        <v>24.54</v>
      </c>
      <c r="E21" s="2">
        <v>24.835999999999999</v>
      </c>
      <c r="F21" s="2">
        <f t="shared" si="0"/>
        <v>0</v>
      </c>
      <c r="G21" s="2">
        <f t="shared" si="1"/>
        <v>-0.29599999999999937</v>
      </c>
      <c r="H21" s="3" t="s">
        <v>297</v>
      </c>
      <c r="I21" s="4"/>
      <c r="J21" s="12">
        <f t="shared" ref="J21:J33" si="4">G21/E21</f>
        <v>-1.1918183282332073E-2</v>
      </c>
    </row>
    <row r="22" spans="2:10" ht="15.75">
      <c r="B22" s="4" t="s">
        <v>298</v>
      </c>
      <c r="C22" s="4" t="s">
        <v>137</v>
      </c>
      <c r="D22" s="2">
        <v>31.99</v>
      </c>
      <c r="E22" s="2">
        <v>32.100999999999999</v>
      </c>
      <c r="F22" s="2">
        <f t="shared" si="0"/>
        <v>0</v>
      </c>
      <c r="G22" s="2">
        <f t="shared" si="1"/>
        <v>-0.11100000000000065</v>
      </c>
      <c r="H22" s="3" t="s">
        <v>300</v>
      </c>
      <c r="I22" s="4"/>
      <c r="J22" s="12">
        <f t="shared" si="4"/>
        <v>-3.4578362044796317E-3</v>
      </c>
    </row>
    <row r="23" spans="2:10" ht="15.75">
      <c r="B23" s="4" t="s">
        <v>299</v>
      </c>
      <c r="C23" s="4" t="s">
        <v>137</v>
      </c>
      <c r="D23" s="2">
        <v>25.04</v>
      </c>
      <c r="E23" s="2">
        <v>25.091999999999999</v>
      </c>
      <c r="F23" s="2">
        <f t="shared" si="0"/>
        <v>0</v>
      </c>
      <c r="G23" s="2">
        <f t="shared" si="1"/>
        <v>-5.1999999999999602E-2</v>
      </c>
      <c r="H23" s="3" t="s">
        <v>198</v>
      </c>
      <c r="I23" s="4"/>
      <c r="J23" s="12">
        <f t="shared" si="4"/>
        <v>-2.0723736649131039E-3</v>
      </c>
    </row>
    <row r="24" spans="2:10" ht="15.75">
      <c r="B24" s="4" t="s">
        <v>299</v>
      </c>
      <c r="C24" s="4" t="s">
        <v>137</v>
      </c>
      <c r="D24" s="2">
        <v>24.97</v>
      </c>
      <c r="E24" s="2">
        <v>25.073</v>
      </c>
      <c r="F24" s="2">
        <f t="shared" si="0"/>
        <v>0</v>
      </c>
      <c r="G24" s="2">
        <f t="shared" si="1"/>
        <v>-0.10300000000000153</v>
      </c>
      <c r="H24" s="3" t="s">
        <v>224</v>
      </c>
      <c r="I24" s="4"/>
      <c r="J24" s="12">
        <f t="shared" si="4"/>
        <v>-4.1080046264907084E-3</v>
      </c>
    </row>
    <row r="25" spans="2:10" ht="15.75">
      <c r="B25" s="4" t="s">
        <v>299</v>
      </c>
      <c r="C25" s="4" t="s">
        <v>137</v>
      </c>
      <c r="D25" s="2">
        <v>30.79</v>
      </c>
      <c r="E25" s="2">
        <v>31.077999999999999</v>
      </c>
      <c r="F25" s="2">
        <f t="shared" si="0"/>
        <v>0</v>
      </c>
      <c r="G25" s="2">
        <f t="shared" si="1"/>
        <v>-0.28800000000000026</v>
      </c>
      <c r="H25" s="3" t="s">
        <v>16</v>
      </c>
      <c r="I25" s="4"/>
      <c r="J25" s="12">
        <f t="shared" si="4"/>
        <v>-9.267005598815891E-3</v>
      </c>
    </row>
    <row r="26" spans="2:10" ht="15.75">
      <c r="B26" s="4" t="s">
        <v>299</v>
      </c>
      <c r="C26" s="4" t="s">
        <v>137</v>
      </c>
      <c r="D26" s="2">
        <v>24.33</v>
      </c>
      <c r="E26" s="2">
        <v>24.741</v>
      </c>
      <c r="F26" s="2">
        <f t="shared" si="0"/>
        <v>0</v>
      </c>
      <c r="G26" s="2">
        <f t="shared" si="1"/>
        <v>-0.41100000000000136</v>
      </c>
      <c r="H26" s="3" t="s">
        <v>108</v>
      </c>
      <c r="I26" s="4"/>
      <c r="J26" s="12">
        <f t="shared" si="4"/>
        <v>-1.6612101370195278E-2</v>
      </c>
    </row>
    <row r="27" spans="2:10" ht="15.75">
      <c r="B27" s="4" t="s">
        <v>299</v>
      </c>
      <c r="C27" s="4" t="s">
        <v>137</v>
      </c>
      <c r="D27" s="2">
        <v>19.45</v>
      </c>
      <c r="E27" s="2">
        <v>19.672000000000001</v>
      </c>
      <c r="F27" s="2">
        <f t="shared" si="0"/>
        <v>0</v>
      </c>
      <c r="G27" s="2">
        <f t="shared" si="1"/>
        <v>-0.22200000000000131</v>
      </c>
      <c r="H27" s="3" t="s">
        <v>302</v>
      </c>
      <c r="I27" s="4"/>
      <c r="J27" s="12">
        <f t="shared" si="4"/>
        <v>-1.1285075233834959E-2</v>
      </c>
    </row>
    <row r="28" spans="2:10" ht="15.75">
      <c r="B28" s="4" t="s">
        <v>301</v>
      </c>
      <c r="C28" s="4" t="s">
        <v>137</v>
      </c>
      <c r="D28" s="2">
        <v>24.58</v>
      </c>
      <c r="E28" s="2">
        <v>24.716000000000001</v>
      </c>
      <c r="F28" s="2">
        <f t="shared" si="0"/>
        <v>0</v>
      </c>
      <c r="G28" s="2">
        <f t="shared" si="1"/>
        <v>-0.13600000000000279</v>
      </c>
      <c r="H28" s="3" t="s">
        <v>198</v>
      </c>
      <c r="I28" s="4"/>
      <c r="J28" s="12">
        <f t="shared" si="4"/>
        <v>-5.5025084965205848E-3</v>
      </c>
    </row>
    <row r="29" spans="2:10" ht="15.75">
      <c r="B29" s="4" t="s">
        <v>301</v>
      </c>
      <c r="C29" s="4" t="s">
        <v>137</v>
      </c>
      <c r="D29" s="2">
        <v>24.3</v>
      </c>
      <c r="E29" s="2">
        <v>24.567</v>
      </c>
      <c r="F29" s="2">
        <f>IF(D29-E29&lt;=0,0,D29-E29)</f>
        <v>0</v>
      </c>
      <c r="G29" s="2">
        <f t="shared" si="1"/>
        <v>-0.26699999999999946</v>
      </c>
      <c r="H29" s="3" t="s">
        <v>224</v>
      </c>
      <c r="I29" s="4"/>
      <c r="J29" s="12">
        <f t="shared" si="4"/>
        <v>-1.0868237880083016E-2</v>
      </c>
    </row>
    <row r="30" spans="2:10" ht="15.75">
      <c r="B30" s="4" t="s">
        <v>301</v>
      </c>
      <c r="C30" s="4" t="s">
        <v>137</v>
      </c>
      <c r="D30" s="2">
        <v>32</v>
      </c>
      <c r="E30" s="2">
        <v>32.100999999999999</v>
      </c>
      <c r="F30" s="2">
        <f t="shared" ref="F30:F88" si="5">IF(D30-E30&lt;=0,0,D30-E30)</f>
        <v>0</v>
      </c>
      <c r="G30" s="2">
        <f t="shared" si="1"/>
        <v>-0.10099999999999909</v>
      </c>
      <c r="H30" s="3" t="s">
        <v>16</v>
      </c>
      <c r="I30" s="4"/>
      <c r="J30" s="12">
        <f t="shared" si="4"/>
        <v>-3.1463194293012398E-3</v>
      </c>
    </row>
    <row r="31" spans="2:10" ht="15.75">
      <c r="B31" s="4" t="s">
        <v>303</v>
      </c>
      <c r="C31" s="4" t="s">
        <v>137</v>
      </c>
      <c r="D31" s="2">
        <v>32.49</v>
      </c>
      <c r="E31" s="2">
        <v>32.826999999999998</v>
      </c>
      <c r="F31" s="2">
        <f t="shared" si="5"/>
        <v>0</v>
      </c>
      <c r="G31" s="2">
        <f t="shared" si="1"/>
        <v>-0.33699999999999619</v>
      </c>
      <c r="H31" s="3" t="s">
        <v>16</v>
      </c>
      <c r="I31" s="4"/>
      <c r="J31" s="12">
        <f t="shared" si="4"/>
        <v>-1.0265939622871301E-2</v>
      </c>
    </row>
    <row r="32" spans="2:10" ht="15.75">
      <c r="B32" s="4" t="s">
        <v>303</v>
      </c>
      <c r="C32" s="4" t="s">
        <v>137</v>
      </c>
      <c r="D32" s="2">
        <v>24.75</v>
      </c>
      <c r="E32" s="2">
        <v>24.751000000000001</v>
      </c>
      <c r="F32" s="2">
        <f t="shared" si="5"/>
        <v>0</v>
      </c>
      <c r="G32" s="2">
        <f t="shared" si="1"/>
        <v>-1.0000000000012221E-3</v>
      </c>
      <c r="H32" s="3" t="s">
        <v>154</v>
      </c>
      <c r="I32" s="4"/>
      <c r="J32" s="12">
        <f t="shared" si="4"/>
        <v>-4.0402407983565196E-5</v>
      </c>
    </row>
    <row r="33" spans="2:10" ht="15.75">
      <c r="B33" s="4" t="s">
        <v>304</v>
      </c>
      <c r="C33" s="4" t="s">
        <v>137</v>
      </c>
      <c r="D33" s="2">
        <v>30.41</v>
      </c>
      <c r="E33" s="2">
        <v>30.725000000000001</v>
      </c>
      <c r="F33" s="2">
        <f t="shared" si="5"/>
        <v>0</v>
      </c>
      <c r="G33" s="2">
        <f t="shared" si="1"/>
        <v>-0.31500000000000128</v>
      </c>
      <c r="H33" s="3" t="s">
        <v>16</v>
      </c>
      <c r="I33" s="4"/>
      <c r="J33" s="12">
        <f t="shared" si="4"/>
        <v>-1.0252237591537877E-2</v>
      </c>
    </row>
    <row r="34" spans="2:10" ht="15.75">
      <c r="B34" s="4" t="s">
        <v>304</v>
      </c>
      <c r="C34" s="4" t="s">
        <v>137</v>
      </c>
      <c r="D34" s="2">
        <v>17.03</v>
      </c>
      <c r="E34" s="2">
        <v>16.922999999999998</v>
      </c>
      <c r="F34" s="2">
        <f t="shared" si="5"/>
        <v>0.10700000000000287</v>
      </c>
      <c r="G34" s="2">
        <f t="shared" si="1"/>
        <v>0</v>
      </c>
      <c r="H34" s="3" t="s">
        <v>306</v>
      </c>
      <c r="I34" s="4"/>
      <c r="J34" s="12">
        <f>F34/E34</f>
        <v>6.3227560125274996E-3</v>
      </c>
    </row>
    <row r="35" spans="2:10" ht="15.75">
      <c r="B35" s="4" t="s">
        <v>305</v>
      </c>
      <c r="C35" s="4" t="s">
        <v>137</v>
      </c>
      <c r="D35" s="2">
        <v>24.71</v>
      </c>
      <c r="E35" s="2">
        <v>24.920999999999999</v>
      </c>
      <c r="F35" s="2">
        <f t="shared" si="5"/>
        <v>0</v>
      </c>
      <c r="G35" s="2">
        <f t="shared" si="1"/>
        <v>-0.21099999999999852</v>
      </c>
      <c r="H35" s="3" t="s">
        <v>307</v>
      </c>
      <c r="I35" s="4"/>
      <c r="J35" s="12">
        <f t="shared" ref="J35:J37" si="6">G35/E35</f>
        <v>-8.4667549456281261E-3</v>
      </c>
    </row>
    <row r="36" spans="2:10" ht="15.75">
      <c r="B36" s="4" t="s">
        <v>305</v>
      </c>
      <c r="C36" s="4" t="s">
        <v>137</v>
      </c>
      <c r="D36" s="2">
        <v>31.41</v>
      </c>
      <c r="E36" s="2">
        <v>31.44</v>
      </c>
      <c r="F36" s="2">
        <f t="shared" si="5"/>
        <v>0</v>
      </c>
      <c r="G36" s="2">
        <f t="shared" si="1"/>
        <v>-3.0000000000001137E-2</v>
      </c>
      <c r="H36" s="3" t="s">
        <v>16</v>
      </c>
      <c r="I36" s="4"/>
      <c r="J36" s="12">
        <f t="shared" si="6"/>
        <v>-9.5419847328247892E-4</v>
      </c>
    </row>
    <row r="37" spans="2:10" ht="15.75">
      <c r="B37" s="4" t="s">
        <v>305</v>
      </c>
      <c r="C37" s="4" t="s">
        <v>137</v>
      </c>
      <c r="D37" s="2">
        <v>24.55</v>
      </c>
      <c r="E37" s="2">
        <v>24.751999999999999</v>
      </c>
      <c r="F37" s="2">
        <f t="shared" si="5"/>
        <v>0</v>
      </c>
      <c r="G37" s="2">
        <f t="shared" si="1"/>
        <v>-0.20199999999999818</v>
      </c>
      <c r="H37" s="3" t="s">
        <v>60</v>
      </c>
      <c r="I37" s="4"/>
      <c r="J37" s="12">
        <f t="shared" si="6"/>
        <v>-8.1609566903683827E-3</v>
      </c>
    </row>
    <row r="38" spans="2:10" ht="15.75">
      <c r="B38" s="4" t="s">
        <v>305</v>
      </c>
      <c r="C38" s="4" t="s">
        <v>137</v>
      </c>
      <c r="D38" s="2">
        <v>33.14</v>
      </c>
      <c r="E38" s="2">
        <v>32.822000000000003</v>
      </c>
      <c r="F38" s="2">
        <f t="shared" si="5"/>
        <v>0.31799999999999784</v>
      </c>
      <c r="G38" s="2">
        <f t="shared" si="1"/>
        <v>0</v>
      </c>
      <c r="H38" s="3" t="s">
        <v>11</v>
      </c>
      <c r="I38" s="4"/>
      <c r="J38" s="12">
        <f>F38/E38</f>
        <v>9.6886234842483033E-3</v>
      </c>
    </row>
    <row r="39" spans="2:10" ht="15.75">
      <c r="B39" s="4" t="s">
        <v>305</v>
      </c>
      <c r="C39" s="4" t="s">
        <v>137</v>
      </c>
      <c r="D39" s="2">
        <v>11.24</v>
      </c>
      <c r="E39" s="2">
        <v>11.253</v>
      </c>
      <c r="F39" s="2">
        <f t="shared" si="5"/>
        <v>0</v>
      </c>
      <c r="G39" s="2">
        <f t="shared" si="1"/>
        <v>-1.2999999999999901E-2</v>
      </c>
      <c r="H39" s="3" t="s">
        <v>209</v>
      </c>
      <c r="I39" s="4"/>
      <c r="J39" s="12">
        <f>G39/E39</f>
        <v>-1.1552474895583312E-3</v>
      </c>
    </row>
    <row r="40" spans="2:10" ht="15.75">
      <c r="B40" s="4" t="s">
        <v>308</v>
      </c>
      <c r="C40" s="4" t="s">
        <v>137</v>
      </c>
      <c r="D40" s="2">
        <v>24.71</v>
      </c>
      <c r="E40" s="2">
        <v>24.707000000000001</v>
      </c>
      <c r="F40" s="2">
        <f t="shared" si="5"/>
        <v>3.0000000000001137E-3</v>
      </c>
      <c r="G40" s="2">
        <f t="shared" si="1"/>
        <v>0</v>
      </c>
      <c r="H40" s="3" t="s">
        <v>230</v>
      </c>
      <c r="I40" s="4"/>
      <c r="J40" s="12">
        <f>F40/E40</f>
        <v>1.2142307847978766E-4</v>
      </c>
    </row>
    <row r="41" spans="2:10" ht="15.75">
      <c r="B41" s="4" t="s">
        <v>308</v>
      </c>
      <c r="C41" s="4" t="s">
        <v>137</v>
      </c>
      <c r="D41" s="2">
        <v>31.04</v>
      </c>
      <c r="E41" s="2">
        <v>31.425000000000001</v>
      </c>
      <c r="F41" s="2">
        <f t="shared" si="5"/>
        <v>0</v>
      </c>
      <c r="G41" s="2">
        <f t="shared" si="1"/>
        <v>-0.38500000000000156</v>
      </c>
      <c r="H41" s="3" t="s">
        <v>11</v>
      </c>
      <c r="I41" s="4"/>
      <c r="J41" s="12">
        <f t="shared" ref="J41:J43" si="7">G41/E41</f>
        <v>-1.2251392203659556E-2</v>
      </c>
    </row>
    <row r="42" spans="2:10" ht="15.75">
      <c r="B42" s="4" t="s">
        <v>308</v>
      </c>
      <c r="C42" s="4" t="s">
        <v>137</v>
      </c>
      <c r="D42" s="2">
        <v>30.63</v>
      </c>
      <c r="E42" s="2">
        <v>30.971</v>
      </c>
      <c r="F42" s="2">
        <f t="shared" si="5"/>
        <v>0</v>
      </c>
      <c r="G42" s="2">
        <f t="shared" si="1"/>
        <v>-0.34100000000000108</v>
      </c>
      <c r="H42" s="3" t="s">
        <v>310</v>
      </c>
      <c r="I42" s="4"/>
      <c r="J42" s="12">
        <f t="shared" si="7"/>
        <v>-1.1010299958025284E-2</v>
      </c>
    </row>
    <row r="43" spans="2:10" ht="15.75">
      <c r="B43" s="4" t="s">
        <v>308</v>
      </c>
      <c r="C43" s="4" t="s">
        <v>137</v>
      </c>
      <c r="D43" s="2">
        <v>33.840000000000003</v>
      </c>
      <c r="E43" s="2">
        <v>34.220999999999997</v>
      </c>
      <c r="F43" s="2">
        <f t="shared" si="5"/>
        <v>0</v>
      </c>
      <c r="G43" s="2">
        <f t="shared" si="1"/>
        <v>-0.38099999999999312</v>
      </c>
      <c r="H43" s="3" t="s">
        <v>16</v>
      </c>
      <c r="I43" s="4"/>
      <c r="J43" s="12">
        <f t="shared" si="7"/>
        <v>-1.1133514508634848E-2</v>
      </c>
    </row>
    <row r="44" spans="2:10" ht="15.75">
      <c r="B44" s="4" t="s">
        <v>309</v>
      </c>
      <c r="C44" s="4" t="s">
        <v>137</v>
      </c>
      <c r="D44" s="2">
        <v>31.93</v>
      </c>
      <c r="E44" s="2">
        <v>31.806000000000001</v>
      </c>
      <c r="F44" s="2">
        <f t="shared" si="5"/>
        <v>0.12399999999999878</v>
      </c>
      <c r="G44" s="2">
        <f t="shared" si="1"/>
        <v>0</v>
      </c>
      <c r="H44" s="3" t="s">
        <v>16</v>
      </c>
      <c r="I44" s="4"/>
      <c r="J44" s="12">
        <f>F44/E44</f>
        <v>3.8986354775828076E-3</v>
      </c>
    </row>
    <row r="45" spans="2:10" ht="15.75">
      <c r="B45" s="4" t="s">
        <v>309</v>
      </c>
      <c r="C45" s="4" t="s">
        <v>137</v>
      </c>
      <c r="D45" s="2">
        <v>32.04</v>
      </c>
      <c r="E45" s="2">
        <v>32.32</v>
      </c>
      <c r="F45" s="2">
        <f t="shared" si="5"/>
        <v>0</v>
      </c>
      <c r="G45" s="2">
        <f t="shared" si="1"/>
        <v>-0.28000000000000114</v>
      </c>
      <c r="H45" s="3" t="s">
        <v>15</v>
      </c>
      <c r="I45" s="4"/>
      <c r="J45" s="12">
        <f>G45/E45</f>
        <v>-8.6633663366336988E-3</v>
      </c>
    </row>
    <row r="46" spans="2:10" ht="15.75">
      <c r="B46" s="4" t="s">
        <v>311</v>
      </c>
      <c r="C46" s="4" t="s">
        <v>137</v>
      </c>
      <c r="D46" s="2">
        <v>24.4</v>
      </c>
      <c r="E46" s="2">
        <v>24.26</v>
      </c>
      <c r="F46" s="2">
        <f t="shared" si="5"/>
        <v>0.13999999999999702</v>
      </c>
      <c r="G46" s="2">
        <f t="shared" si="1"/>
        <v>0</v>
      </c>
      <c r="H46" s="3" t="s">
        <v>44</v>
      </c>
      <c r="I46" s="4"/>
      <c r="J46" s="12">
        <f>F46/E46</f>
        <v>5.77081615828512E-3</v>
      </c>
    </row>
    <row r="47" spans="2:10" ht="15.75">
      <c r="B47" s="4" t="s">
        <v>311</v>
      </c>
      <c r="C47" s="4" t="s">
        <v>137</v>
      </c>
      <c r="D47" s="2">
        <v>31.56</v>
      </c>
      <c r="E47" s="2">
        <v>31.561</v>
      </c>
      <c r="F47" s="2">
        <f t="shared" si="5"/>
        <v>0</v>
      </c>
      <c r="G47" s="2">
        <f t="shared" si="1"/>
        <v>-1.0000000000012221E-3</v>
      </c>
      <c r="H47" s="3" t="s">
        <v>11</v>
      </c>
      <c r="I47" s="4"/>
      <c r="J47" s="12">
        <f t="shared" ref="J47:J51" si="8">G47/E47</f>
        <v>-3.1684674123165367E-5</v>
      </c>
    </row>
    <row r="48" spans="2:10" ht="15.75">
      <c r="B48" s="4" t="s">
        <v>311</v>
      </c>
      <c r="C48" s="4" t="s">
        <v>137</v>
      </c>
      <c r="D48" s="2">
        <v>31.18</v>
      </c>
      <c r="E48" s="2">
        <v>31.199000000000002</v>
      </c>
      <c r="F48" s="2">
        <f t="shared" si="5"/>
        <v>0</v>
      </c>
      <c r="G48" s="2">
        <f t="shared" si="1"/>
        <v>-1.9000000000001904E-2</v>
      </c>
      <c r="H48" s="3" t="s">
        <v>16</v>
      </c>
      <c r="I48" s="4"/>
      <c r="J48" s="12">
        <f t="shared" si="8"/>
        <v>-6.0899387800897157E-4</v>
      </c>
    </row>
    <row r="49" spans="2:10" ht="15.75">
      <c r="B49" s="4" t="s">
        <v>311</v>
      </c>
      <c r="C49" s="4" t="s">
        <v>137</v>
      </c>
      <c r="D49" s="2">
        <v>32.18</v>
      </c>
      <c r="E49" s="2">
        <v>32.26</v>
      </c>
      <c r="F49" s="2">
        <f t="shared" si="5"/>
        <v>0</v>
      </c>
      <c r="G49" s="2">
        <f t="shared" si="1"/>
        <v>-7.9999999999998295E-2</v>
      </c>
      <c r="H49" s="3" t="s">
        <v>217</v>
      </c>
      <c r="I49" s="4"/>
      <c r="J49" s="12">
        <f t="shared" si="8"/>
        <v>-2.4798512089274118E-3</v>
      </c>
    </row>
    <row r="50" spans="2:10" ht="15.75">
      <c r="B50" s="4" t="s">
        <v>312</v>
      </c>
      <c r="C50" s="4" t="s">
        <v>137</v>
      </c>
      <c r="D50" s="2">
        <v>31.55</v>
      </c>
      <c r="E50" s="2">
        <v>31.632999999999999</v>
      </c>
      <c r="F50" s="2">
        <f t="shared" si="5"/>
        <v>0</v>
      </c>
      <c r="G50" s="2">
        <f t="shared" si="1"/>
        <v>-8.2999999999998408E-2</v>
      </c>
      <c r="H50" s="3" t="s">
        <v>11</v>
      </c>
      <c r="I50" s="4"/>
      <c r="J50" s="12">
        <f t="shared" si="8"/>
        <v>-2.6238421901178645E-3</v>
      </c>
    </row>
    <row r="51" spans="2:10" ht="15.75">
      <c r="B51" s="4" t="s">
        <v>312</v>
      </c>
      <c r="C51" s="4" t="s">
        <v>137</v>
      </c>
      <c r="D51" s="2">
        <v>31.51</v>
      </c>
      <c r="E51" s="2">
        <v>31.919</v>
      </c>
      <c r="F51" s="2">
        <f t="shared" si="5"/>
        <v>0</v>
      </c>
      <c r="G51" s="2">
        <f t="shared" si="1"/>
        <v>-0.40899999999999892</v>
      </c>
      <c r="H51" s="3" t="s">
        <v>13</v>
      </c>
      <c r="I51" s="4"/>
      <c r="J51" s="12">
        <f t="shared" si="8"/>
        <v>-1.281368463924305E-2</v>
      </c>
    </row>
    <row r="52" spans="2:10" ht="15.75">
      <c r="B52" s="4" t="s">
        <v>313</v>
      </c>
      <c r="C52" s="4" t="s">
        <v>137</v>
      </c>
      <c r="D52" s="2">
        <v>24.99</v>
      </c>
      <c r="E52" s="2">
        <v>24.864999999999998</v>
      </c>
      <c r="F52" s="2">
        <f t="shared" si="5"/>
        <v>0.125</v>
      </c>
      <c r="G52" s="2">
        <f t="shared" si="1"/>
        <v>0</v>
      </c>
      <c r="H52" s="3" t="s">
        <v>38</v>
      </c>
      <c r="I52" s="4"/>
      <c r="J52" s="12">
        <f t="shared" ref="J52:J59" si="9">F52/E52</f>
        <v>5.0271465915946115E-3</v>
      </c>
    </row>
    <row r="53" spans="2:10" ht="15.75">
      <c r="B53" s="4" t="s">
        <v>313</v>
      </c>
      <c r="C53" s="4" t="s">
        <v>137</v>
      </c>
      <c r="D53" s="2">
        <v>31.77</v>
      </c>
      <c r="E53" s="2">
        <v>31.728000000000002</v>
      </c>
      <c r="F53" s="2">
        <f t="shared" si="5"/>
        <v>4.1999999999998039E-2</v>
      </c>
      <c r="G53" s="2">
        <f t="shared" si="1"/>
        <v>0</v>
      </c>
      <c r="H53" s="3" t="s">
        <v>16</v>
      </c>
      <c r="I53" s="4"/>
      <c r="J53" s="12">
        <f t="shared" si="9"/>
        <v>1.3237518910740682E-3</v>
      </c>
    </row>
    <row r="54" spans="2:10" ht="15.75">
      <c r="B54" s="4" t="s">
        <v>313</v>
      </c>
      <c r="C54" s="4" t="s">
        <v>137</v>
      </c>
      <c r="D54" s="2">
        <v>13.94</v>
      </c>
      <c r="E54" s="2">
        <v>13.836</v>
      </c>
      <c r="F54" s="2">
        <f t="shared" si="5"/>
        <v>0.1039999999999992</v>
      </c>
      <c r="G54" s="2">
        <f t="shared" si="1"/>
        <v>0</v>
      </c>
      <c r="H54" s="3" t="s">
        <v>315</v>
      </c>
      <c r="I54" s="4"/>
      <c r="J54" s="12">
        <f t="shared" si="9"/>
        <v>7.5166233015321769E-3</v>
      </c>
    </row>
    <row r="55" spans="2:10" ht="15.75">
      <c r="B55" s="4" t="s">
        <v>313</v>
      </c>
      <c r="C55" s="4" t="s">
        <v>137</v>
      </c>
      <c r="D55" s="2">
        <v>31.56</v>
      </c>
      <c r="E55" s="2">
        <v>31.515000000000001</v>
      </c>
      <c r="F55" s="2">
        <f t="shared" si="5"/>
        <v>4.4999999999998153E-2</v>
      </c>
      <c r="G55" s="2">
        <f t="shared" si="1"/>
        <v>0</v>
      </c>
      <c r="H55" s="3" t="s">
        <v>13</v>
      </c>
      <c r="I55" s="4"/>
      <c r="J55" s="12">
        <f t="shared" si="9"/>
        <v>1.4278914802474427E-3</v>
      </c>
    </row>
    <row r="56" spans="2:10" ht="15.75">
      <c r="B56" s="4" t="s">
        <v>314</v>
      </c>
      <c r="C56" s="4" t="s">
        <v>137</v>
      </c>
      <c r="D56" s="2">
        <v>24.65</v>
      </c>
      <c r="E56" s="2">
        <v>24.603999999999999</v>
      </c>
      <c r="F56" s="2">
        <f t="shared" si="5"/>
        <v>4.5999999999999375E-2</v>
      </c>
      <c r="G56" s="2">
        <f t="shared" si="1"/>
        <v>0</v>
      </c>
      <c r="H56" s="3" t="s">
        <v>307</v>
      </c>
      <c r="I56" s="4"/>
      <c r="J56" s="12">
        <f t="shared" si="9"/>
        <v>1.8696146967972433E-3</v>
      </c>
    </row>
    <row r="57" spans="2:10" ht="15.75">
      <c r="B57" s="4" t="s">
        <v>314</v>
      </c>
      <c r="C57" s="4" t="s">
        <v>137</v>
      </c>
      <c r="D57" s="2">
        <v>32.39</v>
      </c>
      <c r="E57" s="2">
        <v>32.027999999999999</v>
      </c>
      <c r="F57" s="2">
        <f t="shared" si="5"/>
        <v>0.36200000000000188</v>
      </c>
      <c r="G57" s="2">
        <f t="shared" si="1"/>
        <v>0</v>
      </c>
      <c r="H57" s="3" t="s">
        <v>316</v>
      </c>
      <c r="I57" s="4"/>
      <c r="J57" s="12">
        <f t="shared" si="9"/>
        <v>1.1302610216061005E-2</v>
      </c>
    </row>
    <row r="58" spans="2:10" ht="15.75">
      <c r="B58" s="4" t="s">
        <v>314</v>
      </c>
      <c r="C58" s="4" t="s">
        <v>137</v>
      </c>
      <c r="D58" s="2">
        <v>31.94</v>
      </c>
      <c r="E58" s="2">
        <v>31.922999999999998</v>
      </c>
      <c r="F58" s="2">
        <f t="shared" si="5"/>
        <v>1.7000000000003013E-2</v>
      </c>
      <c r="G58" s="2">
        <f t="shared" si="1"/>
        <v>0</v>
      </c>
      <c r="H58" s="3" t="s">
        <v>15</v>
      </c>
      <c r="I58" s="4"/>
      <c r="J58" s="12">
        <f t="shared" si="9"/>
        <v>5.3253140369022376E-4</v>
      </c>
    </row>
    <row r="59" spans="2:10" ht="15.75">
      <c r="B59" s="4" t="s">
        <v>317</v>
      </c>
      <c r="C59" s="4" t="s">
        <v>137</v>
      </c>
      <c r="D59" s="2">
        <v>32.479999999999997</v>
      </c>
      <c r="E59" s="2">
        <v>32.384</v>
      </c>
      <c r="F59" s="2">
        <f t="shared" si="5"/>
        <v>9.5999999999996533E-2</v>
      </c>
      <c r="G59" s="2">
        <f t="shared" si="1"/>
        <v>0</v>
      </c>
      <c r="H59" s="3" t="s">
        <v>11</v>
      </c>
      <c r="I59" s="4"/>
      <c r="J59" s="12">
        <f t="shared" si="9"/>
        <v>2.9644268774702484E-3</v>
      </c>
    </row>
    <row r="60" spans="2:10" ht="15.75">
      <c r="B60" s="4" t="s">
        <v>317</v>
      </c>
      <c r="C60" s="4" t="s">
        <v>137</v>
      </c>
      <c r="D60" s="2">
        <v>31.5</v>
      </c>
      <c r="E60" s="2">
        <v>31.605</v>
      </c>
      <c r="F60" s="2">
        <f t="shared" si="5"/>
        <v>0</v>
      </c>
      <c r="G60" s="2">
        <f t="shared" si="1"/>
        <v>-0.10500000000000043</v>
      </c>
      <c r="H60" s="3" t="s">
        <v>16</v>
      </c>
      <c r="I60" s="4"/>
      <c r="J60" s="12">
        <f>G60/E60</f>
        <v>-3.3222591362126381E-3</v>
      </c>
    </row>
    <row r="61" spans="2:10" ht="15.75">
      <c r="B61" s="4" t="s">
        <v>318</v>
      </c>
      <c r="C61" s="4" t="s">
        <v>137</v>
      </c>
      <c r="D61" s="2">
        <v>20.79</v>
      </c>
      <c r="E61" s="2">
        <v>20.565000000000001</v>
      </c>
      <c r="F61" s="2">
        <f t="shared" si="5"/>
        <v>0.22499999999999787</v>
      </c>
      <c r="G61" s="2">
        <f t="shared" si="1"/>
        <v>0</v>
      </c>
      <c r="H61" s="3" t="s">
        <v>15</v>
      </c>
      <c r="I61" s="4"/>
      <c r="J61" s="12">
        <f t="shared" ref="J61:J66" si="10">F61/E61</f>
        <v>1.094091903719902E-2</v>
      </c>
    </row>
    <row r="62" spans="2:10" ht="15.75">
      <c r="B62" s="4" t="s">
        <v>318</v>
      </c>
      <c r="C62" s="4" t="s">
        <v>137</v>
      </c>
      <c r="D62" s="2">
        <v>32.369999999999997</v>
      </c>
      <c r="E62" s="2">
        <v>32.148000000000003</v>
      </c>
      <c r="F62" s="2">
        <f t="shared" si="5"/>
        <v>0.2219999999999942</v>
      </c>
      <c r="G62" s="2">
        <f t="shared" si="1"/>
        <v>0</v>
      </c>
      <c r="H62" s="3" t="s">
        <v>11</v>
      </c>
      <c r="I62" s="4"/>
      <c r="J62" s="12">
        <f t="shared" si="10"/>
        <v>6.9055617767822004E-3</v>
      </c>
    </row>
    <row r="63" spans="2:10" ht="15.75">
      <c r="B63" s="4" t="s">
        <v>319</v>
      </c>
      <c r="C63" s="4" t="s">
        <v>137</v>
      </c>
      <c r="D63" s="2">
        <v>32.53</v>
      </c>
      <c r="E63" s="2">
        <v>32.444000000000003</v>
      </c>
      <c r="F63" s="2">
        <f t="shared" si="5"/>
        <v>8.5999999999998522E-2</v>
      </c>
      <c r="G63" s="2">
        <f t="shared" si="1"/>
        <v>0</v>
      </c>
      <c r="H63" s="3" t="s">
        <v>321</v>
      </c>
      <c r="I63" s="4"/>
      <c r="J63" s="12">
        <f t="shared" si="10"/>
        <v>2.6507212427567045E-3</v>
      </c>
    </row>
    <row r="64" spans="2:10" ht="15.75">
      <c r="B64" s="4" t="s">
        <v>320</v>
      </c>
      <c r="C64" s="4" t="s">
        <v>137</v>
      </c>
      <c r="D64" s="2">
        <v>25.35</v>
      </c>
      <c r="E64" s="2">
        <v>25.152999999999999</v>
      </c>
      <c r="F64" s="2">
        <f t="shared" si="5"/>
        <v>0.19700000000000273</v>
      </c>
      <c r="G64" s="2">
        <f t="shared" si="1"/>
        <v>0</v>
      </c>
      <c r="H64" s="3" t="s">
        <v>40</v>
      </c>
      <c r="I64" s="4"/>
      <c r="J64" s="12">
        <f t="shared" si="10"/>
        <v>7.8320677453982725E-3</v>
      </c>
    </row>
    <row r="65" spans="2:10" ht="15.75">
      <c r="B65" s="4" t="s">
        <v>320</v>
      </c>
      <c r="C65" s="4" t="s">
        <v>137</v>
      </c>
      <c r="D65" s="2">
        <v>31.35</v>
      </c>
      <c r="E65" s="2">
        <v>31.341999999999999</v>
      </c>
      <c r="F65" s="2">
        <f t="shared" si="5"/>
        <v>8.0000000000026716E-3</v>
      </c>
      <c r="G65" s="2">
        <f t="shared" si="1"/>
        <v>0</v>
      </c>
      <c r="H65" s="3" t="s">
        <v>322</v>
      </c>
      <c r="I65" s="4"/>
      <c r="J65" s="12">
        <f t="shared" si="10"/>
        <v>2.5524854827396694E-4</v>
      </c>
    </row>
    <row r="66" spans="2:10" ht="15.75">
      <c r="B66" s="4" t="s">
        <v>320</v>
      </c>
      <c r="C66" s="4" t="s">
        <v>137</v>
      </c>
      <c r="D66" s="2">
        <v>32.92</v>
      </c>
      <c r="E66" s="2">
        <v>32.838999999999999</v>
      </c>
      <c r="F66" s="2">
        <f t="shared" si="5"/>
        <v>8.100000000000307E-2</v>
      </c>
      <c r="G66" s="2">
        <f t="shared" si="1"/>
        <v>0</v>
      </c>
      <c r="H66" s="3" t="s">
        <v>15</v>
      </c>
      <c r="I66" s="4"/>
      <c r="J66" s="12">
        <f t="shared" si="10"/>
        <v>2.4665793720881598E-3</v>
      </c>
    </row>
    <row r="67" spans="2:10" ht="15.75">
      <c r="B67" s="4" t="s">
        <v>320</v>
      </c>
      <c r="C67" s="4" t="s">
        <v>137</v>
      </c>
      <c r="D67" s="2">
        <v>31.29</v>
      </c>
      <c r="E67" s="2">
        <v>31.308</v>
      </c>
      <c r="F67" s="2">
        <f t="shared" si="5"/>
        <v>0</v>
      </c>
      <c r="G67" s="2">
        <f t="shared" si="1"/>
        <v>-1.8000000000000682E-2</v>
      </c>
      <c r="H67" s="3" t="s">
        <v>323</v>
      </c>
      <c r="I67" s="4"/>
      <c r="J67" s="12">
        <f>G67/E67</f>
        <v>-5.7493292449216436E-4</v>
      </c>
    </row>
    <row r="68" spans="2:10" ht="15.75">
      <c r="B68" s="4" t="s">
        <v>324</v>
      </c>
      <c r="C68" s="4" t="s">
        <v>137</v>
      </c>
      <c r="D68" s="2">
        <v>24.65</v>
      </c>
      <c r="E68" s="2">
        <v>24.631</v>
      </c>
      <c r="F68" s="2">
        <f t="shared" si="5"/>
        <v>1.8999999999998352E-2</v>
      </c>
      <c r="G68" s="2">
        <f t="shared" si="1"/>
        <v>0</v>
      </c>
      <c r="H68" s="3" t="s">
        <v>61</v>
      </c>
      <c r="I68" s="4"/>
      <c r="J68" s="12">
        <f t="shared" ref="J68" si="11">F68/E68</f>
        <v>7.7138565222680162E-4</v>
      </c>
    </row>
    <row r="69" spans="2:10" ht="15.75">
      <c r="B69" s="4" t="s">
        <v>324</v>
      </c>
      <c r="C69" s="4" t="s">
        <v>137</v>
      </c>
      <c r="D69" s="2">
        <v>32.049999999999997</v>
      </c>
      <c r="E69" s="2">
        <v>31.8</v>
      </c>
      <c r="F69" s="2">
        <f t="shared" si="5"/>
        <v>0.24999999999999645</v>
      </c>
      <c r="G69" s="2">
        <f t="shared" ref="G69:G88" si="12">IF(D69-E69&gt;=0,0,D69-E69)</f>
        <v>0</v>
      </c>
      <c r="H69" s="3" t="s">
        <v>15</v>
      </c>
      <c r="I69" s="4"/>
      <c r="J69" s="12">
        <f>F69/E69</f>
        <v>7.8616352201256751E-3</v>
      </c>
    </row>
    <row r="70" spans="2:10" ht="15.75">
      <c r="B70" s="4" t="s">
        <v>324</v>
      </c>
      <c r="C70" s="4" t="s">
        <v>137</v>
      </c>
      <c r="D70" s="2">
        <v>32.71</v>
      </c>
      <c r="E70" s="2">
        <v>32.712000000000003</v>
      </c>
      <c r="F70" s="2">
        <f t="shared" si="5"/>
        <v>0</v>
      </c>
      <c r="G70" s="2">
        <f t="shared" si="12"/>
        <v>-2.0000000000024443E-3</v>
      </c>
      <c r="H70" s="3" t="s">
        <v>302</v>
      </c>
      <c r="I70" s="4"/>
      <c r="J70" s="12">
        <f>G70/E70</f>
        <v>-6.1139642944559922E-5</v>
      </c>
    </row>
    <row r="71" spans="2:10" ht="15.75">
      <c r="B71" s="4" t="s">
        <v>325</v>
      </c>
      <c r="C71" s="4" t="s">
        <v>137</v>
      </c>
      <c r="D71" s="2">
        <v>33.25</v>
      </c>
      <c r="E71" s="2">
        <v>32.86</v>
      </c>
      <c r="F71" s="2">
        <f t="shared" si="5"/>
        <v>0.39000000000000057</v>
      </c>
      <c r="G71" s="2">
        <f t="shared" si="12"/>
        <v>0</v>
      </c>
      <c r="H71" s="3" t="s">
        <v>13</v>
      </c>
      <c r="I71" s="4"/>
      <c r="J71" s="12">
        <f t="shared" ref="J71:J76" si="13">F71/E71</f>
        <v>1.1868533171028624E-2</v>
      </c>
    </row>
    <row r="72" spans="2:10" ht="15.75">
      <c r="B72" s="4" t="s">
        <v>325</v>
      </c>
      <c r="C72" s="4" t="s">
        <v>137</v>
      </c>
      <c r="D72" s="2">
        <v>33.14</v>
      </c>
      <c r="E72" s="2">
        <v>33.094000000000001</v>
      </c>
      <c r="F72" s="2">
        <f t="shared" si="5"/>
        <v>4.5999999999999375E-2</v>
      </c>
      <c r="G72" s="2">
        <f t="shared" si="12"/>
        <v>0</v>
      </c>
      <c r="H72" s="3" t="s">
        <v>323</v>
      </c>
      <c r="I72" s="4"/>
      <c r="J72" s="12">
        <f t="shared" si="13"/>
        <v>1.3899800568078617E-3</v>
      </c>
    </row>
    <row r="73" spans="2:10" ht="15.75">
      <c r="B73" s="4" t="s">
        <v>326</v>
      </c>
      <c r="C73" s="4" t="s">
        <v>137</v>
      </c>
      <c r="D73" s="2">
        <v>32.83</v>
      </c>
      <c r="E73" s="2">
        <v>32.429000000000002</v>
      </c>
      <c r="F73" s="2">
        <f t="shared" si="5"/>
        <v>0.40099999999999625</v>
      </c>
      <c r="G73" s="2">
        <f t="shared" si="12"/>
        <v>0</v>
      </c>
      <c r="H73" s="3" t="s">
        <v>328</v>
      </c>
      <c r="I73" s="4"/>
      <c r="J73" s="12">
        <f t="shared" si="13"/>
        <v>1.2365475346140683E-2</v>
      </c>
    </row>
    <row r="74" spans="2:10" ht="15.75">
      <c r="B74" s="4" t="s">
        <v>326</v>
      </c>
      <c r="C74" s="4" t="s">
        <v>137</v>
      </c>
      <c r="D74" s="2">
        <v>32.46</v>
      </c>
      <c r="E74" s="2">
        <v>32.265000000000001</v>
      </c>
      <c r="F74" s="2">
        <f t="shared" si="5"/>
        <v>0.19500000000000028</v>
      </c>
      <c r="G74" s="2">
        <f t="shared" si="12"/>
        <v>0</v>
      </c>
      <c r="H74" s="3" t="s">
        <v>13</v>
      </c>
      <c r="I74" s="4"/>
      <c r="J74" s="12">
        <f t="shared" si="13"/>
        <v>6.0437006043700696E-3</v>
      </c>
    </row>
    <row r="75" spans="2:10" ht="15.75">
      <c r="B75" s="4" t="s">
        <v>326</v>
      </c>
      <c r="C75" s="4" t="s">
        <v>137</v>
      </c>
      <c r="D75" s="2">
        <v>32.369999999999997</v>
      </c>
      <c r="E75" s="2">
        <v>32.249000000000002</v>
      </c>
      <c r="F75" s="2">
        <f t="shared" si="5"/>
        <v>0.12099999999999511</v>
      </c>
      <c r="G75" s="2">
        <f t="shared" si="12"/>
        <v>0</v>
      </c>
      <c r="H75" s="3" t="s">
        <v>323</v>
      </c>
      <c r="I75" s="4"/>
      <c r="J75" s="12">
        <f t="shared" si="13"/>
        <v>3.7520543272658098E-3</v>
      </c>
    </row>
    <row r="76" spans="2:10" ht="15.75">
      <c r="B76" s="4" t="s">
        <v>327</v>
      </c>
      <c r="C76" s="4" t="s">
        <v>137</v>
      </c>
      <c r="D76" s="2">
        <v>24.8</v>
      </c>
      <c r="E76" s="2">
        <v>24.762</v>
      </c>
      <c r="F76" s="2">
        <f t="shared" si="5"/>
        <v>3.8000000000000256E-2</v>
      </c>
      <c r="G76" s="2">
        <f t="shared" si="12"/>
        <v>0</v>
      </c>
      <c r="H76" s="3" t="s">
        <v>224</v>
      </c>
      <c r="I76" s="4"/>
      <c r="J76" s="12">
        <f t="shared" si="13"/>
        <v>1.5346094822712324E-3</v>
      </c>
    </row>
    <row r="77" spans="2:10" ht="15.75">
      <c r="B77" s="4" t="s">
        <v>327</v>
      </c>
      <c r="C77" s="4" t="s">
        <v>137</v>
      </c>
      <c r="D77" s="2">
        <v>24.05</v>
      </c>
      <c r="E77" s="2">
        <v>24.152000000000001</v>
      </c>
      <c r="F77" s="2">
        <f t="shared" si="5"/>
        <v>0</v>
      </c>
      <c r="G77" s="2">
        <f t="shared" si="12"/>
        <v>-0.10200000000000031</v>
      </c>
      <c r="H77" s="3" t="s">
        <v>154</v>
      </c>
      <c r="I77" s="4"/>
      <c r="J77" s="12">
        <f>G77/E77</f>
        <v>-4.2232527326929578E-3</v>
      </c>
    </row>
    <row r="78" spans="2:10" ht="15.75">
      <c r="B78" s="4" t="s">
        <v>327</v>
      </c>
      <c r="C78" s="4" t="s">
        <v>137</v>
      </c>
      <c r="D78" s="2">
        <v>25.02</v>
      </c>
      <c r="E78" s="2">
        <v>24.978999999999999</v>
      </c>
      <c r="F78" s="2">
        <f t="shared" si="5"/>
        <v>4.1000000000000369E-2</v>
      </c>
      <c r="G78" s="2">
        <f t="shared" si="12"/>
        <v>0</v>
      </c>
      <c r="H78" s="3" t="s">
        <v>75</v>
      </c>
      <c r="I78" s="4"/>
      <c r="J78" s="12">
        <f t="shared" ref="J78:J87" si="14">F78/E78</f>
        <v>1.6413787581568667E-3</v>
      </c>
    </row>
    <row r="79" spans="2:10" ht="15.75">
      <c r="B79" s="4" t="s">
        <v>327</v>
      </c>
      <c r="C79" s="4" t="s">
        <v>137</v>
      </c>
      <c r="D79" s="2">
        <v>32.340000000000003</v>
      </c>
      <c r="E79" s="2">
        <v>32.014000000000003</v>
      </c>
      <c r="F79" s="2">
        <f t="shared" si="5"/>
        <v>0.32600000000000051</v>
      </c>
      <c r="G79" s="2">
        <f t="shared" si="12"/>
        <v>0</v>
      </c>
      <c r="H79" s="3" t="s">
        <v>329</v>
      </c>
      <c r="I79" s="4"/>
      <c r="J79" s="12">
        <f t="shared" si="14"/>
        <v>1.0183044917848456E-2</v>
      </c>
    </row>
    <row r="80" spans="2:10" ht="15.75">
      <c r="B80" s="4" t="s">
        <v>327</v>
      </c>
      <c r="C80" s="4" t="s">
        <v>137</v>
      </c>
      <c r="D80" s="2">
        <v>31.42</v>
      </c>
      <c r="E80" s="2">
        <v>31.780999999999999</v>
      </c>
      <c r="F80" s="2">
        <f t="shared" si="5"/>
        <v>0</v>
      </c>
      <c r="G80" s="2">
        <f t="shared" si="12"/>
        <v>-0.3609999999999971</v>
      </c>
      <c r="H80" s="3" t="s">
        <v>323</v>
      </c>
      <c r="I80" s="4"/>
      <c r="J80" s="12">
        <f>G80/E80</f>
        <v>-1.1358988074635697E-2</v>
      </c>
    </row>
    <row r="81" spans="2:10" ht="15.75">
      <c r="B81" s="4" t="s">
        <v>327</v>
      </c>
      <c r="C81" s="4" t="s">
        <v>137</v>
      </c>
      <c r="D81" s="2">
        <v>32.25</v>
      </c>
      <c r="E81" s="2">
        <v>31.925000000000001</v>
      </c>
      <c r="F81" s="2">
        <f t="shared" si="5"/>
        <v>0.32499999999999929</v>
      </c>
      <c r="G81" s="2">
        <f t="shared" si="12"/>
        <v>0</v>
      </c>
      <c r="H81" s="3" t="s">
        <v>330</v>
      </c>
      <c r="I81" s="4"/>
      <c r="J81" s="12">
        <f t="shared" si="14"/>
        <v>1.018010963194986E-2</v>
      </c>
    </row>
    <row r="82" spans="2:10" ht="15.75">
      <c r="B82" s="4" t="s">
        <v>331</v>
      </c>
      <c r="C82" s="4" t="s">
        <v>137</v>
      </c>
      <c r="D82" s="2">
        <v>32.549999999999997</v>
      </c>
      <c r="E82" s="2">
        <v>32.353000000000002</v>
      </c>
      <c r="F82" s="2">
        <f t="shared" si="5"/>
        <v>0.19699999999999562</v>
      </c>
      <c r="G82" s="2">
        <f t="shared" si="12"/>
        <v>0</v>
      </c>
      <c r="H82" s="3" t="s">
        <v>11</v>
      </c>
      <c r="I82" s="4"/>
      <c r="J82" s="12">
        <f t="shared" si="14"/>
        <v>6.0890798380365228E-3</v>
      </c>
    </row>
    <row r="83" spans="2:10" ht="15.75">
      <c r="B83" s="4" t="s">
        <v>332</v>
      </c>
      <c r="C83" s="4" t="s">
        <v>137</v>
      </c>
      <c r="D83" s="2">
        <v>31.35</v>
      </c>
      <c r="E83" s="2">
        <v>31.460999999999999</v>
      </c>
      <c r="F83" s="2">
        <f t="shared" si="5"/>
        <v>0</v>
      </c>
      <c r="G83" s="2">
        <f t="shared" si="12"/>
        <v>-0.1109999999999971</v>
      </c>
      <c r="H83" s="3" t="s">
        <v>13</v>
      </c>
      <c r="I83" s="4"/>
      <c r="J83" s="12">
        <f t="shared" ref="J83:J84" si="15">G83/E83</f>
        <v>-3.528177743873275E-3</v>
      </c>
    </row>
    <row r="84" spans="2:10" ht="15.75">
      <c r="B84" s="4" t="s">
        <v>333</v>
      </c>
      <c r="C84" s="4" t="s">
        <v>137</v>
      </c>
      <c r="D84" s="2">
        <v>31.9</v>
      </c>
      <c r="E84" s="2">
        <v>32.220999999999997</v>
      </c>
      <c r="F84" s="2">
        <f t="shared" si="5"/>
        <v>0</v>
      </c>
      <c r="G84" s="2">
        <f t="shared" si="12"/>
        <v>-0.32099999999999795</v>
      </c>
      <c r="H84" s="3" t="s">
        <v>23</v>
      </c>
      <c r="I84" s="4"/>
      <c r="J84" s="12">
        <f t="shared" si="15"/>
        <v>-9.9624468514322335E-3</v>
      </c>
    </row>
    <row r="85" spans="2:10" ht="15.75">
      <c r="B85" s="4" t="s">
        <v>334</v>
      </c>
      <c r="C85" s="4" t="s">
        <v>137</v>
      </c>
      <c r="D85" s="2">
        <v>24.77</v>
      </c>
      <c r="E85" s="2">
        <v>24.751000000000001</v>
      </c>
      <c r="F85" s="2">
        <f t="shared" si="5"/>
        <v>1.8999999999998352E-2</v>
      </c>
      <c r="G85" s="2">
        <f t="shared" si="12"/>
        <v>0</v>
      </c>
      <c r="H85" s="3" t="s">
        <v>38</v>
      </c>
      <c r="I85" s="4"/>
      <c r="J85" s="12">
        <f t="shared" si="14"/>
        <v>7.6764575168673387E-4</v>
      </c>
    </row>
    <row r="86" spans="2:10" ht="15.75">
      <c r="B86" s="4" t="s">
        <v>334</v>
      </c>
      <c r="C86" s="4" t="s">
        <v>137</v>
      </c>
      <c r="D86" s="2">
        <v>13.03</v>
      </c>
      <c r="E86" s="2">
        <v>12.656000000000001</v>
      </c>
      <c r="F86" s="2">
        <f t="shared" si="5"/>
        <v>0.37399999999999878</v>
      </c>
      <c r="G86" s="2">
        <f t="shared" si="12"/>
        <v>0</v>
      </c>
      <c r="H86" s="3" t="s">
        <v>204</v>
      </c>
      <c r="I86" s="4"/>
      <c r="J86" s="12">
        <f t="shared" si="14"/>
        <v>2.9551201011377905E-2</v>
      </c>
    </row>
    <row r="87" spans="2:10" ht="15.75">
      <c r="B87" s="4" t="s">
        <v>334</v>
      </c>
      <c r="C87" s="4" t="s">
        <v>137</v>
      </c>
      <c r="D87" s="2">
        <v>31.71</v>
      </c>
      <c r="E87" s="2">
        <v>31.634</v>
      </c>
      <c r="F87" s="2">
        <f t="shared" si="5"/>
        <v>7.6000000000000512E-2</v>
      </c>
      <c r="G87" s="2">
        <f t="shared" si="12"/>
        <v>0</v>
      </c>
      <c r="H87" s="3" t="s">
        <v>13</v>
      </c>
      <c r="I87" s="4"/>
      <c r="J87" s="12">
        <f t="shared" si="14"/>
        <v>2.4024783460833443E-3</v>
      </c>
    </row>
    <row r="88" spans="2:10" ht="15.75">
      <c r="B88" s="4" t="s">
        <v>334</v>
      </c>
      <c r="C88" s="4" t="s">
        <v>137</v>
      </c>
      <c r="D88" s="2">
        <v>31.08</v>
      </c>
      <c r="E88" s="2">
        <v>31.239000000000001</v>
      </c>
      <c r="F88" s="2">
        <f t="shared" si="5"/>
        <v>0</v>
      </c>
      <c r="G88" s="2">
        <f t="shared" si="12"/>
        <v>-0.15900000000000247</v>
      </c>
      <c r="H88" s="3" t="s">
        <v>336</v>
      </c>
      <c r="I88" s="4"/>
      <c r="J88" s="12">
        <f t="shared" ref="J88:J90" si="16">G88/E88</f>
        <v>-5.089791606645618E-3</v>
      </c>
    </row>
    <row r="89" spans="2:10" ht="15.75">
      <c r="B89" s="4" t="s">
        <v>335</v>
      </c>
      <c r="C89" s="4" t="s">
        <v>137</v>
      </c>
      <c r="D89" s="2">
        <v>30.61</v>
      </c>
      <c r="E89" s="2">
        <v>30.869</v>
      </c>
      <c r="F89" s="2">
        <f t="shared" ref="F89:F93" si="17">IF(D89-E89&lt;=0,0,D89-E89)</f>
        <v>0</v>
      </c>
      <c r="G89" s="2">
        <f t="shared" ref="G89:G93" si="18">IF(D89-E89&gt;=0,0,D89-E89)</f>
        <v>-0.25900000000000034</v>
      </c>
      <c r="H89" s="3" t="s">
        <v>287</v>
      </c>
      <c r="I89" s="4"/>
      <c r="J89" s="12">
        <f t="shared" si="16"/>
        <v>-8.3902944701804514E-3</v>
      </c>
    </row>
    <row r="90" spans="2:10" ht="15.75">
      <c r="B90" s="4" t="s">
        <v>335</v>
      </c>
      <c r="C90" s="4" t="s">
        <v>137</v>
      </c>
      <c r="D90" s="2">
        <v>31.01</v>
      </c>
      <c r="E90" s="2">
        <v>31.31</v>
      </c>
      <c r="F90" s="2">
        <f t="shared" si="17"/>
        <v>0</v>
      </c>
      <c r="G90" s="2">
        <f t="shared" si="18"/>
        <v>-0.29999999999999716</v>
      </c>
      <c r="H90" s="3" t="s">
        <v>13</v>
      </c>
      <c r="I90" s="4"/>
      <c r="J90" s="12">
        <f t="shared" si="16"/>
        <v>-9.5816033216223947E-3</v>
      </c>
    </row>
    <row r="91" spans="2:10" ht="15.75">
      <c r="B91" s="4" t="s">
        <v>335</v>
      </c>
      <c r="C91" s="4" t="s">
        <v>137</v>
      </c>
      <c r="D91" s="2">
        <v>31.88</v>
      </c>
      <c r="E91" s="2">
        <v>31.869</v>
      </c>
      <c r="F91" s="2">
        <f t="shared" si="17"/>
        <v>1.0999999999999233E-2</v>
      </c>
      <c r="G91" s="2">
        <f t="shared" si="18"/>
        <v>0</v>
      </c>
      <c r="H91" s="3" t="s">
        <v>15</v>
      </c>
      <c r="I91" s="4"/>
      <c r="J91" s="12">
        <f>F91/E91</f>
        <v>3.4516301107657071E-4</v>
      </c>
    </row>
    <row r="92" spans="2:10" ht="15.75">
      <c r="B92" s="4" t="s">
        <v>337</v>
      </c>
      <c r="C92" s="4" t="s">
        <v>137</v>
      </c>
      <c r="D92" s="2">
        <v>31.76</v>
      </c>
      <c r="E92" s="2">
        <v>31.934999999999999</v>
      </c>
      <c r="F92" s="2">
        <f t="shared" si="17"/>
        <v>0</v>
      </c>
      <c r="G92" s="2">
        <f t="shared" si="18"/>
        <v>-0.17499999999999716</v>
      </c>
      <c r="H92" s="3" t="s">
        <v>13</v>
      </c>
      <c r="I92" s="4"/>
      <c r="J92" s="12">
        <f t="shared" ref="J92:J93" si="19">G92/E92</f>
        <v>-5.4798810082980166E-3</v>
      </c>
    </row>
    <row r="93" spans="2:10" ht="15.75">
      <c r="B93" s="4" t="s">
        <v>337</v>
      </c>
      <c r="C93" s="4" t="s">
        <v>137</v>
      </c>
      <c r="D93" s="2">
        <v>31.83</v>
      </c>
      <c r="E93" s="2">
        <v>31.93</v>
      </c>
      <c r="F93" s="2">
        <f t="shared" si="17"/>
        <v>0</v>
      </c>
      <c r="G93" s="2">
        <f t="shared" si="18"/>
        <v>-0.10000000000000142</v>
      </c>
      <c r="H93" s="3" t="s">
        <v>11</v>
      </c>
      <c r="I93" s="4"/>
      <c r="J93" s="12">
        <f t="shared" si="19"/>
        <v>-3.1318509238960671E-3</v>
      </c>
    </row>
    <row r="94" spans="2:10" ht="15.75">
      <c r="B94" s="7"/>
      <c r="C94" s="7"/>
      <c r="D94" s="6">
        <f>SUM(D5:D93)</f>
        <v>2575.0200000000018</v>
      </c>
      <c r="E94" s="6">
        <f>SUM(E5:E93)</f>
        <v>2578.6110000000008</v>
      </c>
      <c r="F94" s="6">
        <f>SUM(F5:F93)</f>
        <v>5.856999999999978</v>
      </c>
      <c r="G94" s="6">
        <f>SUM(G5:G93)</f>
        <v>-9.4479999999999915</v>
      </c>
      <c r="H94" s="10">
        <f>SUM(F94:G94)</f>
        <v>-3.5910000000000135</v>
      </c>
      <c r="I94" s="9"/>
      <c r="J94" s="11">
        <f>H94/E94</f>
        <v>-1.392610207588509E-3</v>
      </c>
    </row>
  </sheetData>
  <mergeCells count="1">
    <mergeCell ref="B2:I2"/>
  </mergeCells>
  <pageMargins left="0.45" right="0.45" top="0.25" bottom="0.25" header="0.3" footer="0.3"/>
  <pageSetup paperSize="9" scale="56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 filterMode="1">
    <pageSetUpPr fitToPage="1"/>
  </sheetPr>
  <dimension ref="A1:M134"/>
  <sheetViews>
    <sheetView zoomScaleSheetLayoutView="100" workbookViewId="0">
      <pane ySplit="4" topLeftCell="A103" activePane="bottomLeft" state="frozen"/>
      <selection pane="bottomLeft" activeCell="F132" sqref="F132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6.7109375" customWidth="1"/>
    <col min="9" max="9" width="35.42578125" hidden="1" customWidth="1"/>
    <col min="10" max="10" width="11.42578125" customWidth="1"/>
    <col min="11" max="11" width="12.28515625" bestFit="1" customWidth="1"/>
    <col min="13" max="13" width="15.28515625" bestFit="1" customWidth="1"/>
    <col min="14" max="14" width="9.42578125" bestFit="1" customWidth="1"/>
    <col min="17" max="17" width="12.85546875" bestFit="1" customWidth="1"/>
  </cols>
  <sheetData>
    <row r="1" spans="2:10" ht="15.75" thickBot="1"/>
    <row r="2" spans="2:10" ht="20.25" thickBot="1">
      <c r="B2" s="55" t="s">
        <v>369</v>
      </c>
      <c r="C2" s="56"/>
      <c r="D2" s="56"/>
      <c r="E2" s="56"/>
      <c r="F2" s="56"/>
      <c r="G2" s="56"/>
      <c r="H2" s="56"/>
      <c r="I2" s="57"/>
    </row>
    <row r="4" spans="2:10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4" t="s">
        <v>10</v>
      </c>
      <c r="J4" s="5" t="s">
        <v>7</v>
      </c>
    </row>
    <row r="5" spans="2:10" ht="15.75">
      <c r="B5" s="4" t="s">
        <v>338</v>
      </c>
      <c r="C5" s="4" t="s">
        <v>137</v>
      </c>
      <c r="D5" s="2">
        <v>32.43</v>
      </c>
      <c r="E5" s="40">
        <v>32.643000000000001</v>
      </c>
      <c r="F5" s="2">
        <f t="shared" ref="F5:F28" si="0">IF(D5-E5&lt;=0,0,D5-E5)</f>
        <v>0</v>
      </c>
      <c r="G5" s="2">
        <f t="shared" ref="G5:G68" si="1">IF(D5-E5&gt;=0,0,D5-E5)</f>
        <v>-0.21300000000000097</v>
      </c>
      <c r="H5" s="3" t="s">
        <v>13</v>
      </c>
      <c r="I5" s="4"/>
      <c r="J5" s="12">
        <f t="shared" ref="J5:J60" si="2">G5/E5</f>
        <v>-6.5251355573936517E-3</v>
      </c>
    </row>
    <row r="6" spans="2:10" ht="15.75" hidden="1">
      <c r="B6" s="4" t="s">
        <v>338</v>
      </c>
      <c r="C6" s="4" t="s">
        <v>137</v>
      </c>
      <c r="D6" s="2">
        <v>31.77</v>
      </c>
      <c r="E6" s="40">
        <v>31.719000000000001</v>
      </c>
      <c r="F6" s="2">
        <f t="shared" si="0"/>
        <v>5.099999999999838E-2</v>
      </c>
      <c r="G6" s="2">
        <f t="shared" si="1"/>
        <v>0</v>
      </c>
      <c r="H6" s="3" t="s">
        <v>15</v>
      </c>
      <c r="I6" s="4"/>
      <c r="J6" s="12">
        <f t="shared" ref="J6:J7" si="3">F6/E6</f>
        <v>1.6078691005390578E-3</v>
      </c>
    </row>
    <row r="7" spans="2:10" ht="15.75" hidden="1">
      <c r="B7" s="4" t="s">
        <v>338</v>
      </c>
      <c r="C7" s="4" t="s">
        <v>137</v>
      </c>
      <c r="D7" s="2">
        <v>25.05</v>
      </c>
      <c r="E7" s="40">
        <v>24.878</v>
      </c>
      <c r="F7" s="2">
        <f t="shared" si="0"/>
        <v>0.1720000000000006</v>
      </c>
      <c r="G7" s="2">
        <f t="shared" si="1"/>
        <v>0</v>
      </c>
      <c r="H7" s="3" t="s">
        <v>60</v>
      </c>
      <c r="I7" s="4"/>
      <c r="J7" s="12">
        <f t="shared" si="3"/>
        <v>6.9137390465471744E-3</v>
      </c>
    </row>
    <row r="8" spans="2:10" ht="15.75">
      <c r="B8" s="4" t="s">
        <v>338</v>
      </c>
      <c r="C8" s="4" t="s">
        <v>137</v>
      </c>
      <c r="D8" s="2">
        <v>25.17</v>
      </c>
      <c r="E8" s="40">
        <v>25.215</v>
      </c>
      <c r="F8" s="2">
        <f t="shared" si="0"/>
        <v>0</v>
      </c>
      <c r="G8" s="2">
        <f t="shared" si="1"/>
        <v>-4.4999999999998153E-2</v>
      </c>
      <c r="H8" s="3" t="s">
        <v>42</v>
      </c>
      <c r="I8" s="4"/>
      <c r="J8" s="12">
        <f t="shared" si="2"/>
        <v>-1.7846519928613187E-3</v>
      </c>
    </row>
    <row r="9" spans="2:10" ht="15.75" hidden="1">
      <c r="B9" s="4" t="s">
        <v>338</v>
      </c>
      <c r="C9" s="4" t="s">
        <v>137</v>
      </c>
      <c r="D9" s="2">
        <v>31.52</v>
      </c>
      <c r="E9" s="40">
        <v>31.411999999999999</v>
      </c>
      <c r="F9" s="2">
        <f t="shared" si="0"/>
        <v>0.10800000000000054</v>
      </c>
      <c r="G9" s="2">
        <f t="shared" si="1"/>
        <v>0</v>
      </c>
      <c r="H9" s="3" t="s">
        <v>323</v>
      </c>
      <c r="I9" s="4"/>
      <c r="J9" s="12">
        <f t="shared" ref="J9" si="4">F9/E9</f>
        <v>3.4381764930599946E-3</v>
      </c>
    </row>
    <row r="10" spans="2:10" ht="15.75">
      <c r="B10" s="4" t="s">
        <v>339</v>
      </c>
      <c r="C10" s="4" t="s">
        <v>137</v>
      </c>
      <c r="D10" s="2">
        <v>24.57</v>
      </c>
      <c r="E10" s="40">
        <v>24.815000000000001</v>
      </c>
      <c r="F10" s="2">
        <f t="shared" si="0"/>
        <v>0</v>
      </c>
      <c r="G10" s="2">
        <f t="shared" si="1"/>
        <v>-0.24500000000000099</v>
      </c>
      <c r="H10" s="3" t="s">
        <v>224</v>
      </c>
      <c r="I10" s="4"/>
      <c r="J10" s="12">
        <f t="shared" si="2"/>
        <v>-9.8730606488011685E-3</v>
      </c>
    </row>
    <row r="11" spans="2:10" ht="15.75">
      <c r="B11" s="4" t="s">
        <v>339</v>
      </c>
      <c r="C11" s="4" t="s">
        <v>137</v>
      </c>
      <c r="D11" s="2">
        <v>32.64</v>
      </c>
      <c r="E11" s="40">
        <v>32.880000000000003</v>
      </c>
      <c r="F11" s="2">
        <f t="shared" si="0"/>
        <v>0</v>
      </c>
      <c r="G11" s="2">
        <f t="shared" si="1"/>
        <v>-0.24000000000000199</v>
      </c>
      <c r="H11" s="3" t="s">
        <v>323</v>
      </c>
      <c r="I11" s="4"/>
      <c r="J11" s="12">
        <f t="shared" si="2"/>
        <v>-7.2992700729927603E-3</v>
      </c>
    </row>
    <row r="12" spans="2:10" ht="15.75">
      <c r="B12" s="4" t="s">
        <v>339</v>
      </c>
      <c r="C12" s="4" t="s">
        <v>137</v>
      </c>
      <c r="D12" s="2">
        <v>32.01</v>
      </c>
      <c r="E12" s="40">
        <v>32.215000000000003</v>
      </c>
      <c r="F12" s="2">
        <f t="shared" si="0"/>
        <v>0</v>
      </c>
      <c r="G12" s="2">
        <f t="shared" si="1"/>
        <v>-0.2050000000000054</v>
      </c>
      <c r="H12" s="3" t="s">
        <v>13</v>
      </c>
      <c r="I12" s="4"/>
      <c r="J12" s="12">
        <f t="shared" si="2"/>
        <v>-6.363495266180518E-3</v>
      </c>
    </row>
    <row r="13" spans="2:10" ht="15.75">
      <c r="B13" s="4" t="s">
        <v>339</v>
      </c>
      <c r="C13" s="4" t="s">
        <v>137</v>
      </c>
      <c r="D13" s="2">
        <v>31.04</v>
      </c>
      <c r="E13" s="40">
        <v>31.265999999999998</v>
      </c>
      <c r="F13" s="2">
        <f t="shared" si="0"/>
        <v>0</v>
      </c>
      <c r="G13" s="2">
        <f t="shared" si="1"/>
        <v>-0.22599999999999909</v>
      </c>
      <c r="H13" s="3" t="s">
        <v>329</v>
      </c>
      <c r="I13" s="4"/>
      <c r="J13" s="12">
        <f t="shared" si="2"/>
        <v>-7.2282991108552136E-3</v>
      </c>
    </row>
    <row r="14" spans="2:10" ht="15.75">
      <c r="B14" s="4" t="s">
        <v>340</v>
      </c>
      <c r="C14" s="4" t="s">
        <v>137</v>
      </c>
      <c r="D14" s="2">
        <v>25.1</v>
      </c>
      <c r="E14" s="40">
        <v>25.152999999999999</v>
      </c>
      <c r="F14" s="2">
        <f t="shared" si="0"/>
        <v>0</v>
      </c>
      <c r="G14" s="2">
        <f t="shared" si="1"/>
        <v>-5.2999999999997272E-2</v>
      </c>
      <c r="H14" s="3" t="s">
        <v>341</v>
      </c>
      <c r="I14" s="4"/>
      <c r="J14" s="12">
        <f t="shared" si="2"/>
        <v>-2.1071045203354382E-3</v>
      </c>
    </row>
    <row r="15" spans="2:10" ht="15.75" hidden="1">
      <c r="B15" s="4" t="s">
        <v>340</v>
      </c>
      <c r="C15" s="4" t="s">
        <v>137</v>
      </c>
      <c r="D15" s="2">
        <v>32.74</v>
      </c>
      <c r="E15" s="40">
        <v>32.430999999999997</v>
      </c>
      <c r="F15" s="2">
        <f t="shared" si="0"/>
        <v>0.3090000000000046</v>
      </c>
      <c r="G15" s="2">
        <f t="shared" si="1"/>
        <v>0</v>
      </c>
      <c r="H15" s="3" t="s">
        <v>342</v>
      </c>
      <c r="I15" s="4"/>
      <c r="J15" s="12">
        <f t="shared" ref="J15:J18" si="5">F15/E15</f>
        <v>9.527920816502871E-3</v>
      </c>
    </row>
    <row r="16" spans="2:10" ht="15.75" hidden="1">
      <c r="B16" s="4" t="s">
        <v>340</v>
      </c>
      <c r="C16" s="4" t="s">
        <v>137</v>
      </c>
      <c r="D16" s="2">
        <v>31.73</v>
      </c>
      <c r="E16" s="40">
        <v>31.625</v>
      </c>
      <c r="F16" s="2">
        <f t="shared" si="0"/>
        <v>0.10500000000000043</v>
      </c>
      <c r="G16" s="2">
        <f t="shared" si="1"/>
        <v>0</v>
      </c>
      <c r="H16" s="3" t="s">
        <v>11</v>
      </c>
      <c r="I16" s="4"/>
      <c r="J16" s="12">
        <f t="shared" si="5"/>
        <v>3.3201581027668117E-3</v>
      </c>
    </row>
    <row r="17" spans="2:10" ht="15.75" hidden="1">
      <c r="B17" s="4" t="s">
        <v>340</v>
      </c>
      <c r="C17" s="4" t="s">
        <v>137</v>
      </c>
      <c r="D17" s="2">
        <v>24.89</v>
      </c>
      <c r="E17" s="40">
        <v>24.754000000000001</v>
      </c>
      <c r="F17" s="2">
        <f t="shared" si="0"/>
        <v>0.13599999999999923</v>
      </c>
      <c r="G17" s="2">
        <f t="shared" si="1"/>
        <v>0</v>
      </c>
      <c r="H17" s="3" t="s">
        <v>53</v>
      </c>
      <c r="I17" s="4"/>
      <c r="J17" s="12">
        <f t="shared" si="5"/>
        <v>5.4940615658075152E-3</v>
      </c>
    </row>
    <row r="18" spans="2:10" ht="15.75" hidden="1">
      <c r="B18" s="4" t="s">
        <v>343</v>
      </c>
      <c r="C18" s="4" t="s">
        <v>137</v>
      </c>
      <c r="D18" s="2">
        <v>25.01</v>
      </c>
      <c r="E18" s="40">
        <v>24.702000000000002</v>
      </c>
      <c r="F18" s="2">
        <f t="shared" si="0"/>
        <v>0.30799999999999983</v>
      </c>
      <c r="G18" s="2">
        <f t="shared" si="1"/>
        <v>0</v>
      </c>
      <c r="H18" s="3" t="s">
        <v>61</v>
      </c>
      <c r="I18" s="4"/>
      <c r="J18" s="12">
        <f t="shared" si="5"/>
        <v>1.2468626022184431E-2</v>
      </c>
    </row>
    <row r="19" spans="2:10" ht="15.75">
      <c r="B19" s="4" t="s">
        <v>343</v>
      </c>
      <c r="C19" s="4" t="s">
        <v>137</v>
      </c>
      <c r="D19" s="2">
        <v>25.29</v>
      </c>
      <c r="E19" s="40">
        <v>25.297000000000001</v>
      </c>
      <c r="F19" s="2">
        <f t="shared" si="0"/>
        <v>0</v>
      </c>
      <c r="G19" s="2">
        <f t="shared" si="1"/>
        <v>-7.0000000000014495E-3</v>
      </c>
      <c r="H19" s="3" t="s">
        <v>224</v>
      </c>
      <c r="I19" s="4"/>
      <c r="J19" s="12">
        <f t="shared" si="2"/>
        <v>-2.7671265367440603E-4</v>
      </c>
    </row>
    <row r="20" spans="2:10" ht="15.75" hidden="1">
      <c r="B20" s="4" t="s">
        <v>343</v>
      </c>
      <c r="C20" s="4" t="s">
        <v>137</v>
      </c>
      <c r="D20" s="2">
        <v>22.13</v>
      </c>
      <c r="E20" s="40">
        <v>22.11</v>
      </c>
      <c r="F20" s="2">
        <f t="shared" si="0"/>
        <v>1.9999999999999574E-2</v>
      </c>
      <c r="G20" s="2">
        <f t="shared" si="1"/>
        <v>0</v>
      </c>
      <c r="H20" s="3" t="s">
        <v>344</v>
      </c>
      <c r="I20" s="4"/>
      <c r="J20" s="12">
        <f t="shared" ref="J20:J21" si="6">F20/E20</f>
        <v>9.0456806874715393E-4</v>
      </c>
    </row>
    <row r="21" spans="2:10" ht="15.75" hidden="1">
      <c r="B21" s="4" t="s">
        <v>343</v>
      </c>
      <c r="C21" s="4" t="s">
        <v>137</v>
      </c>
      <c r="D21" s="2">
        <v>32.590000000000003</v>
      </c>
      <c r="E21" s="40">
        <v>32.277000000000001</v>
      </c>
      <c r="F21" s="2">
        <f t="shared" si="0"/>
        <v>0.31300000000000239</v>
      </c>
      <c r="G21" s="2">
        <f t="shared" si="1"/>
        <v>0</v>
      </c>
      <c r="H21" s="3" t="s">
        <v>13</v>
      </c>
      <c r="I21" s="4"/>
      <c r="J21" s="12">
        <f t="shared" si="6"/>
        <v>9.6973076803916845E-3</v>
      </c>
    </row>
    <row r="22" spans="2:10" ht="15.75">
      <c r="B22" s="4" t="s">
        <v>343</v>
      </c>
      <c r="C22" s="4" t="s">
        <v>137</v>
      </c>
      <c r="D22" s="2">
        <v>31.76</v>
      </c>
      <c r="E22" s="40">
        <v>31.907</v>
      </c>
      <c r="F22" s="2">
        <f t="shared" si="0"/>
        <v>0</v>
      </c>
      <c r="G22" s="2">
        <f t="shared" si="1"/>
        <v>-0.14699999999999847</v>
      </c>
      <c r="H22" s="3" t="s">
        <v>23</v>
      </c>
      <c r="I22" s="4"/>
      <c r="J22" s="12">
        <f t="shared" si="2"/>
        <v>-4.6071394991694129E-3</v>
      </c>
    </row>
    <row r="23" spans="2:10" ht="15.75">
      <c r="B23" s="4" t="s">
        <v>343</v>
      </c>
      <c r="C23" s="4" t="s">
        <v>137</v>
      </c>
      <c r="D23" s="2">
        <v>31.22</v>
      </c>
      <c r="E23" s="40">
        <v>31.484000000000002</v>
      </c>
      <c r="F23" s="2">
        <f t="shared" si="0"/>
        <v>0</v>
      </c>
      <c r="G23" s="2">
        <f t="shared" si="1"/>
        <v>-0.2640000000000029</v>
      </c>
      <c r="H23" s="3" t="s">
        <v>345</v>
      </c>
      <c r="I23" s="4"/>
      <c r="J23" s="12">
        <f t="shared" si="2"/>
        <v>-8.385211536018386E-3</v>
      </c>
    </row>
    <row r="24" spans="2:10" ht="15.75">
      <c r="B24" s="4" t="s">
        <v>346</v>
      </c>
      <c r="C24" s="4" t="s">
        <v>137</v>
      </c>
      <c r="D24" s="2">
        <v>25.09</v>
      </c>
      <c r="E24" s="40">
        <v>25.175999999999998</v>
      </c>
      <c r="F24" s="2">
        <f t="shared" si="0"/>
        <v>0</v>
      </c>
      <c r="G24" s="2">
        <f t="shared" si="1"/>
        <v>-8.5999999999998522E-2</v>
      </c>
      <c r="H24" s="3" t="s">
        <v>187</v>
      </c>
      <c r="I24" s="4"/>
      <c r="J24" s="12">
        <f t="shared" si="2"/>
        <v>-3.4159517000317179E-3</v>
      </c>
    </row>
    <row r="25" spans="2:10" ht="15.75" hidden="1">
      <c r="B25" s="4" t="s">
        <v>346</v>
      </c>
      <c r="C25" s="4" t="s">
        <v>137</v>
      </c>
      <c r="D25" s="2">
        <v>25.21</v>
      </c>
      <c r="E25" s="40">
        <v>25.207999999999998</v>
      </c>
      <c r="F25" s="2">
        <f t="shared" si="0"/>
        <v>2.0000000000024443E-3</v>
      </c>
      <c r="G25" s="2">
        <f t="shared" si="1"/>
        <v>0</v>
      </c>
      <c r="H25" s="3" t="s">
        <v>39</v>
      </c>
      <c r="I25" s="4"/>
      <c r="J25" s="12">
        <f t="shared" ref="J25" si="7">F25/E25</f>
        <v>7.933989209784371E-5</v>
      </c>
    </row>
    <row r="26" spans="2:10" ht="15.75">
      <c r="B26" s="4" t="s">
        <v>346</v>
      </c>
      <c r="C26" s="4" t="s">
        <v>137</v>
      </c>
      <c r="D26" s="2">
        <v>31.2</v>
      </c>
      <c r="E26" s="40">
        <v>31.727</v>
      </c>
      <c r="F26" s="2">
        <f t="shared" si="0"/>
        <v>0</v>
      </c>
      <c r="G26" s="2">
        <f t="shared" si="1"/>
        <v>-0.52700000000000102</v>
      </c>
      <c r="H26" s="3" t="s">
        <v>23</v>
      </c>
      <c r="I26" s="4"/>
      <c r="J26" s="12">
        <f t="shared" si="2"/>
        <v>-1.661045796955278E-2</v>
      </c>
    </row>
    <row r="27" spans="2:10" ht="15.75">
      <c r="B27" s="4" t="s">
        <v>346</v>
      </c>
      <c r="C27" s="4" t="s">
        <v>137</v>
      </c>
      <c r="D27" s="2">
        <v>32.1</v>
      </c>
      <c r="E27" s="40">
        <v>32.664000000000001</v>
      </c>
      <c r="F27" s="2">
        <f t="shared" si="0"/>
        <v>0</v>
      </c>
      <c r="G27" s="2">
        <f t="shared" si="1"/>
        <v>-0.56400000000000006</v>
      </c>
      <c r="H27" s="3" t="s">
        <v>16</v>
      </c>
      <c r="I27" s="4"/>
      <c r="J27" s="12">
        <f t="shared" si="2"/>
        <v>-1.7266715650257166E-2</v>
      </c>
    </row>
    <row r="28" spans="2:10" ht="15.75">
      <c r="B28" s="4" t="s">
        <v>346</v>
      </c>
      <c r="C28" s="4" t="s">
        <v>137</v>
      </c>
      <c r="D28" s="2">
        <v>32.799999999999997</v>
      </c>
      <c r="E28" s="40">
        <v>32.963999999999999</v>
      </c>
      <c r="F28" s="2">
        <f t="shared" si="0"/>
        <v>0</v>
      </c>
      <c r="G28" s="2">
        <f t="shared" si="1"/>
        <v>-0.16400000000000148</v>
      </c>
      <c r="H28" s="3" t="s">
        <v>300</v>
      </c>
      <c r="I28" s="4"/>
      <c r="J28" s="12">
        <f t="shared" si="2"/>
        <v>-4.9751243781094977E-3</v>
      </c>
    </row>
    <row r="29" spans="2:10" ht="15.75">
      <c r="B29" s="4" t="s">
        <v>347</v>
      </c>
      <c r="C29" s="4" t="s">
        <v>137</v>
      </c>
      <c r="D29" s="2">
        <v>32.72</v>
      </c>
      <c r="E29" s="40">
        <v>32.786999999999999</v>
      </c>
      <c r="F29" s="2">
        <f>IF(D29-E29&lt;=0,0,D29-E29)</f>
        <v>0</v>
      </c>
      <c r="G29" s="2">
        <f t="shared" si="1"/>
        <v>-6.7000000000000171E-2</v>
      </c>
      <c r="H29" s="3" t="s">
        <v>13</v>
      </c>
      <c r="I29" s="4"/>
      <c r="J29" s="12">
        <f t="shared" si="2"/>
        <v>-2.0434928477750382E-3</v>
      </c>
    </row>
    <row r="30" spans="2:10" ht="15.75">
      <c r="B30" s="4" t="s">
        <v>347</v>
      </c>
      <c r="C30" s="4" t="s">
        <v>137</v>
      </c>
      <c r="D30" s="2">
        <v>24.88</v>
      </c>
      <c r="E30" s="40">
        <v>24.954999999999998</v>
      </c>
      <c r="F30" s="2">
        <f t="shared" ref="F30:F131" si="8">IF(D30-E30&lt;=0,0,D30-E30)</f>
        <v>0</v>
      </c>
      <c r="G30" s="2">
        <f t="shared" si="1"/>
        <v>-7.4999999999999289E-2</v>
      </c>
      <c r="H30" s="3" t="s">
        <v>198</v>
      </c>
      <c r="I30" s="4"/>
      <c r="J30" s="12">
        <f t="shared" si="2"/>
        <v>-3.0054097375275214E-3</v>
      </c>
    </row>
    <row r="31" spans="2:10" ht="15.75" hidden="1">
      <c r="B31" s="4" t="s">
        <v>347</v>
      </c>
      <c r="C31" s="4" t="s">
        <v>137</v>
      </c>
      <c r="D31" s="2">
        <v>25.34</v>
      </c>
      <c r="E31" s="40">
        <v>25.324000000000002</v>
      </c>
      <c r="F31" s="2">
        <f t="shared" si="8"/>
        <v>1.5999999999998238E-2</v>
      </c>
      <c r="G31" s="2">
        <f t="shared" si="1"/>
        <v>0</v>
      </c>
      <c r="H31" s="3" t="s">
        <v>38</v>
      </c>
      <c r="I31" s="4"/>
      <c r="J31" s="12">
        <f t="shared" ref="J31" si="9">F31/E31</f>
        <v>6.3181172010733837E-4</v>
      </c>
    </row>
    <row r="32" spans="2:10" ht="15.75">
      <c r="B32" s="4" t="s">
        <v>347</v>
      </c>
      <c r="C32" s="4" t="s">
        <v>137</v>
      </c>
      <c r="D32" s="2">
        <v>29.98</v>
      </c>
      <c r="E32" s="40">
        <v>30.052</v>
      </c>
      <c r="F32" s="2">
        <f t="shared" si="8"/>
        <v>0</v>
      </c>
      <c r="G32" s="2">
        <f t="shared" si="1"/>
        <v>-7.1999999999999176E-2</v>
      </c>
      <c r="H32" s="3" t="s">
        <v>12</v>
      </c>
      <c r="I32" s="4"/>
      <c r="J32" s="12">
        <f t="shared" si="2"/>
        <v>-2.3958471981897771E-3</v>
      </c>
    </row>
    <row r="33" spans="1:10" ht="15.75">
      <c r="B33" s="4" t="s">
        <v>347</v>
      </c>
      <c r="C33" s="4" t="s">
        <v>137</v>
      </c>
      <c r="D33" s="2">
        <v>32.86</v>
      </c>
      <c r="E33" s="40">
        <v>33.167999999999999</v>
      </c>
      <c r="F33" s="2">
        <f t="shared" si="8"/>
        <v>0</v>
      </c>
      <c r="G33" s="2">
        <f t="shared" si="1"/>
        <v>-0.30799999999999983</v>
      </c>
      <c r="H33" s="3" t="s">
        <v>287</v>
      </c>
      <c r="I33" s="4"/>
      <c r="J33" s="12">
        <f t="shared" si="2"/>
        <v>-9.2860588519054453E-3</v>
      </c>
    </row>
    <row r="34" spans="1:10" ht="15.75" hidden="1">
      <c r="B34" s="4" t="s">
        <v>347</v>
      </c>
      <c r="C34" s="4" t="s">
        <v>137</v>
      </c>
      <c r="D34" s="2">
        <v>11.67</v>
      </c>
      <c r="E34" s="40">
        <v>11.625999999999999</v>
      </c>
      <c r="F34" s="2">
        <f t="shared" si="8"/>
        <v>4.4000000000000483E-2</v>
      </c>
      <c r="G34" s="2">
        <f t="shared" si="1"/>
        <v>0</v>
      </c>
      <c r="H34" s="3" t="s">
        <v>348</v>
      </c>
      <c r="I34" s="4"/>
      <c r="J34" s="12">
        <f t="shared" ref="J34" si="10">F34/E34</f>
        <v>3.7846206777911993E-3</v>
      </c>
    </row>
    <row r="35" spans="1:10" ht="15.75">
      <c r="B35" s="4" t="s">
        <v>349</v>
      </c>
      <c r="C35" s="4" t="s">
        <v>137</v>
      </c>
      <c r="D35" s="2">
        <v>24.89</v>
      </c>
      <c r="E35" s="40">
        <v>25.077000000000002</v>
      </c>
      <c r="F35" s="2">
        <f t="shared" si="8"/>
        <v>0</v>
      </c>
      <c r="G35" s="2">
        <f t="shared" si="1"/>
        <v>-0.18700000000000117</v>
      </c>
      <c r="H35" s="3" t="s">
        <v>147</v>
      </c>
      <c r="I35" s="4"/>
      <c r="J35" s="12">
        <f t="shared" si="2"/>
        <v>-7.4570323403916399E-3</v>
      </c>
    </row>
    <row r="36" spans="1:10" ht="15.75">
      <c r="A36">
        <v>0</v>
      </c>
      <c r="B36" s="4" t="s">
        <v>349</v>
      </c>
      <c r="C36" s="4" t="s">
        <v>137</v>
      </c>
      <c r="D36" s="2">
        <v>25.23</v>
      </c>
      <c r="E36" s="40">
        <v>25.28</v>
      </c>
      <c r="F36" s="2">
        <f t="shared" si="8"/>
        <v>0</v>
      </c>
      <c r="G36" s="2">
        <f t="shared" si="1"/>
        <v>-5.0000000000000711E-2</v>
      </c>
      <c r="H36" s="3" t="s">
        <v>40</v>
      </c>
      <c r="I36" s="4"/>
      <c r="J36" s="12">
        <f t="shared" si="2"/>
        <v>-1.9778481012658507E-3</v>
      </c>
    </row>
    <row r="37" spans="1:10" ht="15.75" hidden="1">
      <c r="B37" s="4" t="s">
        <v>349</v>
      </c>
      <c r="C37" s="4" t="s">
        <v>137</v>
      </c>
      <c r="D37" s="2">
        <v>31.91</v>
      </c>
      <c r="E37" s="40">
        <v>31.838999999999999</v>
      </c>
      <c r="F37" s="2">
        <f t="shared" si="8"/>
        <v>7.1000000000001506E-2</v>
      </c>
      <c r="G37" s="2">
        <f t="shared" si="1"/>
        <v>0</v>
      </c>
      <c r="H37" s="3" t="s">
        <v>15</v>
      </c>
      <c r="I37" s="4"/>
      <c r="J37" s="12">
        <f t="shared" ref="J37" si="11">F37/E37</f>
        <v>2.229969534219087E-3</v>
      </c>
    </row>
    <row r="38" spans="1:10" ht="15.75">
      <c r="B38" s="4" t="s">
        <v>349</v>
      </c>
      <c r="C38" s="4" t="s">
        <v>137</v>
      </c>
      <c r="D38" s="2">
        <v>32.58</v>
      </c>
      <c r="E38" s="40">
        <v>32.993000000000002</v>
      </c>
      <c r="F38" s="2">
        <f t="shared" si="8"/>
        <v>0</v>
      </c>
      <c r="G38" s="2">
        <f t="shared" si="1"/>
        <v>-0.41300000000000381</v>
      </c>
      <c r="H38" s="3" t="s">
        <v>13</v>
      </c>
      <c r="I38" s="4"/>
      <c r="J38" s="12">
        <f t="shared" si="2"/>
        <v>-1.2517806807504736E-2</v>
      </c>
    </row>
    <row r="39" spans="1:10" ht="15.75">
      <c r="B39" s="4" t="s">
        <v>349</v>
      </c>
      <c r="C39" s="4" t="s">
        <v>137</v>
      </c>
      <c r="D39" s="2">
        <v>32.68</v>
      </c>
      <c r="E39" s="40">
        <v>33.097000000000001</v>
      </c>
      <c r="F39" s="2">
        <f t="shared" si="8"/>
        <v>0</v>
      </c>
      <c r="G39" s="2">
        <f t="shared" si="1"/>
        <v>-0.41700000000000159</v>
      </c>
      <c r="H39" s="3" t="s">
        <v>323</v>
      </c>
      <c r="I39" s="4"/>
      <c r="J39" s="12">
        <f t="shared" si="2"/>
        <v>-1.2599329244342435E-2</v>
      </c>
    </row>
    <row r="40" spans="1:10" ht="15.75">
      <c r="B40" s="4" t="s">
        <v>350</v>
      </c>
      <c r="C40" s="4" t="s">
        <v>137</v>
      </c>
      <c r="D40" s="2">
        <v>30.64</v>
      </c>
      <c r="E40" s="40">
        <v>30.645</v>
      </c>
      <c r="F40" s="2">
        <f t="shared" si="8"/>
        <v>0</v>
      </c>
      <c r="G40" s="2">
        <f t="shared" si="1"/>
        <v>-4.9999999999990052E-3</v>
      </c>
      <c r="H40" s="3" t="s">
        <v>336</v>
      </c>
      <c r="I40" s="4"/>
      <c r="J40" s="12">
        <f t="shared" si="2"/>
        <v>-1.6315875346709105E-4</v>
      </c>
    </row>
    <row r="41" spans="1:10" ht="15.75">
      <c r="B41" s="4" t="s">
        <v>350</v>
      </c>
      <c r="C41" s="4" t="s">
        <v>137</v>
      </c>
      <c r="D41" s="2">
        <v>25.33</v>
      </c>
      <c r="E41" s="40">
        <v>25.494</v>
      </c>
      <c r="F41" s="2">
        <f t="shared" si="8"/>
        <v>0</v>
      </c>
      <c r="G41" s="2">
        <f t="shared" si="1"/>
        <v>-0.16400000000000148</v>
      </c>
      <c r="H41" s="3" t="s">
        <v>198</v>
      </c>
      <c r="I41" s="4"/>
      <c r="J41" s="12">
        <f t="shared" si="2"/>
        <v>-6.432886169294794E-3</v>
      </c>
    </row>
    <row r="42" spans="1:10" ht="15.75">
      <c r="B42" s="4" t="s">
        <v>350</v>
      </c>
      <c r="C42" s="4" t="s">
        <v>137</v>
      </c>
      <c r="D42" s="2">
        <v>25.24</v>
      </c>
      <c r="E42" s="40">
        <v>25.280999999999999</v>
      </c>
      <c r="F42" s="2">
        <f t="shared" si="8"/>
        <v>0</v>
      </c>
      <c r="G42" s="2">
        <f t="shared" si="1"/>
        <v>-4.1000000000000369E-2</v>
      </c>
      <c r="H42" s="3" t="s">
        <v>187</v>
      </c>
      <c r="I42" s="4"/>
      <c r="J42" s="12">
        <f t="shared" si="2"/>
        <v>-1.6217712906926296E-3</v>
      </c>
    </row>
    <row r="43" spans="1:10" ht="15.75" hidden="1">
      <c r="B43" s="4" t="s">
        <v>350</v>
      </c>
      <c r="C43" s="4" t="s">
        <v>137</v>
      </c>
      <c r="D43" s="2">
        <v>13.02</v>
      </c>
      <c r="E43" s="40">
        <v>12.973000000000001</v>
      </c>
      <c r="F43" s="2">
        <f t="shared" si="8"/>
        <v>4.699999999999882E-2</v>
      </c>
      <c r="G43" s="2">
        <f t="shared" si="1"/>
        <v>0</v>
      </c>
      <c r="H43" s="3" t="s">
        <v>352</v>
      </c>
      <c r="I43" s="4"/>
      <c r="J43" s="12">
        <f t="shared" ref="J43" si="12">F43/E43</f>
        <v>3.6229091189392444E-3</v>
      </c>
    </row>
    <row r="44" spans="1:10" ht="15.75">
      <c r="B44" s="4" t="s">
        <v>350</v>
      </c>
      <c r="C44" s="4" t="s">
        <v>137</v>
      </c>
      <c r="D44" s="2">
        <v>32.049999999999997</v>
      </c>
      <c r="E44" s="40">
        <v>32.328000000000003</v>
      </c>
      <c r="F44" s="2">
        <f t="shared" si="8"/>
        <v>0</v>
      </c>
      <c r="G44" s="2">
        <f t="shared" si="1"/>
        <v>-0.2780000000000058</v>
      </c>
      <c r="H44" s="3" t="s">
        <v>16</v>
      </c>
      <c r="I44" s="4"/>
      <c r="J44" s="12">
        <f t="shared" si="2"/>
        <v>-8.5993565949024301E-3</v>
      </c>
    </row>
    <row r="45" spans="1:10" ht="15.75" hidden="1">
      <c r="B45" s="4" t="s">
        <v>351</v>
      </c>
      <c r="C45" s="4" t="s">
        <v>137</v>
      </c>
      <c r="D45" s="2">
        <v>25.45</v>
      </c>
      <c r="E45" s="40">
        <v>25.344999999999999</v>
      </c>
      <c r="F45" s="2">
        <f t="shared" si="8"/>
        <v>0.10500000000000043</v>
      </c>
      <c r="G45" s="2">
        <f t="shared" si="1"/>
        <v>0</v>
      </c>
      <c r="H45" s="3" t="s">
        <v>42</v>
      </c>
      <c r="I45" s="4"/>
      <c r="J45" s="12">
        <f t="shared" ref="J45" si="13">F45/E45</f>
        <v>4.1428289603472257E-3</v>
      </c>
    </row>
    <row r="46" spans="1:10" ht="15.75">
      <c r="B46" s="4" t="s">
        <v>351</v>
      </c>
      <c r="C46" s="4" t="s">
        <v>137</v>
      </c>
      <c r="D46" s="2">
        <v>32.69</v>
      </c>
      <c r="E46" s="40">
        <v>33.020000000000003</v>
      </c>
      <c r="F46" s="2">
        <f t="shared" si="8"/>
        <v>0</v>
      </c>
      <c r="G46" s="2">
        <f t="shared" si="1"/>
        <v>-0.3300000000000054</v>
      </c>
      <c r="H46" s="3" t="s">
        <v>300</v>
      </c>
      <c r="I46" s="4"/>
      <c r="J46" s="12">
        <f t="shared" si="2"/>
        <v>-9.9939430648093696E-3</v>
      </c>
    </row>
    <row r="47" spans="1:10" ht="15.75">
      <c r="B47" s="4" t="s">
        <v>351</v>
      </c>
      <c r="C47" s="4" t="s">
        <v>137</v>
      </c>
      <c r="D47" s="2">
        <v>32.53</v>
      </c>
      <c r="E47" s="40">
        <v>32.777000000000001</v>
      </c>
      <c r="F47" s="2">
        <f t="shared" si="8"/>
        <v>0</v>
      </c>
      <c r="G47" s="2">
        <f t="shared" si="1"/>
        <v>-0.24699999999999989</v>
      </c>
      <c r="H47" s="3" t="s">
        <v>209</v>
      </c>
      <c r="I47" s="4"/>
      <c r="J47" s="12">
        <f t="shared" si="2"/>
        <v>-7.5357720352686296E-3</v>
      </c>
    </row>
    <row r="48" spans="1:10" ht="15.75" hidden="1">
      <c r="B48" s="4" t="s">
        <v>351</v>
      </c>
      <c r="C48" s="4" t="s">
        <v>137</v>
      </c>
      <c r="D48" s="2">
        <v>25.27</v>
      </c>
      <c r="E48" s="40">
        <v>25.128</v>
      </c>
      <c r="F48" s="2">
        <f t="shared" si="8"/>
        <v>0.14199999999999946</v>
      </c>
      <c r="G48" s="2">
        <f t="shared" si="1"/>
        <v>0</v>
      </c>
      <c r="H48" s="3" t="s">
        <v>354</v>
      </c>
      <c r="I48" s="4"/>
      <c r="J48" s="12">
        <f t="shared" ref="J48" si="14">F48/E48</f>
        <v>5.6510665393186667E-3</v>
      </c>
    </row>
    <row r="49" spans="2:10" ht="15.75">
      <c r="B49" s="4" t="s">
        <v>351</v>
      </c>
      <c r="C49" s="4" t="s">
        <v>137</v>
      </c>
      <c r="D49" s="2">
        <v>31.91</v>
      </c>
      <c r="E49" s="40">
        <v>31.928000000000001</v>
      </c>
      <c r="F49" s="2">
        <f t="shared" si="8"/>
        <v>0</v>
      </c>
      <c r="G49" s="2">
        <f t="shared" si="1"/>
        <v>-1.8000000000000682E-2</v>
      </c>
      <c r="H49" s="3" t="s">
        <v>16</v>
      </c>
      <c r="I49" s="4"/>
      <c r="J49" s="12">
        <f t="shared" si="2"/>
        <v>-5.6376847907794667E-4</v>
      </c>
    </row>
    <row r="50" spans="2:10" ht="15.75">
      <c r="B50" s="4" t="s">
        <v>353</v>
      </c>
      <c r="C50" s="4" t="s">
        <v>137</v>
      </c>
      <c r="D50" s="2">
        <v>31.61</v>
      </c>
      <c r="E50" s="40">
        <v>31.986999999999998</v>
      </c>
      <c r="F50" s="2">
        <f t="shared" si="8"/>
        <v>0</v>
      </c>
      <c r="G50" s="2">
        <f t="shared" si="1"/>
        <v>-0.37699999999999889</v>
      </c>
      <c r="H50" s="3" t="s">
        <v>287</v>
      </c>
      <c r="I50" s="4"/>
      <c r="J50" s="12">
        <f t="shared" si="2"/>
        <v>-1.178603807796914E-2</v>
      </c>
    </row>
    <row r="51" spans="2:10" ht="15.75" hidden="1">
      <c r="B51" s="4" t="s">
        <v>353</v>
      </c>
      <c r="C51" s="4" t="s">
        <v>137</v>
      </c>
      <c r="D51" s="2">
        <v>24.7</v>
      </c>
      <c r="E51" s="40">
        <v>24.52</v>
      </c>
      <c r="F51" s="2">
        <f t="shared" si="8"/>
        <v>0.17999999999999972</v>
      </c>
      <c r="G51" s="2">
        <f t="shared" si="1"/>
        <v>0</v>
      </c>
      <c r="H51" s="3" t="s">
        <v>198</v>
      </c>
      <c r="I51" s="4"/>
      <c r="J51" s="12">
        <f t="shared" ref="J51" si="15">F51/E51</f>
        <v>7.3409461663947687E-3</v>
      </c>
    </row>
    <row r="52" spans="2:10" ht="15.75">
      <c r="B52" s="4" t="s">
        <v>353</v>
      </c>
      <c r="C52" s="4" t="s">
        <v>137</v>
      </c>
      <c r="D52" s="2">
        <v>31.45</v>
      </c>
      <c r="E52" s="40">
        <v>31.620999999999999</v>
      </c>
      <c r="F52" s="2">
        <f t="shared" si="8"/>
        <v>0</v>
      </c>
      <c r="G52" s="2">
        <f t="shared" si="1"/>
        <v>-0.17099999999999937</v>
      </c>
      <c r="H52" s="3" t="s">
        <v>16</v>
      </c>
      <c r="I52" s="4"/>
      <c r="J52" s="12">
        <f t="shared" si="2"/>
        <v>-5.4077986148445461E-3</v>
      </c>
    </row>
    <row r="53" spans="2:10" ht="15.75">
      <c r="B53" s="4" t="s">
        <v>353</v>
      </c>
      <c r="C53" s="4" t="s">
        <v>137</v>
      </c>
      <c r="D53" s="2">
        <v>32.32</v>
      </c>
      <c r="E53" s="40">
        <v>32.369999999999997</v>
      </c>
      <c r="F53" s="2">
        <f t="shared" si="8"/>
        <v>0</v>
      </c>
      <c r="G53" s="2">
        <f t="shared" si="1"/>
        <v>-4.9999999999997158E-2</v>
      </c>
      <c r="H53" s="3" t="s">
        <v>31</v>
      </c>
      <c r="I53" s="4"/>
      <c r="J53" s="12">
        <f t="shared" si="2"/>
        <v>-1.5446400988568787E-3</v>
      </c>
    </row>
    <row r="54" spans="2:10" ht="15.75" hidden="1">
      <c r="B54" s="4" t="s">
        <v>353</v>
      </c>
      <c r="C54" s="4" t="s">
        <v>137</v>
      </c>
      <c r="D54" s="2">
        <v>24.5</v>
      </c>
      <c r="E54" s="40">
        <v>24.417000000000002</v>
      </c>
      <c r="F54" s="2">
        <f t="shared" si="8"/>
        <v>8.2999999999998408E-2</v>
      </c>
      <c r="G54" s="2">
        <f t="shared" si="1"/>
        <v>0</v>
      </c>
      <c r="H54" s="3" t="s">
        <v>187</v>
      </c>
      <c r="I54" s="4"/>
      <c r="J54" s="12">
        <f t="shared" ref="J54" si="16">F54/E54</f>
        <v>3.3992709997132491E-3</v>
      </c>
    </row>
    <row r="55" spans="2:10" ht="15.75">
      <c r="B55" s="4" t="s">
        <v>355</v>
      </c>
      <c r="C55" s="4" t="s">
        <v>137</v>
      </c>
      <c r="D55" s="2">
        <v>31.93</v>
      </c>
      <c r="E55" s="40">
        <v>32.165999999999997</v>
      </c>
      <c r="F55" s="2">
        <f t="shared" si="8"/>
        <v>0</v>
      </c>
      <c r="G55" s="2">
        <f t="shared" si="1"/>
        <v>-0.2359999999999971</v>
      </c>
      <c r="H55" s="3" t="s">
        <v>16</v>
      </c>
      <c r="I55" s="4"/>
      <c r="J55" s="12">
        <f t="shared" si="2"/>
        <v>-7.3369396256916346E-3</v>
      </c>
    </row>
    <row r="56" spans="2:10" ht="15.75">
      <c r="B56" s="4" t="s">
        <v>355</v>
      </c>
      <c r="C56" s="4" t="s">
        <v>137</v>
      </c>
      <c r="D56" s="2">
        <v>32.979999999999997</v>
      </c>
      <c r="E56" s="40">
        <v>33.252000000000002</v>
      </c>
      <c r="F56" s="2">
        <f t="shared" si="8"/>
        <v>0</v>
      </c>
      <c r="G56" s="2">
        <f t="shared" si="1"/>
        <v>-0.27200000000000557</v>
      </c>
      <c r="H56" s="3" t="s">
        <v>287</v>
      </c>
      <c r="I56" s="4"/>
      <c r="J56" s="12">
        <f t="shared" si="2"/>
        <v>-8.1799591002046663E-3</v>
      </c>
    </row>
    <row r="57" spans="2:10" ht="15.75">
      <c r="B57" s="4" t="s">
        <v>355</v>
      </c>
      <c r="C57" s="4" t="s">
        <v>137</v>
      </c>
      <c r="D57" s="2">
        <v>32.090000000000003</v>
      </c>
      <c r="E57" s="40">
        <v>32.360999999999997</v>
      </c>
      <c r="F57" s="2">
        <f t="shared" si="8"/>
        <v>0</v>
      </c>
      <c r="G57" s="2">
        <f t="shared" si="1"/>
        <v>-0.27099999999999369</v>
      </c>
      <c r="H57" s="3" t="s">
        <v>13</v>
      </c>
      <c r="I57" s="4"/>
      <c r="J57" s="12">
        <f t="shared" si="2"/>
        <v>-8.374277679923171E-3</v>
      </c>
    </row>
    <row r="58" spans="2:10" ht="15.75">
      <c r="B58" s="4" t="s">
        <v>355</v>
      </c>
      <c r="C58" s="4" t="s">
        <v>137</v>
      </c>
      <c r="D58" s="2">
        <v>31.92</v>
      </c>
      <c r="E58" s="40">
        <v>32.375999999999998</v>
      </c>
      <c r="F58" s="2">
        <f t="shared" si="8"/>
        <v>0</v>
      </c>
      <c r="G58" s="2">
        <f t="shared" si="1"/>
        <v>-0.45599999999999596</v>
      </c>
      <c r="H58" s="3" t="s">
        <v>15</v>
      </c>
      <c r="I58" s="4"/>
      <c r="J58" s="12">
        <f t="shared" si="2"/>
        <v>-1.4084507042253398E-2</v>
      </c>
    </row>
    <row r="59" spans="2:10" ht="15.75">
      <c r="B59" s="4" t="s">
        <v>356</v>
      </c>
      <c r="C59" s="4" t="s">
        <v>137</v>
      </c>
      <c r="D59" s="2">
        <v>31.97</v>
      </c>
      <c r="E59" s="40">
        <v>32.404000000000003</v>
      </c>
      <c r="F59" s="2">
        <f t="shared" si="8"/>
        <v>0</v>
      </c>
      <c r="G59" s="2">
        <f t="shared" si="1"/>
        <v>-0.4340000000000046</v>
      </c>
      <c r="H59" s="3" t="s">
        <v>323</v>
      </c>
      <c r="I59" s="4"/>
      <c r="J59" s="12">
        <f t="shared" si="2"/>
        <v>-1.3393408221207399E-2</v>
      </c>
    </row>
    <row r="60" spans="2:10" ht="15.75">
      <c r="B60" s="4" t="s">
        <v>356</v>
      </c>
      <c r="C60" s="4" t="s">
        <v>137</v>
      </c>
      <c r="D60" s="2">
        <v>32.369999999999997</v>
      </c>
      <c r="E60" s="40">
        <v>32.472000000000001</v>
      </c>
      <c r="F60" s="2">
        <f t="shared" si="8"/>
        <v>0</v>
      </c>
      <c r="G60" s="2">
        <f t="shared" si="1"/>
        <v>-0.10200000000000387</v>
      </c>
      <c r="H60" s="3" t="s">
        <v>16</v>
      </c>
      <c r="I60" s="4"/>
      <c r="J60" s="12">
        <f t="shared" si="2"/>
        <v>-3.1411677753142358E-3</v>
      </c>
    </row>
    <row r="61" spans="2:10" ht="15.75" hidden="1">
      <c r="B61" s="4" t="s">
        <v>356</v>
      </c>
      <c r="C61" s="4" t="s">
        <v>137</v>
      </c>
      <c r="D61" s="2">
        <v>32.75</v>
      </c>
      <c r="E61" s="40">
        <v>32.686</v>
      </c>
      <c r="F61" s="2">
        <f t="shared" si="8"/>
        <v>6.4000000000000057E-2</v>
      </c>
      <c r="G61" s="2">
        <f t="shared" si="1"/>
        <v>0</v>
      </c>
      <c r="H61" s="3" t="s">
        <v>287</v>
      </c>
      <c r="I61" s="4"/>
      <c r="J61" s="12">
        <f t="shared" ref="J61:J63" si="17">F61/E61</f>
        <v>1.9580248424401901E-3</v>
      </c>
    </row>
    <row r="62" spans="2:10" ht="15.75" hidden="1">
      <c r="B62" s="4" t="s">
        <v>357</v>
      </c>
      <c r="C62" s="4" t="s">
        <v>137</v>
      </c>
      <c r="D62" s="2">
        <v>31.76</v>
      </c>
      <c r="E62" s="40">
        <v>31.588000000000001</v>
      </c>
      <c r="F62" s="2">
        <f t="shared" si="8"/>
        <v>0.1720000000000006</v>
      </c>
      <c r="G62" s="2">
        <f t="shared" si="1"/>
        <v>0</v>
      </c>
      <c r="H62" s="3" t="s">
        <v>23</v>
      </c>
      <c r="I62" s="4"/>
      <c r="J62" s="12">
        <f t="shared" si="17"/>
        <v>5.4451057363555967E-3</v>
      </c>
    </row>
    <row r="63" spans="2:10" ht="15.75" hidden="1">
      <c r="B63" s="4" t="s">
        <v>357</v>
      </c>
      <c r="C63" s="4" t="s">
        <v>137</v>
      </c>
      <c r="D63" s="2">
        <v>32.049999999999997</v>
      </c>
      <c r="E63" s="40">
        <v>31.989000000000001</v>
      </c>
      <c r="F63" s="2">
        <f t="shared" si="8"/>
        <v>6.099999999999639E-2</v>
      </c>
      <c r="G63" s="2">
        <f t="shared" si="1"/>
        <v>0</v>
      </c>
      <c r="H63" s="3" t="s">
        <v>16</v>
      </c>
      <c r="I63" s="4"/>
      <c r="J63" s="12">
        <f t="shared" si="17"/>
        <v>1.9069054987650876E-3</v>
      </c>
    </row>
    <row r="64" spans="2:10" ht="15.75">
      <c r="B64" s="4" t="s">
        <v>358</v>
      </c>
      <c r="C64" s="4" t="s">
        <v>137</v>
      </c>
      <c r="D64" s="2">
        <v>32.06</v>
      </c>
      <c r="E64" s="40">
        <v>32.334000000000003</v>
      </c>
      <c r="F64" s="2">
        <f t="shared" si="8"/>
        <v>0</v>
      </c>
      <c r="G64" s="2">
        <f t="shared" si="1"/>
        <v>-0.27400000000000091</v>
      </c>
      <c r="H64" s="3" t="s">
        <v>23</v>
      </c>
      <c r="I64" s="4"/>
      <c r="J64" s="12">
        <f t="shared" ref="J64:J75" si="18">G64/E64</f>
        <v>-8.47405208140041E-3</v>
      </c>
    </row>
    <row r="65" spans="2:10" ht="15.75">
      <c r="B65" s="4" t="s">
        <v>358</v>
      </c>
      <c r="C65" s="4" t="s">
        <v>137</v>
      </c>
      <c r="D65" s="2">
        <v>32.75</v>
      </c>
      <c r="E65" s="40">
        <v>32.956000000000003</v>
      </c>
      <c r="F65" s="2">
        <f t="shared" si="8"/>
        <v>0</v>
      </c>
      <c r="G65" s="2">
        <f t="shared" si="1"/>
        <v>-0.20600000000000307</v>
      </c>
      <c r="H65" s="3" t="s">
        <v>16</v>
      </c>
      <c r="I65" s="4"/>
      <c r="J65" s="12">
        <f t="shared" si="18"/>
        <v>-6.2507585872072779E-3</v>
      </c>
    </row>
    <row r="66" spans="2:10" ht="15.75">
      <c r="B66" s="4" t="s">
        <v>359</v>
      </c>
      <c r="C66" s="4" t="s">
        <v>137</v>
      </c>
      <c r="D66" s="2">
        <v>32.43</v>
      </c>
      <c r="E66" s="40">
        <v>32.588999999999999</v>
      </c>
      <c r="F66" s="2">
        <f t="shared" si="8"/>
        <v>0</v>
      </c>
      <c r="G66" s="2">
        <f t="shared" si="1"/>
        <v>-0.15899999999999892</v>
      </c>
      <c r="H66" s="3" t="s">
        <v>23</v>
      </c>
      <c r="I66" s="4"/>
      <c r="J66" s="12">
        <f t="shared" si="18"/>
        <v>-4.8789468839178533E-3</v>
      </c>
    </row>
    <row r="67" spans="2:10" ht="15.75">
      <c r="B67" s="4" t="s">
        <v>359</v>
      </c>
      <c r="C67" s="4" t="s">
        <v>137</v>
      </c>
      <c r="D67" s="2">
        <v>27.19</v>
      </c>
      <c r="E67" s="40">
        <v>27.568000000000001</v>
      </c>
      <c r="F67" s="2">
        <f t="shared" si="8"/>
        <v>0</v>
      </c>
      <c r="G67" s="2">
        <f t="shared" si="1"/>
        <v>-0.37800000000000011</v>
      </c>
      <c r="H67" s="3" t="s">
        <v>204</v>
      </c>
      <c r="I67" s="4"/>
      <c r="J67" s="12">
        <f t="shared" si="18"/>
        <v>-1.3711549622751019E-2</v>
      </c>
    </row>
    <row r="68" spans="2:10" ht="15.75">
      <c r="B68" s="4" t="s">
        <v>359</v>
      </c>
      <c r="C68" s="4" t="s">
        <v>137</v>
      </c>
      <c r="D68" s="2">
        <v>31.71</v>
      </c>
      <c r="E68" s="40">
        <v>31.835000000000001</v>
      </c>
      <c r="F68" s="2">
        <f t="shared" si="8"/>
        <v>0</v>
      </c>
      <c r="G68" s="2">
        <f t="shared" si="1"/>
        <v>-0.125</v>
      </c>
      <c r="H68" s="3" t="s">
        <v>16</v>
      </c>
      <c r="I68" s="4"/>
      <c r="J68" s="12">
        <f t="shared" si="18"/>
        <v>-3.9264959949740852E-3</v>
      </c>
    </row>
    <row r="69" spans="2:10" ht="15.75">
      <c r="B69" s="4" t="s">
        <v>359</v>
      </c>
      <c r="C69" s="4" t="s">
        <v>137</v>
      </c>
      <c r="D69" s="2">
        <v>32.409999999999997</v>
      </c>
      <c r="E69" s="40">
        <v>32.46</v>
      </c>
      <c r="F69" s="2">
        <f t="shared" si="8"/>
        <v>0</v>
      </c>
      <c r="G69" s="2">
        <f t="shared" ref="G69:G131" si="19">IF(D69-E69&gt;=0,0,D69-E69)</f>
        <v>-5.0000000000004263E-2</v>
      </c>
      <c r="H69" s="3" t="s">
        <v>15</v>
      </c>
      <c r="I69" s="4"/>
      <c r="J69" s="12">
        <f t="shared" si="18"/>
        <v>-1.540357362908326E-3</v>
      </c>
    </row>
    <row r="70" spans="2:10" ht="15.75">
      <c r="B70" s="4" t="s">
        <v>360</v>
      </c>
      <c r="C70" s="4" t="s">
        <v>137</v>
      </c>
      <c r="D70" s="2">
        <v>30.36</v>
      </c>
      <c r="E70" s="40">
        <v>30.585000000000001</v>
      </c>
      <c r="F70" s="2">
        <f t="shared" si="8"/>
        <v>0</v>
      </c>
      <c r="G70" s="2">
        <f t="shared" si="19"/>
        <v>-0.22500000000000142</v>
      </c>
      <c r="H70" s="3" t="s">
        <v>23</v>
      </c>
      <c r="I70" s="4"/>
      <c r="J70" s="12">
        <f t="shared" si="18"/>
        <v>-7.356547327121184E-3</v>
      </c>
    </row>
    <row r="71" spans="2:10" ht="15.75">
      <c r="B71" s="4" t="s">
        <v>360</v>
      </c>
      <c r="C71" s="4" t="s">
        <v>137</v>
      </c>
      <c r="D71" s="2">
        <v>32.020000000000003</v>
      </c>
      <c r="E71" s="40">
        <v>32.33</v>
      </c>
      <c r="F71" s="2">
        <f t="shared" si="8"/>
        <v>0</v>
      </c>
      <c r="G71" s="2">
        <f t="shared" si="19"/>
        <v>-0.30999999999999517</v>
      </c>
      <c r="H71" s="3" t="s">
        <v>16</v>
      </c>
      <c r="I71" s="4"/>
      <c r="J71" s="12">
        <f t="shared" si="18"/>
        <v>-9.5886173832352359E-3</v>
      </c>
    </row>
    <row r="72" spans="2:10" ht="15.75">
      <c r="B72" s="4" t="s">
        <v>360</v>
      </c>
      <c r="C72" s="4" t="s">
        <v>137</v>
      </c>
      <c r="D72" s="2">
        <v>31.1</v>
      </c>
      <c r="E72" s="40">
        <v>31.163</v>
      </c>
      <c r="F72" s="2">
        <f t="shared" si="8"/>
        <v>0</v>
      </c>
      <c r="G72" s="2">
        <f t="shared" si="19"/>
        <v>-6.2999999999998835E-2</v>
      </c>
      <c r="H72" s="3" t="s">
        <v>15</v>
      </c>
      <c r="I72" s="4"/>
      <c r="J72" s="12">
        <f t="shared" si="18"/>
        <v>-2.0216282129448008E-3</v>
      </c>
    </row>
    <row r="73" spans="2:10" ht="15.75">
      <c r="B73" s="4" t="s">
        <v>360</v>
      </c>
      <c r="C73" s="4" t="s">
        <v>137</v>
      </c>
      <c r="D73" s="2">
        <v>31.79</v>
      </c>
      <c r="E73" s="40">
        <v>31.869</v>
      </c>
      <c r="F73" s="2">
        <f t="shared" si="8"/>
        <v>0</v>
      </c>
      <c r="G73" s="2">
        <f t="shared" si="19"/>
        <v>-7.9000000000000625E-2</v>
      </c>
      <c r="H73" s="3" t="s">
        <v>9</v>
      </c>
      <c r="I73" s="4"/>
      <c r="J73" s="12">
        <f t="shared" si="18"/>
        <v>-2.4788979886410187E-3</v>
      </c>
    </row>
    <row r="74" spans="2:10" ht="15.75">
      <c r="B74" s="4" t="s">
        <v>360</v>
      </c>
      <c r="C74" s="4" t="s">
        <v>137</v>
      </c>
      <c r="D74" s="2">
        <v>32.69</v>
      </c>
      <c r="E74" s="40">
        <v>32.985999999999997</v>
      </c>
      <c r="F74" s="2">
        <f t="shared" si="8"/>
        <v>0</v>
      </c>
      <c r="G74" s="2">
        <f t="shared" si="19"/>
        <v>-0.29599999999999937</v>
      </c>
      <c r="H74" s="3" t="s">
        <v>287</v>
      </c>
      <c r="I74" s="4"/>
      <c r="J74" s="12">
        <f t="shared" si="18"/>
        <v>-8.973503910749997E-3</v>
      </c>
    </row>
    <row r="75" spans="2:10" ht="15.75">
      <c r="B75" s="4" t="s">
        <v>360</v>
      </c>
      <c r="C75" s="4" t="s">
        <v>137</v>
      </c>
      <c r="D75" s="2">
        <v>28.59</v>
      </c>
      <c r="E75" s="40">
        <v>28.785</v>
      </c>
      <c r="F75" s="2">
        <f t="shared" si="8"/>
        <v>0</v>
      </c>
      <c r="G75" s="2">
        <f t="shared" si="19"/>
        <v>-0.19500000000000028</v>
      </c>
      <c r="H75" s="3" t="s">
        <v>361</v>
      </c>
      <c r="I75" s="4"/>
      <c r="J75" s="12">
        <f t="shared" si="18"/>
        <v>-6.7743616466909946E-3</v>
      </c>
    </row>
    <row r="76" spans="2:10" ht="15.75" hidden="1">
      <c r="B76" s="4" t="s">
        <v>360</v>
      </c>
      <c r="C76" s="4" t="s">
        <v>137</v>
      </c>
      <c r="D76" s="2">
        <v>1.52</v>
      </c>
      <c r="E76" s="40">
        <v>1.335</v>
      </c>
      <c r="F76" s="2">
        <f t="shared" si="8"/>
        <v>0.18500000000000005</v>
      </c>
      <c r="G76" s="2">
        <f t="shared" si="19"/>
        <v>0</v>
      </c>
      <c r="H76" s="3" t="s">
        <v>362</v>
      </c>
      <c r="I76" s="4"/>
      <c r="J76" s="12">
        <f t="shared" ref="J76" si="20">F76/E76</f>
        <v>0.13857677902621726</v>
      </c>
    </row>
    <row r="77" spans="2:10" ht="15.75">
      <c r="B77" s="4" t="s">
        <v>363</v>
      </c>
      <c r="C77" s="4" t="s">
        <v>137</v>
      </c>
      <c r="D77" s="2">
        <v>32.51</v>
      </c>
      <c r="E77" s="40">
        <v>32.619</v>
      </c>
      <c r="F77" s="2">
        <f t="shared" si="8"/>
        <v>0</v>
      </c>
      <c r="G77" s="2">
        <f t="shared" si="19"/>
        <v>-0.10900000000000176</v>
      </c>
      <c r="H77" s="3" t="s">
        <v>23</v>
      </c>
      <c r="I77" s="4"/>
      <c r="J77" s="12">
        <f t="shared" ref="J77:J81" si="21">G77/E77</f>
        <v>-3.3416107176799338E-3</v>
      </c>
    </row>
    <row r="78" spans="2:10" ht="15.75">
      <c r="B78" s="4" t="s">
        <v>363</v>
      </c>
      <c r="C78" s="4" t="s">
        <v>137</v>
      </c>
      <c r="D78" s="2">
        <v>32.94</v>
      </c>
      <c r="E78" s="40">
        <v>32.988</v>
      </c>
      <c r="F78" s="2">
        <f t="shared" si="8"/>
        <v>0</v>
      </c>
      <c r="G78" s="2">
        <f t="shared" si="19"/>
        <v>-4.8000000000001819E-2</v>
      </c>
      <c r="H78" s="3" t="s">
        <v>16</v>
      </c>
      <c r="I78" s="4"/>
      <c r="J78" s="12">
        <f t="shared" si="21"/>
        <v>-1.4550745725718994E-3</v>
      </c>
    </row>
    <row r="79" spans="2:10" ht="15.75">
      <c r="B79" s="4" t="s">
        <v>363</v>
      </c>
      <c r="C79" s="4" t="s">
        <v>137</v>
      </c>
      <c r="D79" s="2">
        <v>30.27</v>
      </c>
      <c r="E79" s="40">
        <v>30.420999999999999</v>
      </c>
      <c r="F79" s="2">
        <f t="shared" si="8"/>
        <v>0</v>
      </c>
      <c r="G79" s="2">
        <f t="shared" si="19"/>
        <v>-0.1509999999999998</v>
      </c>
      <c r="H79" s="3" t="s">
        <v>13</v>
      </c>
      <c r="I79" s="4"/>
      <c r="J79" s="12">
        <f t="shared" si="21"/>
        <v>-4.9636764077446438E-3</v>
      </c>
    </row>
    <row r="80" spans="2:10" ht="15.75">
      <c r="B80" s="4" t="s">
        <v>364</v>
      </c>
      <c r="C80" s="4" t="s">
        <v>137</v>
      </c>
      <c r="D80" s="2">
        <v>32.840000000000003</v>
      </c>
      <c r="E80" s="40">
        <v>33.094999999999999</v>
      </c>
      <c r="F80" s="2">
        <f t="shared" si="8"/>
        <v>0</v>
      </c>
      <c r="G80" s="2">
        <f t="shared" si="19"/>
        <v>-0.25499999999999545</v>
      </c>
      <c r="H80" s="3" t="s">
        <v>23</v>
      </c>
      <c r="I80" s="4"/>
      <c r="J80" s="12">
        <f t="shared" si="21"/>
        <v>-7.70509140353514E-3</v>
      </c>
    </row>
    <row r="81" spans="2:13" ht="15.75">
      <c r="B81" s="4" t="s">
        <v>364</v>
      </c>
      <c r="C81" s="4" t="s">
        <v>137</v>
      </c>
      <c r="D81" s="2">
        <v>38.53</v>
      </c>
      <c r="E81" s="40">
        <v>38.99</v>
      </c>
      <c r="F81" s="2">
        <f t="shared" si="8"/>
        <v>0</v>
      </c>
      <c r="G81" s="2">
        <f t="shared" si="19"/>
        <v>-0.46000000000000085</v>
      </c>
      <c r="H81" s="3" t="s">
        <v>365</v>
      </c>
      <c r="I81" s="4"/>
      <c r="J81" s="12">
        <f t="shared" si="21"/>
        <v>-1.1797896896640186E-2</v>
      </c>
    </row>
    <row r="82" spans="2:13" ht="15.75" hidden="1">
      <c r="B82" s="4" t="s">
        <v>364</v>
      </c>
      <c r="C82" s="4" t="s">
        <v>137</v>
      </c>
      <c r="D82" s="2">
        <v>32.44</v>
      </c>
      <c r="E82" s="40">
        <v>32.414000000000001</v>
      </c>
      <c r="F82" s="2">
        <f t="shared" si="8"/>
        <v>2.5999999999996248E-2</v>
      </c>
      <c r="G82" s="2">
        <f t="shared" si="19"/>
        <v>0</v>
      </c>
      <c r="H82" s="3" t="s">
        <v>366</v>
      </c>
      <c r="I82" s="4"/>
      <c r="J82" s="12">
        <f t="shared" ref="J82" si="22">F82/E82</f>
        <v>8.0212253964324822E-4</v>
      </c>
    </row>
    <row r="83" spans="2:13" ht="15.75">
      <c r="B83" s="4" t="s">
        <v>367</v>
      </c>
      <c r="C83" s="4" t="s">
        <v>137</v>
      </c>
      <c r="D83" s="2">
        <v>31.79</v>
      </c>
      <c r="E83" s="40">
        <v>31.963999999999999</v>
      </c>
      <c r="F83" s="2">
        <f t="shared" si="8"/>
        <v>0</v>
      </c>
      <c r="G83" s="2">
        <f t="shared" si="19"/>
        <v>-0.17399999999999949</v>
      </c>
      <c r="H83" s="3" t="s">
        <v>16</v>
      </c>
      <c r="I83" s="4"/>
      <c r="J83" s="12">
        <f t="shared" ref="J83:J86" si="23">G83/E83</f>
        <v>-5.443624077086707E-3</v>
      </c>
    </row>
    <row r="84" spans="2:13" ht="15.75">
      <c r="B84" s="4" t="s">
        <v>367</v>
      </c>
      <c r="C84" s="4" t="s">
        <v>137</v>
      </c>
      <c r="D84" s="2">
        <v>3.61</v>
      </c>
      <c r="E84" s="40">
        <v>3.6309999999999998</v>
      </c>
      <c r="F84" s="2">
        <f t="shared" si="8"/>
        <v>0</v>
      </c>
      <c r="G84" s="2">
        <f t="shared" si="19"/>
        <v>-2.0999999999999908E-2</v>
      </c>
      <c r="H84" s="3" t="s">
        <v>362</v>
      </c>
      <c r="I84" s="4"/>
      <c r="J84" s="12">
        <f t="shared" si="23"/>
        <v>-5.7835307077939713E-3</v>
      </c>
    </row>
    <row r="85" spans="2:13" ht="15.75">
      <c r="B85" s="4" t="s">
        <v>367</v>
      </c>
      <c r="C85" s="4" t="s">
        <v>137</v>
      </c>
      <c r="D85" s="2">
        <v>31.1</v>
      </c>
      <c r="E85" s="40">
        <v>31.353999999999999</v>
      </c>
      <c r="F85" s="2">
        <f t="shared" si="8"/>
        <v>0</v>
      </c>
      <c r="G85" s="2">
        <f t="shared" si="19"/>
        <v>-0.25399999999999778</v>
      </c>
      <c r="H85" s="3" t="s">
        <v>15</v>
      </c>
      <c r="I85" s="4"/>
      <c r="J85" s="12">
        <f t="shared" si="23"/>
        <v>-8.1010397397460552E-3</v>
      </c>
      <c r="L85" s="38"/>
      <c r="M85" s="38"/>
    </row>
    <row r="86" spans="2:13" ht="15.75">
      <c r="B86" s="4" t="s">
        <v>370</v>
      </c>
      <c r="C86" s="4" t="s">
        <v>137</v>
      </c>
      <c r="D86" s="2">
        <v>32.11</v>
      </c>
      <c r="E86" s="40">
        <v>32.384999999999998</v>
      </c>
      <c r="F86" s="2">
        <f t="shared" ref="F86:F110" si="24">IF(D86-E86&lt;=0,0,D86-E86)</f>
        <v>0</v>
      </c>
      <c r="G86" s="2">
        <f t="shared" ref="G86:G110" si="25">IF(D86-E86&gt;=0,0,D86-E86)</f>
        <v>-0.27499999999999858</v>
      </c>
      <c r="H86" s="3" t="s">
        <v>16</v>
      </c>
      <c r="I86" s="4"/>
      <c r="J86" s="12">
        <f t="shared" si="23"/>
        <v>-8.4915856106221582E-3</v>
      </c>
    </row>
    <row r="87" spans="2:13" ht="15.75" hidden="1">
      <c r="B87" s="4" t="s">
        <v>370</v>
      </c>
      <c r="C87" s="4" t="s">
        <v>137</v>
      </c>
      <c r="D87" s="2">
        <v>32.44</v>
      </c>
      <c r="E87" s="40">
        <v>32.323</v>
      </c>
      <c r="F87" s="2">
        <f t="shared" si="24"/>
        <v>0.11699999999999733</v>
      </c>
      <c r="G87" s="2">
        <f t="shared" si="25"/>
        <v>0</v>
      </c>
      <c r="H87" s="3" t="s">
        <v>11</v>
      </c>
      <c r="I87" s="4"/>
      <c r="J87" s="12">
        <f t="shared" ref="J87:J107" si="26">F87/E87</f>
        <v>3.6197135166908187E-3</v>
      </c>
    </row>
    <row r="88" spans="2:13" ht="15.75">
      <c r="B88" s="4" t="s">
        <v>370</v>
      </c>
      <c r="C88" s="4" t="s">
        <v>137</v>
      </c>
      <c r="D88" s="2">
        <v>32.950000000000003</v>
      </c>
      <c r="E88" s="40">
        <v>33.03</v>
      </c>
      <c r="F88" s="2">
        <f t="shared" si="24"/>
        <v>0</v>
      </c>
      <c r="G88" s="2">
        <f t="shared" si="25"/>
        <v>-7.9999999999998295E-2</v>
      </c>
      <c r="H88" s="3" t="s">
        <v>372</v>
      </c>
      <c r="I88" s="4"/>
      <c r="J88" s="12">
        <f t="shared" ref="J88:J89" si="27">G88/E88</f>
        <v>-2.4220405691794821E-3</v>
      </c>
    </row>
    <row r="89" spans="2:13" ht="15.75">
      <c r="B89" s="4" t="s">
        <v>370</v>
      </c>
      <c r="C89" s="4" t="s">
        <v>137</v>
      </c>
      <c r="D89" s="2">
        <v>32.369999999999997</v>
      </c>
      <c r="E89" s="40">
        <v>32.372999999999998</v>
      </c>
      <c r="F89" s="2">
        <f t="shared" si="24"/>
        <v>0</v>
      </c>
      <c r="G89" s="2">
        <f t="shared" si="25"/>
        <v>-3.0000000000001137E-3</v>
      </c>
      <c r="H89" s="3" t="s">
        <v>373</v>
      </c>
      <c r="I89" s="4"/>
      <c r="J89" s="12">
        <f t="shared" si="27"/>
        <v>-9.2669817440463155E-5</v>
      </c>
    </row>
    <row r="90" spans="2:13" ht="15.75" hidden="1">
      <c r="B90" s="4" t="s">
        <v>370</v>
      </c>
      <c r="C90" s="4" t="s">
        <v>137</v>
      </c>
      <c r="D90" s="2">
        <v>32.75</v>
      </c>
      <c r="E90" s="40">
        <v>32.658999999999999</v>
      </c>
      <c r="F90" s="2">
        <f t="shared" si="24"/>
        <v>9.100000000000108E-2</v>
      </c>
      <c r="G90" s="2">
        <f t="shared" si="25"/>
        <v>0</v>
      </c>
      <c r="H90" s="3" t="s">
        <v>374</v>
      </c>
      <c r="I90" s="4"/>
      <c r="J90" s="12">
        <f t="shared" si="26"/>
        <v>2.7863682292783333E-3</v>
      </c>
    </row>
    <row r="91" spans="2:13" ht="15.75">
      <c r="B91" s="4" t="s">
        <v>370</v>
      </c>
      <c r="C91" s="4" t="s">
        <v>137</v>
      </c>
      <c r="D91" s="2">
        <v>29.28</v>
      </c>
      <c r="E91" s="40">
        <v>29.353999999999999</v>
      </c>
      <c r="F91" s="2">
        <f t="shared" si="24"/>
        <v>0</v>
      </c>
      <c r="G91" s="2">
        <f t="shared" si="25"/>
        <v>-7.3999999999998067E-2</v>
      </c>
      <c r="H91" s="3" t="s">
        <v>16</v>
      </c>
      <c r="I91" s="4"/>
      <c r="J91" s="12">
        <f t="shared" ref="J91:J93" si="28">G91/E91</f>
        <v>-2.5209511480547139E-3</v>
      </c>
    </row>
    <row r="92" spans="2:13" ht="15.75">
      <c r="B92" s="4" t="s">
        <v>371</v>
      </c>
      <c r="C92" s="4" t="s">
        <v>137</v>
      </c>
      <c r="D92" s="2">
        <v>32.65</v>
      </c>
      <c r="E92" s="40">
        <v>32.942</v>
      </c>
      <c r="F92" s="2">
        <f t="shared" si="24"/>
        <v>0</v>
      </c>
      <c r="G92" s="2">
        <f t="shared" si="25"/>
        <v>-0.29200000000000159</v>
      </c>
      <c r="H92" s="3" t="s">
        <v>321</v>
      </c>
      <c r="I92" s="4"/>
      <c r="J92" s="12">
        <f t="shared" si="28"/>
        <v>-8.8640641126829459E-3</v>
      </c>
    </row>
    <row r="93" spans="2:13" ht="15.75">
      <c r="B93" s="4" t="s">
        <v>371</v>
      </c>
      <c r="C93" s="4" t="s">
        <v>137</v>
      </c>
      <c r="D93" s="2">
        <v>32.29</v>
      </c>
      <c r="E93" s="40">
        <v>33.149000000000001</v>
      </c>
      <c r="F93" s="2">
        <f t="shared" si="24"/>
        <v>0</v>
      </c>
      <c r="G93" s="2">
        <f t="shared" si="25"/>
        <v>-0.85900000000000176</v>
      </c>
      <c r="H93" s="3" t="s">
        <v>352</v>
      </c>
      <c r="I93" s="4"/>
      <c r="J93" s="12">
        <f t="shared" si="28"/>
        <v>-2.5913300552052904E-2</v>
      </c>
    </row>
    <row r="94" spans="2:13" ht="15.75" hidden="1">
      <c r="B94" s="4" t="s">
        <v>371</v>
      </c>
      <c r="C94" s="4" t="s">
        <v>137</v>
      </c>
      <c r="D94" s="2">
        <v>32.729999999999997</v>
      </c>
      <c r="E94" s="40">
        <v>32.603000000000002</v>
      </c>
      <c r="F94" s="2">
        <f t="shared" si="24"/>
        <v>0.12699999999999534</v>
      </c>
      <c r="G94" s="2">
        <f t="shared" si="25"/>
        <v>0</v>
      </c>
      <c r="H94" s="3" t="s">
        <v>375</v>
      </c>
      <c r="I94" s="4"/>
      <c r="J94" s="12">
        <f t="shared" si="26"/>
        <v>3.895347053951947E-3</v>
      </c>
    </row>
    <row r="95" spans="2:13" ht="15.75">
      <c r="B95" s="4" t="s">
        <v>371</v>
      </c>
      <c r="C95" s="4" t="s">
        <v>137</v>
      </c>
      <c r="D95" s="2">
        <v>32.11</v>
      </c>
      <c r="E95" s="40">
        <v>32.127000000000002</v>
      </c>
      <c r="F95" s="2">
        <f t="shared" si="24"/>
        <v>0</v>
      </c>
      <c r="G95" s="2">
        <f t="shared" si="25"/>
        <v>-1.7000000000003013E-2</v>
      </c>
      <c r="H95" s="3" t="s">
        <v>15</v>
      </c>
      <c r="I95" s="4"/>
      <c r="J95" s="12">
        <f t="shared" ref="J95:J96" si="29">G95/E95</f>
        <v>-5.2914993619083668E-4</v>
      </c>
    </row>
    <row r="96" spans="2:13" ht="15.75">
      <c r="B96" s="4" t="s">
        <v>371</v>
      </c>
      <c r="C96" s="4" t="s">
        <v>137</v>
      </c>
      <c r="D96" s="2">
        <v>32.96</v>
      </c>
      <c r="E96" s="40">
        <v>33.265999999999998</v>
      </c>
      <c r="F96" s="2">
        <f t="shared" si="24"/>
        <v>0</v>
      </c>
      <c r="G96" s="2">
        <f t="shared" si="25"/>
        <v>-0.30599999999999739</v>
      </c>
      <c r="H96" s="3" t="s">
        <v>376</v>
      </c>
      <c r="I96" s="4"/>
      <c r="J96" s="12">
        <f t="shared" si="29"/>
        <v>-9.1985811338903805E-3</v>
      </c>
    </row>
    <row r="97" spans="2:10" ht="15.75" hidden="1">
      <c r="B97" s="4" t="s">
        <v>371</v>
      </c>
      <c r="C97" s="4" t="s">
        <v>137</v>
      </c>
      <c r="D97" s="2">
        <v>32.89</v>
      </c>
      <c r="E97" s="40">
        <v>32.823</v>
      </c>
      <c r="F97" s="2">
        <f t="shared" si="24"/>
        <v>6.7000000000000171E-2</v>
      </c>
      <c r="G97" s="2">
        <f t="shared" si="25"/>
        <v>0</v>
      </c>
      <c r="H97" s="3" t="s">
        <v>344</v>
      </c>
      <c r="I97" s="4"/>
      <c r="J97" s="12">
        <f t="shared" si="26"/>
        <v>2.0412515614051173E-3</v>
      </c>
    </row>
    <row r="98" spans="2:10" ht="15.75" hidden="1">
      <c r="B98" s="4" t="s">
        <v>371</v>
      </c>
      <c r="C98" s="4" t="s">
        <v>137</v>
      </c>
      <c r="D98" s="2">
        <v>33.33</v>
      </c>
      <c r="E98" s="40">
        <v>33.264000000000003</v>
      </c>
      <c r="F98" s="2">
        <f t="shared" si="24"/>
        <v>6.5999999999995396E-2</v>
      </c>
      <c r="G98" s="2">
        <f t="shared" si="25"/>
        <v>0</v>
      </c>
      <c r="H98" s="3" t="s">
        <v>316</v>
      </c>
      <c r="I98" s="4"/>
      <c r="J98" s="12">
        <f t="shared" si="26"/>
        <v>1.9841269841268457E-3</v>
      </c>
    </row>
    <row r="99" spans="2:10" ht="15.75" hidden="1">
      <c r="B99" s="4" t="s">
        <v>377</v>
      </c>
      <c r="C99" s="4" t="s">
        <v>137</v>
      </c>
      <c r="D99" s="39">
        <v>32.729999999999997</v>
      </c>
      <c r="E99" s="40">
        <v>32.726999999999997</v>
      </c>
      <c r="F99" s="2">
        <f t="shared" si="24"/>
        <v>3.0000000000001137E-3</v>
      </c>
      <c r="G99" s="2">
        <f t="shared" si="25"/>
        <v>0</v>
      </c>
      <c r="H99" s="3" t="s">
        <v>16</v>
      </c>
      <c r="I99" s="4"/>
      <c r="J99" s="12">
        <f t="shared" si="26"/>
        <v>9.1667430561924833E-5</v>
      </c>
    </row>
    <row r="100" spans="2:10" ht="15.75" hidden="1">
      <c r="B100" s="4" t="s">
        <v>377</v>
      </c>
      <c r="C100" s="4" t="s">
        <v>137</v>
      </c>
      <c r="D100" s="39">
        <v>32</v>
      </c>
      <c r="E100" s="40">
        <v>31.981000000000002</v>
      </c>
      <c r="F100" s="2">
        <f t="shared" si="24"/>
        <v>1.8999999999998352E-2</v>
      </c>
      <c r="G100" s="2">
        <f t="shared" si="25"/>
        <v>0</v>
      </c>
      <c r="H100" s="3" t="s">
        <v>31</v>
      </c>
      <c r="I100" s="4"/>
      <c r="J100" s="12">
        <f t="shared" si="26"/>
        <v>5.9410274850687443E-4</v>
      </c>
    </row>
    <row r="101" spans="2:10" ht="15.75" hidden="1">
      <c r="B101" s="4" t="s">
        <v>377</v>
      </c>
      <c r="C101" s="4" t="s">
        <v>137</v>
      </c>
      <c r="D101" s="39">
        <v>22.32</v>
      </c>
      <c r="E101" s="40">
        <v>22.309000000000001</v>
      </c>
      <c r="F101" s="2">
        <f t="shared" si="24"/>
        <v>1.0999999999999233E-2</v>
      </c>
      <c r="G101" s="2">
        <f t="shared" si="25"/>
        <v>0</v>
      </c>
      <c r="H101" s="3" t="s">
        <v>378</v>
      </c>
      <c r="I101" s="4"/>
      <c r="J101" s="12">
        <f t="shared" si="26"/>
        <v>4.9307454390601249E-4</v>
      </c>
    </row>
    <row r="102" spans="2:10" ht="15.75">
      <c r="B102" s="4" t="s">
        <v>377</v>
      </c>
      <c r="C102" s="4" t="s">
        <v>137</v>
      </c>
      <c r="D102" s="39">
        <v>26.1</v>
      </c>
      <c r="E102" s="40">
        <v>26.251000000000001</v>
      </c>
      <c r="F102" s="2">
        <f t="shared" si="24"/>
        <v>0</v>
      </c>
      <c r="G102" s="2">
        <f t="shared" si="25"/>
        <v>-0.1509999999999998</v>
      </c>
      <c r="H102" s="3" t="s">
        <v>379</v>
      </c>
      <c r="I102" s="4"/>
      <c r="J102" s="12">
        <f t="shared" ref="J102:J104" si="30">G102/E102</f>
        <v>-5.7521618224067577E-3</v>
      </c>
    </row>
    <row r="103" spans="2:10" ht="15.75">
      <c r="B103" s="4" t="s">
        <v>377</v>
      </c>
      <c r="C103" s="4" t="s">
        <v>137</v>
      </c>
      <c r="D103" s="2">
        <v>39.51</v>
      </c>
      <c r="E103" s="40">
        <v>39.523000000000003</v>
      </c>
      <c r="F103" s="2">
        <f t="shared" si="24"/>
        <v>0</v>
      </c>
      <c r="G103" s="2">
        <f t="shared" si="25"/>
        <v>-1.300000000000523E-2</v>
      </c>
      <c r="H103" s="3" t="s">
        <v>380</v>
      </c>
      <c r="I103" s="4"/>
      <c r="J103" s="12">
        <f t="shared" si="30"/>
        <v>-3.289223996155461E-4</v>
      </c>
    </row>
    <row r="104" spans="2:10" ht="15.75">
      <c r="B104" s="4" t="s">
        <v>377</v>
      </c>
      <c r="C104" s="4" t="s">
        <v>137</v>
      </c>
      <c r="D104" s="2">
        <v>31.84</v>
      </c>
      <c r="E104" s="40">
        <v>31.87</v>
      </c>
      <c r="F104" s="2">
        <f t="shared" si="24"/>
        <v>0</v>
      </c>
      <c r="G104" s="2">
        <f t="shared" si="25"/>
        <v>-3.0000000000001137E-2</v>
      </c>
      <c r="H104" s="3" t="s">
        <v>23</v>
      </c>
      <c r="I104" s="4"/>
      <c r="J104" s="12">
        <f t="shared" si="30"/>
        <v>-9.4132412927521608E-4</v>
      </c>
    </row>
    <row r="105" spans="2:10" ht="15.75" hidden="1">
      <c r="B105" s="4" t="s">
        <v>377</v>
      </c>
      <c r="C105" s="4" t="s">
        <v>137</v>
      </c>
      <c r="D105" s="2">
        <v>3.65</v>
      </c>
      <c r="E105" s="40">
        <v>3.6219999999999999</v>
      </c>
      <c r="F105" s="2">
        <f t="shared" si="24"/>
        <v>2.8000000000000025E-2</v>
      </c>
      <c r="G105" s="2">
        <f t="shared" si="25"/>
        <v>0</v>
      </c>
      <c r="H105" s="3" t="s">
        <v>381</v>
      </c>
      <c r="I105" s="4"/>
      <c r="J105" s="12">
        <f t="shared" si="26"/>
        <v>7.7305356156819509E-3</v>
      </c>
    </row>
    <row r="106" spans="2:10" ht="15.75">
      <c r="B106" s="4" t="s">
        <v>377</v>
      </c>
      <c r="C106" s="4" t="s">
        <v>137</v>
      </c>
      <c r="D106" s="2">
        <v>32.65</v>
      </c>
      <c r="E106" s="40">
        <v>32.887</v>
      </c>
      <c r="F106" s="2">
        <f t="shared" si="24"/>
        <v>0</v>
      </c>
      <c r="G106" s="2">
        <f t="shared" si="25"/>
        <v>-0.23700000000000188</v>
      </c>
      <c r="H106" s="3" t="s">
        <v>316</v>
      </c>
      <c r="I106" s="4"/>
      <c r="J106" s="12">
        <f t="shared" ref="J106" si="31">G106/E106</f>
        <v>-7.20649496761644E-3</v>
      </c>
    </row>
    <row r="107" spans="2:10" ht="15.75" hidden="1">
      <c r="B107" s="4" t="s">
        <v>382</v>
      </c>
      <c r="C107" s="4" t="s">
        <v>137</v>
      </c>
      <c r="D107" s="2">
        <v>32.42</v>
      </c>
      <c r="E107" s="40">
        <v>32.366</v>
      </c>
      <c r="F107" s="2">
        <f t="shared" si="24"/>
        <v>5.4000000000002046E-2</v>
      </c>
      <c r="G107" s="2">
        <f t="shared" si="25"/>
        <v>0</v>
      </c>
      <c r="H107" s="3" t="s">
        <v>16</v>
      </c>
      <c r="I107" s="4"/>
      <c r="J107" s="12">
        <f t="shared" si="26"/>
        <v>1.6684174751282843E-3</v>
      </c>
    </row>
    <row r="108" spans="2:10" ht="15.75">
      <c r="B108" s="4" t="s">
        <v>382</v>
      </c>
      <c r="C108" s="4" t="s">
        <v>137</v>
      </c>
      <c r="D108" s="2">
        <v>32.380000000000003</v>
      </c>
      <c r="E108" s="40">
        <v>32.726999999999997</v>
      </c>
      <c r="F108" s="2">
        <f t="shared" si="24"/>
        <v>0</v>
      </c>
      <c r="G108" s="2">
        <f t="shared" si="25"/>
        <v>-0.3469999999999942</v>
      </c>
      <c r="H108" s="3" t="s">
        <v>11</v>
      </c>
      <c r="I108" s="4"/>
      <c r="J108" s="12">
        <f t="shared" ref="J108:J111" si="32">G108/E108</f>
        <v>-1.0602866134995394E-2</v>
      </c>
    </row>
    <row r="109" spans="2:10" ht="15.75">
      <c r="B109" s="4" t="s">
        <v>382</v>
      </c>
      <c r="C109" s="4" t="s">
        <v>137</v>
      </c>
      <c r="D109" s="2">
        <v>32.03</v>
      </c>
      <c r="E109" s="40">
        <v>32.067999999999998</v>
      </c>
      <c r="F109" s="2">
        <f t="shared" si="24"/>
        <v>0</v>
      </c>
      <c r="G109" s="2">
        <f t="shared" si="25"/>
        <v>-3.7999999999996703E-2</v>
      </c>
      <c r="H109" s="3" t="s">
        <v>383</v>
      </c>
      <c r="I109" s="4"/>
      <c r="J109" s="12">
        <f t="shared" si="32"/>
        <v>-1.1849819134338501E-3</v>
      </c>
    </row>
    <row r="110" spans="2:10" ht="15.75">
      <c r="B110" s="4" t="s">
        <v>382</v>
      </c>
      <c r="C110" s="4" t="s">
        <v>137</v>
      </c>
      <c r="D110" s="2">
        <v>32.619999999999997</v>
      </c>
      <c r="E110" s="40">
        <v>32.643000000000001</v>
      </c>
      <c r="F110" s="2">
        <f t="shared" si="24"/>
        <v>0</v>
      </c>
      <c r="G110" s="2">
        <f t="shared" si="25"/>
        <v>-2.300000000000324E-2</v>
      </c>
      <c r="H110" s="3" t="s">
        <v>23</v>
      </c>
      <c r="I110" s="4"/>
      <c r="J110" s="12">
        <f t="shared" si="32"/>
        <v>-7.0459210244166407E-4</v>
      </c>
    </row>
    <row r="111" spans="2:10" ht="15.75">
      <c r="B111" s="4" t="s">
        <v>384</v>
      </c>
      <c r="C111" s="4" t="s">
        <v>137</v>
      </c>
      <c r="D111" s="2">
        <v>30.54</v>
      </c>
      <c r="E111" s="40">
        <v>30.661999999999999</v>
      </c>
      <c r="F111" s="2">
        <f t="shared" si="8"/>
        <v>0</v>
      </c>
      <c r="G111" s="2">
        <f t="shared" si="19"/>
        <v>-0.12199999999999989</v>
      </c>
      <c r="H111" s="3" t="s">
        <v>15</v>
      </c>
      <c r="I111" s="4"/>
      <c r="J111" s="12">
        <f t="shared" si="32"/>
        <v>-3.9788663492270528E-3</v>
      </c>
    </row>
    <row r="112" spans="2:10" ht="15.75" hidden="1">
      <c r="B112" s="4" t="s">
        <v>384</v>
      </c>
      <c r="C112" s="4" t="s">
        <v>137</v>
      </c>
      <c r="D112" s="2">
        <v>31.46</v>
      </c>
      <c r="E112" s="40">
        <v>31.146999999999998</v>
      </c>
      <c r="F112" s="2">
        <f t="shared" si="8"/>
        <v>0.31300000000000239</v>
      </c>
      <c r="G112" s="2">
        <f t="shared" si="19"/>
        <v>0</v>
      </c>
      <c r="H112" s="3" t="s">
        <v>342</v>
      </c>
      <c r="I112" s="4"/>
      <c r="J112" s="12">
        <f t="shared" ref="J112:J113" si="33">F112/E112</f>
        <v>1.00491219058016E-2</v>
      </c>
    </row>
    <row r="113" spans="2:10" ht="15.75" hidden="1">
      <c r="B113" s="4" t="s">
        <v>384</v>
      </c>
      <c r="C113" s="4" t="s">
        <v>137</v>
      </c>
      <c r="D113" s="2">
        <v>32.83</v>
      </c>
      <c r="E113" s="40">
        <f>32.531+0.016</f>
        <v>32.546999999999997</v>
      </c>
      <c r="F113" s="2">
        <f t="shared" si="8"/>
        <v>0.28300000000000125</v>
      </c>
      <c r="G113" s="2">
        <f t="shared" si="19"/>
        <v>0</v>
      </c>
      <c r="H113" s="3" t="s">
        <v>323</v>
      </c>
      <c r="I113" s="4"/>
      <c r="J113" s="12">
        <f t="shared" si="33"/>
        <v>8.6951178296003091E-3</v>
      </c>
    </row>
    <row r="114" spans="2:10" ht="15.75">
      <c r="B114" s="4" t="s">
        <v>384</v>
      </c>
      <c r="C114" s="4" t="s">
        <v>137</v>
      </c>
      <c r="D114" s="2">
        <v>32.25</v>
      </c>
      <c r="E114" s="40">
        <v>32.381999999999998</v>
      </c>
      <c r="F114" s="2">
        <f t="shared" si="8"/>
        <v>0</v>
      </c>
      <c r="G114" s="2">
        <f t="shared" si="19"/>
        <v>-0.1319999999999979</v>
      </c>
      <c r="H114" s="3" t="s">
        <v>386</v>
      </c>
      <c r="I114" s="4"/>
      <c r="J114" s="12">
        <f t="shared" ref="J114" si="34">G114/E114</f>
        <v>-4.0763387066888365E-3</v>
      </c>
    </row>
    <row r="115" spans="2:10" ht="15.75" hidden="1">
      <c r="B115" s="4" t="s">
        <v>384</v>
      </c>
      <c r="C115" s="4" t="s">
        <v>137</v>
      </c>
      <c r="D115" s="2">
        <v>30.99</v>
      </c>
      <c r="E115" s="40">
        <v>30.875</v>
      </c>
      <c r="F115" s="2">
        <f t="shared" si="8"/>
        <v>0.11499999999999844</v>
      </c>
      <c r="G115" s="2">
        <f t="shared" si="19"/>
        <v>0</v>
      </c>
      <c r="H115" s="3" t="s">
        <v>387</v>
      </c>
      <c r="I115" s="4"/>
      <c r="J115" s="12">
        <f t="shared" ref="J115:J117" si="35">F115/E115</f>
        <v>3.7246963562752532E-3</v>
      </c>
    </row>
    <row r="116" spans="2:10" ht="15.75" hidden="1">
      <c r="B116" s="4" t="s">
        <v>385</v>
      </c>
      <c r="C116" s="4" t="s">
        <v>137</v>
      </c>
      <c r="D116" s="2">
        <v>32.43</v>
      </c>
      <c r="E116" s="40">
        <v>32.423999999999999</v>
      </c>
      <c r="F116" s="2">
        <f t="shared" si="8"/>
        <v>6.0000000000002274E-3</v>
      </c>
      <c r="G116" s="2">
        <f t="shared" si="19"/>
        <v>0</v>
      </c>
      <c r="H116" s="3" t="s">
        <v>9</v>
      </c>
      <c r="I116" s="4"/>
      <c r="J116" s="12">
        <f t="shared" si="35"/>
        <v>1.8504811250925942E-4</v>
      </c>
    </row>
    <row r="117" spans="2:10" ht="15.75" hidden="1">
      <c r="B117" s="4" t="s">
        <v>385</v>
      </c>
      <c r="C117" s="4" t="s">
        <v>137</v>
      </c>
      <c r="D117" s="2">
        <v>29.13</v>
      </c>
      <c r="E117" s="40">
        <v>28.785</v>
      </c>
      <c r="F117" s="2">
        <f t="shared" si="8"/>
        <v>0.34499999999999886</v>
      </c>
      <c r="G117" s="2">
        <f t="shared" si="19"/>
        <v>0</v>
      </c>
      <c r="H117" s="3" t="s">
        <v>388</v>
      </c>
      <c r="I117" s="4"/>
      <c r="J117" s="12">
        <f t="shared" si="35"/>
        <v>1.1985409067222471E-2</v>
      </c>
    </row>
    <row r="118" spans="2:10" ht="15.75" hidden="1">
      <c r="B118" s="4" t="s">
        <v>385</v>
      </c>
      <c r="C118" s="4" t="s">
        <v>137</v>
      </c>
      <c r="D118" s="2">
        <v>32.436999999999998</v>
      </c>
      <c r="E118" s="40">
        <v>32.436999999999998</v>
      </c>
      <c r="F118" s="2">
        <f t="shared" si="8"/>
        <v>0</v>
      </c>
      <c r="G118" s="2">
        <f t="shared" si="19"/>
        <v>0</v>
      </c>
      <c r="H118" s="3" t="s">
        <v>323</v>
      </c>
      <c r="I118" s="4"/>
      <c r="J118" s="12">
        <f t="shared" ref="J118" si="36">G118/E118</f>
        <v>0</v>
      </c>
    </row>
    <row r="119" spans="2:10" ht="15.75" hidden="1">
      <c r="B119" s="4" t="s">
        <v>389</v>
      </c>
      <c r="C119" s="4" t="s">
        <v>137</v>
      </c>
      <c r="D119" s="2">
        <v>31.72</v>
      </c>
      <c r="E119" s="40">
        <v>31.373999999999999</v>
      </c>
      <c r="F119" s="2">
        <f t="shared" si="8"/>
        <v>0.34600000000000009</v>
      </c>
      <c r="G119" s="2">
        <f t="shared" si="19"/>
        <v>0</v>
      </c>
      <c r="H119" s="3" t="s">
        <v>323</v>
      </c>
      <c r="I119" s="4"/>
      <c r="J119" s="12">
        <f t="shared" ref="J119:J131" si="37">F119/E119</f>
        <v>1.1028239943902597E-2</v>
      </c>
    </row>
    <row r="120" spans="2:10" ht="15.75" hidden="1">
      <c r="B120" s="4" t="s">
        <v>389</v>
      </c>
      <c r="C120" s="4" t="s">
        <v>137</v>
      </c>
      <c r="D120" s="2">
        <v>33.19</v>
      </c>
      <c r="E120" s="40">
        <v>32.932000000000002</v>
      </c>
      <c r="F120" s="2">
        <f t="shared" si="8"/>
        <v>0.25799999999999557</v>
      </c>
      <c r="G120" s="2">
        <f t="shared" si="19"/>
        <v>0</v>
      </c>
      <c r="H120" s="3" t="s">
        <v>9</v>
      </c>
      <c r="I120" s="4"/>
      <c r="J120" s="12">
        <f t="shared" si="37"/>
        <v>7.8343252763268412E-3</v>
      </c>
    </row>
    <row r="121" spans="2:10" ht="15.75" hidden="1">
      <c r="B121" s="4" t="s">
        <v>389</v>
      </c>
      <c r="C121" s="4" t="s">
        <v>137</v>
      </c>
      <c r="D121" s="2">
        <v>39.76</v>
      </c>
      <c r="E121" s="40">
        <v>39.747999999999998</v>
      </c>
      <c r="F121" s="2">
        <f t="shared" si="8"/>
        <v>1.2000000000000455E-2</v>
      </c>
      <c r="G121" s="2">
        <f t="shared" si="19"/>
        <v>0</v>
      </c>
      <c r="H121" s="3" t="s">
        <v>253</v>
      </c>
      <c r="I121" s="4"/>
      <c r="J121" s="12">
        <f t="shared" si="37"/>
        <v>3.0190198248969646E-4</v>
      </c>
    </row>
    <row r="122" spans="2:10" ht="15.75" hidden="1">
      <c r="B122" s="4" t="s">
        <v>389</v>
      </c>
      <c r="C122" s="4" t="s">
        <v>137</v>
      </c>
      <c r="D122" s="2">
        <v>32.51</v>
      </c>
      <c r="E122" s="40">
        <v>32.280999999999999</v>
      </c>
      <c r="F122" s="2">
        <f t="shared" si="8"/>
        <v>0.2289999999999992</v>
      </c>
      <c r="G122" s="2">
        <f t="shared" si="19"/>
        <v>0</v>
      </c>
      <c r="H122" s="3" t="s">
        <v>16</v>
      </c>
      <c r="I122" s="4"/>
      <c r="J122" s="12">
        <f t="shared" si="37"/>
        <v>7.0939561971438067E-3</v>
      </c>
    </row>
    <row r="123" spans="2:10" ht="15.75" hidden="1">
      <c r="B123" s="4" t="s">
        <v>390</v>
      </c>
      <c r="C123" s="4" t="s">
        <v>137</v>
      </c>
      <c r="D123" s="2">
        <v>33.01</v>
      </c>
      <c r="E123" s="40">
        <v>32.716999999999999</v>
      </c>
      <c r="F123" s="2">
        <f t="shared" si="8"/>
        <v>0.29299999999999926</v>
      </c>
      <c r="G123" s="2">
        <f t="shared" si="19"/>
        <v>0</v>
      </c>
      <c r="H123" s="3" t="s">
        <v>9</v>
      </c>
      <c r="I123" s="4"/>
      <c r="J123" s="12">
        <f t="shared" si="37"/>
        <v>8.9555888376073381E-3</v>
      </c>
    </row>
    <row r="124" spans="2:10" ht="15.75" hidden="1">
      <c r="B124" s="4" t="s">
        <v>390</v>
      </c>
      <c r="C124" s="4" t="s">
        <v>137</v>
      </c>
      <c r="D124" s="2">
        <v>31.48</v>
      </c>
      <c r="E124" s="40">
        <v>31.263999999999999</v>
      </c>
      <c r="F124" s="2">
        <f t="shared" si="8"/>
        <v>0.21600000000000108</v>
      </c>
      <c r="G124" s="2">
        <f t="shared" si="19"/>
        <v>0</v>
      </c>
      <c r="H124" s="3" t="s">
        <v>16</v>
      </c>
      <c r="I124" s="4"/>
      <c r="J124" s="12">
        <f t="shared" si="37"/>
        <v>6.9089048106448659E-3</v>
      </c>
    </row>
    <row r="125" spans="2:10" ht="15.75" hidden="1">
      <c r="B125" s="4" t="s">
        <v>390</v>
      </c>
      <c r="C125" s="4" t="s">
        <v>137</v>
      </c>
      <c r="D125" s="2">
        <v>33.380000000000003</v>
      </c>
      <c r="E125" s="40">
        <v>33.174999999999997</v>
      </c>
      <c r="F125" s="2">
        <f t="shared" si="8"/>
        <v>0.2050000000000054</v>
      </c>
      <c r="G125" s="2">
        <f t="shared" si="19"/>
        <v>0</v>
      </c>
      <c r="H125" s="3" t="s">
        <v>13</v>
      </c>
      <c r="I125" s="4"/>
      <c r="J125" s="12">
        <f t="shared" si="37"/>
        <v>6.1793519216278951E-3</v>
      </c>
    </row>
    <row r="126" spans="2:10" ht="15.75" hidden="1">
      <c r="B126" s="4" t="s">
        <v>390</v>
      </c>
      <c r="C126" s="4" t="s">
        <v>137</v>
      </c>
      <c r="D126" s="2">
        <v>33.19</v>
      </c>
      <c r="E126" s="40">
        <v>32.938000000000002</v>
      </c>
      <c r="F126" s="2">
        <f t="shared" si="8"/>
        <v>0.25199999999999534</v>
      </c>
      <c r="G126" s="2">
        <f t="shared" si="19"/>
        <v>0</v>
      </c>
      <c r="H126" s="3" t="s">
        <v>9</v>
      </c>
      <c r="I126" s="4"/>
      <c r="J126" s="12">
        <f t="shared" si="37"/>
        <v>7.6507377497114374E-3</v>
      </c>
    </row>
    <row r="127" spans="2:10" ht="15.75" hidden="1">
      <c r="B127" s="4" t="s">
        <v>391</v>
      </c>
      <c r="C127" s="4" t="s">
        <v>137</v>
      </c>
      <c r="D127" s="2">
        <v>31.77</v>
      </c>
      <c r="E127" s="40">
        <v>31.515999999999998</v>
      </c>
      <c r="F127" s="2">
        <f t="shared" si="8"/>
        <v>0.25400000000000134</v>
      </c>
      <c r="G127" s="2">
        <f t="shared" si="19"/>
        <v>0</v>
      </c>
      <c r="H127" s="3" t="s">
        <v>157</v>
      </c>
      <c r="I127" s="4"/>
      <c r="J127" s="12">
        <f t="shared" si="37"/>
        <v>8.0593984008123284E-3</v>
      </c>
    </row>
    <row r="128" spans="2:10" ht="15.75" hidden="1">
      <c r="B128" s="4" t="s">
        <v>391</v>
      </c>
      <c r="C128" s="4" t="s">
        <v>137</v>
      </c>
      <c r="D128" s="2">
        <v>32.119999999999997</v>
      </c>
      <c r="E128" s="40">
        <v>31.803999999999998</v>
      </c>
      <c r="F128" s="2">
        <f t="shared" si="8"/>
        <v>0.31599999999999895</v>
      </c>
      <c r="G128" s="2">
        <f t="shared" si="19"/>
        <v>0</v>
      </c>
      <c r="H128" s="3" t="s">
        <v>16</v>
      </c>
      <c r="I128" s="4"/>
      <c r="J128" s="12">
        <f t="shared" si="37"/>
        <v>9.9358571248899189E-3</v>
      </c>
    </row>
    <row r="129" spans="2:10" ht="15.75" hidden="1">
      <c r="B129" s="4" t="s">
        <v>392</v>
      </c>
      <c r="C129" s="4" t="s">
        <v>137</v>
      </c>
      <c r="D129" s="2">
        <v>25.66</v>
      </c>
      <c r="E129" s="2">
        <v>25.423999999999999</v>
      </c>
      <c r="F129" s="2">
        <f t="shared" si="8"/>
        <v>0.23600000000000065</v>
      </c>
      <c r="G129" s="2">
        <f t="shared" si="19"/>
        <v>0</v>
      </c>
      <c r="H129" s="3" t="s">
        <v>291</v>
      </c>
      <c r="I129" s="4"/>
      <c r="J129" s="12">
        <f t="shared" si="37"/>
        <v>9.2825676526117305E-3</v>
      </c>
    </row>
    <row r="130" spans="2:10" ht="15.75" hidden="1">
      <c r="B130" s="4" t="s">
        <v>392</v>
      </c>
      <c r="C130" s="4" t="s">
        <v>137</v>
      </c>
      <c r="D130" s="2">
        <v>29.52</v>
      </c>
      <c r="E130" s="2">
        <v>29.329000000000001</v>
      </c>
      <c r="F130" s="2">
        <f t="shared" si="8"/>
        <v>0.19099999999999895</v>
      </c>
      <c r="G130" s="2">
        <f t="shared" si="19"/>
        <v>0</v>
      </c>
      <c r="H130" s="3" t="s">
        <v>157</v>
      </c>
      <c r="I130" s="4"/>
      <c r="J130" s="12">
        <f t="shared" si="37"/>
        <v>6.5123256844760802E-3</v>
      </c>
    </row>
    <row r="131" spans="2:10" ht="15.75" hidden="1">
      <c r="B131" s="4" t="s">
        <v>392</v>
      </c>
      <c r="C131" s="4" t="s">
        <v>137</v>
      </c>
      <c r="D131" s="2">
        <v>32.869999999999997</v>
      </c>
      <c r="E131" s="2">
        <v>32.423000000000002</v>
      </c>
      <c r="F131" s="2">
        <f t="shared" si="8"/>
        <v>0.44699999999999562</v>
      </c>
      <c r="G131" s="2">
        <f t="shared" si="19"/>
        <v>0</v>
      </c>
      <c r="H131" s="3" t="s">
        <v>16</v>
      </c>
      <c r="I131" s="4"/>
      <c r="J131" s="12">
        <f t="shared" si="37"/>
        <v>1.3786509576535039E-2</v>
      </c>
    </row>
    <row r="132" spans="2:10" ht="15.75">
      <c r="B132" s="7"/>
      <c r="C132" s="7"/>
      <c r="D132" s="6">
        <f>SUM(D5:D131)</f>
        <v>3794.3370000000018</v>
      </c>
      <c r="E132" s="6">
        <f>SUM(E5:E131)</f>
        <v>3801.5749999999998</v>
      </c>
      <c r="F132" s="6">
        <f>SUM(F5:F131)</f>
        <v>7.6199999999999806</v>
      </c>
      <c r="G132" s="6">
        <f>SUM(G5:G131)</f>
        <v>-14.858000000000022</v>
      </c>
      <c r="H132" s="10">
        <f>SUM(F132:G132)</f>
        <v>-7.2380000000000413</v>
      </c>
      <c r="I132" s="9"/>
      <c r="J132" s="11">
        <f>H132/E132</f>
        <v>-1.9039477058850718E-3</v>
      </c>
    </row>
    <row r="134" spans="2:10">
      <c r="E134" s="38"/>
    </row>
  </sheetData>
  <autoFilter ref="A4:M132">
    <filterColumn colId="6">
      <filters>
        <filter val="-0.003"/>
        <filter val="-0.005"/>
        <filter val="-0.007"/>
        <filter val="-0.013"/>
        <filter val="-0.017"/>
        <filter val="-0.018"/>
        <filter val="-0.021"/>
        <filter val="-0.023"/>
        <filter val="-0.030"/>
        <filter val="-0.038"/>
        <filter val="-0.041"/>
        <filter val="-0.045"/>
        <filter val="-0.048"/>
        <filter val="-0.050"/>
        <filter val="-0.053"/>
        <filter val="-0.063"/>
        <filter val="-0.067"/>
        <filter val="-0.072"/>
        <filter val="-0.074"/>
        <filter val="-0.075"/>
        <filter val="-0.079"/>
        <filter val="-0.080"/>
        <filter val="-0.086"/>
        <filter val="-0.102"/>
        <filter val="-0.109"/>
        <filter val="-0.122"/>
        <filter val="-0.125"/>
        <filter val="-0.132"/>
        <filter val="-0.147"/>
        <filter val="-0.151"/>
        <filter val="-0.159"/>
        <filter val="-0.164"/>
        <filter val="-0.171"/>
        <filter val="-0.174"/>
        <filter val="-0.187"/>
        <filter val="-0.195"/>
        <filter val="-0.205"/>
        <filter val="-0.206"/>
        <filter val="-0.213"/>
        <filter val="-0.225"/>
        <filter val="-0.226"/>
        <filter val="-0.236"/>
        <filter val="-0.237"/>
        <filter val="-0.240"/>
        <filter val="-0.245"/>
        <filter val="-0.247"/>
        <filter val="-0.254"/>
        <filter val="-0.255"/>
        <filter val="-0.264"/>
        <filter val="-0.271"/>
        <filter val="-0.272"/>
        <filter val="-0.274"/>
        <filter val="-0.275"/>
        <filter val="-0.278"/>
        <filter val="-0.292"/>
        <filter val="-0.296"/>
        <filter val="-0.306"/>
        <filter val="-0.308"/>
        <filter val="-0.310"/>
        <filter val="-0.330"/>
        <filter val="-0.347"/>
        <filter val="-0.377"/>
        <filter val="-0.378"/>
        <filter val="-0.413"/>
        <filter val="-0.417"/>
        <filter val="-0.434"/>
        <filter val="-0.456"/>
        <filter val="-0.460"/>
        <filter val="-0.527"/>
        <filter val="-0.564"/>
        <filter val="-0.859"/>
        <filter val="-14.858"/>
      </filters>
    </filterColumn>
  </autoFilter>
  <mergeCells count="1">
    <mergeCell ref="B2:I2"/>
  </mergeCells>
  <pageMargins left="0.45" right="0.45" top="0.25" bottom="0.25" header="0.3" footer="0.3"/>
  <pageSetup paperSize="9" scale="66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2:L111"/>
  <sheetViews>
    <sheetView zoomScaleSheetLayoutView="100" workbookViewId="0">
      <pane ySplit="4" topLeftCell="A94" activePane="bottomLeft" state="frozen"/>
      <selection pane="bottomLeft" activeCell="D6" sqref="D6:D108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8" customWidth="1"/>
    <col min="9" max="9" width="11.42578125" customWidth="1"/>
    <col min="10" max="10" width="12.28515625" bestFit="1" customWidth="1"/>
    <col min="12" max="12" width="15.28515625" bestFit="1" customWidth="1"/>
    <col min="13" max="13" width="9.42578125" bestFit="1" customWidth="1"/>
    <col min="16" max="16" width="12.85546875" bestFit="1" customWidth="1"/>
  </cols>
  <sheetData>
    <row r="2" spans="2:12" ht="19.5">
      <c r="B2" s="58" t="s">
        <v>393</v>
      </c>
      <c r="C2" s="59"/>
      <c r="D2" s="59"/>
      <c r="E2" s="59"/>
      <c r="F2" s="59"/>
      <c r="G2" s="59"/>
      <c r="H2" s="59"/>
      <c r="I2" s="59"/>
    </row>
    <row r="4" spans="2:12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5" t="s">
        <v>7</v>
      </c>
      <c r="J4" s="5" t="s">
        <v>462</v>
      </c>
    </row>
    <row r="5" spans="2:12" ht="15.75">
      <c r="B5" s="4" t="s">
        <v>394</v>
      </c>
      <c r="C5" s="4" t="s">
        <v>137</v>
      </c>
      <c r="D5" s="2">
        <f>L5-0.01</f>
        <v>26.72</v>
      </c>
      <c r="E5" s="40">
        <v>26.387</v>
      </c>
      <c r="F5" s="42">
        <f t="shared" ref="F5:F28" si="0">IF(D5-E5&lt;=0,0,D5-E5)</f>
        <v>0.33299999999999841</v>
      </c>
      <c r="G5" s="2">
        <f t="shared" ref="G5:G68" si="1">IF(D5-E5&gt;=0,0,D5-E5)</f>
        <v>0</v>
      </c>
      <c r="H5" s="3" t="s">
        <v>395</v>
      </c>
      <c r="I5" s="12">
        <f>F5/E5</f>
        <v>1.2619850684048903E-2</v>
      </c>
      <c r="J5" s="45" t="s">
        <v>463</v>
      </c>
      <c r="L5" s="2">
        <v>26.73</v>
      </c>
    </row>
    <row r="6" spans="2:12" ht="15.75">
      <c r="B6" s="4" t="s">
        <v>394</v>
      </c>
      <c r="C6" s="4" t="s">
        <v>402</v>
      </c>
      <c r="D6" s="2">
        <f t="shared" ref="D6:D69" si="2">L6-0.01</f>
        <v>32.760000000000005</v>
      </c>
      <c r="E6" s="40">
        <v>32.654000000000003</v>
      </c>
      <c r="F6" s="2">
        <f t="shared" si="0"/>
        <v>0.10600000000000165</v>
      </c>
      <c r="G6" s="2">
        <f t="shared" si="1"/>
        <v>0</v>
      </c>
      <c r="H6" s="3" t="s">
        <v>396</v>
      </c>
      <c r="I6" s="12">
        <f>F6/E6</f>
        <v>3.2461566729957013E-3</v>
      </c>
      <c r="J6" s="45" t="s">
        <v>463</v>
      </c>
      <c r="L6" s="2">
        <v>32.770000000000003</v>
      </c>
    </row>
    <row r="7" spans="2:12" ht="15.75">
      <c r="B7" s="4" t="s">
        <v>394</v>
      </c>
      <c r="C7" s="4" t="s">
        <v>137</v>
      </c>
      <c r="D7" s="2">
        <f t="shared" si="2"/>
        <v>33.64</v>
      </c>
      <c r="E7" s="40">
        <v>33.098999999999997</v>
      </c>
      <c r="F7" s="42">
        <f t="shared" si="0"/>
        <v>0.54100000000000392</v>
      </c>
      <c r="G7" s="2">
        <f t="shared" si="1"/>
        <v>0</v>
      </c>
      <c r="H7" s="41" t="s">
        <v>13</v>
      </c>
      <c r="I7" s="12">
        <f>F7/E7</f>
        <v>1.6344904679899814E-2</v>
      </c>
      <c r="J7" s="45" t="s">
        <v>463</v>
      </c>
      <c r="L7" s="2">
        <v>33.65</v>
      </c>
    </row>
    <row r="8" spans="2:12" ht="15.75">
      <c r="B8" s="4" t="s">
        <v>397</v>
      </c>
      <c r="C8" s="4" t="s">
        <v>137</v>
      </c>
      <c r="D8" s="2">
        <f t="shared" si="2"/>
        <v>25.319999999999997</v>
      </c>
      <c r="E8" s="40">
        <v>24.934000000000001</v>
      </c>
      <c r="F8" s="42">
        <f t="shared" si="0"/>
        <v>0.38599999999999568</v>
      </c>
      <c r="G8" s="2">
        <f t="shared" si="1"/>
        <v>0</v>
      </c>
      <c r="H8" s="3" t="s">
        <v>398</v>
      </c>
      <c r="I8" s="12">
        <f>F8/E8</f>
        <v>1.5480869495467862E-2</v>
      </c>
      <c r="J8" s="45" t="s">
        <v>463</v>
      </c>
      <c r="L8" s="2">
        <v>25.33</v>
      </c>
    </row>
    <row r="9" spans="2:12" ht="15.75">
      <c r="B9" s="4" t="s">
        <v>397</v>
      </c>
      <c r="C9" s="4" t="s">
        <v>137</v>
      </c>
      <c r="D9" s="2">
        <f t="shared" si="2"/>
        <v>24.99</v>
      </c>
      <c r="E9" s="40">
        <v>24.695</v>
      </c>
      <c r="F9" s="42">
        <f t="shared" si="0"/>
        <v>0.29499999999999815</v>
      </c>
      <c r="G9" s="2">
        <f t="shared" si="1"/>
        <v>0</v>
      </c>
      <c r="H9" s="3" t="s">
        <v>399</v>
      </c>
      <c r="I9" s="12">
        <f>F9/E9</f>
        <v>1.1945738003644388E-2</v>
      </c>
      <c r="J9" s="45" t="s">
        <v>463</v>
      </c>
      <c r="L9" s="2">
        <v>25</v>
      </c>
    </row>
    <row r="10" spans="2:12" ht="15.75">
      <c r="B10" s="4" t="s">
        <v>397</v>
      </c>
      <c r="C10" s="4" t="s">
        <v>137</v>
      </c>
      <c r="D10" s="2">
        <f t="shared" si="2"/>
        <v>24.34</v>
      </c>
      <c r="E10" s="40">
        <v>24.489000000000001</v>
      </c>
      <c r="F10" s="2">
        <f t="shared" si="0"/>
        <v>0</v>
      </c>
      <c r="G10" s="2">
        <f t="shared" si="1"/>
        <v>-0.14900000000000091</v>
      </c>
      <c r="H10" s="3" t="s">
        <v>400</v>
      </c>
      <c r="I10" s="12">
        <f t="shared" ref="I10:I60" si="3">G10/E10</f>
        <v>-6.0843644085099803E-3</v>
      </c>
      <c r="J10" s="45" t="s">
        <v>463</v>
      </c>
      <c r="L10" s="2">
        <v>24.35</v>
      </c>
    </row>
    <row r="11" spans="2:12" ht="15.75">
      <c r="B11" s="4" t="s">
        <v>401</v>
      </c>
      <c r="C11" s="4" t="s">
        <v>402</v>
      </c>
      <c r="D11" s="2">
        <f t="shared" si="2"/>
        <v>32.440000000000005</v>
      </c>
      <c r="E11" s="40">
        <v>31.827999999999999</v>
      </c>
      <c r="F11" s="42">
        <f t="shared" si="0"/>
        <v>0.61200000000000543</v>
      </c>
      <c r="G11" s="2">
        <f t="shared" si="1"/>
        <v>0</v>
      </c>
      <c r="H11" s="3" t="s">
        <v>403</v>
      </c>
      <c r="I11" s="12">
        <f>F11/E11</f>
        <v>1.9228352394118558E-2</v>
      </c>
      <c r="J11" s="45" t="s">
        <v>463</v>
      </c>
      <c r="L11" s="2">
        <v>32.450000000000003</v>
      </c>
    </row>
    <row r="12" spans="2:12" ht="15.75">
      <c r="B12" s="4" t="s">
        <v>401</v>
      </c>
      <c r="C12" s="4" t="s">
        <v>137</v>
      </c>
      <c r="D12" s="2">
        <f t="shared" si="2"/>
        <v>32.32</v>
      </c>
      <c r="E12" s="40">
        <v>31.87</v>
      </c>
      <c r="F12" s="42">
        <f t="shared" si="0"/>
        <v>0.44999999999999929</v>
      </c>
      <c r="G12" s="2">
        <f t="shared" si="1"/>
        <v>0</v>
      </c>
      <c r="H12" s="3" t="s">
        <v>16</v>
      </c>
      <c r="I12" s="12">
        <f>F12/E12</f>
        <v>1.4119861939127683E-2</v>
      </c>
      <c r="J12" s="45" t="s">
        <v>463</v>
      </c>
      <c r="L12" s="2">
        <v>32.33</v>
      </c>
    </row>
    <row r="13" spans="2:12" ht="15.75">
      <c r="B13" s="4" t="s">
        <v>401</v>
      </c>
      <c r="C13" s="4" t="s">
        <v>137</v>
      </c>
      <c r="D13" s="2">
        <f t="shared" si="2"/>
        <v>24.639999999999997</v>
      </c>
      <c r="E13" s="40">
        <v>24.715</v>
      </c>
      <c r="F13" s="2">
        <f t="shared" si="0"/>
        <v>0</v>
      </c>
      <c r="G13" s="2">
        <f t="shared" si="1"/>
        <v>-7.5000000000002842E-2</v>
      </c>
      <c r="H13" s="3" t="s">
        <v>404</v>
      </c>
      <c r="I13" s="12">
        <f t="shared" si="3"/>
        <v>-3.0345943758852052E-3</v>
      </c>
      <c r="J13" s="45" t="s">
        <v>463</v>
      </c>
      <c r="L13" s="2">
        <v>24.65</v>
      </c>
    </row>
    <row r="14" spans="2:12" ht="15.75">
      <c r="B14" s="4" t="s">
        <v>401</v>
      </c>
      <c r="C14" s="4" t="s">
        <v>137</v>
      </c>
      <c r="D14" s="2">
        <f t="shared" si="2"/>
        <v>24.91</v>
      </c>
      <c r="E14" s="40">
        <v>24.504999999999999</v>
      </c>
      <c r="F14" s="42">
        <f t="shared" si="0"/>
        <v>0.40500000000000114</v>
      </c>
      <c r="G14" s="2">
        <f t="shared" si="1"/>
        <v>0</v>
      </c>
      <c r="H14" s="3" t="s">
        <v>405</v>
      </c>
      <c r="I14" s="12">
        <f t="shared" ref="I14:I21" si="4">F14/E14</f>
        <v>1.6527239338910475E-2</v>
      </c>
      <c r="J14" s="45" t="s">
        <v>463</v>
      </c>
      <c r="L14" s="2">
        <v>24.92</v>
      </c>
    </row>
    <row r="15" spans="2:12" ht="15.75">
      <c r="B15" s="4" t="s">
        <v>401</v>
      </c>
      <c r="C15" s="4" t="s">
        <v>137</v>
      </c>
      <c r="D15" s="2">
        <f t="shared" si="2"/>
        <v>25.049999999999997</v>
      </c>
      <c r="E15" s="40">
        <v>25.056999999999999</v>
      </c>
      <c r="F15" s="2">
        <f t="shared" si="0"/>
        <v>0</v>
      </c>
      <c r="G15" s="2">
        <f t="shared" si="1"/>
        <v>-7.0000000000014495E-3</v>
      </c>
      <c r="H15" s="3" t="s">
        <v>406</v>
      </c>
      <c r="I15" s="12">
        <f t="shared" si="4"/>
        <v>0</v>
      </c>
      <c r="J15" s="45" t="s">
        <v>463</v>
      </c>
      <c r="L15" s="2">
        <v>25.06</v>
      </c>
    </row>
    <row r="16" spans="2:12" ht="15.75">
      <c r="B16" s="4" t="s">
        <v>407</v>
      </c>
      <c r="C16" s="4" t="s">
        <v>137</v>
      </c>
      <c r="D16" s="2">
        <f t="shared" si="2"/>
        <v>16.189999999999998</v>
      </c>
      <c r="E16" s="40">
        <v>15.912000000000001</v>
      </c>
      <c r="F16" s="42">
        <f t="shared" si="0"/>
        <v>0.27799999999999692</v>
      </c>
      <c r="G16" s="2">
        <f t="shared" si="1"/>
        <v>0</v>
      </c>
      <c r="H16" s="3" t="s">
        <v>302</v>
      </c>
      <c r="I16" s="12">
        <f t="shared" si="4"/>
        <v>1.7471091000502571E-2</v>
      </c>
      <c r="J16" s="45" t="s">
        <v>463</v>
      </c>
      <c r="L16" s="2">
        <v>16.2</v>
      </c>
    </row>
    <row r="17" spans="2:12" ht="15.75">
      <c r="B17" s="4" t="s">
        <v>407</v>
      </c>
      <c r="C17" s="4" t="s">
        <v>137</v>
      </c>
      <c r="D17" s="2">
        <f t="shared" si="2"/>
        <v>32.160000000000004</v>
      </c>
      <c r="E17" s="40">
        <v>32.021000000000001</v>
      </c>
      <c r="F17" s="2">
        <f t="shared" si="0"/>
        <v>0.1390000000000029</v>
      </c>
      <c r="G17" s="2">
        <f t="shared" si="1"/>
        <v>0</v>
      </c>
      <c r="H17" s="3" t="s">
        <v>9</v>
      </c>
      <c r="I17" s="12">
        <f t="shared" si="4"/>
        <v>4.3409012835327722E-3</v>
      </c>
      <c r="J17" s="45" t="s">
        <v>463</v>
      </c>
      <c r="L17" s="2">
        <v>32.17</v>
      </c>
    </row>
    <row r="18" spans="2:12" ht="15.75">
      <c r="B18" s="4" t="s">
        <v>407</v>
      </c>
      <c r="C18" s="4" t="s">
        <v>137</v>
      </c>
      <c r="D18" s="2">
        <f t="shared" si="2"/>
        <v>24.74</v>
      </c>
      <c r="E18" s="40">
        <v>24.350999999999999</v>
      </c>
      <c r="F18" s="42">
        <f t="shared" si="0"/>
        <v>0.38899999999999935</v>
      </c>
      <c r="G18" s="2">
        <f t="shared" si="1"/>
        <v>0</v>
      </c>
      <c r="H18" s="3" t="s">
        <v>409</v>
      </c>
      <c r="I18" s="12">
        <f t="shared" si="4"/>
        <v>1.5974703297605822E-2</v>
      </c>
      <c r="J18" s="45" t="s">
        <v>463</v>
      </c>
      <c r="L18" s="2">
        <v>24.75</v>
      </c>
    </row>
    <row r="19" spans="2:12" ht="15.75">
      <c r="B19" s="4" t="s">
        <v>407</v>
      </c>
      <c r="C19" s="4" t="s">
        <v>137</v>
      </c>
      <c r="D19" s="2">
        <f t="shared" si="2"/>
        <v>24.919999999999998</v>
      </c>
      <c r="E19" s="40">
        <v>24.791</v>
      </c>
      <c r="F19" s="2">
        <f t="shared" si="0"/>
        <v>0.12899999999999778</v>
      </c>
      <c r="G19" s="2">
        <f t="shared" si="1"/>
        <v>0</v>
      </c>
      <c r="H19" s="3" t="s">
        <v>410</v>
      </c>
      <c r="I19" s="12">
        <f t="shared" si="4"/>
        <v>5.2035012706223138E-3</v>
      </c>
      <c r="J19" s="45" t="s">
        <v>463</v>
      </c>
      <c r="L19" s="2">
        <v>24.93</v>
      </c>
    </row>
    <row r="20" spans="2:12" ht="15.75">
      <c r="B20" s="4" t="s">
        <v>408</v>
      </c>
      <c r="C20" s="4" t="s">
        <v>137</v>
      </c>
      <c r="D20" s="2">
        <f t="shared" si="2"/>
        <v>24.599999999999998</v>
      </c>
      <c r="E20" s="40">
        <v>24.315000000000001</v>
      </c>
      <c r="F20" s="42">
        <f t="shared" si="0"/>
        <v>0.28499999999999659</v>
      </c>
      <c r="G20" s="2">
        <f t="shared" si="1"/>
        <v>0</v>
      </c>
      <c r="H20" s="3" t="s">
        <v>411</v>
      </c>
      <c r="I20" s="12">
        <f t="shared" si="4"/>
        <v>1.1721159777914726E-2</v>
      </c>
      <c r="J20" s="45" t="s">
        <v>463</v>
      </c>
      <c r="L20" s="2">
        <v>24.61</v>
      </c>
    </row>
    <row r="21" spans="2:12" ht="15.75">
      <c r="B21" s="4" t="s">
        <v>408</v>
      </c>
      <c r="C21" s="4" t="s">
        <v>137</v>
      </c>
      <c r="D21" s="2">
        <f t="shared" si="2"/>
        <v>31.16</v>
      </c>
      <c r="E21" s="40">
        <v>31.042000000000002</v>
      </c>
      <c r="F21" s="2">
        <f t="shared" si="0"/>
        <v>0.11799999999999855</v>
      </c>
      <c r="G21" s="2">
        <f t="shared" si="1"/>
        <v>0</v>
      </c>
      <c r="H21" s="3" t="s">
        <v>16</v>
      </c>
      <c r="I21" s="12">
        <f t="shared" si="4"/>
        <v>3.8013014625345835E-3</v>
      </c>
      <c r="J21" s="45" t="s">
        <v>463</v>
      </c>
      <c r="L21" s="2">
        <v>31.17</v>
      </c>
    </row>
    <row r="22" spans="2:12" ht="15.75">
      <c r="B22" s="4" t="s">
        <v>408</v>
      </c>
      <c r="C22" s="4" t="s">
        <v>137</v>
      </c>
      <c r="D22" s="2">
        <f t="shared" si="2"/>
        <v>24.139999999999997</v>
      </c>
      <c r="E22" s="40">
        <v>24.251000000000001</v>
      </c>
      <c r="F22" s="2">
        <f t="shared" si="0"/>
        <v>0</v>
      </c>
      <c r="G22" s="2">
        <f t="shared" si="1"/>
        <v>-0.11100000000000421</v>
      </c>
      <c r="H22" s="3" t="s">
        <v>412</v>
      </c>
      <c r="I22" s="12">
        <f t="shared" si="3"/>
        <v>-4.5771308399655351E-3</v>
      </c>
      <c r="J22" s="45" t="s">
        <v>463</v>
      </c>
      <c r="L22" s="2">
        <v>24.15</v>
      </c>
    </row>
    <row r="23" spans="2:12" ht="15.75">
      <c r="B23" s="4" t="s">
        <v>408</v>
      </c>
      <c r="C23" s="4" t="s">
        <v>137</v>
      </c>
      <c r="D23" s="2">
        <f t="shared" si="2"/>
        <v>32.630000000000003</v>
      </c>
      <c r="E23" s="40">
        <v>32.564999999999998</v>
      </c>
      <c r="F23" s="2">
        <f t="shared" si="0"/>
        <v>6.5000000000004832E-2</v>
      </c>
      <c r="G23" s="2">
        <f t="shared" si="1"/>
        <v>0</v>
      </c>
      <c r="H23" s="3" t="s">
        <v>323</v>
      </c>
      <c r="I23" s="12">
        <f>F23/E23</f>
        <v>1.9960079840320847E-3</v>
      </c>
      <c r="J23" s="45" t="s">
        <v>463</v>
      </c>
      <c r="L23" s="2">
        <v>32.64</v>
      </c>
    </row>
    <row r="24" spans="2:12" ht="15.75">
      <c r="B24" s="4" t="s">
        <v>413</v>
      </c>
      <c r="C24" s="4" t="s">
        <v>137</v>
      </c>
      <c r="D24" s="2">
        <f t="shared" si="2"/>
        <v>24.66</v>
      </c>
      <c r="E24" s="40">
        <v>24.596</v>
      </c>
      <c r="F24" s="2">
        <f t="shared" si="0"/>
        <v>6.4000000000000057E-2</v>
      </c>
      <c r="G24" s="2">
        <f t="shared" si="1"/>
        <v>0</v>
      </c>
      <c r="H24" s="3" t="s">
        <v>415</v>
      </c>
      <c r="I24" s="12">
        <f>F24/E24</f>
        <v>2.602049113677023E-3</v>
      </c>
      <c r="J24" s="45" t="s">
        <v>463</v>
      </c>
      <c r="L24" s="2">
        <v>24.67</v>
      </c>
    </row>
    <row r="25" spans="2:12" ht="15.75">
      <c r="B25" s="4" t="s">
        <v>413</v>
      </c>
      <c r="C25" s="4" t="s">
        <v>137</v>
      </c>
      <c r="D25" s="2">
        <f t="shared" si="2"/>
        <v>32.870000000000005</v>
      </c>
      <c r="E25" s="40">
        <v>32.723999999999997</v>
      </c>
      <c r="F25" s="2">
        <f t="shared" si="0"/>
        <v>0.1460000000000079</v>
      </c>
      <c r="G25" s="2">
        <f t="shared" si="1"/>
        <v>0</v>
      </c>
      <c r="H25" s="3" t="s">
        <v>374</v>
      </c>
      <c r="I25" s="12">
        <f>F25/E25</f>
        <v>4.4615572668380366E-3</v>
      </c>
      <c r="J25" s="45" t="s">
        <v>461</v>
      </c>
      <c r="L25" s="2">
        <v>32.880000000000003</v>
      </c>
    </row>
    <row r="26" spans="2:12" ht="15.75">
      <c r="B26" s="4" t="s">
        <v>413</v>
      </c>
      <c r="C26" s="4" t="s">
        <v>137</v>
      </c>
      <c r="D26" s="2">
        <f t="shared" si="2"/>
        <v>32.32</v>
      </c>
      <c r="E26" s="40">
        <v>32.359000000000002</v>
      </c>
      <c r="F26" s="2">
        <f t="shared" si="0"/>
        <v>0</v>
      </c>
      <c r="G26" s="2">
        <f t="shared" si="1"/>
        <v>-3.9000000000001478E-2</v>
      </c>
      <c r="H26" s="3" t="s">
        <v>416</v>
      </c>
      <c r="I26" s="12">
        <f t="shared" si="3"/>
        <v>-1.2052288389629308E-3</v>
      </c>
      <c r="J26" s="45" t="s">
        <v>461</v>
      </c>
      <c r="L26" s="2">
        <v>32.33</v>
      </c>
    </row>
    <row r="27" spans="2:12" ht="15.75">
      <c r="B27" s="4" t="s">
        <v>414</v>
      </c>
      <c r="C27" s="4" t="s">
        <v>137</v>
      </c>
      <c r="D27" s="2">
        <f t="shared" si="2"/>
        <v>32.910000000000004</v>
      </c>
      <c r="E27" s="40">
        <v>32.872999999999998</v>
      </c>
      <c r="F27" s="2">
        <f t="shared" si="0"/>
        <v>3.7000000000006139E-2</v>
      </c>
      <c r="G27" s="2">
        <f t="shared" si="1"/>
        <v>0</v>
      </c>
      <c r="H27" s="3" t="s">
        <v>15</v>
      </c>
      <c r="I27" s="12">
        <f>F27/E27</f>
        <v>1.125543759316343E-3</v>
      </c>
      <c r="J27" s="45" t="s">
        <v>461</v>
      </c>
      <c r="L27" s="2">
        <v>32.92</v>
      </c>
    </row>
    <row r="28" spans="2:12" ht="15.75">
      <c r="B28" s="4" t="s">
        <v>414</v>
      </c>
      <c r="C28" s="4" t="s">
        <v>137</v>
      </c>
      <c r="D28" s="2">
        <f t="shared" si="2"/>
        <v>24.319999999999997</v>
      </c>
      <c r="E28" s="40">
        <v>24.539000000000001</v>
      </c>
      <c r="F28" s="2">
        <f t="shared" si="0"/>
        <v>0</v>
      </c>
      <c r="G28" s="2">
        <f t="shared" si="1"/>
        <v>-0.21900000000000475</v>
      </c>
      <c r="H28" s="3" t="s">
        <v>417</v>
      </c>
      <c r="I28" s="12">
        <f t="shared" si="3"/>
        <v>-8.9245690533438504E-3</v>
      </c>
      <c r="J28" s="45" t="s">
        <v>463</v>
      </c>
      <c r="L28" s="2">
        <v>24.33</v>
      </c>
    </row>
    <row r="29" spans="2:12" ht="15.75">
      <c r="B29" s="4" t="s">
        <v>414</v>
      </c>
      <c r="C29" s="4" t="s">
        <v>137</v>
      </c>
      <c r="D29" s="2">
        <f t="shared" si="2"/>
        <v>32.21</v>
      </c>
      <c r="E29" s="40">
        <v>32.110999999999997</v>
      </c>
      <c r="F29" s="2">
        <f>IF(D29-E29&lt;=0,0,D29-E29)</f>
        <v>9.9000000000003752E-2</v>
      </c>
      <c r="G29" s="2">
        <f t="shared" si="1"/>
        <v>0</v>
      </c>
      <c r="H29" s="3" t="s">
        <v>419</v>
      </c>
      <c r="I29" s="12">
        <f>F29/E29</f>
        <v>3.0830556507117114E-3</v>
      </c>
      <c r="J29" s="45" t="s">
        <v>463</v>
      </c>
      <c r="L29" s="2">
        <v>32.22</v>
      </c>
    </row>
    <row r="30" spans="2:12" ht="15.75">
      <c r="B30" s="4" t="s">
        <v>418</v>
      </c>
      <c r="C30" s="4" t="s">
        <v>137</v>
      </c>
      <c r="D30" s="2">
        <f t="shared" si="2"/>
        <v>32.550000000000004</v>
      </c>
      <c r="E30" s="40">
        <v>32.984000000000002</v>
      </c>
      <c r="F30" s="2">
        <f t="shared" ref="F30:F108" si="5">IF(D30-E30&lt;=0,0,D30-E30)</f>
        <v>0</v>
      </c>
      <c r="G30" s="2">
        <f t="shared" si="1"/>
        <v>-0.4339999999999975</v>
      </c>
      <c r="H30" s="3" t="s">
        <v>375</v>
      </c>
      <c r="I30" s="12">
        <f t="shared" si="3"/>
        <v>-1.3157894736842028E-2</v>
      </c>
      <c r="J30" s="45" t="s">
        <v>461</v>
      </c>
      <c r="L30" s="2">
        <v>32.56</v>
      </c>
    </row>
    <row r="31" spans="2:12" ht="15.75">
      <c r="B31" s="4" t="s">
        <v>418</v>
      </c>
      <c r="C31" s="4" t="s">
        <v>137</v>
      </c>
      <c r="D31" s="2">
        <f t="shared" si="2"/>
        <v>32.35</v>
      </c>
      <c r="E31" s="40">
        <v>32.564999999999998</v>
      </c>
      <c r="F31" s="2">
        <f t="shared" si="5"/>
        <v>0</v>
      </c>
      <c r="G31" s="2">
        <f t="shared" si="1"/>
        <v>-0.21499999999999631</v>
      </c>
      <c r="H31" s="3" t="s">
        <v>13</v>
      </c>
      <c r="I31" s="12">
        <f t="shared" si="3"/>
        <v>-6.6021802548747524E-3</v>
      </c>
      <c r="J31" s="45" t="s">
        <v>463</v>
      </c>
      <c r="L31" s="2">
        <v>32.36</v>
      </c>
    </row>
    <row r="32" spans="2:12" ht="15.75">
      <c r="B32" s="4" t="s">
        <v>418</v>
      </c>
      <c r="C32" s="4" t="s">
        <v>137</v>
      </c>
      <c r="D32" s="2">
        <f t="shared" si="2"/>
        <v>31.9</v>
      </c>
      <c r="E32" s="40">
        <v>31.908000000000001</v>
      </c>
      <c r="F32" s="2">
        <f t="shared" si="5"/>
        <v>0</v>
      </c>
      <c r="G32" s="2">
        <f t="shared" si="1"/>
        <v>-8.0000000000026716E-3</v>
      </c>
      <c r="H32" s="3" t="s">
        <v>323</v>
      </c>
      <c r="I32" s="12">
        <f>F32/E32</f>
        <v>0</v>
      </c>
      <c r="J32" s="45" t="s">
        <v>463</v>
      </c>
      <c r="L32" s="2">
        <v>31.91</v>
      </c>
    </row>
    <row r="33" spans="1:12" ht="15.75">
      <c r="B33" s="4" t="s">
        <v>420</v>
      </c>
      <c r="C33" s="4" t="s">
        <v>137</v>
      </c>
      <c r="D33" s="2">
        <f t="shared" si="2"/>
        <v>24.7</v>
      </c>
      <c r="E33" s="40">
        <v>24.771000000000001</v>
      </c>
      <c r="F33" s="2">
        <f t="shared" si="5"/>
        <v>0</v>
      </c>
      <c r="G33" s="2">
        <f t="shared" si="1"/>
        <v>-7.1000000000001506E-2</v>
      </c>
      <c r="H33" s="3" t="s">
        <v>421</v>
      </c>
      <c r="I33" s="12">
        <f t="shared" si="3"/>
        <v>-2.866254894836765E-3</v>
      </c>
      <c r="J33" s="45" t="s">
        <v>463</v>
      </c>
      <c r="L33" s="2">
        <v>24.71</v>
      </c>
    </row>
    <row r="34" spans="1:12" ht="15.75">
      <c r="B34" s="4" t="s">
        <v>420</v>
      </c>
      <c r="C34" s="4" t="s">
        <v>137</v>
      </c>
      <c r="D34" s="2">
        <f t="shared" si="2"/>
        <v>32.950000000000003</v>
      </c>
      <c r="E34" s="40">
        <v>32.843000000000004</v>
      </c>
      <c r="F34" s="2">
        <f t="shared" si="5"/>
        <v>0.10699999999999932</v>
      </c>
      <c r="G34" s="2">
        <f t="shared" si="1"/>
        <v>0</v>
      </c>
      <c r="H34" s="3" t="s">
        <v>15</v>
      </c>
      <c r="I34" s="12">
        <f>F34/E34</f>
        <v>3.2579240629662123E-3</v>
      </c>
      <c r="J34" s="45" t="s">
        <v>463</v>
      </c>
      <c r="L34" s="2">
        <v>32.96</v>
      </c>
    </row>
    <row r="35" spans="1:12" ht="15.75">
      <c r="B35" s="4" t="s">
        <v>420</v>
      </c>
      <c r="C35" s="4" t="s">
        <v>206</v>
      </c>
      <c r="D35" s="2">
        <f t="shared" si="2"/>
        <v>21.349999999999998</v>
      </c>
      <c r="E35" s="40">
        <v>21.286000000000001</v>
      </c>
      <c r="F35" s="2">
        <f t="shared" si="5"/>
        <v>6.3999999999996504E-2</v>
      </c>
      <c r="G35" s="2">
        <f t="shared" si="1"/>
        <v>0</v>
      </c>
      <c r="H35" s="3" t="s">
        <v>423</v>
      </c>
      <c r="I35" s="12">
        <f>F35/E35</f>
        <v>3.0066710513951189E-3</v>
      </c>
      <c r="J35" s="45" t="s">
        <v>461</v>
      </c>
      <c r="L35" s="2">
        <v>21.36</v>
      </c>
    </row>
    <row r="36" spans="1:12" ht="15.75">
      <c r="A36">
        <v>0</v>
      </c>
      <c r="B36" s="4" t="s">
        <v>422</v>
      </c>
      <c r="C36" s="4" t="s">
        <v>402</v>
      </c>
      <c r="D36" s="2">
        <f t="shared" si="2"/>
        <v>28.459999999999997</v>
      </c>
      <c r="E36" s="40">
        <v>28.385000000000002</v>
      </c>
      <c r="F36" s="2">
        <f t="shared" si="5"/>
        <v>7.4999999999995737E-2</v>
      </c>
      <c r="G36" s="2">
        <f t="shared" si="1"/>
        <v>0</v>
      </c>
      <c r="H36" s="3" t="s">
        <v>424</v>
      </c>
      <c r="I36" s="12">
        <f>F36/E36</f>
        <v>2.6422406200456486E-3</v>
      </c>
      <c r="J36" s="45" t="s">
        <v>463</v>
      </c>
      <c r="L36" s="2">
        <v>28.47</v>
      </c>
    </row>
    <row r="37" spans="1:12" ht="15.75">
      <c r="B37" s="4" t="s">
        <v>422</v>
      </c>
      <c r="C37" s="4" t="s">
        <v>137</v>
      </c>
      <c r="D37" s="2">
        <f t="shared" si="2"/>
        <v>31.549999999999997</v>
      </c>
      <c r="E37" s="40">
        <v>31.529</v>
      </c>
      <c r="F37" s="2">
        <f t="shared" si="5"/>
        <v>2.0999999999997243E-2</v>
      </c>
      <c r="G37" s="2">
        <f t="shared" si="1"/>
        <v>0</v>
      </c>
      <c r="H37" s="3" t="s">
        <v>321</v>
      </c>
      <c r="I37" s="12">
        <f>F37/E37</f>
        <v>6.6605347457887164E-4</v>
      </c>
      <c r="J37" s="45" t="s">
        <v>463</v>
      </c>
      <c r="L37" s="2">
        <v>31.56</v>
      </c>
    </row>
    <row r="38" spans="1:12" ht="15.75">
      <c r="B38" s="4" t="s">
        <v>422</v>
      </c>
      <c r="C38" s="4" t="s">
        <v>137</v>
      </c>
      <c r="D38" s="2">
        <f t="shared" si="2"/>
        <v>31.86</v>
      </c>
      <c r="E38" s="40">
        <v>31.86</v>
      </c>
      <c r="F38" s="2">
        <f t="shared" si="5"/>
        <v>0</v>
      </c>
      <c r="G38" s="2">
        <f t="shared" si="1"/>
        <v>0</v>
      </c>
      <c r="H38" s="3" t="s">
        <v>12</v>
      </c>
      <c r="I38" s="12">
        <f>F38/E38</f>
        <v>0</v>
      </c>
      <c r="J38" s="45" t="s">
        <v>463</v>
      </c>
      <c r="L38" s="2">
        <v>31.87</v>
      </c>
    </row>
    <row r="39" spans="1:12" ht="15.75">
      <c r="B39" s="4" t="s">
        <v>425</v>
      </c>
      <c r="C39" s="4" t="s">
        <v>137</v>
      </c>
      <c r="D39" s="2">
        <f t="shared" si="2"/>
        <v>31.9</v>
      </c>
      <c r="E39" s="40">
        <v>31.911000000000001</v>
      </c>
      <c r="F39" s="2">
        <f t="shared" si="5"/>
        <v>0</v>
      </c>
      <c r="G39" s="2">
        <f t="shared" si="1"/>
        <v>-1.1000000000002785E-2</v>
      </c>
      <c r="H39" s="3" t="s">
        <v>15</v>
      </c>
      <c r="I39" s="12">
        <f t="shared" si="3"/>
        <v>-3.4470872113073189E-4</v>
      </c>
      <c r="J39" s="45" t="s">
        <v>463</v>
      </c>
      <c r="L39" s="2">
        <v>31.91</v>
      </c>
    </row>
    <row r="40" spans="1:12" ht="15.75">
      <c r="B40" s="4" t="s">
        <v>425</v>
      </c>
      <c r="C40" s="4" t="s">
        <v>137</v>
      </c>
      <c r="D40" s="2">
        <f t="shared" si="2"/>
        <v>32.61</v>
      </c>
      <c r="E40" s="40">
        <v>32.429000000000002</v>
      </c>
      <c r="F40" s="2">
        <f t="shared" si="5"/>
        <v>0.18099999999999739</v>
      </c>
      <c r="G40" s="2">
        <f t="shared" si="1"/>
        <v>0</v>
      </c>
      <c r="H40" s="3" t="s">
        <v>323</v>
      </c>
      <c r="I40" s="12">
        <f>F40/E40</f>
        <v>5.5814240340435221E-3</v>
      </c>
      <c r="J40" s="45" t="s">
        <v>463</v>
      </c>
      <c r="L40" s="2">
        <v>32.619999999999997</v>
      </c>
    </row>
    <row r="41" spans="1:12" ht="15.75">
      <c r="B41" s="4" t="s">
        <v>426</v>
      </c>
      <c r="C41" s="4" t="s">
        <v>137</v>
      </c>
      <c r="D41" s="2">
        <f t="shared" si="2"/>
        <v>33.03</v>
      </c>
      <c r="E41" s="40">
        <v>32.796999999999997</v>
      </c>
      <c r="F41" s="42">
        <f t="shared" si="5"/>
        <v>0.23300000000000409</v>
      </c>
      <c r="G41" s="2">
        <f t="shared" si="1"/>
        <v>0</v>
      </c>
      <c r="H41" s="3" t="s">
        <v>15</v>
      </c>
      <c r="I41" s="12">
        <f>F41/E41</f>
        <v>7.1043083208831327E-3</v>
      </c>
      <c r="J41" s="45" t="s">
        <v>463</v>
      </c>
      <c r="L41" s="2">
        <v>33.04</v>
      </c>
    </row>
    <row r="42" spans="1:12" ht="15.75">
      <c r="B42" s="4" t="s">
        <v>426</v>
      </c>
      <c r="C42" s="4" t="s">
        <v>137</v>
      </c>
      <c r="D42" s="2">
        <f t="shared" si="2"/>
        <v>23</v>
      </c>
      <c r="E42" s="40">
        <v>23.013000000000002</v>
      </c>
      <c r="F42" s="2">
        <f t="shared" si="5"/>
        <v>0</v>
      </c>
      <c r="G42" s="2">
        <f t="shared" si="1"/>
        <v>-1.3000000000001677E-2</v>
      </c>
      <c r="H42" s="3" t="s">
        <v>427</v>
      </c>
      <c r="I42" s="12">
        <f t="shared" si="3"/>
        <v>-5.6489810107337925E-4</v>
      </c>
      <c r="J42" s="45" t="s">
        <v>463</v>
      </c>
      <c r="L42" s="2">
        <v>23.01</v>
      </c>
    </row>
    <row r="43" spans="1:12" ht="15.75">
      <c r="B43" s="4" t="s">
        <v>426</v>
      </c>
      <c r="C43" s="4" t="s">
        <v>137</v>
      </c>
      <c r="D43" s="2">
        <f t="shared" si="2"/>
        <v>24.84</v>
      </c>
      <c r="E43" s="40">
        <v>24.616</v>
      </c>
      <c r="F43" s="42">
        <f t="shared" si="5"/>
        <v>0.2240000000000002</v>
      </c>
      <c r="G43" s="2">
        <f t="shared" si="1"/>
        <v>0</v>
      </c>
      <c r="H43" s="3" t="s">
        <v>428</v>
      </c>
      <c r="I43" s="12">
        <f>F43/E43</f>
        <v>9.099772505687366E-3</v>
      </c>
      <c r="J43" s="45" t="s">
        <v>463</v>
      </c>
      <c r="L43" s="2">
        <v>24.85</v>
      </c>
    </row>
    <row r="44" spans="1:12" ht="15.75">
      <c r="B44" s="4" t="s">
        <v>426</v>
      </c>
      <c r="C44" s="4" t="s">
        <v>137</v>
      </c>
      <c r="D44" s="2">
        <f t="shared" si="2"/>
        <v>29.33</v>
      </c>
      <c r="E44" s="40">
        <v>29.387</v>
      </c>
      <c r="F44" s="2">
        <f t="shared" si="5"/>
        <v>0</v>
      </c>
      <c r="G44" s="2">
        <f t="shared" si="1"/>
        <v>-5.700000000000216E-2</v>
      </c>
      <c r="H44" s="3" t="s">
        <v>323</v>
      </c>
      <c r="I44" s="12">
        <f t="shared" si="3"/>
        <v>-1.939633171130165E-3</v>
      </c>
      <c r="J44" s="45" t="s">
        <v>463</v>
      </c>
      <c r="L44" s="2">
        <v>29.34</v>
      </c>
    </row>
    <row r="45" spans="1:12" ht="15.75">
      <c r="B45" s="4" t="s">
        <v>429</v>
      </c>
      <c r="C45" s="4" t="s">
        <v>137</v>
      </c>
      <c r="D45" s="2">
        <f t="shared" si="2"/>
        <v>24.86</v>
      </c>
      <c r="E45" s="40">
        <v>24.835999999999999</v>
      </c>
      <c r="F45" s="2">
        <f t="shared" si="5"/>
        <v>2.4000000000000909E-2</v>
      </c>
      <c r="G45" s="2">
        <f t="shared" si="1"/>
        <v>0</v>
      </c>
      <c r="H45" s="3" t="s">
        <v>432</v>
      </c>
      <c r="I45" s="12">
        <f>F45/E45</f>
        <v>9.6633918505399066E-4</v>
      </c>
      <c r="J45" s="45" t="s">
        <v>463</v>
      </c>
      <c r="L45" s="2">
        <v>24.87</v>
      </c>
    </row>
    <row r="46" spans="1:12" ht="15.75">
      <c r="B46" s="4" t="s">
        <v>429</v>
      </c>
      <c r="C46" s="4" t="s">
        <v>137</v>
      </c>
      <c r="D46" s="2">
        <f t="shared" si="2"/>
        <v>25.169999999999998</v>
      </c>
      <c r="E46" s="40">
        <v>24.835999999999999</v>
      </c>
      <c r="F46" s="42">
        <f t="shared" si="5"/>
        <v>0.33399999999999963</v>
      </c>
      <c r="G46" s="2">
        <f t="shared" si="1"/>
        <v>0</v>
      </c>
      <c r="H46" s="3" t="s">
        <v>433</v>
      </c>
      <c r="I46" s="12">
        <f>F46/E46</f>
        <v>1.3448220325334178E-2</v>
      </c>
      <c r="J46" s="45" t="s">
        <v>463</v>
      </c>
      <c r="L46" s="2">
        <v>25.18</v>
      </c>
    </row>
    <row r="47" spans="1:12" ht="15.75">
      <c r="B47" s="4" t="s">
        <v>429</v>
      </c>
      <c r="C47" s="4" t="s">
        <v>137</v>
      </c>
      <c r="D47" s="2">
        <f t="shared" si="2"/>
        <v>24.56</v>
      </c>
      <c r="E47" s="40">
        <v>24.352</v>
      </c>
      <c r="F47" s="42">
        <f t="shared" si="5"/>
        <v>0.20799999999999841</v>
      </c>
      <c r="G47" s="2">
        <f t="shared" si="1"/>
        <v>0</v>
      </c>
      <c r="H47" s="3" t="s">
        <v>434</v>
      </c>
      <c r="I47" s="12">
        <f>F47/E47</f>
        <v>8.5413929040735227E-3</v>
      </c>
      <c r="J47" s="45" t="s">
        <v>463</v>
      </c>
      <c r="L47" s="2">
        <v>24.57</v>
      </c>
    </row>
    <row r="48" spans="1:12" ht="15.75">
      <c r="B48" s="4" t="s">
        <v>429</v>
      </c>
      <c r="C48" s="4" t="s">
        <v>206</v>
      </c>
      <c r="D48" s="2">
        <f t="shared" si="2"/>
        <v>32.690000000000005</v>
      </c>
      <c r="E48" s="40">
        <v>32.454999999999998</v>
      </c>
      <c r="F48" s="42">
        <f t="shared" si="5"/>
        <v>0.23500000000000654</v>
      </c>
      <c r="G48" s="2">
        <f t="shared" si="1"/>
        <v>0</v>
      </c>
      <c r="H48" s="3" t="s">
        <v>315</v>
      </c>
      <c r="I48" s="12">
        <f>F48/E48</f>
        <v>7.2407949468496855E-3</v>
      </c>
      <c r="J48" s="45" t="s">
        <v>463</v>
      </c>
      <c r="L48" s="2">
        <v>32.700000000000003</v>
      </c>
    </row>
    <row r="49" spans="2:12" ht="15.75">
      <c r="B49" s="4" t="s">
        <v>430</v>
      </c>
      <c r="C49" s="4" t="s">
        <v>137</v>
      </c>
      <c r="D49" s="2">
        <f t="shared" si="2"/>
        <v>24.31</v>
      </c>
      <c r="E49" s="40">
        <v>24.097999999999999</v>
      </c>
      <c r="F49" s="42">
        <f t="shared" si="5"/>
        <v>0.21199999999999974</v>
      </c>
      <c r="G49" s="2">
        <f t="shared" si="1"/>
        <v>0</v>
      </c>
      <c r="H49" s="3" t="s">
        <v>435</v>
      </c>
      <c r="I49" s="12">
        <f>F49/E49</f>
        <v>8.7974105734915653E-3</v>
      </c>
      <c r="J49" s="45" t="s">
        <v>463</v>
      </c>
      <c r="L49" s="2">
        <v>24.32</v>
      </c>
    </row>
    <row r="50" spans="2:12" ht="15.75">
      <c r="B50" s="4" t="s">
        <v>430</v>
      </c>
      <c r="C50" s="4" t="s">
        <v>137</v>
      </c>
      <c r="D50" s="2">
        <f t="shared" si="2"/>
        <v>24.38</v>
      </c>
      <c r="E50" s="40">
        <v>24.497</v>
      </c>
      <c r="F50" s="2">
        <f t="shared" si="5"/>
        <v>0</v>
      </c>
      <c r="G50" s="2">
        <f t="shared" si="1"/>
        <v>-0.11700000000000088</v>
      </c>
      <c r="H50" s="3" t="s">
        <v>436</v>
      </c>
      <c r="I50" s="12">
        <f t="shared" si="3"/>
        <v>-4.7760950320447759E-3</v>
      </c>
      <c r="J50" s="45" t="s">
        <v>463</v>
      </c>
      <c r="L50" s="2">
        <v>24.39</v>
      </c>
    </row>
    <row r="51" spans="2:12" ht="15.75">
      <c r="B51" s="4" t="s">
        <v>430</v>
      </c>
      <c r="C51" s="4" t="s">
        <v>137</v>
      </c>
      <c r="D51" s="2">
        <f t="shared" si="2"/>
        <v>24.66</v>
      </c>
      <c r="E51" s="40">
        <v>24.657</v>
      </c>
      <c r="F51" s="2">
        <f t="shared" si="5"/>
        <v>3.0000000000001137E-3</v>
      </c>
      <c r="G51" s="2">
        <f t="shared" si="1"/>
        <v>0</v>
      </c>
      <c r="H51" s="3" t="s">
        <v>388</v>
      </c>
      <c r="I51" s="12">
        <f t="shared" ref="I51:I59" si="6">F51/E51</f>
        <v>1.2166930283489937E-4</v>
      </c>
      <c r="J51" s="45" t="s">
        <v>463</v>
      </c>
      <c r="L51" s="2">
        <v>24.67</v>
      </c>
    </row>
    <row r="52" spans="2:12" ht="15.75">
      <c r="B52" s="4" t="s">
        <v>430</v>
      </c>
      <c r="C52" s="4" t="s">
        <v>137</v>
      </c>
      <c r="D52" s="2">
        <f t="shared" si="2"/>
        <v>24.31</v>
      </c>
      <c r="E52" s="40">
        <v>24.274000000000001</v>
      </c>
      <c r="F52" s="2">
        <f t="shared" si="5"/>
        <v>3.5999999999997812E-2</v>
      </c>
      <c r="G52" s="2">
        <f t="shared" si="1"/>
        <v>0</v>
      </c>
      <c r="H52" s="3" t="s">
        <v>437</v>
      </c>
      <c r="I52" s="12">
        <f t="shared" si="6"/>
        <v>1.4830683035345559E-3</v>
      </c>
      <c r="J52" s="45" t="s">
        <v>463</v>
      </c>
      <c r="L52" s="2">
        <v>24.32</v>
      </c>
    </row>
    <row r="53" spans="2:12" ht="15.75">
      <c r="B53" s="4" t="s">
        <v>431</v>
      </c>
      <c r="C53" s="4" t="s">
        <v>206</v>
      </c>
      <c r="D53" s="2">
        <f t="shared" si="2"/>
        <v>32.380000000000003</v>
      </c>
      <c r="E53" s="40">
        <v>32.326000000000001</v>
      </c>
      <c r="F53" s="2">
        <f t="shared" si="5"/>
        <v>5.4000000000002046E-2</v>
      </c>
      <c r="G53" s="2">
        <f t="shared" si="1"/>
        <v>0</v>
      </c>
      <c r="H53" s="3" t="s">
        <v>438</v>
      </c>
      <c r="I53" s="12">
        <f t="shared" si="6"/>
        <v>1.6704819649818116E-3</v>
      </c>
      <c r="J53" s="45" t="s">
        <v>461</v>
      </c>
      <c r="L53" s="2">
        <v>32.39</v>
      </c>
    </row>
    <row r="54" spans="2:12" ht="15.75">
      <c r="B54" s="4" t="s">
        <v>431</v>
      </c>
      <c r="C54" s="4" t="s">
        <v>206</v>
      </c>
      <c r="D54" s="2">
        <f t="shared" si="2"/>
        <v>33.21</v>
      </c>
      <c r="E54" s="40">
        <v>32.716999999999999</v>
      </c>
      <c r="F54" s="42">
        <f t="shared" si="5"/>
        <v>0.4930000000000021</v>
      </c>
      <c r="G54" s="2">
        <f t="shared" si="1"/>
        <v>0</v>
      </c>
      <c r="H54" s="3" t="s">
        <v>439</v>
      </c>
      <c r="I54" s="12">
        <f t="shared" si="6"/>
        <v>1.5068618760888899E-2</v>
      </c>
      <c r="J54" s="45" t="s">
        <v>461</v>
      </c>
      <c r="L54" s="2">
        <v>33.22</v>
      </c>
    </row>
    <row r="55" spans="2:12" ht="15.75">
      <c r="B55" s="4" t="s">
        <v>431</v>
      </c>
      <c r="C55" s="4" t="s">
        <v>206</v>
      </c>
      <c r="D55" s="2">
        <f t="shared" si="2"/>
        <v>33.010000000000005</v>
      </c>
      <c r="E55" s="40">
        <v>32.688000000000002</v>
      </c>
      <c r="F55" s="42">
        <f t="shared" si="5"/>
        <v>0.32200000000000273</v>
      </c>
      <c r="G55" s="2">
        <f t="shared" si="1"/>
        <v>0</v>
      </c>
      <c r="H55" s="3" t="s">
        <v>293</v>
      </c>
      <c r="I55" s="12">
        <f t="shared" si="6"/>
        <v>9.8507097405776643E-3</v>
      </c>
      <c r="J55" s="45" t="s">
        <v>461</v>
      </c>
      <c r="L55" s="2">
        <v>33.020000000000003</v>
      </c>
    </row>
    <row r="56" spans="2:12" ht="15.75">
      <c r="B56" s="4" t="s">
        <v>431</v>
      </c>
      <c r="C56" s="4" t="s">
        <v>206</v>
      </c>
      <c r="D56" s="2">
        <f t="shared" si="2"/>
        <v>33.18</v>
      </c>
      <c r="E56" s="40">
        <v>32.795999999999999</v>
      </c>
      <c r="F56" s="42">
        <f t="shared" si="5"/>
        <v>0.38400000000000034</v>
      </c>
      <c r="G56" s="2">
        <f t="shared" si="1"/>
        <v>0</v>
      </c>
      <c r="H56" s="3" t="s">
        <v>440</v>
      </c>
      <c r="I56" s="12">
        <f t="shared" si="6"/>
        <v>1.1708744968898658E-2</v>
      </c>
      <c r="J56" s="45" t="s">
        <v>461</v>
      </c>
      <c r="L56" s="2">
        <v>33.19</v>
      </c>
    </row>
    <row r="57" spans="2:12" ht="15.75">
      <c r="B57" s="4" t="s">
        <v>441</v>
      </c>
      <c r="C57" s="4" t="s">
        <v>137</v>
      </c>
      <c r="D57" s="2">
        <f t="shared" si="2"/>
        <v>33.04</v>
      </c>
      <c r="E57" s="40">
        <v>32.877000000000002</v>
      </c>
      <c r="F57" s="2">
        <f t="shared" si="5"/>
        <v>0.1629999999999967</v>
      </c>
      <c r="G57" s="2">
        <f t="shared" si="1"/>
        <v>0</v>
      </c>
      <c r="H57" s="3" t="s">
        <v>15</v>
      </c>
      <c r="I57" s="12">
        <f t="shared" si="6"/>
        <v>4.9578732852753197E-3</v>
      </c>
      <c r="J57" s="45" t="s">
        <v>463</v>
      </c>
      <c r="L57" s="2">
        <v>33.049999999999997</v>
      </c>
    </row>
    <row r="58" spans="2:12" ht="15.75">
      <c r="B58" s="4" t="s">
        <v>441</v>
      </c>
      <c r="C58" s="4" t="s">
        <v>137</v>
      </c>
      <c r="D58" s="2">
        <f t="shared" si="2"/>
        <v>24.81</v>
      </c>
      <c r="E58" s="40">
        <v>24.611000000000001</v>
      </c>
      <c r="F58" s="42">
        <f t="shared" si="5"/>
        <v>0.19899999999999807</v>
      </c>
      <c r="G58" s="2">
        <f t="shared" si="1"/>
        <v>0</v>
      </c>
      <c r="H58" s="3" t="s">
        <v>442</v>
      </c>
      <c r="I58" s="12">
        <f t="shared" si="6"/>
        <v>8.0858152858477132E-3</v>
      </c>
      <c r="J58" s="45" t="s">
        <v>463</v>
      </c>
      <c r="L58" s="2">
        <v>24.82</v>
      </c>
    </row>
    <row r="59" spans="2:12" ht="15.75">
      <c r="B59" s="4" t="s">
        <v>441</v>
      </c>
      <c r="C59" s="4" t="s">
        <v>137</v>
      </c>
      <c r="D59" s="2">
        <f t="shared" si="2"/>
        <v>23.84</v>
      </c>
      <c r="E59" s="40">
        <v>23.516999999999999</v>
      </c>
      <c r="F59" s="42">
        <f t="shared" si="5"/>
        <v>0.3230000000000004</v>
      </c>
      <c r="G59" s="2">
        <f t="shared" si="1"/>
        <v>0</v>
      </c>
      <c r="H59" s="3" t="s">
        <v>443</v>
      </c>
      <c r="I59" s="12">
        <f t="shared" si="6"/>
        <v>1.3734745078028677E-2</v>
      </c>
      <c r="J59" s="45" t="s">
        <v>463</v>
      </c>
      <c r="L59" s="2">
        <v>23.85</v>
      </c>
    </row>
    <row r="60" spans="2:12" ht="15.75">
      <c r="B60" s="4" t="s">
        <v>441</v>
      </c>
      <c r="C60" s="4" t="s">
        <v>137</v>
      </c>
      <c r="D60" s="2">
        <f t="shared" si="2"/>
        <v>24.009999999999998</v>
      </c>
      <c r="E60" s="40">
        <v>24.059000000000001</v>
      </c>
      <c r="F60" s="2">
        <f t="shared" si="5"/>
        <v>0</v>
      </c>
      <c r="G60" s="2">
        <f t="shared" si="1"/>
        <v>-4.9000000000003041E-2</v>
      </c>
      <c r="H60" s="3" t="s">
        <v>444</v>
      </c>
      <c r="I60" s="12">
        <f t="shared" si="3"/>
        <v>-2.0366598778005338E-3</v>
      </c>
      <c r="J60" s="45" t="s">
        <v>463</v>
      </c>
      <c r="L60" s="2">
        <v>24.02</v>
      </c>
    </row>
    <row r="61" spans="2:12" ht="15.75">
      <c r="B61" s="4" t="s">
        <v>441</v>
      </c>
      <c r="C61" s="4" t="s">
        <v>206</v>
      </c>
      <c r="D61" s="2">
        <f t="shared" si="2"/>
        <v>23.729999999999997</v>
      </c>
      <c r="E61" s="40">
        <v>23.539000000000001</v>
      </c>
      <c r="F61" s="42">
        <f t="shared" si="5"/>
        <v>0.1909999999999954</v>
      </c>
      <c r="G61" s="2">
        <f t="shared" si="1"/>
        <v>0</v>
      </c>
      <c r="H61" s="3" t="s">
        <v>445</v>
      </c>
      <c r="I61" s="12">
        <f>F61/E61</f>
        <v>8.1141934661623418E-3</v>
      </c>
      <c r="J61" s="45" t="s">
        <v>461</v>
      </c>
      <c r="L61" s="2">
        <v>23.74</v>
      </c>
    </row>
    <row r="62" spans="2:12" ht="15.75">
      <c r="B62" s="4" t="s">
        <v>446</v>
      </c>
      <c r="C62" s="4" t="s">
        <v>137</v>
      </c>
      <c r="D62" s="2">
        <f t="shared" si="2"/>
        <v>24.529999999999998</v>
      </c>
      <c r="E62" s="40">
        <v>24.460999999999999</v>
      </c>
      <c r="F62" s="2">
        <f t="shared" si="5"/>
        <v>6.8999999999999062E-2</v>
      </c>
      <c r="G62" s="2">
        <f t="shared" si="1"/>
        <v>0</v>
      </c>
      <c r="H62" s="3" t="s">
        <v>447</v>
      </c>
      <c r="I62" s="12">
        <f>F62/E62</f>
        <v>2.820816810432896E-3</v>
      </c>
      <c r="J62" s="45" t="s">
        <v>463</v>
      </c>
      <c r="L62" s="2">
        <v>24.54</v>
      </c>
    </row>
    <row r="63" spans="2:12" ht="15.75">
      <c r="B63" s="4" t="s">
        <v>446</v>
      </c>
      <c r="C63" s="4" t="s">
        <v>137</v>
      </c>
      <c r="D63" s="2">
        <f t="shared" si="2"/>
        <v>32.510000000000005</v>
      </c>
      <c r="E63" s="40">
        <v>32.491</v>
      </c>
      <c r="F63" s="2">
        <f t="shared" si="5"/>
        <v>1.9000000000005457E-2</v>
      </c>
      <c r="G63" s="2">
        <f t="shared" si="1"/>
        <v>0</v>
      </c>
      <c r="H63" s="3" t="s">
        <v>16</v>
      </c>
      <c r="I63" s="12">
        <f>F63/E63</f>
        <v>5.84777322951139E-4</v>
      </c>
      <c r="J63" s="45" t="s">
        <v>463</v>
      </c>
      <c r="L63" s="2">
        <v>32.520000000000003</v>
      </c>
    </row>
    <row r="64" spans="2:12" ht="15.75">
      <c r="B64" s="4" t="s">
        <v>446</v>
      </c>
      <c r="C64" s="4" t="s">
        <v>137</v>
      </c>
      <c r="D64" s="2">
        <f t="shared" si="2"/>
        <v>32.200000000000003</v>
      </c>
      <c r="E64" s="40">
        <v>32.136000000000003</v>
      </c>
      <c r="F64" s="2">
        <f t="shared" si="5"/>
        <v>6.4000000000000057E-2</v>
      </c>
      <c r="G64" s="2">
        <f t="shared" si="1"/>
        <v>0</v>
      </c>
      <c r="H64" s="3" t="s">
        <v>23</v>
      </c>
      <c r="I64" s="12">
        <f>F64/E64</f>
        <v>1.9915359721184981E-3</v>
      </c>
      <c r="J64" s="45" t="s">
        <v>463</v>
      </c>
      <c r="L64" s="2">
        <v>32.21</v>
      </c>
    </row>
    <row r="65" spans="2:12" ht="15.75">
      <c r="B65" s="4" t="s">
        <v>446</v>
      </c>
      <c r="C65" s="4" t="s">
        <v>137</v>
      </c>
      <c r="D65" s="2">
        <f t="shared" si="2"/>
        <v>24.099999999999998</v>
      </c>
      <c r="E65" s="40">
        <v>24.111999999999998</v>
      </c>
      <c r="F65" s="2">
        <f t="shared" si="5"/>
        <v>0</v>
      </c>
      <c r="G65" s="2">
        <f t="shared" si="1"/>
        <v>-1.2000000000000455E-2</v>
      </c>
      <c r="H65" s="3" t="s">
        <v>448</v>
      </c>
      <c r="I65" s="12">
        <f t="shared" ref="I65" si="7">G65/E65</f>
        <v>-4.9767750497679397E-4</v>
      </c>
      <c r="J65" s="45" t="s">
        <v>463</v>
      </c>
      <c r="L65" s="2">
        <v>24.11</v>
      </c>
    </row>
    <row r="66" spans="2:12" ht="15.75">
      <c r="B66" s="4" t="s">
        <v>446</v>
      </c>
      <c r="C66" s="4" t="s">
        <v>137</v>
      </c>
      <c r="D66" s="2">
        <f t="shared" si="2"/>
        <v>24.74</v>
      </c>
      <c r="E66" s="40">
        <v>24.588999999999999</v>
      </c>
      <c r="F66" s="2">
        <f t="shared" si="5"/>
        <v>0.1509999999999998</v>
      </c>
      <c r="G66" s="2">
        <f t="shared" si="1"/>
        <v>0</v>
      </c>
      <c r="H66" s="3" t="s">
        <v>449</v>
      </c>
      <c r="I66" s="12">
        <f t="shared" ref="I66:I71" si="8">F66/E66</f>
        <v>6.1409573386473548E-3</v>
      </c>
      <c r="J66" s="45" t="s">
        <v>463</v>
      </c>
      <c r="L66" s="2">
        <v>24.75</v>
      </c>
    </row>
    <row r="67" spans="2:12" ht="15.75">
      <c r="B67" s="4" t="s">
        <v>446</v>
      </c>
      <c r="C67" s="4" t="s">
        <v>206</v>
      </c>
      <c r="D67" s="2">
        <f t="shared" si="2"/>
        <v>33.800000000000004</v>
      </c>
      <c r="E67" s="40">
        <v>33.22</v>
      </c>
      <c r="F67" s="42">
        <f t="shared" si="5"/>
        <v>0.5800000000000054</v>
      </c>
      <c r="G67" s="2">
        <f t="shared" si="1"/>
        <v>0</v>
      </c>
      <c r="H67" s="3" t="s">
        <v>439</v>
      </c>
      <c r="I67" s="12">
        <f t="shared" si="8"/>
        <v>1.7459361830222921E-2</v>
      </c>
      <c r="J67" s="45" t="s">
        <v>461</v>
      </c>
      <c r="L67" s="2">
        <v>33.81</v>
      </c>
    </row>
    <row r="68" spans="2:12" ht="15.75">
      <c r="B68" s="4" t="s">
        <v>450</v>
      </c>
      <c r="C68" s="4" t="s">
        <v>137</v>
      </c>
      <c r="D68" s="2">
        <f t="shared" si="2"/>
        <v>24.569999999999997</v>
      </c>
      <c r="E68" s="40">
        <v>24.434999999999999</v>
      </c>
      <c r="F68" s="2">
        <f t="shared" si="5"/>
        <v>0.13499999999999801</v>
      </c>
      <c r="G68" s="2">
        <f t="shared" si="1"/>
        <v>0</v>
      </c>
      <c r="H68" s="44" t="s">
        <v>452</v>
      </c>
      <c r="I68" s="12">
        <f t="shared" si="8"/>
        <v>5.5248618784529578E-3</v>
      </c>
      <c r="J68" s="45" t="s">
        <v>463</v>
      </c>
      <c r="L68" s="43">
        <v>24.58</v>
      </c>
    </row>
    <row r="69" spans="2:12" ht="15.75">
      <c r="B69" s="4" t="s">
        <v>450</v>
      </c>
      <c r="C69" s="4" t="s">
        <v>206</v>
      </c>
      <c r="D69" s="2">
        <f t="shared" si="2"/>
        <v>19.649999999999999</v>
      </c>
      <c r="E69" s="40">
        <v>19.527999999999999</v>
      </c>
      <c r="F69" s="2">
        <f t="shared" si="5"/>
        <v>0.12199999999999989</v>
      </c>
      <c r="G69" s="2">
        <f t="shared" ref="G69:G108" si="9">IF(D69-E69&gt;=0,0,D69-E69)</f>
        <v>0</v>
      </c>
      <c r="H69" s="44" t="s">
        <v>438</v>
      </c>
      <c r="I69" s="12">
        <f t="shared" si="8"/>
        <v>6.2474395739450994E-3</v>
      </c>
      <c r="J69" s="45" t="s">
        <v>461</v>
      </c>
      <c r="L69" s="43">
        <v>19.66</v>
      </c>
    </row>
    <row r="70" spans="2:12" ht="15.75">
      <c r="B70" s="4" t="s">
        <v>450</v>
      </c>
      <c r="C70" s="4" t="s">
        <v>206</v>
      </c>
      <c r="D70" s="2">
        <f t="shared" ref="D70:D108" si="10">L70-0.01</f>
        <v>32.78</v>
      </c>
      <c r="E70" s="40">
        <v>32.621000000000002</v>
      </c>
      <c r="F70" s="2">
        <f t="shared" si="5"/>
        <v>0.15899999999999892</v>
      </c>
      <c r="G70" s="2">
        <f t="shared" si="9"/>
        <v>0</v>
      </c>
      <c r="H70" s="44" t="s">
        <v>453</v>
      </c>
      <c r="I70" s="12">
        <f t="shared" si="8"/>
        <v>4.8741608166518163E-3</v>
      </c>
      <c r="J70" s="45" t="s">
        <v>463</v>
      </c>
      <c r="L70" s="43">
        <v>32.79</v>
      </c>
    </row>
    <row r="71" spans="2:12" ht="15.75">
      <c r="B71" s="4" t="s">
        <v>450</v>
      </c>
      <c r="C71" s="4" t="s">
        <v>206</v>
      </c>
      <c r="D71" s="2">
        <f t="shared" si="10"/>
        <v>32.25</v>
      </c>
      <c r="E71" s="40">
        <v>31.742000000000001</v>
      </c>
      <c r="F71" s="42">
        <f t="shared" si="5"/>
        <v>0.50799999999999912</v>
      </c>
      <c r="G71" s="2">
        <f t="shared" si="9"/>
        <v>0</v>
      </c>
      <c r="H71" s="44" t="s">
        <v>344</v>
      </c>
      <c r="I71" s="12">
        <f t="shared" si="8"/>
        <v>1.6004032512129011E-2</v>
      </c>
      <c r="J71" s="45" t="s">
        <v>461</v>
      </c>
      <c r="L71" s="43">
        <v>32.26</v>
      </c>
    </row>
    <row r="72" spans="2:12" ht="15.75">
      <c r="B72" s="4" t="s">
        <v>450</v>
      </c>
      <c r="C72" s="4" t="s">
        <v>137</v>
      </c>
      <c r="D72" s="2">
        <f t="shared" si="10"/>
        <v>31.11</v>
      </c>
      <c r="E72" s="40">
        <v>31.123000000000001</v>
      </c>
      <c r="F72" s="2">
        <f t="shared" si="5"/>
        <v>0</v>
      </c>
      <c r="G72" s="2">
        <f t="shared" si="9"/>
        <v>-1.3000000000001677E-2</v>
      </c>
      <c r="H72" s="44" t="s">
        <v>13</v>
      </c>
      <c r="I72" s="12">
        <f t="shared" ref="I72" si="11">G72/E72</f>
        <v>-4.1769752273243825E-4</v>
      </c>
      <c r="J72" s="45" t="s">
        <v>463</v>
      </c>
      <c r="L72" s="43">
        <v>31.12</v>
      </c>
    </row>
    <row r="73" spans="2:12" ht="15.75">
      <c r="B73" s="4" t="s">
        <v>450</v>
      </c>
      <c r="C73" s="4" t="s">
        <v>137</v>
      </c>
      <c r="D73" s="2">
        <f t="shared" si="10"/>
        <v>23.72</v>
      </c>
      <c r="E73" s="40">
        <v>23.702000000000002</v>
      </c>
      <c r="F73" s="2">
        <f t="shared" si="5"/>
        <v>1.7999999999997129E-2</v>
      </c>
      <c r="G73" s="2">
        <f t="shared" si="9"/>
        <v>0</v>
      </c>
      <c r="H73" s="44" t="s">
        <v>454</v>
      </c>
      <c r="I73" s="12">
        <f t="shared" ref="I73:I83" si="12">F73/E73</f>
        <v>7.5942958400122894E-4</v>
      </c>
      <c r="J73" s="45" t="s">
        <v>463</v>
      </c>
      <c r="L73" s="43">
        <v>23.73</v>
      </c>
    </row>
    <row r="74" spans="2:12" ht="15.75">
      <c r="B74" s="4" t="s">
        <v>450</v>
      </c>
      <c r="C74" s="4" t="s">
        <v>137</v>
      </c>
      <c r="D74" s="2">
        <f t="shared" si="10"/>
        <v>24.959999999999997</v>
      </c>
      <c r="E74" s="40">
        <v>24.638000000000002</v>
      </c>
      <c r="F74" s="42">
        <f t="shared" si="5"/>
        <v>0.32199999999999562</v>
      </c>
      <c r="G74" s="2">
        <f t="shared" si="9"/>
        <v>0</v>
      </c>
      <c r="H74" s="44" t="s">
        <v>455</v>
      </c>
      <c r="I74" s="12">
        <f t="shared" si="12"/>
        <v>1.3069242633330449E-2</v>
      </c>
      <c r="J74" s="45" t="s">
        <v>463</v>
      </c>
      <c r="L74" s="43">
        <v>24.97</v>
      </c>
    </row>
    <row r="75" spans="2:12" ht="15.75">
      <c r="B75" s="4" t="s">
        <v>451</v>
      </c>
      <c r="C75" s="4" t="s">
        <v>137</v>
      </c>
      <c r="D75" s="2">
        <f t="shared" si="10"/>
        <v>24.119999999999997</v>
      </c>
      <c r="E75" s="40">
        <v>24.111999999999998</v>
      </c>
      <c r="F75" s="2">
        <f t="shared" si="5"/>
        <v>7.9999999999991189E-3</v>
      </c>
      <c r="G75" s="2">
        <f t="shared" si="9"/>
        <v>0</v>
      </c>
      <c r="H75" s="44" t="s">
        <v>456</v>
      </c>
      <c r="I75" s="12">
        <f t="shared" si="12"/>
        <v>3.3178500331781349E-4</v>
      </c>
      <c r="J75" s="45" t="s">
        <v>463</v>
      </c>
      <c r="L75" s="43">
        <v>24.13</v>
      </c>
    </row>
    <row r="76" spans="2:12" ht="15.75">
      <c r="B76" s="4" t="s">
        <v>451</v>
      </c>
      <c r="C76" s="4" t="s">
        <v>206</v>
      </c>
      <c r="D76" s="2">
        <f t="shared" si="10"/>
        <v>33.39</v>
      </c>
      <c r="E76" s="40">
        <v>33.082000000000001</v>
      </c>
      <c r="F76" s="42">
        <f t="shared" si="5"/>
        <v>0.30799999999999983</v>
      </c>
      <c r="G76" s="2">
        <f t="shared" si="9"/>
        <v>0</v>
      </c>
      <c r="H76" s="44" t="s">
        <v>291</v>
      </c>
      <c r="I76" s="12">
        <f t="shared" si="12"/>
        <v>9.3101988997037616E-3</v>
      </c>
      <c r="J76" s="45" t="s">
        <v>461</v>
      </c>
      <c r="L76" s="43">
        <v>33.4</v>
      </c>
    </row>
    <row r="77" spans="2:12" ht="15.75">
      <c r="B77" s="4" t="s">
        <v>451</v>
      </c>
      <c r="C77" s="4" t="s">
        <v>206</v>
      </c>
      <c r="D77" s="2">
        <f t="shared" si="10"/>
        <v>33.47</v>
      </c>
      <c r="E77" s="40">
        <v>33.082999999999998</v>
      </c>
      <c r="F77" s="42">
        <f t="shared" si="5"/>
        <v>0.38700000000000045</v>
      </c>
      <c r="G77" s="2">
        <f t="shared" si="9"/>
        <v>0</v>
      </c>
      <c r="H77" s="44" t="s">
        <v>379</v>
      </c>
      <c r="I77" s="12">
        <f t="shared" si="12"/>
        <v>1.1697850859958302E-2</v>
      </c>
      <c r="J77" s="45" t="s">
        <v>461</v>
      </c>
      <c r="L77" s="43">
        <v>33.479999999999997</v>
      </c>
    </row>
    <row r="78" spans="2:12" ht="15.75">
      <c r="B78" s="4" t="s">
        <v>451</v>
      </c>
      <c r="C78" s="4" t="s">
        <v>206</v>
      </c>
      <c r="D78" s="2">
        <f t="shared" si="10"/>
        <v>32.92</v>
      </c>
      <c r="E78" s="40">
        <v>32.587000000000003</v>
      </c>
      <c r="F78" s="42">
        <f t="shared" si="5"/>
        <v>0.33299999999999841</v>
      </c>
      <c r="G78" s="2">
        <f t="shared" si="9"/>
        <v>0</v>
      </c>
      <c r="H78" s="44" t="s">
        <v>457</v>
      </c>
      <c r="I78" s="12">
        <f t="shared" si="12"/>
        <v>1.0218798907539767E-2</v>
      </c>
      <c r="J78" s="45" t="s">
        <v>461</v>
      </c>
      <c r="L78" s="43">
        <v>32.93</v>
      </c>
    </row>
    <row r="79" spans="2:12" ht="15.75">
      <c r="B79" s="4" t="s">
        <v>458</v>
      </c>
      <c r="C79" s="4" t="s">
        <v>206</v>
      </c>
      <c r="D79" s="2">
        <f t="shared" si="10"/>
        <v>33.43</v>
      </c>
      <c r="E79" s="40">
        <v>32.848999999999997</v>
      </c>
      <c r="F79" s="42">
        <f t="shared" si="5"/>
        <v>0.58100000000000307</v>
      </c>
      <c r="G79" s="2">
        <f t="shared" si="9"/>
        <v>0</v>
      </c>
      <c r="H79" s="3" t="s">
        <v>315</v>
      </c>
      <c r="I79" s="12">
        <f t="shared" si="12"/>
        <v>1.7686991993668091E-2</v>
      </c>
      <c r="J79" s="45" t="s">
        <v>461</v>
      </c>
      <c r="L79" s="2">
        <v>33.44</v>
      </c>
    </row>
    <row r="80" spans="2:12" ht="15.75">
      <c r="B80" s="4" t="s">
        <v>458</v>
      </c>
      <c r="C80" s="4" t="s">
        <v>206</v>
      </c>
      <c r="D80" s="2">
        <f t="shared" si="10"/>
        <v>32.92</v>
      </c>
      <c r="E80" s="40">
        <v>32.552</v>
      </c>
      <c r="F80" s="42">
        <f t="shared" si="5"/>
        <v>0.3680000000000021</v>
      </c>
      <c r="G80" s="2">
        <f t="shared" si="9"/>
        <v>0</v>
      </c>
      <c r="H80" s="3" t="s">
        <v>372</v>
      </c>
      <c r="I80" s="12">
        <f t="shared" si="12"/>
        <v>1.1304988940771752E-2</v>
      </c>
      <c r="J80" s="45" t="s">
        <v>461</v>
      </c>
      <c r="L80" s="2">
        <v>32.93</v>
      </c>
    </row>
    <row r="81" spans="2:12" ht="15.75">
      <c r="B81" s="4" t="s">
        <v>458</v>
      </c>
      <c r="C81" s="4" t="s">
        <v>137</v>
      </c>
      <c r="D81" s="2">
        <f t="shared" si="10"/>
        <v>31.99</v>
      </c>
      <c r="E81" s="40">
        <v>31.998000000000001</v>
      </c>
      <c r="F81" s="2">
        <f t="shared" si="5"/>
        <v>0</v>
      </c>
      <c r="G81" s="2">
        <f t="shared" si="9"/>
        <v>-8.0000000000026716E-3</v>
      </c>
      <c r="H81" s="3" t="s">
        <v>13</v>
      </c>
      <c r="I81" s="12">
        <f t="shared" ref="I81:I82" si="13">G81/E81</f>
        <v>-2.5001562597670702E-4</v>
      </c>
      <c r="J81" s="45" t="s">
        <v>463</v>
      </c>
      <c r="L81" s="2">
        <v>32</v>
      </c>
    </row>
    <row r="82" spans="2:12" ht="15.75">
      <c r="B82" s="4" t="s">
        <v>458</v>
      </c>
      <c r="C82" s="4" t="s">
        <v>137</v>
      </c>
      <c r="D82" s="2">
        <f t="shared" si="10"/>
        <v>24.509999999999998</v>
      </c>
      <c r="E82" s="40">
        <v>24.555</v>
      </c>
      <c r="F82" s="2">
        <f t="shared" si="5"/>
        <v>0</v>
      </c>
      <c r="G82" s="2">
        <f t="shared" si="9"/>
        <v>-4.5000000000001705E-2</v>
      </c>
      <c r="H82" s="3" t="s">
        <v>459</v>
      </c>
      <c r="I82" s="12">
        <f t="shared" si="13"/>
        <v>-1.8326206475260316E-3</v>
      </c>
      <c r="J82" s="45" t="s">
        <v>463</v>
      </c>
      <c r="L82" s="2">
        <v>24.52</v>
      </c>
    </row>
    <row r="83" spans="2:12" ht="15.75">
      <c r="B83" s="4" t="s">
        <v>458</v>
      </c>
      <c r="C83" s="4" t="s">
        <v>137</v>
      </c>
      <c r="D83" s="2">
        <f t="shared" si="10"/>
        <v>24.15</v>
      </c>
      <c r="E83" s="40">
        <v>24.096</v>
      </c>
      <c r="F83" s="2">
        <f t="shared" si="5"/>
        <v>5.3999999999998494E-2</v>
      </c>
      <c r="G83" s="2">
        <f t="shared" si="9"/>
        <v>0</v>
      </c>
      <c r="H83" s="3" t="s">
        <v>460</v>
      </c>
      <c r="I83" s="12">
        <f t="shared" si="12"/>
        <v>2.2410358565736425E-3</v>
      </c>
      <c r="J83" s="45" t="s">
        <v>463</v>
      </c>
      <c r="K83" s="38"/>
      <c r="L83" s="2">
        <v>24.16</v>
      </c>
    </row>
    <row r="84" spans="2:12" ht="15.75">
      <c r="B84" s="4" t="s">
        <v>464</v>
      </c>
      <c r="C84" s="4" t="s">
        <v>137</v>
      </c>
      <c r="D84" s="2">
        <f t="shared" si="10"/>
        <v>31.75</v>
      </c>
      <c r="E84" s="40">
        <v>31.670999999999999</v>
      </c>
      <c r="F84" s="2">
        <f t="shared" si="5"/>
        <v>7.9000000000000625E-2</v>
      </c>
      <c r="G84" s="2">
        <f t="shared" si="9"/>
        <v>0</v>
      </c>
      <c r="H84" s="3" t="s">
        <v>13</v>
      </c>
      <c r="I84" s="12">
        <f t="shared" ref="I84:I108" si="14">F84/E84</f>
        <v>2.4943955037731876E-3</v>
      </c>
      <c r="J84" s="45" t="s">
        <v>463</v>
      </c>
      <c r="L84" s="2">
        <v>31.76</v>
      </c>
    </row>
    <row r="85" spans="2:12" ht="15.75">
      <c r="B85" s="4" t="s">
        <v>464</v>
      </c>
      <c r="C85" s="4" t="s">
        <v>137</v>
      </c>
      <c r="D85" s="2">
        <f t="shared" si="10"/>
        <v>24.36</v>
      </c>
      <c r="E85" s="40">
        <v>24.339000000000002</v>
      </c>
      <c r="F85" s="2">
        <f t="shared" si="5"/>
        <v>2.0999999999997243E-2</v>
      </c>
      <c r="G85" s="2">
        <f t="shared" si="9"/>
        <v>0</v>
      </c>
      <c r="H85" s="3" t="s">
        <v>465</v>
      </c>
      <c r="I85" s="12">
        <f t="shared" si="14"/>
        <v>8.6281276962887714E-4</v>
      </c>
      <c r="J85" s="45" t="s">
        <v>463</v>
      </c>
      <c r="L85" s="2">
        <v>24.37</v>
      </c>
    </row>
    <row r="86" spans="2:12" ht="15.75">
      <c r="B86" s="4" t="s">
        <v>464</v>
      </c>
      <c r="C86" s="4" t="s">
        <v>137</v>
      </c>
      <c r="D86" s="2">
        <f t="shared" si="10"/>
        <v>24.549999999999997</v>
      </c>
      <c r="E86" s="40">
        <v>24.597000000000001</v>
      </c>
      <c r="F86" s="2">
        <f t="shared" si="5"/>
        <v>0</v>
      </c>
      <c r="G86" s="2">
        <f t="shared" si="9"/>
        <v>-4.700000000000415E-2</v>
      </c>
      <c r="H86" s="3" t="s">
        <v>466</v>
      </c>
      <c r="I86" s="12">
        <f t="shared" ref="I86:I87" si="15">G86/E86</f>
        <v>-1.9108021303412671E-3</v>
      </c>
      <c r="J86" s="45" t="s">
        <v>463</v>
      </c>
      <c r="L86" s="2">
        <v>24.56</v>
      </c>
    </row>
    <row r="87" spans="2:12" ht="15.75">
      <c r="B87" s="4" t="s">
        <v>464</v>
      </c>
      <c r="C87" s="4" t="s">
        <v>137</v>
      </c>
      <c r="D87" s="2">
        <f t="shared" si="10"/>
        <v>32.700000000000003</v>
      </c>
      <c r="E87" s="40">
        <v>32.738</v>
      </c>
      <c r="F87" s="2">
        <f t="shared" si="5"/>
        <v>0</v>
      </c>
      <c r="G87" s="2">
        <f t="shared" si="9"/>
        <v>-3.7999999999996703E-2</v>
      </c>
      <c r="H87" s="3" t="s">
        <v>16</v>
      </c>
      <c r="I87" s="12">
        <f t="shared" si="15"/>
        <v>-1.160730649398152E-3</v>
      </c>
      <c r="J87" s="45" t="s">
        <v>463</v>
      </c>
      <c r="L87" s="2">
        <v>32.71</v>
      </c>
    </row>
    <row r="88" spans="2:12" ht="15.75">
      <c r="B88" s="4" t="s">
        <v>464</v>
      </c>
      <c r="C88" s="4" t="s">
        <v>206</v>
      </c>
      <c r="D88" s="2">
        <f t="shared" si="10"/>
        <v>9.7799999999999994</v>
      </c>
      <c r="E88" s="40">
        <v>9.7429999999999986</v>
      </c>
      <c r="F88" s="2">
        <f t="shared" si="5"/>
        <v>3.700000000000081E-2</v>
      </c>
      <c r="G88" s="2">
        <f t="shared" si="9"/>
        <v>0</v>
      </c>
      <c r="H88" s="3" t="s">
        <v>300</v>
      </c>
      <c r="I88" s="12">
        <f t="shared" si="14"/>
        <v>3.7975982756851909E-3</v>
      </c>
      <c r="J88" s="45" t="s">
        <v>461</v>
      </c>
      <c r="L88" s="2">
        <v>9.7899999999999991</v>
      </c>
    </row>
    <row r="89" spans="2:12" ht="15.75">
      <c r="B89" s="4" t="s">
        <v>467</v>
      </c>
      <c r="C89" s="4" t="s">
        <v>137</v>
      </c>
      <c r="D89" s="2">
        <f t="shared" si="10"/>
        <v>29.81</v>
      </c>
      <c r="E89" s="40">
        <v>29.725000000000001</v>
      </c>
      <c r="F89" s="2">
        <f t="shared" si="5"/>
        <v>8.49999999999973E-2</v>
      </c>
      <c r="G89" s="2">
        <f t="shared" si="9"/>
        <v>0</v>
      </c>
      <c r="H89" s="3" t="s">
        <v>13</v>
      </c>
      <c r="I89" s="12">
        <f t="shared" si="14"/>
        <v>2.8595458368375877E-3</v>
      </c>
      <c r="J89" s="45" t="s">
        <v>463</v>
      </c>
      <c r="L89" s="2">
        <v>29.82</v>
      </c>
    </row>
    <row r="90" spans="2:12" ht="15.75">
      <c r="B90" s="4" t="s">
        <v>468</v>
      </c>
      <c r="C90" s="4" t="s">
        <v>137</v>
      </c>
      <c r="D90" s="2">
        <f t="shared" si="10"/>
        <v>24.38</v>
      </c>
      <c r="E90" s="40">
        <v>24.347000000000001</v>
      </c>
      <c r="F90" s="2">
        <f t="shared" si="5"/>
        <v>3.2999999999997698E-2</v>
      </c>
      <c r="G90" s="2">
        <f t="shared" si="9"/>
        <v>0</v>
      </c>
      <c r="H90" s="3" t="s">
        <v>469</v>
      </c>
      <c r="I90" s="12">
        <f t="shared" si="14"/>
        <v>1.3554031297489503E-3</v>
      </c>
      <c r="J90" s="45" t="s">
        <v>463</v>
      </c>
      <c r="L90" s="2">
        <v>24.39</v>
      </c>
    </row>
    <row r="91" spans="2:12" ht="15.75">
      <c r="B91" s="4" t="s">
        <v>468</v>
      </c>
      <c r="C91" s="4" t="s">
        <v>137</v>
      </c>
      <c r="D91" s="2">
        <f t="shared" si="10"/>
        <v>32.71</v>
      </c>
      <c r="E91" s="40">
        <v>32.57</v>
      </c>
      <c r="F91" s="2">
        <f t="shared" si="5"/>
        <v>0.14000000000000057</v>
      </c>
      <c r="G91" s="2">
        <f t="shared" si="9"/>
        <v>0</v>
      </c>
      <c r="H91" s="3" t="s">
        <v>23</v>
      </c>
      <c r="I91" s="12">
        <f t="shared" si="14"/>
        <v>4.2984341418483441E-3</v>
      </c>
      <c r="J91" s="45" t="s">
        <v>463</v>
      </c>
      <c r="L91" s="2">
        <v>32.72</v>
      </c>
    </row>
    <row r="92" spans="2:12" ht="15.75">
      <c r="B92" s="4" t="s">
        <v>468</v>
      </c>
      <c r="C92" s="4" t="s">
        <v>470</v>
      </c>
      <c r="D92" s="2">
        <f t="shared" si="10"/>
        <v>15.57</v>
      </c>
      <c r="E92" s="40">
        <v>15.583</v>
      </c>
      <c r="F92" s="2">
        <f t="shared" si="5"/>
        <v>0</v>
      </c>
      <c r="G92" s="2">
        <f t="shared" si="9"/>
        <v>-1.2999999999999901E-2</v>
      </c>
      <c r="H92" s="3" t="s">
        <v>471</v>
      </c>
      <c r="I92" s="12">
        <f t="shared" ref="I92" si="16">G92/E92</f>
        <v>-8.3424244368862871E-4</v>
      </c>
      <c r="J92" s="45" t="s">
        <v>463</v>
      </c>
      <c r="L92" s="2">
        <v>15.58</v>
      </c>
    </row>
    <row r="93" spans="2:12" ht="15.75">
      <c r="B93" s="4" t="s">
        <v>472</v>
      </c>
      <c r="C93" s="4" t="s">
        <v>137</v>
      </c>
      <c r="D93" s="2">
        <f t="shared" si="10"/>
        <v>24.259999999999998</v>
      </c>
      <c r="E93" s="40">
        <v>24.093</v>
      </c>
      <c r="F93" s="2">
        <f t="shared" si="5"/>
        <v>0.16699999999999804</v>
      </c>
      <c r="G93" s="2">
        <f t="shared" si="9"/>
        <v>0</v>
      </c>
      <c r="H93" s="3" t="s">
        <v>475</v>
      </c>
      <c r="I93" s="12">
        <f t="shared" si="14"/>
        <v>6.931473872078946E-3</v>
      </c>
      <c r="J93" s="46" t="s">
        <v>463</v>
      </c>
      <c r="L93" s="2">
        <v>24.27</v>
      </c>
    </row>
    <row r="94" spans="2:12" ht="15.75">
      <c r="B94" s="4" t="s">
        <v>472</v>
      </c>
      <c r="C94" s="4" t="s">
        <v>137</v>
      </c>
      <c r="D94" s="2">
        <f t="shared" si="10"/>
        <v>24.29</v>
      </c>
      <c r="E94" s="40">
        <v>24.359000000000002</v>
      </c>
      <c r="F94" s="2">
        <f t="shared" si="5"/>
        <v>0</v>
      </c>
      <c r="G94" s="2">
        <f t="shared" si="9"/>
        <v>-6.9000000000002615E-2</v>
      </c>
      <c r="H94" s="3" t="s">
        <v>476</v>
      </c>
      <c r="I94" s="12">
        <f t="shared" ref="I94:I95" si="17">G94/E94</f>
        <v>-2.8326285972331629E-3</v>
      </c>
      <c r="J94" s="46" t="s">
        <v>463</v>
      </c>
      <c r="L94" s="2">
        <v>24.3</v>
      </c>
    </row>
    <row r="95" spans="2:12" ht="15.75">
      <c r="B95" s="4" t="s">
        <v>473</v>
      </c>
      <c r="C95" s="4" t="s">
        <v>137</v>
      </c>
      <c r="D95" s="2">
        <f t="shared" si="10"/>
        <v>31.65</v>
      </c>
      <c r="E95" s="40">
        <v>32.003</v>
      </c>
      <c r="F95" s="2">
        <f t="shared" si="5"/>
        <v>0</v>
      </c>
      <c r="G95" s="2">
        <f t="shared" si="9"/>
        <v>-0.35300000000000153</v>
      </c>
      <c r="H95" s="3" t="s">
        <v>16</v>
      </c>
      <c r="I95" s="12">
        <f t="shared" si="17"/>
        <v>-1.1030215917257806E-2</v>
      </c>
      <c r="J95" s="46" t="s">
        <v>463</v>
      </c>
      <c r="L95" s="2">
        <v>31.66</v>
      </c>
    </row>
    <row r="96" spans="2:12" ht="15.75">
      <c r="B96" s="4" t="s">
        <v>473</v>
      </c>
      <c r="C96" s="4" t="s">
        <v>137</v>
      </c>
      <c r="D96" s="2">
        <f t="shared" si="10"/>
        <v>24.11</v>
      </c>
      <c r="E96" s="40">
        <v>24.094999999999999</v>
      </c>
      <c r="F96" s="2">
        <f t="shared" si="5"/>
        <v>1.5000000000000568E-2</v>
      </c>
      <c r="G96" s="2">
        <f t="shared" si="9"/>
        <v>0</v>
      </c>
      <c r="H96" s="3" t="s">
        <v>477</v>
      </c>
      <c r="I96" s="12">
        <f t="shared" si="14"/>
        <v>6.2253579580828257E-4</v>
      </c>
      <c r="J96" t="s">
        <v>463</v>
      </c>
      <c r="L96" s="2">
        <v>24.12</v>
      </c>
    </row>
    <row r="97" spans="2:12" ht="15.75">
      <c r="B97" s="4" t="s">
        <v>474</v>
      </c>
      <c r="C97" s="4" t="s">
        <v>137</v>
      </c>
      <c r="D97" s="2">
        <f t="shared" si="10"/>
        <v>32.72</v>
      </c>
      <c r="E97" s="40">
        <v>32.616</v>
      </c>
      <c r="F97" s="2">
        <f t="shared" si="5"/>
        <v>0.1039999999999992</v>
      </c>
      <c r="G97" s="2">
        <f t="shared" si="9"/>
        <v>0</v>
      </c>
      <c r="H97" s="3" t="s">
        <v>16</v>
      </c>
      <c r="I97" s="12">
        <f t="shared" si="14"/>
        <v>3.1886190826587932E-3</v>
      </c>
      <c r="J97" t="s">
        <v>463</v>
      </c>
      <c r="L97" s="2">
        <v>32.729999999999997</v>
      </c>
    </row>
    <row r="98" spans="2:12" ht="15.75">
      <c r="B98" s="4" t="s">
        <v>478</v>
      </c>
      <c r="C98" s="4" t="s">
        <v>137</v>
      </c>
      <c r="D98" s="2">
        <f t="shared" si="10"/>
        <v>32.130000000000003</v>
      </c>
      <c r="E98" s="40">
        <v>32.155999999999999</v>
      </c>
      <c r="F98" s="2">
        <f t="shared" si="5"/>
        <v>0</v>
      </c>
      <c r="G98" s="2">
        <f t="shared" si="9"/>
        <v>-2.5999999999996248E-2</v>
      </c>
      <c r="H98" s="3" t="s">
        <v>13</v>
      </c>
      <c r="I98" s="12">
        <f t="shared" ref="I98:I99" si="18">G98/E98</f>
        <v>-8.0855827839271829E-4</v>
      </c>
      <c r="J98" t="s">
        <v>463</v>
      </c>
      <c r="L98" s="2">
        <v>32.14</v>
      </c>
    </row>
    <row r="99" spans="2:12" ht="15.75">
      <c r="B99" s="4" t="s">
        <v>478</v>
      </c>
      <c r="C99" s="4" t="s">
        <v>137</v>
      </c>
      <c r="D99" s="2">
        <f t="shared" si="10"/>
        <v>24.319999999999997</v>
      </c>
      <c r="E99" s="40">
        <v>24.366</v>
      </c>
      <c r="F99" s="2">
        <f t="shared" si="5"/>
        <v>0</v>
      </c>
      <c r="G99" s="2">
        <f t="shared" si="9"/>
        <v>-4.6000000000002927E-2</v>
      </c>
      <c r="H99" s="3" t="s">
        <v>480</v>
      </c>
      <c r="I99" s="12">
        <f t="shared" si="18"/>
        <v>-1.8878765492901144E-3</v>
      </c>
      <c r="J99" t="s">
        <v>463</v>
      </c>
      <c r="L99" s="2">
        <v>24.33</v>
      </c>
    </row>
    <row r="100" spans="2:12" ht="15.75">
      <c r="B100" s="4" t="s">
        <v>478</v>
      </c>
      <c r="C100" s="4" t="s">
        <v>137</v>
      </c>
      <c r="D100" s="2">
        <f t="shared" si="10"/>
        <v>32.440000000000005</v>
      </c>
      <c r="E100" s="40">
        <v>32.399000000000001</v>
      </c>
      <c r="F100" s="2">
        <f t="shared" si="5"/>
        <v>4.1000000000003922E-2</v>
      </c>
      <c r="G100" s="2">
        <f t="shared" si="9"/>
        <v>0</v>
      </c>
      <c r="H100" s="3" t="s">
        <v>16</v>
      </c>
      <c r="I100" s="12">
        <f t="shared" si="14"/>
        <v>1.2654711565172974E-3</v>
      </c>
      <c r="J100" t="s">
        <v>461</v>
      </c>
      <c r="L100" s="2">
        <v>32.450000000000003</v>
      </c>
    </row>
    <row r="101" spans="2:12" ht="15.75">
      <c r="B101" s="4" t="s">
        <v>479</v>
      </c>
      <c r="C101" s="4" t="s">
        <v>137</v>
      </c>
      <c r="D101" s="2">
        <f t="shared" si="10"/>
        <v>32.89</v>
      </c>
      <c r="E101" s="40">
        <v>32.831000000000003</v>
      </c>
      <c r="F101" s="2">
        <f t="shared" si="5"/>
        <v>5.8999999999997499E-2</v>
      </c>
      <c r="G101" s="2">
        <f t="shared" si="9"/>
        <v>0</v>
      </c>
      <c r="H101" s="3" t="s">
        <v>16</v>
      </c>
      <c r="I101" s="12">
        <f t="shared" si="14"/>
        <v>1.7970820261337605E-3</v>
      </c>
      <c r="J101" t="s">
        <v>463</v>
      </c>
      <c r="L101" s="2">
        <v>32.9</v>
      </c>
    </row>
    <row r="102" spans="2:12" ht="15.75">
      <c r="B102" s="4" t="s">
        <v>479</v>
      </c>
      <c r="C102" s="4" t="s">
        <v>137</v>
      </c>
      <c r="D102" s="2">
        <f t="shared" si="10"/>
        <v>6.04</v>
      </c>
      <c r="E102" s="40">
        <v>5.9710000000000001</v>
      </c>
      <c r="F102" s="2">
        <f t="shared" si="5"/>
        <v>6.899999999999995E-2</v>
      </c>
      <c r="G102" s="2">
        <f t="shared" si="9"/>
        <v>0</v>
      </c>
      <c r="H102" s="3" t="s">
        <v>485</v>
      </c>
      <c r="I102" s="12">
        <f t="shared" si="14"/>
        <v>1.1555853290906037E-2</v>
      </c>
      <c r="J102" t="s">
        <v>463</v>
      </c>
      <c r="L102" s="2">
        <v>6.05</v>
      </c>
    </row>
    <row r="103" spans="2:12" ht="15.75">
      <c r="B103" s="4" t="s">
        <v>479</v>
      </c>
      <c r="C103" s="4" t="s">
        <v>137</v>
      </c>
      <c r="D103" s="2">
        <f t="shared" si="10"/>
        <v>32.65</v>
      </c>
      <c r="E103" s="40">
        <v>32.158999999999999</v>
      </c>
      <c r="F103" s="2">
        <f t="shared" si="5"/>
        <v>0.49099999999999966</v>
      </c>
      <c r="G103" s="2">
        <f t="shared" si="9"/>
        <v>0</v>
      </c>
      <c r="H103" s="3" t="s">
        <v>342</v>
      </c>
      <c r="I103" s="12">
        <f t="shared" si="14"/>
        <v>1.5267887683074712E-2</v>
      </c>
      <c r="J103" t="s">
        <v>462</v>
      </c>
      <c r="L103" s="2">
        <v>32.659999999999997</v>
      </c>
    </row>
    <row r="104" spans="2:12" ht="15.75">
      <c r="B104" s="4" t="s">
        <v>479</v>
      </c>
      <c r="C104" s="4" t="s">
        <v>137</v>
      </c>
      <c r="D104" s="2">
        <f t="shared" si="10"/>
        <v>31.97</v>
      </c>
      <c r="E104" s="40">
        <v>31.677</v>
      </c>
      <c r="F104" s="2">
        <f t="shared" si="5"/>
        <v>0.29299999999999926</v>
      </c>
      <c r="G104" s="2">
        <f t="shared" si="9"/>
        <v>0</v>
      </c>
      <c r="H104" s="3" t="s">
        <v>321</v>
      </c>
      <c r="I104" s="12">
        <f t="shared" si="14"/>
        <v>9.2496132840862218E-3</v>
      </c>
      <c r="J104" t="s">
        <v>461</v>
      </c>
      <c r="L104" s="2">
        <v>31.98</v>
      </c>
    </row>
    <row r="105" spans="2:12" ht="15.75">
      <c r="B105" s="4" t="s">
        <v>479</v>
      </c>
      <c r="C105" s="4" t="s">
        <v>137</v>
      </c>
      <c r="D105" s="2">
        <f t="shared" si="10"/>
        <v>49.760000000000005</v>
      </c>
      <c r="E105" s="40">
        <v>49.838999999999999</v>
      </c>
      <c r="F105" s="2">
        <f t="shared" si="5"/>
        <v>0</v>
      </c>
      <c r="G105" s="2">
        <f t="shared" si="9"/>
        <v>-7.899999999999352E-2</v>
      </c>
      <c r="H105" s="3" t="s">
        <v>481</v>
      </c>
      <c r="I105" s="12">
        <f t="shared" ref="I105" si="19">G105/E105</f>
        <v>-1.5851040349925463E-3</v>
      </c>
      <c r="J105" t="s">
        <v>463</v>
      </c>
      <c r="L105" s="2">
        <v>49.77</v>
      </c>
    </row>
    <row r="106" spans="2:12" ht="15.75">
      <c r="B106" s="4" t="s">
        <v>479</v>
      </c>
      <c r="C106" s="4" t="s">
        <v>137</v>
      </c>
      <c r="D106" s="2">
        <f t="shared" si="10"/>
        <v>49.2</v>
      </c>
      <c r="E106" s="40">
        <v>48.732999999999997</v>
      </c>
      <c r="F106" s="2">
        <f t="shared" si="5"/>
        <v>0.46700000000000585</v>
      </c>
      <c r="G106" s="2">
        <f t="shared" si="9"/>
        <v>0</v>
      </c>
      <c r="H106" s="3" t="s">
        <v>482</v>
      </c>
      <c r="I106" s="12">
        <f t="shared" si="14"/>
        <v>9.5828288839186152E-3</v>
      </c>
      <c r="J106" t="s">
        <v>463</v>
      </c>
      <c r="L106" s="2">
        <v>49.21</v>
      </c>
    </row>
    <row r="107" spans="2:12" ht="15.75">
      <c r="B107" s="4" t="s">
        <v>479</v>
      </c>
      <c r="C107" s="4" t="s">
        <v>137</v>
      </c>
      <c r="D107" s="2">
        <f t="shared" si="10"/>
        <v>24.66</v>
      </c>
      <c r="E107" s="40">
        <v>24.771000000000001</v>
      </c>
      <c r="F107" s="2">
        <f t="shared" si="5"/>
        <v>0</v>
      </c>
      <c r="G107" s="2">
        <f t="shared" si="9"/>
        <v>-0.11100000000000065</v>
      </c>
      <c r="H107" s="3" t="s">
        <v>483</v>
      </c>
      <c r="I107" s="12">
        <f t="shared" ref="I107" si="20">G107/E107</f>
        <v>-4.4810463848855781E-3</v>
      </c>
      <c r="J107" t="s">
        <v>463</v>
      </c>
      <c r="L107" s="2">
        <v>24.67</v>
      </c>
    </row>
    <row r="108" spans="2:12" ht="15.75">
      <c r="B108" s="4" t="s">
        <v>479</v>
      </c>
      <c r="C108" s="4" t="s">
        <v>137</v>
      </c>
      <c r="D108" s="2">
        <f t="shared" si="10"/>
        <v>32.86</v>
      </c>
      <c r="E108" s="40">
        <v>32.557000000000002</v>
      </c>
      <c r="F108" s="2">
        <f t="shared" si="5"/>
        <v>0.30299999999999727</v>
      </c>
      <c r="G108" s="2">
        <f t="shared" si="9"/>
        <v>0</v>
      </c>
      <c r="H108" s="3" t="s">
        <v>484</v>
      </c>
      <c r="I108" s="12">
        <f t="shared" si="14"/>
        <v>9.3067543078292608E-3</v>
      </c>
      <c r="J108" t="s">
        <v>461</v>
      </c>
      <c r="L108" s="2">
        <v>32.869999999999997</v>
      </c>
    </row>
    <row r="109" spans="2:12" ht="15.75">
      <c r="B109" s="7"/>
      <c r="C109" s="7"/>
      <c r="D109" s="6">
        <f>SUM(D5:D108)</f>
        <v>2948.8700000000008</v>
      </c>
      <c r="E109" s="6">
        <f>SUM(E5:E108)</f>
        <v>2935.7520000000013</v>
      </c>
      <c r="F109" s="6">
        <f>SUM(F5:F108)</f>
        <v>15.553000000000004</v>
      </c>
      <c r="G109" s="6">
        <f>SUM(G5:G108)</f>
        <v>-2.4350000000000289</v>
      </c>
      <c r="H109" s="10">
        <f>SUM(F109:G109)</f>
        <v>13.117999999999975</v>
      </c>
      <c r="I109" s="11">
        <f>H109/E109</f>
        <v>4.4683610877212961E-3</v>
      </c>
    </row>
    <row r="111" spans="2:12">
      <c r="E111" s="38"/>
    </row>
  </sheetData>
  <mergeCells count="1">
    <mergeCell ref="B2:I2"/>
  </mergeCells>
  <pageMargins left="0.45" right="0.45" top="0.25" bottom="0.25" header="0.3" footer="0.3"/>
  <pageSetup paperSize="9" scale="94" fitToHeight="2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B2:L115"/>
  <sheetViews>
    <sheetView zoomScaleSheetLayoutView="100" workbookViewId="0">
      <pane ySplit="4" topLeftCell="A98" activePane="bottomLeft" state="frozen"/>
      <selection pane="bottomLeft" activeCell="B2" sqref="B2:I2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8" customWidth="1"/>
    <col min="9" max="9" width="11.42578125" customWidth="1"/>
    <col min="10" max="10" width="43.5703125" hidden="1" customWidth="1"/>
    <col min="11" max="11" width="12.28515625" bestFit="1" customWidth="1"/>
    <col min="13" max="13" width="9.42578125" bestFit="1" customWidth="1"/>
    <col min="16" max="16" width="12.85546875" bestFit="1" customWidth="1"/>
  </cols>
  <sheetData>
    <row r="2" spans="2:11" ht="19.5">
      <c r="B2" s="58" t="s">
        <v>610</v>
      </c>
      <c r="C2" s="59"/>
      <c r="D2" s="59"/>
      <c r="E2" s="59"/>
      <c r="F2" s="59"/>
      <c r="G2" s="59"/>
      <c r="H2" s="59"/>
      <c r="I2" s="59"/>
      <c r="J2" s="47"/>
    </row>
    <row r="4" spans="2:11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5" t="s">
        <v>7</v>
      </c>
      <c r="J4" s="5" t="s">
        <v>510</v>
      </c>
      <c r="K4" s="5" t="s">
        <v>462</v>
      </c>
    </row>
    <row r="5" spans="2:11" ht="15.75">
      <c r="B5" s="4" t="s">
        <v>486</v>
      </c>
      <c r="C5" s="4" t="s">
        <v>137</v>
      </c>
      <c r="D5" s="2">
        <v>25.14</v>
      </c>
      <c r="E5" s="40">
        <v>25.035</v>
      </c>
      <c r="F5" s="2">
        <f t="shared" ref="F5:F69" si="0">IF(D5-E5&lt;=0,0,D5-E5)</f>
        <v>0.10500000000000043</v>
      </c>
      <c r="G5" s="2">
        <f t="shared" ref="G5:G69" si="1">IF(D5-E5&gt;=0,0,D5-E5)</f>
        <v>0</v>
      </c>
      <c r="H5" s="3" t="s">
        <v>455</v>
      </c>
      <c r="I5" s="12">
        <f t="shared" ref="I5:I57" si="2">F5/E5</f>
        <v>4.1941282204913293E-3</v>
      </c>
      <c r="J5" s="48" t="s">
        <v>512</v>
      </c>
      <c r="K5" s="45" t="s">
        <v>463</v>
      </c>
    </row>
    <row r="6" spans="2:11" ht="15.75">
      <c r="B6" s="4" t="s">
        <v>486</v>
      </c>
      <c r="C6" s="4" t="s">
        <v>137</v>
      </c>
      <c r="D6" s="2">
        <v>32.25</v>
      </c>
      <c r="E6" s="40">
        <v>32.061999999999998</v>
      </c>
      <c r="F6" s="2">
        <f t="shared" si="0"/>
        <v>0.18800000000000239</v>
      </c>
      <c r="G6" s="2">
        <f t="shared" si="1"/>
        <v>0</v>
      </c>
      <c r="H6" s="3" t="s">
        <v>13</v>
      </c>
      <c r="I6" s="12">
        <f t="shared" si="2"/>
        <v>5.8636391990519116E-3</v>
      </c>
      <c r="J6" s="48" t="s">
        <v>511</v>
      </c>
      <c r="K6" s="45" t="s">
        <v>461</v>
      </c>
    </row>
    <row r="7" spans="2:11" ht="15.75">
      <c r="B7" s="4" t="s">
        <v>486</v>
      </c>
      <c r="C7" s="4" t="s">
        <v>137</v>
      </c>
      <c r="D7" s="2">
        <v>32.64</v>
      </c>
      <c r="E7" s="40">
        <v>32.319000000000003</v>
      </c>
      <c r="F7" s="2">
        <f t="shared" si="0"/>
        <v>0.32099999999999795</v>
      </c>
      <c r="G7" s="2">
        <f t="shared" si="1"/>
        <v>0</v>
      </c>
      <c r="H7" s="3" t="s">
        <v>16</v>
      </c>
      <c r="I7" s="12">
        <f t="shared" si="2"/>
        <v>9.9322380024133763E-3</v>
      </c>
      <c r="J7" s="48" t="s">
        <v>26</v>
      </c>
      <c r="K7" s="45" t="s">
        <v>461</v>
      </c>
    </row>
    <row r="8" spans="2:11" ht="15.75">
      <c r="B8" s="4" t="s">
        <v>487</v>
      </c>
      <c r="C8" s="4" t="s">
        <v>137</v>
      </c>
      <c r="D8" s="2">
        <v>32</v>
      </c>
      <c r="E8" s="40">
        <v>31.536999999999999</v>
      </c>
      <c r="F8" s="2">
        <f t="shared" si="0"/>
        <v>0.46300000000000097</v>
      </c>
      <c r="G8" s="2">
        <f t="shared" si="1"/>
        <v>0</v>
      </c>
      <c r="H8" s="3" t="s">
        <v>13</v>
      </c>
      <c r="I8" s="12">
        <f t="shared" si="2"/>
        <v>1.4681168151694866E-2</v>
      </c>
      <c r="J8" s="48" t="s">
        <v>513</v>
      </c>
      <c r="K8" s="45" t="s">
        <v>461</v>
      </c>
    </row>
    <row r="9" spans="2:11" ht="15.75">
      <c r="B9" s="4" t="s">
        <v>487</v>
      </c>
      <c r="C9" s="4" t="s">
        <v>137</v>
      </c>
      <c r="D9" s="2">
        <v>33.299999999999997</v>
      </c>
      <c r="E9" s="40">
        <v>33.223999999999997</v>
      </c>
      <c r="F9" s="2">
        <f t="shared" si="0"/>
        <v>7.6000000000000512E-2</v>
      </c>
      <c r="G9" s="2">
        <f t="shared" si="1"/>
        <v>0</v>
      </c>
      <c r="H9" s="3" t="s">
        <v>16</v>
      </c>
      <c r="I9" s="12">
        <f t="shared" si="2"/>
        <v>2.2875030098723969E-3</v>
      </c>
      <c r="J9" s="48" t="s">
        <v>514</v>
      </c>
      <c r="K9" s="45" t="s">
        <v>461</v>
      </c>
    </row>
    <row r="10" spans="2:11" ht="15.75">
      <c r="B10" s="4" t="s">
        <v>487</v>
      </c>
      <c r="C10" s="4" t="s">
        <v>137</v>
      </c>
      <c r="D10" s="2">
        <v>32.479999999999997</v>
      </c>
      <c r="E10" s="40">
        <v>32.479999999999997</v>
      </c>
      <c r="F10" s="2">
        <f t="shared" si="0"/>
        <v>0</v>
      </c>
      <c r="G10" s="2">
        <f t="shared" si="1"/>
        <v>0</v>
      </c>
      <c r="H10" s="3" t="s">
        <v>204</v>
      </c>
      <c r="I10" s="12">
        <f t="shared" si="2"/>
        <v>0</v>
      </c>
      <c r="J10" s="48" t="s">
        <v>515</v>
      </c>
      <c r="K10" s="45" t="s">
        <v>461</v>
      </c>
    </row>
    <row r="11" spans="2:11" ht="15.75">
      <c r="B11" s="4" t="s">
        <v>487</v>
      </c>
      <c r="C11" s="4" t="s">
        <v>137</v>
      </c>
      <c r="D11" s="2">
        <v>33.32</v>
      </c>
      <c r="E11" s="40">
        <v>33.128</v>
      </c>
      <c r="F11" s="2">
        <f t="shared" si="0"/>
        <v>0.19200000000000017</v>
      </c>
      <c r="G11" s="2">
        <f t="shared" si="1"/>
        <v>0</v>
      </c>
      <c r="H11" s="3" t="s">
        <v>423</v>
      </c>
      <c r="I11" s="12">
        <f t="shared" si="2"/>
        <v>5.7957015213716545E-3</v>
      </c>
      <c r="J11" s="48" t="s">
        <v>517</v>
      </c>
      <c r="K11" s="45" t="s">
        <v>463</v>
      </c>
    </row>
    <row r="12" spans="2:11" ht="15.75">
      <c r="B12" s="4" t="s">
        <v>487</v>
      </c>
      <c r="C12" s="4" t="s">
        <v>137</v>
      </c>
      <c r="D12" s="2">
        <v>32.770000000000003</v>
      </c>
      <c r="E12" s="40">
        <v>32.399000000000001</v>
      </c>
      <c r="F12" s="2">
        <f t="shared" si="0"/>
        <v>0.37100000000000222</v>
      </c>
      <c r="G12" s="2">
        <f t="shared" si="1"/>
        <v>0</v>
      </c>
      <c r="H12" s="3" t="s">
        <v>315</v>
      </c>
      <c r="I12" s="12">
        <f t="shared" si="2"/>
        <v>1.1450970708972568E-2</v>
      </c>
      <c r="J12" s="48" t="s">
        <v>519</v>
      </c>
      <c r="K12" s="45" t="s">
        <v>461</v>
      </c>
    </row>
    <row r="13" spans="2:11" ht="15.75">
      <c r="B13" s="4" t="s">
        <v>487</v>
      </c>
      <c r="C13" s="4" t="s">
        <v>137</v>
      </c>
      <c r="D13" s="2">
        <v>33.25</v>
      </c>
      <c r="E13" s="40">
        <v>32.918999999999997</v>
      </c>
      <c r="F13" s="2">
        <f t="shared" si="0"/>
        <v>0.33100000000000307</v>
      </c>
      <c r="G13" s="2">
        <f t="shared" si="1"/>
        <v>0</v>
      </c>
      <c r="H13" s="3" t="s">
        <v>23</v>
      </c>
      <c r="I13" s="12">
        <f t="shared" si="2"/>
        <v>1.0054983444211643E-2</v>
      </c>
      <c r="J13" s="48" t="s">
        <v>516</v>
      </c>
      <c r="K13" s="45" t="s">
        <v>463</v>
      </c>
    </row>
    <row r="14" spans="2:11" ht="15.75">
      <c r="B14" s="4" t="s">
        <v>487</v>
      </c>
      <c r="C14" s="4" t="s">
        <v>137</v>
      </c>
      <c r="D14" s="2">
        <v>33.340000000000003</v>
      </c>
      <c r="E14" s="40">
        <v>33.018000000000001</v>
      </c>
      <c r="F14" s="2">
        <f t="shared" si="0"/>
        <v>0.32200000000000273</v>
      </c>
      <c r="G14" s="2">
        <f t="shared" si="1"/>
        <v>0</v>
      </c>
      <c r="H14" s="3" t="s">
        <v>12</v>
      </c>
      <c r="I14" s="12">
        <f t="shared" si="2"/>
        <v>9.7522563450240084E-3</v>
      </c>
      <c r="J14" s="48" t="s">
        <v>518</v>
      </c>
      <c r="K14" s="45" t="s">
        <v>461</v>
      </c>
    </row>
    <row r="15" spans="2:11" ht="15.75">
      <c r="B15" s="4" t="s">
        <v>488</v>
      </c>
      <c r="C15" s="4" t="s">
        <v>137</v>
      </c>
      <c r="D15" s="2">
        <v>32.79</v>
      </c>
      <c r="E15" s="40">
        <v>32.326999999999998</v>
      </c>
      <c r="F15" s="2">
        <f t="shared" si="0"/>
        <v>0.46300000000000097</v>
      </c>
      <c r="G15" s="2">
        <f t="shared" si="1"/>
        <v>0</v>
      </c>
      <c r="H15" s="3" t="s">
        <v>16</v>
      </c>
      <c r="I15" s="12">
        <f t="shared" si="2"/>
        <v>1.4322393046060599E-2</v>
      </c>
      <c r="J15" s="48"/>
      <c r="K15" s="45" t="s">
        <v>461</v>
      </c>
    </row>
    <row r="16" spans="2:11" ht="15.75">
      <c r="B16" s="4" t="s">
        <v>488</v>
      </c>
      <c r="C16" s="4" t="s">
        <v>137</v>
      </c>
      <c r="D16" s="2">
        <v>31.69</v>
      </c>
      <c r="E16" s="40">
        <v>31.635999999999999</v>
      </c>
      <c r="F16" s="2">
        <f t="shared" si="0"/>
        <v>5.4000000000002046E-2</v>
      </c>
      <c r="G16" s="2">
        <f t="shared" si="1"/>
        <v>0</v>
      </c>
      <c r="H16" s="3" t="s">
        <v>13</v>
      </c>
      <c r="I16" s="12">
        <f t="shared" si="2"/>
        <v>1.7069161714503114E-3</v>
      </c>
      <c r="J16" s="48"/>
      <c r="K16" s="45" t="s">
        <v>463</v>
      </c>
    </row>
    <row r="17" spans="2:11" ht="15.75">
      <c r="B17" s="4" t="s">
        <v>488</v>
      </c>
      <c r="C17" s="4" t="s">
        <v>137</v>
      </c>
      <c r="D17" s="2">
        <v>32.46</v>
      </c>
      <c r="E17" s="40">
        <v>31.957000000000001</v>
      </c>
      <c r="F17" s="2">
        <f t="shared" si="0"/>
        <v>0.50300000000000011</v>
      </c>
      <c r="G17" s="2">
        <f t="shared" si="1"/>
        <v>0</v>
      </c>
      <c r="H17" s="3" t="s">
        <v>23</v>
      </c>
      <c r="I17" s="12">
        <f t="shared" si="2"/>
        <v>1.5739900491285166E-2</v>
      </c>
      <c r="J17" s="48"/>
      <c r="K17" s="45" t="s">
        <v>461</v>
      </c>
    </row>
    <row r="18" spans="2:11" ht="15.75">
      <c r="B18" s="4" t="s">
        <v>488</v>
      </c>
      <c r="C18" s="4" t="s">
        <v>137</v>
      </c>
      <c r="D18" s="2">
        <v>31.54</v>
      </c>
      <c r="E18" s="40">
        <v>31.15</v>
      </c>
      <c r="F18" s="2">
        <f t="shared" ref="F18" si="3">IF(D18-E18&lt;=0,0,D18-E18)</f>
        <v>0.39000000000000057</v>
      </c>
      <c r="G18" s="2">
        <f t="shared" ref="G18" si="4">IF(D18-E18&gt;=0,0,D18-E18)</f>
        <v>0</v>
      </c>
      <c r="H18" s="3" t="s">
        <v>15</v>
      </c>
      <c r="I18" s="12">
        <f t="shared" si="2"/>
        <v>1.2520064205457484E-2</v>
      </c>
      <c r="J18" s="48"/>
      <c r="K18" s="45" t="s">
        <v>461</v>
      </c>
    </row>
    <row r="19" spans="2:11" ht="15.75">
      <c r="B19" s="4" t="s">
        <v>489</v>
      </c>
      <c r="C19" s="4" t="s">
        <v>206</v>
      </c>
      <c r="D19" s="2">
        <v>27.61</v>
      </c>
      <c r="E19" s="40">
        <v>27.477</v>
      </c>
      <c r="F19" s="2">
        <f t="shared" si="0"/>
        <v>0.13299999999999912</v>
      </c>
      <c r="G19" s="2">
        <f t="shared" si="1"/>
        <v>0</v>
      </c>
      <c r="H19" s="3" t="s">
        <v>300</v>
      </c>
      <c r="I19" s="12">
        <f t="shared" si="2"/>
        <v>4.8404119809294724E-3</v>
      </c>
      <c r="J19" s="48"/>
      <c r="K19" s="45" t="s">
        <v>463</v>
      </c>
    </row>
    <row r="20" spans="2:11" ht="15.75">
      <c r="B20" s="4" t="s">
        <v>489</v>
      </c>
      <c r="C20" s="4" t="s">
        <v>137</v>
      </c>
      <c r="D20" s="2">
        <v>32.54</v>
      </c>
      <c r="E20" s="40">
        <v>32.668999999999997</v>
      </c>
      <c r="F20" s="2">
        <f t="shared" si="0"/>
        <v>0</v>
      </c>
      <c r="G20" s="2">
        <f t="shared" si="1"/>
        <v>-0.12899999999999778</v>
      </c>
      <c r="H20" s="3" t="s">
        <v>15</v>
      </c>
      <c r="I20" s="12">
        <f>G20/E20</f>
        <v>-3.9486975420122382E-3</v>
      </c>
      <c r="J20" s="48"/>
      <c r="K20" s="45" t="s">
        <v>462</v>
      </c>
    </row>
    <row r="21" spans="2:11" ht="15.75">
      <c r="B21" s="4" t="s">
        <v>489</v>
      </c>
      <c r="C21" s="4" t="s">
        <v>137</v>
      </c>
      <c r="D21" s="2">
        <v>31.98</v>
      </c>
      <c r="E21" s="40">
        <v>31.544</v>
      </c>
      <c r="F21" s="2">
        <f t="shared" si="0"/>
        <v>0.43599999999999994</v>
      </c>
      <c r="G21" s="2">
        <f t="shared" si="1"/>
        <v>0</v>
      </c>
      <c r="H21" s="3" t="s">
        <v>11</v>
      </c>
      <c r="I21" s="12">
        <f t="shared" si="2"/>
        <v>1.3821962972356073E-2</v>
      </c>
      <c r="J21" s="48"/>
      <c r="K21" s="45" t="s">
        <v>461</v>
      </c>
    </row>
    <row r="22" spans="2:11" ht="15.75">
      <c r="B22" s="4" t="s">
        <v>489</v>
      </c>
      <c r="C22" s="4" t="s">
        <v>137</v>
      </c>
      <c r="D22" s="2">
        <v>24.53</v>
      </c>
      <c r="E22" s="40">
        <v>24.684000000000001</v>
      </c>
      <c r="F22" s="2">
        <f t="shared" si="0"/>
        <v>0</v>
      </c>
      <c r="G22" s="2">
        <f t="shared" si="1"/>
        <v>-0.15399999999999991</v>
      </c>
      <c r="H22" s="3" t="s">
        <v>491</v>
      </c>
      <c r="I22" s="12">
        <f t="shared" ref="I22:I23" si="5">G22/E22</f>
        <v>-6.2388591800356472E-3</v>
      </c>
      <c r="J22" s="48"/>
      <c r="K22" s="45" t="s">
        <v>463</v>
      </c>
    </row>
    <row r="23" spans="2:11" ht="15.75">
      <c r="B23" s="4" t="s">
        <v>489</v>
      </c>
      <c r="C23" s="4" t="s">
        <v>137</v>
      </c>
      <c r="D23" s="2">
        <v>32.01</v>
      </c>
      <c r="E23" s="40">
        <v>32.020000000000003</v>
      </c>
      <c r="F23" s="2">
        <f t="shared" si="0"/>
        <v>0</v>
      </c>
      <c r="G23" s="2">
        <f t="shared" si="1"/>
        <v>-1.0000000000005116E-2</v>
      </c>
      <c r="H23" s="3" t="s">
        <v>16</v>
      </c>
      <c r="I23" s="12">
        <f t="shared" si="5"/>
        <v>-3.1230480949422595E-4</v>
      </c>
      <c r="J23" s="48"/>
      <c r="K23" s="45" t="s">
        <v>463</v>
      </c>
    </row>
    <row r="24" spans="2:11" ht="15.75">
      <c r="B24" s="4" t="s">
        <v>490</v>
      </c>
      <c r="C24" s="4" t="s">
        <v>137</v>
      </c>
      <c r="D24" s="2">
        <v>32.71</v>
      </c>
      <c r="E24" s="40">
        <v>32.627000000000002</v>
      </c>
      <c r="F24" s="2">
        <f t="shared" si="0"/>
        <v>8.2999999999998408E-2</v>
      </c>
      <c r="G24" s="2">
        <f t="shared" si="1"/>
        <v>0</v>
      </c>
      <c r="H24" s="3" t="s">
        <v>342</v>
      </c>
      <c r="I24" s="12">
        <f t="shared" si="2"/>
        <v>2.54390535446098E-3</v>
      </c>
      <c r="J24" s="48"/>
      <c r="K24" s="45" t="s">
        <v>463</v>
      </c>
    </row>
    <row r="25" spans="2:11" ht="15.75">
      <c r="B25" s="4" t="s">
        <v>490</v>
      </c>
      <c r="C25" s="4" t="s">
        <v>137</v>
      </c>
      <c r="D25" s="2">
        <v>31.45</v>
      </c>
      <c r="E25" s="40">
        <v>30.893000000000001</v>
      </c>
      <c r="F25" s="2">
        <f t="shared" si="0"/>
        <v>0.55699999999999861</v>
      </c>
      <c r="G25" s="2">
        <f t="shared" si="1"/>
        <v>0</v>
      </c>
      <c r="H25" s="3" t="s">
        <v>9</v>
      </c>
      <c r="I25" s="12">
        <f t="shared" si="2"/>
        <v>1.8029974427863873E-2</v>
      </c>
      <c r="J25" s="48"/>
      <c r="K25" s="45" t="s">
        <v>463</v>
      </c>
    </row>
    <row r="26" spans="2:11" ht="15.75">
      <c r="B26" s="4" t="s">
        <v>492</v>
      </c>
      <c r="C26" s="4" t="s">
        <v>137</v>
      </c>
      <c r="D26" s="2">
        <v>32.340000000000003</v>
      </c>
      <c r="E26" s="40">
        <v>32.049999999999997</v>
      </c>
      <c r="F26" s="2">
        <f t="shared" si="0"/>
        <v>0.29000000000000625</v>
      </c>
      <c r="G26" s="2">
        <f t="shared" si="1"/>
        <v>0</v>
      </c>
      <c r="H26" s="3" t="s">
        <v>16</v>
      </c>
      <c r="I26" s="12">
        <f t="shared" si="2"/>
        <v>9.0483619344775747E-3</v>
      </c>
      <c r="J26" s="48"/>
      <c r="K26" s="45" t="s">
        <v>462</v>
      </c>
    </row>
    <row r="27" spans="2:11" ht="15.75">
      <c r="B27" s="4" t="s">
        <v>492</v>
      </c>
      <c r="C27" s="4" t="s">
        <v>137</v>
      </c>
      <c r="D27" s="2">
        <v>28.61</v>
      </c>
      <c r="E27" s="40">
        <v>28.44</v>
      </c>
      <c r="F27" s="2">
        <f t="shared" si="0"/>
        <v>0.16999999999999815</v>
      </c>
      <c r="G27" s="2">
        <f t="shared" si="1"/>
        <v>0</v>
      </c>
      <c r="H27" s="3" t="s">
        <v>9</v>
      </c>
      <c r="I27" s="12">
        <f t="shared" si="2"/>
        <v>5.9774964838255323E-3</v>
      </c>
      <c r="J27" s="48"/>
      <c r="K27" s="45" t="s">
        <v>463</v>
      </c>
    </row>
    <row r="28" spans="2:11" ht="15.75">
      <c r="B28" s="4" t="s">
        <v>493</v>
      </c>
      <c r="C28" s="4" t="s">
        <v>206</v>
      </c>
      <c r="D28" s="2">
        <v>32.94</v>
      </c>
      <c r="E28" s="40">
        <v>32.72</v>
      </c>
      <c r="F28" s="2">
        <f t="shared" si="0"/>
        <v>0.21999999999999886</v>
      </c>
      <c r="G28" s="2">
        <f t="shared" si="1"/>
        <v>0</v>
      </c>
      <c r="H28" s="3" t="s">
        <v>494</v>
      </c>
      <c r="I28" s="12">
        <f t="shared" si="2"/>
        <v>6.723716381418058E-3</v>
      </c>
      <c r="J28" s="48"/>
      <c r="K28" s="45" t="s">
        <v>462</v>
      </c>
    </row>
    <row r="29" spans="2:11" ht="15.75">
      <c r="B29" s="4" t="s">
        <v>493</v>
      </c>
      <c r="C29" s="4" t="s">
        <v>206</v>
      </c>
      <c r="D29" s="2">
        <v>32.909999999999997</v>
      </c>
      <c r="E29" s="40">
        <v>32.804000000000002</v>
      </c>
      <c r="F29" s="2">
        <f t="shared" si="0"/>
        <v>0.10599999999999454</v>
      </c>
      <c r="G29" s="2">
        <f t="shared" si="1"/>
        <v>0</v>
      </c>
      <c r="H29" s="3" t="s">
        <v>495</v>
      </c>
      <c r="I29" s="12">
        <f t="shared" si="2"/>
        <v>3.2313132544809944E-3</v>
      </c>
      <c r="J29" s="48"/>
      <c r="K29" s="45" t="s">
        <v>461</v>
      </c>
    </row>
    <row r="30" spans="2:11" ht="15.75">
      <c r="B30" s="4" t="s">
        <v>493</v>
      </c>
      <c r="C30" s="4" t="s">
        <v>206</v>
      </c>
      <c r="D30" s="2">
        <v>32.56</v>
      </c>
      <c r="E30" s="40">
        <v>32.609000000000002</v>
      </c>
      <c r="F30" s="2">
        <f t="shared" si="0"/>
        <v>0</v>
      </c>
      <c r="G30" s="2">
        <f t="shared" si="1"/>
        <v>-4.8999999999999488E-2</v>
      </c>
      <c r="H30" s="3" t="s">
        <v>496</v>
      </c>
      <c r="I30" s="12">
        <f>G30/E30</f>
        <v>-1.5026526419086598E-3</v>
      </c>
      <c r="J30" s="48"/>
      <c r="K30" s="45" t="s">
        <v>461</v>
      </c>
    </row>
    <row r="31" spans="2:11" ht="15.75">
      <c r="B31" s="4" t="s">
        <v>493</v>
      </c>
      <c r="C31" s="4" t="s">
        <v>206</v>
      </c>
      <c r="D31" s="2">
        <v>32.82</v>
      </c>
      <c r="E31" s="40">
        <v>32.683</v>
      </c>
      <c r="F31" s="2">
        <f t="shared" si="0"/>
        <v>0.13700000000000045</v>
      </c>
      <c r="G31" s="2">
        <f t="shared" si="1"/>
        <v>0</v>
      </c>
      <c r="H31" s="3" t="s">
        <v>497</v>
      </c>
      <c r="I31" s="12">
        <f t="shared" si="2"/>
        <v>4.1917816601903272E-3</v>
      </c>
      <c r="J31" s="48"/>
      <c r="K31" s="45" t="s">
        <v>461</v>
      </c>
    </row>
    <row r="32" spans="2:11" ht="15.75">
      <c r="B32" s="4" t="s">
        <v>498</v>
      </c>
      <c r="C32" s="4" t="s">
        <v>206</v>
      </c>
      <c r="D32" s="2">
        <v>32.99</v>
      </c>
      <c r="E32" s="40">
        <v>32.807000000000002</v>
      </c>
      <c r="F32" s="2">
        <f t="shared" si="0"/>
        <v>0.18299999999999983</v>
      </c>
      <c r="G32" s="2">
        <f t="shared" si="1"/>
        <v>0</v>
      </c>
      <c r="H32" s="3" t="s">
        <v>499</v>
      </c>
      <c r="I32" s="12">
        <f t="shared" si="2"/>
        <v>5.5780778492394859E-3</v>
      </c>
      <c r="J32" s="48"/>
      <c r="K32" s="45" t="s">
        <v>462</v>
      </c>
    </row>
    <row r="33" spans="2:11" ht="15.75">
      <c r="B33" s="4" t="s">
        <v>498</v>
      </c>
      <c r="C33" s="4" t="s">
        <v>137</v>
      </c>
      <c r="D33" s="2">
        <v>28.92</v>
      </c>
      <c r="E33" s="40">
        <v>28.721</v>
      </c>
      <c r="F33" s="2">
        <f t="shared" si="0"/>
        <v>0.19900000000000162</v>
      </c>
      <c r="G33" s="2">
        <f t="shared" si="1"/>
        <v>0</v>
      </c>
      <c r="H33" s="3" t="s">
        <v>13</v>
      </c>
      <c r="I33" s="12">
        <f t="shared" si="2"/>
        <v>6.9287281083528296E-3</v>
      </c>
      <c r="J33" s="48"/>
      <c r="K33" s="45" t="s">
        <v>463</v>
      </c>
    </row>
    <row r="34" spans="2:11" ht="15.75">
      <c r="B34" s="4" t="s">
        <v>500</v>
      </c>
      <c r="C34" s="4" t="s">
        <v>137</v>
      </c>
      <c r="D34" s="2">
        <v>32.9</v>
      </c>
      <c r="E34" s="40">
        <v>32.905999999999999</v>
      </c>
      <c r="F34" s="2">
        <f t="shared" si="0"/>
        <v>0</v>
      </c>
      <c r="G34" s="2">
        <f t="shared" ref="G34:G44" si="6">IF(D34-E34&gt;=0,0,D34-E34)</f>
        <v>-6.0000000000002274E-3</v>
      </c>
      <c r="H34" s="3" t="s">
        <v>501</v>
      </c>
      <c r="I34" s="12">
        <f>G34/E34</f>
        <v>-1.8233756761685491E-4</v>
      </c>
      <c r="J34" s="48"/>
      <c r="K34" s="45" t="s">
        <v>461</v>
      </c>
    </row>
    <row r="35" spans="2:11" ht="15.75">
      <c r="B35" s="4" t="s">
        <v>500</v>
      </c>
      <c r="C35" s="4" t="s">
        <v>137</v>
      </c>
      <c r="D35" s="2">
        <v>39.72</v>
      </c>
      <c r="E35" s="40">
        <v>39.604999999999997</v>
      </c>
      <c r="F35" s="2">
        <f t="shared" si="0"/>
        <v>0.11500000000000199</v>
      </c>
      <c r="G35" s="2">
        <f t="shared" si="6"/>
        <v>0</v>
      </c>
      <c r="H35" s="3" t="s">
        <v>502</v>
      </c>
      <c r="I35" s="12">
        <f t="shared" si="2"/>
        <v>2.9036737785633634E-3</v>
      </c>
      <c r="J35" s="48"/>
      <c r="K35" s="45" t="s">
        <v>461</v>
      </c>
    </row>
    <row r="36" spans="2:11" ht="15.75">
      <c r="B36" s="4" t="s">
        <v>503</v>
      </c>
      <c r="C36" s="4" t="s">
        <v>137</v>
      </c>
      <c r="D36" s="2">
        <v>33.51</v>
      </c>
      <c r="E36" s="40">
        <v>32.892000000000003</v>
      </c>
      <c r="F36" s="2">
        <f t="shared" si="0"/>
        <v>0.617999999999995</v>
      </c>
      <c r="G36" s="2">
        <f t="shared" si="6"/>
        <v>0</v>
      </c>
      <c r="H36" s="3" t="s">
        <v>16</v>
      </c>
      <c r="I36" s="12">
        <f t="shared" si="2"/>
        <v>1.8788763225100175E-2</v>
      </c>
      <c r="J36" s="48"/>
      <c r="K36" s="45" t="s">
        <v>463</v>
      </c>
    </row>
    <row r="37" spans="2:11" ht="15.75">
      <c r="B37" s="4" t="s">
        <v>503</v>
      </c>
      <c r="C37" s="4" t="s">
        <v>206</v>
      </c>
      <c r="D37" s="2">
        <v>32.99</v>
      </c>
      <c r="E37" s="40">
        <v>32.844999999999999</v>
      </c>
      <c r="F37" s="2">
        <f t="shared" si="0"/>
        <v>0.14500000000000313</v>
      </c>
      <c r="G37" s="2">
        <f t="shared" si="6"/>
        <v>0</v>
      </c>
      <c r="H37" s="3" t="s">
        <v>322</v>
      </c>
      <c r="I37" s="12">
        <f t="shared" si="2"/>
        <v>4.4146749885828323E-3</v>
      </c>
      <c r="J37" s="48"/>
      <c r="K37" s="45" t="s">
        <v>461</v>
      </c>
    </row>
    <row r="38" spans="2:11" ht="15.75">
      <c r="B38" s="4" t="s">
        <v>503</v>
      </c>
      <c r="C38" s="4" t="s">
        <v>206</v>
      </c>
      <c r="D38" s="2">
        <v>32.69</v>
      </c>
      <c r="E38" s="40">
        <v>32.213000000000001</v>
      </c>
      <c r="F38" s="2">
        <f t="shared" si="0"/>
        <v>0.47699999999999676</v>
      </c>
      <c r="G38" s="2">
        <f t="shared" si="6"/>
        <v>0</v>
      </c>
      <c r="H38" s="3" t="s">
        <v>504</v>
      </c>
      <c r="I38" s="12">
        <f t="shared" si="2"/>
        <v>1.4807686337813824E-2</v>
      </c>
      <c r="J38" s="48"/>
      <c r="K38" s="45" t="s">
        <v>461</v>
      </c>
    </row>
    <row r="39" spans="2:11" ht="15.75">
      <c r="B39" s="4" t="s">
        <v>503</v>
      </c>
      <c r="C39" s="4" t="s">
        <v>137</v>
      </c>
      <c r="D39" s="2">
        <v>32.26</v>
      </c>
      <c r="E39" s="40">
        <v>32.064999999999998</v>
      </c>
      <c r="F39" s="2">
        <f t="shared" si="0"/>
        <v>0.19500000000000028</v>
      </c>
      <c r="G39" s="2">
        <f t="shared" si="6"/>
        <v>0</v>
      </c>
      <c r="H39" s="3" t="s">
        <v>11</v>
      </c>
      <c r="I39" s="12">
        <f t="shared" si="2"/>
        <v>6.081397162014667E-3</v>
      </c>
      <c r="J39" s="48"/>
      <c r="K39" s="45" t="s">
        <v>463</v>
      </c>
    </row>
    <row r="40" spans="2:11" ht="15.75">
      <c r="B40" s="4" t="s">
        <v>503</v>
      </c>
      <c r="C40" s="4" t="s">
        <v>206</v>
      </c>
      <c r="D40" s="2">
        <v>33.03</v>
      </c>
      <c r="E40" s="40">
        <v>32.777000000000001</v>
      </c>
      <c r="F40" s="2">
        <f t="shared" si="0"/>
        <v>0.25300000000000011</v>
      </c>
      <c r="G40" s="2">
        <f t="shared" si="6"/>
        <v>0</v>
      </c>
      <c r="H40" s="3" t="s">
        <v>294</v>
      </c>
      <c r="I40" s="12">
        <f t="shared" si="2"/>
        <v>7.7188272264087652E-3</v>
      </c>
      <c r="J40" s="48"/>
      <c r="K40" s="45" t="s">
        <v>461</v>
      </c>
    </row>
    <row r="41" spans="2:11" ht="15.75">
      <c r="B41" s="4" t="s">
        <v>503</v>
      </c>
      <c r="C41" s="4" t="s">
        <v>137</v>
      </c>
      <c r="D41" s="2">
        <v>32.619999999999997</v>
      </c>
      <c r="E41" s="40">
        <v>32.206000000000003</v>
      </c>
      <c r="F41" s="2">
        <f t="shared" si="0"/>
        <v>0.41399999999999437</v>
      </c>
      <c r="G41" s="2">
        <f t="shared" si="6"/>
        <v>0</v>
      </c>
      <c r="H41" s="3" t="s">
        <v>15</v>
      </c>
      <c r="I41" s="12">
        <f t="shared" si="2"/>
        <v>1.2854747562565806E-2</v>
      </c>
      <c r="J41" s="48"/>
      <c r="K41" s="45" t="s">
        <v>463</v>
      </c>
    </row>
    <row r="42" spans="2:11" ht="15.75">
      <c r="B42" s="4" t="s">
        <v>505</v>
      </c>
      <c r="C42" s="4" t="s">
        <v>206</v>
      </c>
      <c r="D42" s="2">
        <v>32.54</v>
      </c>
      <c r="E42" s="40">
        <v>32.417000000000002</v>
      </c>
      <c r="F42" s="2">
        <f t="shared" si="0"/>
        <v>0.12299999999999756</v>
      </c>
      <c r="G42" s="2">
        <f t="shared" si="6"/>
        <v>0</v>
      </c>
      <c r="H42" s="3" t="s">
        <v>508</v>
      </c>
      <c r="I42" s="12">
        <f t="shared" si="2"/>
        <v>3.7943054570132198E-3</v>
      </c>
      <c r="J42" s="48"/>
      <c r="K42" s="45" t="s">
        <v>463</v>
      </c>
    </row>
    <row r="43" spans="2:11" ht="15.75">
      <c r="B43" s="4" t="s">
        <v>505</v>
      </c>
      <c r="C43" s="4" t="s">
        <v>206</v>
      </c>
      <c r="D43" s="2">
        <v>32.58</v>
      </c>
      <c r="E43" s="40">
        <v>32.387999999999998</v>
      </c>
      <c r="F43" s="2">
        <f t="shared" si="0"/>
        <v>0.19200000000000017</v>
      </c>
      <c r="G43" s="2">
        <f t="shared" si="6"/>
        <v>0</v>
      </c>
      <c r="H43" s="3" t="s">
        <v>499</v>
      </c>
      <c r="I43" s="12">
        <f t="shared" si="2"/>
        <v>5.9281215264912991E-3</v>
      </c>
      <c r="J43" s="48"/>
      <c r="K43" s="45" t="s">
        <v>463</v>
      </c>
    </row>
    <row r="44" spans="2:11" ht="15.75">
      <c r="B44" s="4" t="s">
        <v>505</v>
      </c>
      <c r="C44" s="4" t="s">
        <v>137</v>
      </c>
      <c r="D44" s="2">
        <v>24.62</v>
      </c>
      <c r="E44" s="40">
        <v>24.324999999999999</v>
      </c>
      <c r="F44" s="2">
        <f t="shared" si="0"/>
        <v>0.29500000000000171</v>
      </c>
      <c r="G44" s="2">
        <f t="shared" si="6"/>
        <v>0</v>
      </c>
      <c r="H44" s="3" t="s">
        <v>23</v>
      </c>
      <c r="I44" s="12">
        <f t="shared" si="2"/>
        <v>1.2127440904419392E-2</v>
      </c>
      <c r="J44" s="48"/>
      <c r="K44" s="45" t="s">
        <v>463</v>
      </c>
    </row>
    <row r="45" spans="2:11" ht="15.75">
      <c r="B45" s="4" t="s">
        <v>506</v>
      </c>
      <c r="C45" s="4" t="s">
        <v>137</v>
      </c>
      <c r="D45" s="2">
        <v>32.04</v>
      </c>
      <c r="E45" s="40">
        <v>31.914999999999999</v>
      </c>
      <c r="F45" s="2">
        <f t="shared" si="0"/>
        <v>0.125</v>
      </c>
      <c r="G45" s="2">
        <f t="shared" si="1"/>
        <v>0</v>
      </c>
      <c r="H45" s="3" t="s">
        <v>504</v>
      </c>
      <c r="I45" s="12">
        <f t="shared" si="2"/>
        <v>3.9166536111546295E-3</v>
      </c>
      <c r="J45" s="48"/>
      <c r="K45" s="45" t="s">
        <v>463</v>
      </c>
    </row>
    <row r="46" spans="2:11" ht="15.75">
      <c r="B46" s="4" t="s">
        <v>506</v>
      </c>
      <c r="C46" s="4" t="s">
        <v>137</v>
      </c>
      <c r="D46" s="2">
        <v>32.090000000000003</v>
      </c>
      <c r="E46" s="40">
        <v>32.128999999999998</v>
      </c>
      <c r="F46" s="2">
        <f t="shared" si="0"/>
        <v>0</v>
      </c>
      <c r="G46" s="2">
        <f t="shared" si="1"/>
        <v>-3.8999999999994373E-2</v>
      </c>
      <c r="H46" s="3" t="s">
        <v>507</v>
      </c>
      <c r="I46" s="12">
        <f t="shared" ref="I46:I47" si="7">G46/E46</f>
        <v>-1.2138566404181386E-3</v>
      </c>
      <c r="J46" s="48"/>
      <c r="K46" s="45" t="s">
        <v>463</v>
      </c>
    </row>
    <row r="47" spans="2:11" ht="15.75">
      <c r="B47" s="4" t="s">
        <v>509</v>
      </c>
      <c r="C47" s="4" t="s">
        <v>137</v>
      </c>
      <c r="D47" s="2">
        <v>32.42</v>
      </c>
      <c r="E47" s="40">
        <v>32.737000000000002</v>
      </c>
      <c r="F47" s="2">
        <f t="shared" si="0"/>
        <v>0</v>
      </c>
      <c r="G47" s="2">
        <f t="shared" si="1"/>
        <v>-0.31700000000000017</v>
      </c>
      <c r="H47" s="3" t="s">
        <v>16</v>
      </c>
      <c r="I47" s="12">
        <f t="shared" si="7"/>
        <v>-9.6832330390689489E-3</v>
      </c>
      <c r="J47" s="48"/>
      <c r="K47" s="45" t="s">
        <v>463</v>
      </c>
    </row>
    <row r="48" spans="2:11">
      <c r="B48" s="4" t="s">
        <v>520</v>
      </c>
      <c r="C48" s="4" t="s">
        <v>137</v>
      </c>
      <c r="D48" s="2">
        <v>32.33</v>
      </c>
      <c r="E48" s="49">
        <v>32.323999999999998</v>
      </c>
      <c r="F48" s="2">
        <f t="shared" si="0"/>
        <v>6.0000000000002274E-3</v>
      </c>
      <c r="G48" s="2">
        <f t="shared" si="1"/>
        <v>0</v>
      </c>
      <c r="H48" s="4" t="s">
        <v>521</v>
      </c>
      <c r="I48" s="12">
        <f t="shared" si="2"/>
        <v>1.8562059151095865E-4</v>
      </c>
      <c r="J48" s="48"/>
      <c r="K48" s="45" t="s">
        <v>463</v>
      </c>
    </row>
    <row r="49" spans="2:11">
      <c r="B49" s="4" t="s">
        <v>520</v>
      </c>
      <c r="C49" s="4" t="s">
        <v>137</v>
      </c>
      <c r="D49" s="2">
        <v>32.33</v>
      </c>
      <c r="E49" s="49">
        <v>32.104999999999997</v>
      </c>
      <c r="F49" s="2">
        <f t="shared" si="0"/>
        <v>0.22500000000000142</v>
      </c>
      <c r="G49" s="2">
        <f t="shared" si="1"/>
        <v>0</v>
      </c>
      <c r="H49" s="4" t="s">
        <v>322</v>
      </c>
      <c r="I49" s="12">
        <f t="shared" si="2"/>
        <v>7.0082541660177996E-3</v>
      </c>
      <c r="J49" s="48"/>
      <c r="K49" s="45" t="s">
        <v>463</v>
      </c>
    </row>
    <row r="50" spans="2:11">
      <c r="B50" s="4" t="s">
        <v>520</v>
      </c>
      <c r="C50" s="4" t="s">
        <v>137</v>
      </c>
      <c r="D50" s="2">
        <v>32.479999999999997</v>
      </c>
      <c r="E50" s="49">
        <v>32.509</v>
      </c>
      <c r="F50" s="2">
        <f t="shared" si="0"/>
        <v>0</v>
      </c>
      <c r="G50" s="2">
        <f t="shared" si="1"/>
        <v>-2.9000000000003467E-2</v>
      </c>
      <c r="H50" s="4" t="s">
        <v>522</v>
      </c>
      <c r="I50" s="12">
        <f>G50/E50</f>
        <v>-8.9206066012499511E-4</v>
      </c>
      <c r="J50" s="48"/>
      <c r="K50" s="45" t="s">
        <v>463</v>
      </c>
    </row>
    <row r="51" spans="2:11">
      <c r="B51" s="4" t="s">
        <v>520</v>
      </c>
      <c r="C51" s="4" t="s">
        <v>206</v>
      </c>
      <c r="D51" s="2">
        <v>13.71</v>
      </c>
      <c r="E51" s="40">
        <v>13.61</v>
      </c>
      <c r="F51" s="2">
        <f t="shared" si="0"/>
        <v>0.10000000000000142</v>
      </c>
      <c r="G51" s="2">
        <f t="shared" si="1"/>
        <v>0</v>
      </c>
      <c r="H51" s="4" t="s">
        <v>372</v>
      </c>
      <c r="I51" s="12">
        <f t="shared" si="2"/>
        <v>7.3475385745776214E-3</v>
      </c>
      <c r="J51" s="48"/>
      <c r="K51" s="45" t="s">
        <v>463</v>
      </c>
    </row>
    <row r="52" spans="2:11">
      <c r="B52" s="4" t="s">
        <v>523</v>
      </c>
      <c r="C52" s="4" t="s">
        <v>137</v>
      </c>
      <c r="D52" s="2">
        <v>32.71</v>
      </c>
      <c r="E52" s="40">
        <v>32.572000000000003</v>
      </c>
      <c r="F52" s="2">
        <f t="shared" si="0"/>
        <v>0.13799999999999812</v>
      </c>
      <c r="G52" s="2">
        <f t="shared" si="1"/>
        <v>0</v>
      </c>
      <c r="H52" s="4" t="s">
        <v>524</v>
      </c>
      <c r="I52" s="12">
        <f t="shared" si="2"/>
        <v>4.2367677760038721E-3</v>
      </c>
      <c r="J52" s="48"/>
      <c r="K52" s="45" t="s">
        <v>463</v>
      </c>
    </row>
    <row r="53" spans="2:11">
      <c r="B53" s="4" t="s">
        <v>523</v>
      </c>
      <c r="C53" s="4" t="s">
        <v>137</v>
      </c>
      <c r="D53" s="2">
        <v>32.869999999999997</v>
      </c>
      <c r="E53" s="40">
        <v>32.853000000000002</v>
      </c>
      <c r="F53" s="2">
        <f t="shared" si="0"/>
        <v>1.6999999999995907E-2</v>
      </c>
      <c r="G53" s="2">
        <f t="shared" si="1"/>
        <v>0</v>
      </c>
      <c r="H53" s="4" t="s">
        <v>423</v>
      </c>
      <c r="I53" s="12">
        <f t="shared" si="2"/>
        <v>5.1745654886908062E-4</v>
      </c>
      <c r="J53" s="48"/>
      <c r="K53" s="45" t="s">
        <v>463</v>
      </c>
    </row>
    <row r="54" spans="2:11">
      <c r="B54" s="4" t="s">
        <v>523</v>
      </c>
      <c r="C54" s="4" t="s">
        <v>137</v>
      </c>
      <c r="D54" s="2">
        <v>31.19</v>
      </c>
      <c r="E54" s="40">
        <v>31.504000000000001</v>
      </c>
      <c r="F54" s="2">
        <f t="shared" si="0"/>
        <v>0</v>
      </c>
      <c r="G54" s="2">
        <f t="shared" si="1"/>
        <v>-0.31400000000000006</v>
      </c>
      <c r="H54" s="4" t="s">
        <v>294</v>
      </c>
      <c r="I54" s="12">
        <f>G54/E54</f>
        <v>-9.966988318943628E-3</v>
      </c>
      <c r="J54" s="48"/>
      <c r="K54" s="45" t="s">
        <v>463</v>
      </c>
    </row>
    <row r="55" spans="2:11">
      <c r="B55" s="4" t="s">
        <v>523</v>
      </c>
      <c r="C55" s="4" t="s">
        <v>137</v>
      </c>
      <c r="D55" s="2">
        <v>25.56</v>
      </c>
      <c r="E55" s="40">
        <v>25.259</v>
      </c>
      <c r="F55" s="2">
        <f t="shared" si="0"/>
        <v>0.30099999999999838</v>
      </c>
      <c r="G55" s="2">
        <f t="shared" si="1"/>
        <v>0</v>
      </c>
      <c r="H55" s="4" t="s">
        <v>525</v>
      </c>
      <c r="I55" s="12">
        <f t="shared" si="2"/>
        <v>1.1916544597965017E-2</v>
      </c>
      <c r="J55" s="48"/>
      <c r="K55" s="45" t="s">
        <v>463</v>
      </c>
    </row>
    <row r="56" spans="2:11">
      <c r="B56" s="4" t="s">
        <v>526</v>
      </c>
      <c r="C56" s="4" t="s">
        <v>137</v>
      </c>
      <c r="D56" s="2">
        <v>32.6</v>
      </c>
      <c r="E56" s="40">
        <v>32.661000000000001</v>
      </c>
      <c r="F56" s="2">
        <f t="shared" si="0"/>
        <v>0</v>
      </c>
      <c r="G56" s="2">
        <f t="shared" si="1"/>
        <v>-6.0999999999999943E-2</v>
      </c>
      <c r="H56" s="4" t="s">
        <v>416</v>
      </c>
      <c r="I56" s="12">
        <f>G56/E56</f>
        <v>-1.8676709225069637E-3</v>
      </c>
      <c r="J56" s="48"/>
      <c r="K56" s="45" t="s">
        <v>463</v>
      </c>
    </row>
    <row r="57" spans="2:11">
      <c r="B57" s="4" t="s">
        <v>527</v>
      </c>
      <c r="C57" s="4" t="s">
        <v>528</v>
      </c>
      <c r="D57" s="2">
        <v>32.67</v>
      </c>
      <c r="E57" s="40">
        <v>32.587000000000003</v>
      </c>
      <c r="F57" s="2">
        <f t="shared" si="0"/>
        <v>8.2999999999998408E-2</v>
      </c>
      <c r="G57" s="2">
        <f t="shared" si="1"/>
        <v>0</v>
      </c>
      <c r="H57" s="50" t="s">
        <v>530</v>
      </c>
      <c r="I57" s="12">
        <f t="shared" si="2"/>
        <v>2.5470279559332985E-3</v>
      </c>
      <c r="J57" s="48"/>
      <c r="K57" s="45" t="s">
        <v>463</v>
      </c>
    </row>
    <row r="58" spans="2:11">
      <c r="B58" s="4" t="s">
        <v>527</v>
      </c>
      <c r="C58" s="4" t="s">
        <v>528</v>
      </c>
      <c r="D58" s="2">
        <v>32.619999999999997</v>
      </c>
      <c r="E58" s="40">
        <v>32.631999999999998</v>
      </c>
      <c r="F58" s="2">
        <f t="shared" si="0"/>
        <v>0</v>
      </c>
      <c r="G58" s="2">
        <f t="shared" si="1"/>
        <v>-1.2000000000000455E-2</v>
      </c>
      <c r="H58" s="50" t="s">
        <v>212</v>
      </c>
      <c r="I58" s="12">
        <f t="shared" ref="I58:I63" si="8">G58/E58</f>
        <v>-3.6773719048787865E-4</v>
      </c>
      <c r="J58" s="48"/>
      <c r="K58" s="45" t="s">
        <v>463</v>
      </c>
    </row>
    <row r="59" spans="2:11">
      <c r="B59" s="4" t="s">
        <v>527</v>
      </c>
      <c r="C59" s="4" t="s">
        <v>206</v>
      </c>
      <c r="D59" s="2">
        <v>32.39</v>
      </c>
      <c r="E59" s="40">
        <v>32.658000000000001</v>
      </c>
      <c r="F59" s="2">
        <f t="shared" si="0"/>
        <v>0</v>
      </c>
      <c r="G59" s="2">
        <f t="shared" si="1"/>
        <v>-0.26800000000000068</v>
      </c>
      <c r="H59" s="4" t="s">
        <v>497</v>
      </c>
      <c r="I59" s="12">
        <f t="shared" si="8"/>
        <v>-8.2062588033560129E-3</v>
      </c>
      <c r="J59" s="48"/>
      <c r="K59" s="45" t="s">
        <v>461</v>
      </c>
    </row>
    <row r="60" spans="2:11">
      <c r="B60" s="4" t="s">
        <v>527</v>
      </c>
      <c r="C60" s="4" t="s">
        <v>206</v>
      </c>
      <c r="D60" s="2">
        <v>32.299999999999997</v>
      </c>
      <c r="E60" s="40">
        <v>32.789000000000001</v>
      </c>
      <c r="F60" s="2">
        <f t="shared" si="0"/>
        <v>0</v>
      </c>
      <c r="G60" s="2">
        <f t="shared" si="1"/>
        <v>-0.48900000000000432</v>
      </c>
      <c r="H60" s="4" t="s">
        <v>531</v>
      </c>
      <c r="I60" s="12">
        <f t="shared" si="8"/>
        <v>-1.4913538076794177E-2</v>
      </c>
      <c r="J60" s="48"/>
      <c r="K60" s="45" t="s">
        <v>461</v>
      </c>
    </row>
    <row r="61" spans="2:11">
      <c r="B61" s="4" t="s">
        <v>527</v>
      </c>
      <c r="C61" s="4" t="s">
        <v>206</v>
      </c>
      <c r="D61" s="2">
        <v>31.87</v>
      </c>
      <c r="E61" s="40">
        <v>32.189</v>
      </c>
      <c r="F61" s="2">
        <f t="shared" si="0"/>
        <v>0</v>
      </c>
      <c r="G61" s="2">
        <f t="shared" si="1"/>
        <v>-0.31899999999999906</v>
      </c>
      <c r="H61" s="4" t="s">
        <v>289</v>
      </c>
      <c r="I61" s="12">
        <f t="shared" si="8"/>
        <v>-9.9102177762589415E-3</v>
      </c>
      <c r="J61" s="48"/>
      <c r="K61" s="45" t="s">
        <v>461</v>
      </c>
    </row>
    <row r="62" spans="2:11">
      <c r="B62" s="4" t="s">
        <v>527</v>
      </c>
      <c r="C62" s="4" t="s">
        <v>206</v>
      </c>
      <c r="D62" s="2">
        <v>32.17</v>
      </c>
      <c r="E62" s="40">
        <v>32.773000000000003</v>
      </c>
      <c r="F62" s="2">
        <f t="shared" si="0"/>
        <v>0</v>
      </c>
      <c r="G62" s="2">
        <f t="shared" si="1"/>
        <v>-0.60300000000000153</v>
      </c>
      <c r="H62" s="4" t="s">
        <v>300</v>
      </c>
      <c r="I62" s="12">
        <f t="shared" si="8"/>
        <v>-1.8399292100204481E-2</v>
      </c>
      <c r="J62" s="48"/>
      <c r="K62" s="45" t="s">
        <v>461</v>
      </c>
    </row>
    <row r="63" spans="2:11">
      <c r="B63" s="4" t="s">
        <v>527</v>
      </c>
      <c r="C63" s="4" t="s">
        <v>206</v>
      </c>
      <c r="D63" s="2">
        <v>32.130000000000003</v>
      </c>
      <c r="E63" s="40">
        <v>32.305</v>
      </c>
      <c r="F63" s="2">
        <f t="shared" si="0"/>
        <v>0</v>
      </c>
      <c r="G63" s="2">
        <f t="shared" si="1"/>
        <v>-0.17499999999999716</v>
      </c>
      <c r="H63" s="4" t="s">
        <v>532</v>
      </c>
      <c r="I63" s="12">
        <f t="shared" si="8"/>
        <v>-5.4171180931743435E-3</v>
      </c>
      <c r="J63" s="48"/>
      <c r="K63" s="45" t="s">
        <v>461</v>
      </c>
    </row>
    <row r="64" spans="2:11">
      <c r="B64" s="4" t="s">
        <v>529</v>
      </c>
      <c r="C64" s="4" t="s">
        <v>206</v>
      </c>
      <c r="D64" s="2">
        <v>33.049999999999997</v>
      </c>
      <c r="E64" s="40">
        <v>32.912999999999997</v>
      </c>
      <c r="F64" s="2">
        <f t="shared" si="0"/>
        <v>0.13700000000000045</v>
      </c>
      <c r="G64" s="2">
        <f t="shared" si="1"/>
        <v>0</v>
      </c>
      <c r="H64" s="4" t="s">
        <v>315</v>
      </c>
      <c r="I64" s="12">
        <f t="shared" ref="I64" si="9">F64/E64</f>
        <v>4.162488986114923E-3</v>
      </c>
      <c r="J64" s="48"/>
      <c r="K64" s="45" t="s">
        <v>461</v>
      </c>
    </row>
    <row r="65" spans="2:11">
      <c r="B65" s="4" t="s">
        <v>529</v>
      </c>
      <c r="C65" s="4" t="s">
        <v>206</v>
      </c>
      <c r="D65" s="2">
        <v>32.26</v>
      </c>
      <c r="E65" s="40">
        <v>32.557000000000002</v>
      </c>
      <c r="F65" s="2">
        <f t="shared" si="0"/>
        <v>0</v>
      </c>
      <c r="G65" s="2">
        <f t="shared" si="1"/>
        <v>-0.29700000000000415</v>
      </c>
      <c r="H65" s="4" t="s">
        <v>533</v>
      </c>
      <c r="I65" s="12">
        <f>G65/E65</f>
        <v>-9.1224621433179994E-3</v>
      </c>
      <c r="J65" s="48"/>
      <c r="K65" s="45" t="s">
        <v>461</v>
      </c>
    </row>
    <row r="66" spans="2:11">
      <c r="B66" s="4" t="s">
        <v>529</v>
      </c>
      <c r="C66" s="4" t="s">
        <v>206</v>
      </c>
      <c r="D66" s="2">
        <v>24.56</v>
      </c>
      <c r="E66" s="40">
        <v>24.18</v>
      </c>
      <c r="F66" s="2">
        <f t="shared" si="0"/>
        <v>0.37999999999999901</v>
      </c>
      <c r="G66" s="2">
        <f t="shared" si="1"/>
        <v>0</v>
      </c>
      <c r="H66" s="4" t="s">
        <v>376</v>
      </c>
      <c r="I66" s="12">
        <f t="shared" ref="I66" si="10">F66/E66</f>
        <v>1.5715467328370512E-2</v>
      </c>
      <c r="J66" s="48"/>
      <c r="K66" s="45" t="s">
        <v>461</v>
      </c>
    </row>
    <row r="67" spans="2:11">
      <c r="B67" s="4" t="s">
        <v>529</v>
      </c>
      <c r="C67" s="4" t="s">
        <v>206</v>
      </c>
      <c r="D67" s="2">
        <v>32.14</v>
      </c>
      <c r="E67" s="40">
        <v>32.152999999999999</v>
      </c>
      <c r="F67" s="2">
        <f t="shared" si="0"/>
        <v>0</v>
      </c>
      <c r="G67" s="2">
        <f t="shared" si="1"/>
        <v>-1.2999999999998124E-2</v>
      </c>
      <c r="H67" s="4" t="s">
        <v>534</v>
      </c>
      <c r="I67" s="12">
        <f t="shared" ref="I67:I72" si="11">G67/E67</f>
        <v>-4.0431686001300422E-4</v>
      </c>
      <c r="J67" s="48"/>
      <c r="K67" s="45" t="s">
        <v>461</v>
      </c>
    </row>
    <row r="68" spans="2:11">
      <c r="B68" s="4" t="s">
        <v>529</v>
      </c>
      <c r="C68" s="4" t="s">
        <v>206</v>
      </c>
      <c r="D68" s="2">
        <v>39.68</v>
      </c>
      <c r="E68" s="40">
        <v>40.091999999999999</v>
      </c>
      <c r="F68" s="2">
        <f t="shared" si="0"/>
        <v>0</v>
      </c>
      <c r="G68" s="2">
        <f t="shared" si="1"/>
        <v>-0.41199999999999903</v>
      </c>
      <c r="H68" s="4" t="s">
        <v>535</v>
      </c>
      <c r="I68" s="12">
        <f t="shared" si="11"/>
        <v>-1.027636436196745E-2</v>
      </c>
      <c r="J68" s="48"/>
      <c r="K68" s="45" t="s">
        <v>461</v>
      </c>
    </row>
    <row r="69" spans="2:11">
      <c r="B69" s="4" t="s">
        <v>529</v>
      </c>
      <c r="C69" s="4" t="s">
        <v>206</v>
      </c>
      <c r="D69" s="2">
        <v>32.33</v>
      </c>
      <c r="E69" s="40">
        <v>32.530999999999999</v>
      </c>
      <c r="F69" s="2">
        <f t="shared" si="0"/>
        <v>0</v>
      </c>
      <c r="G69" s="2">
        <f t="shared" si="1"/>
        <v>-0.20100000000000051</v>
      </c>
      <c r="H69" s="4" t="s">
        <v>453</v>
      </c>
      <c r="I69" s="12">
        <f t="shared" si="11"/>
        <v>-6.178721834557822E-3</v>
      </c>
      <c r="J69" s="48"/>
      <c r="K69" s="45" t="s">
        <v>461</v>
      </c>
    </row>
    <row r="70" spans="2:11">
      <c r="B70" s="4" t="s">
        <v>529</v>
      </c>
      <c r="C70" s="4" t="s">
        <v>206</v>
      </c>
      <c r="D70" s="2">
        <v>32.799999999999997</v>
      </c>
      <c r="E70" s="40">
        <v>32.99</v>
      </c>
      <c r="F70" s="2">
        <f t="shared" ref="F70:F108" si="12">IF(D70-E70&lt;=0,0,D70-E70)</f>
        <v>0</v>
      </c>
      <c r="G70" s="2">
        <f t="shared" ref="G70:G108" si="13">IF(D70-E70&gt;=0,0,D70-E70)</f>
        <v>-0.19000000000000483</v>
      </c>
      <c r="H70" s="4" t="s">
        <v>217</v>
      </c>
      <c r="I70" s="12">
        <f t="shared" si="11"/>
        <v>-5.7593210063657113E-3</v>
      </c>
      <c r="J70" s="48"/>
      <c r="K70" s="45" t="s">
        <v>461</v>
      </c>
    </row>
    <row r="71" spans="2:11">
      <c r="B71" s="4" t="s">
        <v>529</v>
      </c>
      <c r="C71" s="4" t="s">
        <v>206</v>
      </c>
      <c r="D71" s="2">
        <v>31.96</v>
      </c>
      <c r="E71" s="40">
        <v>32.031999999999996</v>
      </c>
      <c r="F71" s="2">
        <f t="shared" si="12"/>
        <v>0</v>
      </c>
      <c r="G71" s="2">
        <f t="shared" si="13"/>
        <v>-7.1999999999995623E-2</v>
      </c>
      <c r="H71" s="4" t="s">
        <v>204</v>
      </c>
      <c r="I71" s="12">
        <f t="shared" si="11"/>
        <v>-2.2477522477521114E-3</v>
      </c>
      <c r="J71" s="48"/>
      <c r="K71" s="45" t="s">
        <v>461</v>
      </c>
    </row>
    <row r="72" spans="2:11">
      <c r="B72" s="4" t="s">
        <v>529</v>
      </c>
      <c r="C72" s="4" t="s">
        <v>206</v>
      </c>
      <c r="D72" s="2">
        <v>32.630000000000003</v>
      </c>
      <c r="E72" s="40">
        <v>33.094000000000001</v>
      </c>
      <c r="F72" s="2">
        <f t="shared" si="12"/>
        <v>0</v>
      </c>
      <c r="G72" s="2">
        <f t="shared" si="13"/>
        <v>-0.46399999999999864</v>
      </c>
      <c r="H72" s="4" t="s">
        <v>209</v>
      </c>
      <c r="I72" s="12">
        <f t="shared" si="11"/>
        <v>-1.4020668399105537E-2</v>
      </c>
      <c r="J72" s="48"/>
      <c r="K72" s="45" t="s">
        <v>461</v>
      </c>
    </row>
    <row r="73" spans="2:11" ht="15.75">
      <c r="B73" s="4" t="s">
        <v>536</v>
      </c>
      <c r="C73" s="4" t="s">
        <v>206</v>
      </c>
      <c r="D73" s="2">
        <v>32.65</v>
      </c>
      <c r="E73" s="40">
        <v>32.572000000000003</v>
      </c>
      <c r="F73" s="2">
        <f t="shared" si="12"/>
        <v>7.799999999999585E-2</v>
      </c>
      <c r="G73" s="2">
        <f t="shared" si="13"/>
        <v>0</v>
      </c>
      <c r="H73" s="3" t="s">
        <v>538</v>
      </c>
      <c r="I73" s="12">
        <f t="shared" ref="I73:I74" si="14">F73/E73</f>
        <v>2.3946948299151372E-3</v>
      </c>
      <c r="J73" s="48"/>
      <c r="K73" s="45" t="s">
        <v>461</v>
      </c>
    </row>
    <row r="74" spans="2:11" ht="15.75">
      <c r="B74" s="4" t="s">
        <v>536</v>
      </c>
      <c r="C74" s="4" t="s">
        <v>206</v>
      </c>
      <c r="D74" s="2">
        <v>32.520000000000003</v>
      </c>
      <c r="E74" s="40">
        <v>32.427999999999997</v>
      </c>
      <c r="F74" s="2">
        <f t="shared" si="12"/>
        <v>9.2000000000005855E-2</v>
      </c>
      <c r="G74" s="2">
        <f t="shared" si="13"/>
        <v>0</v>
      </c>
      <c r="H74" s="3" t="s">
        <v>496</v>
      </c>
      <c r="I74" s="12">
        <f t="shared" si="14"/>
        <v>2.8370543974344966E-3</v>
      </c>
      <c r="J74" s="48"/>
      <c r="K74" s="45" t="s">
        <v>461</v>
      </c>
    </row>
    <row r="75" spans="2:11" ht="15.75">
      <c r="B75" s="4" t="s">
        <v>536</v>
      </c>
      <c r="C75" s="4" t="s">
        <v>206</v>
      </c>
      <c r="D75" s="2">
        <v>39.619999999999997</v>
      </c>
      <c r="E75" s="40">
        <v>39.651000000000003</v>
      </c>
      <c r="F75" s="2">
        <f t="shared" si="12"/>
        <v>0</v>
      </c>
      <c r="G75" s="2">
        <f t="shared" si="13"/>
        <v>-3.1000000000005912E-2</v>
      </c>
      <c r="H75" s="3" t="s">
        <v>539</v>
      </c>
      <c r="I75" s="12">
        <f t="shared" ref="I75:I79" si="15">G75/E75</f>
        <v>-7.8182139164222617E-4</v>
      </c>
      <c r="J75" s="48"/>
      <c r="K75" s="45" t="s">
        <v>461</v>
      </c>
    </row>
    <row r="76" spans="2:11" ht="15.75">
      <c r="B76" s="4" t="s">
        <v>536</v>
      </c>
      <c r="C76" s="4" t="s">
        <v>206</v>
      </c>
      <c r="D76" s="2">
        <v>31.98</v>
      </c>
      <c r="E76" s="40">
        <v>32.012999999999998</v>
      </c>
      <c r="F76" s="2">
        <f t="shared" si="12"/>
        <v>0</v>
      </c>
      <c r="G76" s="2">
        <f t="shared" si="13"/>
        <v>-3.2999999999997698E-2</v>
      </c>
      <c r="H76" s="3" t="s">
        <v>386</v>
      </c>
      <c r="I76" s="12">
        <f t="shared" si="15"/>
        <v>-1.0308312248148471E-3</v>
      </c>
      <c r="J76" s="48"/>
      <c r="K76" s="45" t="s">
        <v>461</v>
      </c>
    </row>
    <row r="77" spans="2:11" ht="15.75">
      <c r="B77" s="4" t="s">
        <v>536</v>
      </c>
      <c r="C77" s="4" t="s">
        <v>137</v>
      </c>
      <c r="D77" s="2">
        <v>32.549999999999997</v>
      </c>
      <c r="E77" s="40">
        <v>32.731000000000002</v>
      </c>
      <c r="F77" s="2">
        <f t="shared" si="12"/>
        <v>0</v>
      </c>
      <c r="G77" s="2">
        <f t="shared" si="13"/>
        <v>-0.18100000000000449</v>
      </c>
      <c r="H77" s="3" t="s">
        <v>23</v>
      </c>
      <c r="I77" s="12">
        <f t="shared" si="15"/>
        <v>-5.5299257584554241E-3</v>
      </c>
      <c r="J77" s="48"/>
      <c r="K77" s="45" t="s">
        <v>463</v>
      </c>
    </row>
    <row r="78" spans="2:11" ht="15.75">
      <c r="B78" s="4" t="s">
        <v>536</v>
      </c>
      <c r="C78" s="4" t="s">
        <v>206</v>
      </c>
      <c r="D78" s="2">
        <v>31.96</v>
      </c>
      <c r="E78" s="40">
        <v>32.079000000000001</v>
      </c>
      <c r="F78" s="2">
        <f t="shared" si="12"/>
        <v>0</v>
      </c>
      <c r="G78" s="2">
        <f t="shared" si="13"/>
        <v>-0.11899999999999977</v>
      </c>
      <c r="H78" s="3" t="s">
        <v>540</v>
      </c>
      <c r="I78" s="12">
        <f t="shared" si="15"/>
        <v>-3.7095919448860552E-3</v>
      </c>
      <c r="J78" s="48"/>
      <c r="K78" s="45" t="s">
        <v>461</v>
      </c>
    </row>
    <row r="79" spans="2:11" ht="15.75">
      <c r="B79" s="4" t="s">
        <v>536</v>
      </c>
      <c r="C79" s="4" t="s">
        <v>206</v>
      </c>
      <c r="D79" s="2">
        <v>32.03</v>
      </c>
      <c r="E79" s="40">
        <v>32.180999999999997</v>
      </c>
      <c r="F79" s="2">
        <f t="shared" si="12"/>
        <v>0</v>
      </c>
      <c r="G79" s="2">
        <f t="shared" si="13"/>
        <v>-0.15099999999999625</v>
      </c>
      <c r="H79" s="3" t="s">
        <v>541</v>
      </c>
      <c r="I79" s="12">
        <f t="shared" si="15"/>
        <v>-4.6922096889467782E-3</v>
      </c>
      <c r="J79" s="48"/>
      <c r="K79" s="45" t="s">
        <v>461</v>
      </c>
    </row>
    <row r="80" spans="2:11" ht="15.75">
      <c r="B80" s="4" t="s">
        <v>537</v>
      </c>
      <c r="C80" s="4" t="s">
        <v>206</v>
      </c>
      <c r="D80" s="2">
        <v>32.65</v>
      </c>
      <c r="E80" s="40">
        <f>14.756+17.828</f>
        <v>32.584000000000003</v>
      </c>
      <c r="F80" s="2">
        <f t="shared" si="12"/>
        <v>6.5999999999995396E-2</v>
      </c>
      <c r="G80" s="2">
        <f t="shared" si="13"/>
        <v>0</v>
      </c>
      <c r="H80" s="3" t="s">
        <v>542</v>
      </c>
      <c r="I80" s="12">
        <f t="shared" ref="I80:I84" si="16">F80/E80</f>
        <v>2.0255340044192053E-3</v>
      </c>
      <c r="J80" s="48"/>
      <c r="K80" s="45" t="s">
        <v>461</v>
      </c>
    </row>
    <row r="81" spans="2:12" ht="15.75">
      <c r="B81" s="4" t="s">
        <v>537</v>
      </c>
      <c r="C81" s="4" t="s">
        <v>206</v>
      </c>
      <c r="D81" s="2">
        <v>32.869999999999997</v>
      </c>
      <c r="E81" s="40">
        <v>32.496000000000002</v>
      </c>
      <c r="F81" s="2">
        <f t="shared" si="12"/>
        <v>0.37399999999999523</v>
      </c>
      <c r="G81" s="2">
        <f t="shared" si="13"/>
        <v>0</v>
      </c>
      <c r="H81" s="3" t="s">
        <v>374</v>
      </c>
      <c r="I81" s="12">
        <f t="shared" si="16"/>
        <v>1.1509108813392269E-2</v>
      </c>
      <c r="J81" s="48"/>
      <c r="K81" s="45" t="s">
        <v>461</v>
      </c>
    </row>
    <row r="82" spans="2:12" ht="15.75">
      <c r="B82" s="4" t="s">
        <v>537</v>
      </c>
      <c r="C82" s="4" t="s">
        <v>206</v>
      </c>
      <c r="D82" s="2">
        <v>32.72</v>
      </c>
      <c r="E82" s="40">
        <v>32.719000000000001</v>
      </c>
      <c r="F82" s="2">
        <f t="shared" si="12"/>
        <v>9.9999999999766942E-4</v>
      </c>
      <c r="G82" s="2">
        <f t="shared" si="13"/>
        <v>0</v>
      </c>
      <c r="H82" s="3" t="s">
        <v>379</v>
      </c>
      <c r="I82" s="12">
        <f t="shared" si="16"/>
        <v>3.0563281273806335E-5</v>
      </c>
      <c r="J82" s="48"/>
      <c r="K82" s="45" t="s">
        <v>461</v>
      </c>
    </row>
    <row r="83" spans="2:12" ht="15.75">
      <c r="B83" s="4" t="s">
        <v>537</v>
      </c>
      <c r="C83" s="4" t="s">
        <v>206</v>
      </c>
      <c r="D83" s="2">
        <v>32.94</v>
      </c>
      <c r="E83" s="40">
        <v>32.515999999999998</v>
      </c>
      <c r="F83" s="2">
        <f t="shared" si="12"/>
        <v>0.42399999999999949</v>
      </c>
      <c r="G83" s="2">
        <f t="shared" si="13"/>
        <v>0</v>
      </c>
      <c r="H83" s="3" t="s">
        <v>439</v>
      </c>
      <c r="I83" s="12">
        <f t="shared" si="16"/>
        <v>1.3039734284659845E-2</v>
      </c>
      <c r="J83" s="48"/>
      <c r="K83" s="45"/>
    </row>
    <row r="84" spans="2:12" ht="15.75">
      <c r="B84" s="4" t="s">
        <v>537</v>
      </c>
      <c r="C84" s="4" t="s">
        <v>206</v>
      </c>
      <c r="D84" s="2">
        <v>32.92</v>
      </c>
      <c r="E84" s="40">
        <v>32.807000000000002</v>
      </c>
      <c r="F84" s="2">
        <f t="shared" si="12"/>
        <v>0.11299999999999955</v>
      </c>
      <c r="G84" s="2">
        <f t="shared" si="13"/>
        <v>0</v>
      </c>
      <c r="H84" s="3" t="s">
        <v>330</v>
      </c>
      <c r="I84" s="12">
        <f t="shared" si="16"/>
        <v>3.4443868686560653E-3</v>
      </c>
      <c r="J84" s="48"/>
      <c r="K84" s="45"/>
      <c r="L84" s="38"/>
    </row>
    <row r="85" spans="2:12" ht="15.75">
      <c r="B85" s="4" t="s">
        <v>537</v>
      </c>
      <c r="C85" s="4" t="s">
        <v>206</v>
      </c>
      <c r="D85" s="2">
        <v>32.19</v>
      </c>
      <c r="E85" s="40">
        <v>32.286000000000001</v>
      </c>
      <c r="F85" s="2">
        <f t="shared" si="12"/>
        <v>0</v>
      </c>
      <c r="G85" s="2">
        <f t="shared" si="13"/>
        <v>-9.6000000000003638E-2</v>
      </c>
      <c r="H85" s="3" t="s">
        <v>501</v>
      </c>
      <c r="I85" s="12">
        <f t="shared" ref="I85:I86" si="17">G85/E85</f>
        <v>-2.9734250139380422E-3</v>
      </c>
      <c r="J85" s="48"/>
      <c r="K85" s="45"/>
    </row>
    <row r="86" spans="2:12" ht="15.75">
      <c r="B86" s="4" t="s">
        <v>543</v>
      </c>
      <c r="C86" s="4" t="s">
        <v>206</v>
      </c>
      <c r="D86" s="2">
        <v>32.26</v>
      </c>
      <c r="E86" s="40">
        <v>32.335000000000001</v>
      </c>
      <c r="F86" s="2">
        <f t="shared" si="12"/>
        <v>0</v>
      </c>
      <c r="G86" s="2">
        <f t="shared" si="13"/>
        <v>-7.5000000000002842E-2</v>
      </c>
      <c r="H86" s="3" t="s">
        <v>376</v>
      </c>
      <c r="I86" s="12">
        <f t="shared" si="17"/>
        <v>-2.3194680686563426E-3</v>
      </c>
      <c r="J86" s="48"/>
      <c r="K86" s="45"/>
    </row>
    <row r="87" spans="2:12" ht="15.75">
      <c r="B87" s="4" t="s">
        <v>543</v>
      </c>
      <c r="C87" s="4" t="s">
        <v>206</v>
      </c>
      <c r="D87" s="2">
        <v>33.26</v>
      </c>
      <c r="E87" s="40">
        <v>33.075000000000003</v>
      </c>
      <c r="F87" s="2">
        <f t="shared" si="12"/>
        <v>0.18499999999999517</v>
      </c>
      <c r="G87" s="2">
        <f t="shared" si="13"/>
        <v>0</v>
      </c>
      <c r="H87" s="3" t="s">
        <v>373</v>
      </c>
      <c r="I87" s="12">
        <f t="shared" ref="I87:I108" si="18">F87/E87</f>
        <v>5.5933484504911615E-3</v>
      </c>
      <c r="J87" s="48"/>
      <c r="K87" s="45"/>
    </row>
    <row r="88" spans="2:12" ht="15.75">
      <c r="B88" s="4" t="s">
        <v>543</v>
      </c>
      <c r="C88" s="4" t="s">
        <v>206</v>
      </c>
      <c r="D88" s="2">
        <v>32.26</v>
      </c>
      <c r="E88" s="40">
        <v>32.482999999999997</v>
      </c>
      <c r="F88" s="2">
        <f t="shared" si="12"/>
        <v>0</v>
      </c>
      <c r="G88" s="2">
        <f t="shared" si="13"/>
        <v>-0.22299999999999898</v>
      </c>
      <c r="H88" s="3" t="s">
        <v>375</v>
      </c>
      <c r="I88" s="12">
        <f t="shared" ref="I88:I91" si="19">G88/E88</f>
        <v>-6.8651294523288794E-3</v>
      </c>
      <c r="J88" s="48"/>
      <c r="K88" s="45"/>
    </row>
    <row r="89" spans="2:12" ht="15.75">
      <c r="B89" s="4" t="s">
        <v>544</v>
      </c>
      <c r="C89" s="4" t="s">
        <v>206</v>
      </c>
      <c r="D89" s="2">
        <v>39.96</v>
      </c>
      <c r="E89" s="40">
        <v>40.045000000000002</v>
      </c>
      <c r="F89" s="2">
        <f t="shared" si="12"/>
        <v>0</v>
      </c>
      <c r="G89" s="2">
        <f t="shared" si="13"/>
        <v>-8.5000000000000853E-2</v>
      </c>
      <c r="H89" s="3" t="s">
        <v>545</v>
      </c>
      <c r="I89" s="12">
        <f t="shared" si="19"/>
        <v>-2.1226120614309114E-3</v>
      </c>
      <c r="J89" s="48"/>
      <c r="K89" s="45"/>
    </row>
    <row r="90" spans="2:12" ht="15.75">
      <c r="B90" s="4" t="s">
        <v>546</v>
      </c>
      <c r="C90" s="4" t="s">
        <v>206</v>
      </c>
      <c r="D90" s="2">
        <v>39.119999999999997</v>
      </c>
      <c r="E90" s="40">
        <v>39.329000000000001</v>
      </c>
      <c r="F90" s="2">
        <f t="shared" si="12"/>
        <v>0</v>
      </c>
      <c r="G90" s="2">
        <f t="shared" si="13"/>
        <v>-0.20900000000000318</v>
      </c>
      <c r="H90" s="3" t="s">
        <v>547</v>
      </c>
      <c r="I90" s="12">
        <f t="shared" si="19"/>
        <v>-5.3141447786621372E-3</v>
      </c>
      <c r="J90" s="48"/>
      <c r="K90" s="45"/>
    </row>
    <row r="91" spans="2:12" ht="15.75">
      <c r="B91" s="4" t="s">
        <v>548</v>
      </c>
      <c r="C91" s="4" t="s">
        <v>206</v>
      </c>
      <c r="D91" s="2">
        <v>31.78</v>
      </c>
      <c r="E91" s="40">
        <v>32.076999999999998</v>
      </c>
      <c r="F91" s="2">
        <f t="shared" si="12"/>
        <v>0</v>
      </c>
      <c r="G91" s="2">
        <f t="shared" si="13"/>
        <v>-0.29699999999999704</v>
      </c>
      <c r="H91" s="3" t="s">
        <v>549</v>
      </c>
      <c r="I91" s="12">
        <f t="shared" si="19"/>
        <v>-9.258970601988872E-3</v>
      </c>
      <c r="J91" s="48"/>
      <c r="K91" s="45"/>
    </row>
    <row r="92" spans="2:12" ht="15.75">
      <c r="B92" s="4" t="s">
        <v>548</v>
      </c>
      <c r="C92" s="4" t="s">
        <v>206</v>
      </c>
      <c r="D92" s="2">
        <v>32.15</v>
      </c>
      <c r="E92" s="42">
        <v>32.124000000000002</v>
      </c>
      <c r="F92" s="2">
        <f t="shared" si="12"/>
        <v>2.5999999999996248E-2</v>
      </c>
      <c r="G92" s="2">
        <f t="shared" si="13"/>
        <v>0</v>
      </c>
      <c r="H92" s="3" t="s">
        <v>499</v>
      </c>
      <c r="I92" s="12">
        <f>F92/E92</f>
        <v>8.0936371560192527E-4</v>
      </c>
      <c r="J92" s="48"/>
      <c r="K92" s="45"/>
    </row>
    <row r="93" spans="2:12" ht="15.75">
      <c r="B93" s="4" t="s">
        <v>550</v>
      </c>
      <c r="C93" s="4" t="s">
        <v>206</v>
      </c>
      <c r="D93" s="2">
        <v>32.729999999999997</v>
      </c>
      <c r="E93" s="42">
        <v>32.548000000000002</v>
      </c>
      <c r="F93" s="2">
        <f t="shared" si="12"/>
        <v>0.18199999999999505</v>
      </c>
      <c r="G93" s="2">
        <f t="shared" si="13"/>
        <v>0</v>
      </c>
      <c r="H93" s="3" t="s">
        <v>217</v>
      </c>
      <c r="I93" s="12">
        <f t="shared" si="18"/>
        <v>5.5917414280445814E-3</v>
      </c>
      <c r="J93" s="48"/>
      <c r="K93" s="45"/>
    </row>
    <row r="94" spans="2:12" ht="15.75">
      <c r="B94" s="4" t="s">
        <v>550</v>
      </c>
      <c r="C94" s="4" t="s">
        <v>206</v>
      </c>
      <c r="D94" s="2">
        <v>32.75</v>
      </c>
      <c r="E94" s="40">
        <v>32.58</v>
      </c>
      <c r="F94" s="2">
        <f t="shared" si="12"/>
        <v>0.17000000000000171</v>
      </c>
      <c r="G94" s="2">
        <f t="shared" si="13"/>
        <v>0</v>
      </c>
      <c r="H94" s="3" t="s">
        <v>551</v>
      </c>
      <c r="I94" s="12">
        <f t="shared" si="18"/>
        <v>5.2179251074279225E-3</v>
      </c>
      <c r="J94" s="48"/>
      <c r="K94" s="45"/>
    </row>
    <row r="95" spans="2:12" ht="15.75">
      <c r="B95" s="4" t="s">
        <v>550</v>
      </c>
      <c r="C95" s="4" t="s">
        <v>137</v>
      </c>
      <c r="D95" s="2">
        <v>32.69</v>
      </c>
      <c r="E95" s="42">
        <v>32.651000000000003</v>
      </c>
      <c r="F95" s="2">
        <f t="shared" si="12"/>
        <v>3.8999999999994373E-2</v>
      </c>
      <c r="G95" s="2">
        <f t="shared" si="13"/>
        <v>0</v>
      </c>
      <c r="H95" s="3" t="s">
        <v>13</v>
      </c>
      <c r="I95" s="12">
        <f t="shared" si="18"/>
        <v>1.1944503996813075E-3</v>
      </c>
      <c r="J95" s="48"/>
      <c r="K95" s="45"/>
    </row>
    <row r="96" spans="2:12" ht="15.75">
      <c r="B96" s="4" t="s">
        <v>552</v>
      </c>
      <c r="C96" s="4" t="s">
        <v>137</v>
      </c>
      <c r="D96" s="2">
        <v>32.86</v>
      </c>
      <c r="E96" s="42">
        <v>32.676000000000002</v>
      </c>
      <c r="F96" s="2">
        <f t="shared" si="12"/>
        <v>0.1839999999999975</v>
      </c>
      <c r="G96" s="2">
        <f t="shared" si="13"/>
        <v>0</v>
      </c>
      <c r="H96" s="3" t="s">
        <v>386</v>
      </c>
      <c r="I96" s="12">
        <f t="shared" si="18"/>
        <v>5.6310441914554253E-3</v>
      </c>
      <c r="J96" s="48"/>
      <c r="K96" s="45"/>
    </row>
    <row r="97" spans="2:11" ht="15.75">
      <c r="B97" s="4" t="s">
        <v>552</v>
      </c>
      <c r="C97" s="4" t="s">
        <v>206</v>
      </c>
      <c r="D97" s="2">
        <v>39.53</v>
      </c>
      <c r="E97" s="42">
        <v>39.497999999999998</v>
      </c>
      <c r="F97" s="2">
        <f t="shared" si="12"/>
        <v>3.2000000000003581E-2</v>
      </c>
      <c r="G97" s="2">
        <f t="shared" si="13"/>
        <v>0</v>
      </c>
      <c r="H97" s="3" t="s">
        <v>253</v>
      </c>
      <c r="I97" s="12">
        <f t="shared" si="18"/>
        <v>8.1016760342304882E-4</v>
      </c>
      <c r="J97" s="48"/>
      <c r="K97" s="45"/>
    </row>
    <row r="98" spans="2:11" ht="15.75">
      <c r="B98" s="4" t="s">
        <v>552</v>
      </c>
      <c r="C98" s="4" t="s">
        <v>137</v>
      </c>
      <c r="D98" s="2">
        <v>32.630000000000003</v>
      </c>
      <c r="E98" s="42">
        <v>32.790999999999997</v>
      </c>
      <c r="F98" s="2">
        <f t="shared" si="12"/>
        <v>0</v>
      </c>
      <c r="G98" s="2">
        <f t="shared" si="13"/>
        <v>-0.16099999999999426</v>
      </c>
      <c r="H98" s="3" t="s">
        <v>23</v>
      </c>
      <c r="I98" s="12">
        <f t="shared" ref="I98:I99" si="20">G98/E98</f>
        <v>-4.9098838095817231E-3</v>
      </c>
      <c r="J98" s="48"/>
      <c r="K98" s="45"/>
    </row>
    <row r="99" spans="2:11" ht="15.75">
      <c r="B99" s="4" t="s">
        <v>552</v>
      </c>
      <c r="C99" s="4" t="s">
        <v>137</v>
      </c>
      <c r="D99" s="2">
        <v>32.71</v>
      </c>
      <c r="E99" s="42">
        <v>32.869999999999997</v>
      </c>
      <c r="F99" s="2">
        <f t="shared" si="12"/>
        <v>0</v>
      </c>
      <c r="G99" s="2">
        <f t="shared" si="13"/>
        <v>-0.15999999999999659</v>
      </c>
      <c r="H99" s="3" t="s">
        <v>453</v>
      </c>
      <c r="I99" s="12">
        <f t="shared" si="20"/>
        <v>-4.8676604806813691E-3</v>
      </c>
      <c r="J99" s="48"/>
      <c r="K99" s="45"/>
    </row>
    <row r="100" spans="2:11" ht="15.75">
      <c r="B100" s="4" t="s">
        <v>552</v>
      </c>
      <c r="C100" s="4" t="s">
        <v>206</v>
      </c>
      <c r="D100" s="2">
        <v>32.380000000000003</v>
      </c>
      <c r="E100" s="42">
        <v>32.095999999999997</v>
      </c>
      <c r="F100" s="2">
        <f t="shared" si="12"/>
        <v>0.28400000000000603</v>
      </c>
      <c r="G100" s="2">
        <f t="shared" si="13"/>
        <v>0</v>
      </c>
      <c r="H100" s="3" t="s">
        <v>376</v>
      </c>
      <c r="I100" s="12">
        <f t="shared" si="18"/>
        <v>8.8484546360919139E-3</v>
      </c>
      <c r="J100" s="48"/>
      <c r="K100" s="45"/>
    </row>
    <row r="101" spans="2:11" ht="15.75">
      <c r="B101" s="4" t="s">
        <v>552</v>
      </c>
      <c r="C101" s="4" t="s">
        <v>137</v>
      </c>
      <c r="D101" s="2">
        <v>31.28</v>
      </c>
      <c r="E101" s="42">
        <v>31.245999999999999</v>
      </c>
      <c r="F101" s="2">
        <f t="shared" si="12"/>
        <v>3.4000000000002473E-2</v>
      </c>
      <c r="G101" s="2">
        <f t="shared" si="13"/>
        <v>0</v>
      </c>
      <c r="H101" s="3" t="s">
        <v>323</v>
      </c>
      <c r="I101" s="12">
        <f t="shared" si="18"/>
        <v>1.0881392818281532E-3</v>
      </c>
      <c r="J101" s="48"/>
      <c r="K101" s="45"/>
    </row>
    <row r="102" spans="2:11" ht="15.75">
      <c r="B102" s="4" t="s">
        <v>553</v>
      </c>
      <c r="C102" s="4" t="s">
        <v>528</v>
      </c>
      <c r="D102" s="2">
        <v>32.4</v>
      </c>
      <c r="E102" s="42">
        <v>32.249000000000002</v>
      </c>
      <c r="F102" s="2">
        <f t="shared" si="12"/>
        <v>0.15099999999999625</v>
      </c>
      <c r="G102" s="2">
        <f t="shared" si="13"/>
        <v>0</v>
      </c>
      <c r="H102" s="3" t="s">
        <v>554</v>
      </c>
      <c r="I102" s="12">
        <f t="shared" si="18"/>
        <v>4.6823157307202155E-3</v>
      </c>
      <c r="J102" s="48"/>
      <c r="K102" s="45"/>
    </row>
    <row r="103" spans="2:11" ht="15.75">
      <c r="B103" s="4" t="s">
        <v>553</v>
      </c>
      <c r="C103" s="4" t="s">
        <v>528</v>
      </c>
      <c r="D103" s="2">
        <v>32.9</v>
      </c>
      <c r="E103" s="42">
        <v>32.984999999999999</v>
      </c>
      <c r="F103" s="2">
        <f t="shared" si="12"/>
        <v>0</v>
      </c>
      <c r="G103" s="2">
        <f t="shared" si="13"/>
        <v>-8.5000000000000853E-2</v>
      </c>
      <c r="H103" s="3" t="s">
        <v>555</v>
      </c>
      <c r="I103" s="12">
        <f t="shared" ref="I103:I104" si="21">G103/E103</f>
        <v>-2.5769289070790014E-3</v>
      </c>
      <c r="J103" s="48"/>
      <c r="K103" s="45"/>
    </row>
    <row r="104" spans="2:11" ht="15.75">
      <c r="B104" s="4" t="s">
        <v>553</v>
      </c>
      <c r="C104" s="4" t="s">
        <v>137</v>
      </c>
      <c r="D104" s="2">
        <v>32.15</v>
      </c>
      <c r="E104" s="42">
        <v>32.302999999999997</v>
      </c>
      <c r="F104" s="2">
        <f t="shared" si="12"/>
        <v>0</v>
      </c>
      <c r="G104" s="2">
        <f t="shared" si="13"/>
        <v>-0.15299999999999869</v>
      </c>
      <c r="H104" s="3" t="s">
        <v>287</v>
      </c>
      <c r="I104" s="12">
        <f t="shared" si="21"/>
        <v>-4.7364021917468569E-3</v>
      </c>
      <c r="J104" s="48"/>
      <c r="K104" s="45"/>
    </row>
    <row r="105" spans="2:11" ht="15.75">
      <c r="B105" s="4" t="s">
        <v>553</v>
      </c>
      <c r="C105" s="4" t="s">
        <v>137</v>
      </c>
      <c r="D105" s="2">
        <v>31.82</v>
      </c>
      <c r="E105" s="42">
        <v>31.734000000000002</v>
      </c>
      <c r="F105" s="2">
        <f t="shared" si="12"/>
        <v>8.5999999999998522E-2</v>
      </c>
      <c r="G105" s="2">
        <f t="shared" si="13"/>
        <v>0</v>
      </c>
      <c r="H105" s="3" t="s">
        <v>16</v>
      </c>
      <c r="I105" s="12">
        <f t="shared" si="18"/>
        <v>2.7100271002709559E-3</v>
      </c>
      <c r="J105" s="48"/>
      <c r="K105" s="45"/>
    </row>
    <row r="106" spans="2:11" ht="15.75">
      <c r="B106" s="4" t="s">
        <v>553</v>
      </c>
      <c r="C106" s="4" t="s">
        <v>206</v>
      </c>
      <c r="D106" s="2">
        <v>32.28</v>
      </c>
      <c r="E106" s="42">
        <v>32.206000000000003</v>
      </c>
      <c r="F106" s="2">
        <f t="shared" si="12"/>
        <v>7.3999999999998067E-2</v>
      </c>
      <c r="G106" s="2">
        <f t="shared" si="13"/>
        <v>0</v>
      </c>
      <c r="H106" s="3" t="s">
        <v>315</v>
      </c>
      <c r="I106" s="12">
        <f t="shared" si="18"/>
        <v>2.2977085015213955E-3</v>
      </c>
      <c r="J106" s="48"/>
      <c r="K106" s="45"/>
    </row>
    <row r="107" spans="2:11" ht="15.75">
      <c r="B107" s="4" t="s">
        <v>553</v>
      </c>
      <c r="C107" s="4" t="s">
        <v>206</v>
      </c>
      <c r="D107" s="2">
        <f>39.97-1.183</f>
        <v>38.786999999999999</v>
      </c>
      <c r="E107" s="42">
        <f>40.077-1.183</f>
        <v>38.893999999999998</v>
      </c>
      <c r="F107" s="2">
        <f t="shared" si="12"/>
        <v>0</v>
      </c>
      <c r="G107" s="2">
        <f t="shared" si="13"/>
        <v>-0.10699999999999932</v>
      </c>
      <c r="H107" s="3" t="s">
        <v>380</v>
      </c>
      <c r="I107" s="12">
        <f>G107/E107</f>
        <v>-2.7510670026224949E-3</v>
      </c>
      <c r="J107" s="48"/>
      <c r="K107" s="45"/>
    </row>
    <row r="108" spans="2:11" ht="15.75">
      <c r="B108" s="4" t="s">
        <v>553</v>
      </c>
      <c r="C108" s="4" t="s">
        <v>206</v>
      </c>
      <c r="D108" s="2">
        <v>32.75</v>
      </c>
      <c r="E108" s="42">
        <v>32.656999999999996</v>
      </c>
      <c r="F108" s="2">
        <f t="shared" si="12"/>
        <v>9.3000000000003524E-2</v>
      </c>
      <c r="G108" s="2">
        <f t="shared" si="13"/>
        <v>0</v>
      </c>
      <c r="H108" s="3" t="s">
        <v>534</v>
      </c>
      <c r="I108" s="12">
        <f t="shared" si="18"/>
        <v>2.8477814863583162E-3</v>
      </c>
      <c r="J108" s="48"/>
      <c r="K108" s="45"/>
    </row>
    <row r="109" spans="2:11" ht="15.75">
      <c r="B109" s="4" t="s">
        <v>553</v>
      </c>
      <c r="C109" s="4" t="s">
        <v>206</v>
      </c>
      <c r="D109" s="2">
        <v>13.8</v>
      </c>
      <c r="E109" s="42">
        <v>13.994</v>
      </c>
      <c r="F109" s="2">
        <f t="shared" ref="F109:F110" si="22">IF(D109-E109&lt;=0,0,D109-E109)</f>
        <v>0</v>
      </c>
      <c r="G109" s="2">
        <f t="shared" ref="G109:G110" si="23">IF(D109-E109&gt;=0,0,D109-E109)</f>
        <v>-0.19399999999999906</v>
      </c>
      <c r="H109" s="3" t="s">
        <v>300</v>
      </c>
      <c r="I109" s="12">
        <f>G109/E109</f>
        <v>-1.3863084178933761E-2</v>
      </c>
      <c r="J109" s="48"/>
      <c r="K109" s="45"/>
    </row>
    <row r="110" spans="2:11" ht="15.75">
      <c r="B110" s="4"/>
      <c r="C110" s="4"/>
      <c r="D110" s="2"/>
      <c r="E110" s="2"/>
      <c r="F110" s="2">
        <f t="shared" si="22"/>
        <v>0</v>
      </c>
      <c r="G110" s="2">
        <f t="shared" si="23"/>
        <v>0</v>
      </c>
      <c r="H110" s="3"/>
      <c r="I110" s="12" t="e">
        <f t="shared" ref="I110" si="24">F110/E110</f>
        <v>#DIV/0!</v>
      </c>
      <c r="J110" s="48"/>
      <c r="K110" s="45"/>
    </row>
    <row r="111" spans="2:11" ht="15.75">
      <c r="B111" s="7"/>
      <c r="C111" s="7"/>
      <c r="D111" s="6">
        <f>SUM(D5:D110)</f>
        <v>3372.0770000000025</v>
      </c>
      <c r="E111" s="6">
        <f>SUM(E5:E110)</f>
        <v>3365.7400000000002</v>
      </c>
      <c r="F111" s="6">
        <f>SUM(F5:F110)</f>
        <v>13.319999999999972</v>
      </c>
      <c r="G111" s="6">
        <f>SUM(G5:G110)</f>
        <v>-6.9830000000000041</v>
      </c>
      <c r="H111" s="10">
        <f>SUM(F111:G111)</f>
        <v>6.3369999999999678</v>
      </c>
      <c r="I111" s="11">
        <f>H111/E111</f>
        <v>1.8827954625134345E-3</v>
      </c>
      <c r="J111" s="11"/>
      <c r="K111" s="45"/>
    </row>
    <row r="113" spans="5:5">
      <c r="E113" s="38"/>
    </row>
    <row r="115" spans="5:5">
      <c r="E115" s="38"/>
    </row>
  </sheetData>
  <mergeCells count="1">
    <mergeCell ref="B2:I2"/>
  </mergeCells>
  <pageMargins left="0.45" right="0.45" top="0.25" bottom="0.25" header="0.3" footer="0.3"/>
  <pageSetup paperSize="9" scale="84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2:L132"/>
  <sheetViews>
    <sheetView zoomScaleSheetLayoutView="100" workbookViewId="0">
      <pane ySplit="4" topLeftCell="A115" activePane="bottomLeft" state="frozen"/>
      <selection pane="bottomLeft" activeCell="F120" sqref="F120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8" customWidth="1"/>
    <col min="9" max="9" width="11.42578125" customWidth="1"/>
    <col min="10" max="10" width="43.5703125" hidden="1" customWidth="1"/>
    <col min="11" max="11" width="12.28515625" bestFit="1" customWidth="1"/>
    <col min="13" max="13" width="9.42578125" bestFit="1" customWidth="1"/>
    <col min="16" max="16" width="12.85546875" bestFit="1" customWidth="1"/>
  </cols>
  <sheetData>
    <row r="2" spans="2:11" ht="19.5">
      <c r="B2" s="58" t="s">
        <v>611</v>
      </c>
      <c r="C2" s="59"/>
      <c r="D2" s="59"/>
      <c r="E2" s="59"/>
      <c r="F2" s="59"/>
      <c r="G2" s="59"/>
      <c r="H2" s="59"/>
      <c r="I2" s="59"/>
      <c r="J2" s="51"/>
    </row>
    <row r="4" spans="2:11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5" t="s">
        <v>7</v>
      </c>
      <c r="J4" s="5" t="s">
        <v>510</v>
      </c>
      <c r="K4" s="5" t="s">
        <v>462</v>
      </c>
    </row>
    <row r="5" spans="2:11" ht="15.75">
      <c r="B5" s="4" t="s">
        <v>556</v>
      </c>
      <c r="C5" s="4" t="s">
        <v>206</v>
      </c>
      <c r="D5" s="2">
        <v>33.15</v>
      </c>
      <c r="E5" s="40">
        <v>33.04</v>
      </c>
      <c r="F5" s="2">
        <f t="shared" ref="F5:F69" si="0">IF(D5-E5&lt;=0,0,D5-E5)</f>
        <v>0.10999999999999943</v>
      </c>
      <c r="G5" s="2">
        <f t="shared" ref="G5:G69" si="1">IF(D5-E5&gt;=0,0,D5-E5)</f>
        <v>0</v>
      </c>
      <c r="H5" s="3" t="s">
        <v>372</v>
      </c>
      <c r="I5" s="12">
        <f>F5/E5</f>
        <v>3.3292978208232273E-3</v>
      </c>
      <c r="J5" s="48" t="s">
        <v>512</v>
      </c>
      <c r="K5" s="45" t="s">
        <v>463</v>
      </c>
    </row>
    <row r="6" spans="2:11" ht="15.75">
      <c r="B6" s="4" t="s">
        <v>556</v>
      </c>
      <c r="C6" s="4" t="s">
        <v>137</v>
      </c>
      <c r="D6" s="2">
        <v>31.51</v>
      </c>
      <c r="E6" s="40">
        <v>31.535</v>
      </c>
      <c r="F6" s="2">
        <f t="shared" si="0"/>
        <v>0</v>
      </c>
      <c r="G6" s="2">
        <f t="shared" si="1"/>
        <v>-2.4999999999998579E-2</v>
      </c>
      <c r="H6" s="3" t="s">
        <v>16</v>
      </c>
      <c r="I6" s="12">
        <f t="shared" ref="I6:I7" si="2">G6/E6</f>
        <v>-7.9276993816389978E-4</v>
      </c>
      <c r="J6" s="48" t="s">
        <v>511</v>
      </c>
      <c r="K6" s="45" t="s">
        <v>463</v>
      </c>
    </row>
    <row r="7" spans="2:11" ht="15.75">
      <c r="B7" s="4" t="s">
        <v>556</v>
      </c>
      <c r="C7" s="4" t="s">
        <v>137</v>
      </c>
      <c r="D7" s="2">
        <v>32.020000000000003</v>
      </c>
      <c r="E7" s="40">
        <v>32.204000000000001</v>
      </c>
      <c r="F7" s="2">
        <f t="shared" si="0"/>
        <v>0</v>
      </c>
      <c r="G7" s="2">
        <f t="shared" si="1"/>
        <v>-0.1839999999999975</v>
      </c>
      <c r="H7" s="3" t="s">
        <v>13</v>
      </c>
      <c r="I7" s="12">
        <f t="shared" si="2"/>
        <v>-5.7135759532976494E-3</v>
      </c>
      <c r="J7" s="48" t="s">
        <v>26</v>
      </c>
      <c r="K7" s="45" t="s">
        <v>463</v>
      </c>
    </row>
    <row r="8" spans="2:11" ht="15.75">
      <c r="B8" s="4" t="s">
        <v>556</v>
      </c>
      <c r="C8" s="4" t="s">
        <v>206</v>
      </c>
      <c r="D8" s="2">
        <v>32.28</v>
      </c>
      <c r="E8" s="40">
        <v>32.241999999999997</v>
      </c>
      <c r="F8" s="2">
        <f t="shared" si="0"/>
        <v>3.8000000000003809E-2</v>
      </c>
      <c r="G8" s="2">
        <f t="shared" si="1"/>
        <v>0</v>
      </c>
      <c r="H8" s="3" t="s">
        <v>533</v>
      </c>
      <c r="I8" s="12">
        <f>F8/E8</f>
        <v>1.1785869362943928E-3</v>
      </c>
      <c r="J8" s="48" t="s">
        <v>513</v>
      </c>
      <c r="K8" s="45" t="s">
        <v>463</v>
      </c>
    </row>
    <row r="9" spans="2:11" ht="15.75">
      <c r="B9" s="4" t="s">
        <v>556</v>
      </c>
      <c r="C9" s="4" t="s">
        <v>137</v>
      </c>
      <c r="D9" s="2">
        <v>32.96</v>
      </c>
      <c r="E9" s="40">
        <v>32.924999999999997</v>
      </c>
      <c r="F9" s="2">
        <f t="shared" si="0"/>
        <v>3.5000000000003695E-2</v>
      </c>
      <c r="G9" s="2">
        <f t="shared" si="1"/>
        <v>0</v>
      </c>
      <c r="H9" s="3" t="s">
        <v>557</v>
      </c>
      <c r="I9" s="12">
        <f>F9/E9</f>
        <v>1.0630220197419499E-3</v>
      </c>
      <c r="J9" s="48" t="s">
        <v>514</v>
      </c>
      <c r="K9" s="45" t="s">
        <v>463</v>
      </c>
    </row>
    <row r="10" spans="2:11" ht="15.75">
      <c r="B10" s="4" t="s">
        <v>556</v>
      </c>
      <c r="C10" s="4" t="s">
        <v>137</v>
      </c>
      <c r="D10" s="2">
        <v>31.28</v>
      </c>
      <c r="E10" s="40">
        <v>31.25</v>
      </c>
      <c r="F10" s="2">
        <f t="shared" si="0"/>
        <v>3.0000000000001137E-2</v>
      </c>
      <c r="G10" s="2">
        <f t="shared" si="1"/>
        <v>0</v>
      </c>
      <c r="H10" s="3" t="s">
        <v>321</v>
      </c>
      <c r="I10" s="12">
        <f>F10/E10</f>
        <v>9.6000000000003635E-4</v>
      </c>
      <c r="J10" s="48" t="s">
        <v>515</v>
      </c>
      <c r="K10" s="45" t="s">
        <v>463</v>
      </c>
    </row>
    <row r="11" spans="2:11" ht="15.75">
      <c r="B11" s="4" t="s">
        <v>558</v>
      </c>
      <c r="C11" s="4" t="s">
        <v>206</v>
      </c>
      <c r="D11" s="40">
        <v>40.06</v>
      </c>
      <c r="E11" s="40">
        <v>40.119999999999997</v>
      </c>
      <c r="F11" s="2">
        <f t="shared" si="0"/>
        <v>0</v>
      </c>
      <c r="G11" s="2">
        <f t="shared" si="1"/>
        <v>-5.9999999999995168E-2</v>
      </c>
      <c r="H11" s="3" t="s">
        <v>559</v>
      </c>
      <c r="I11" s="12">
        <f t="shared" ref="I11:I12" si="3">G11/E11</f>
        <v>-1.4955134596210163E-3</v>
      </c>
      <c r="J11" s="48" t="s">
        <v>517</v>
      </c>
      <c r="K11" s="45" t="s">
        <v>463</v>
      </c>
    </row>
    <row r="12" spans="2:11" ht="15.75">
      <c r="B12" s="4" t="s">
        <v>558</v>
      </c>
      <c r="C12" s="4" t="s">
        <v>137</v>
      </c>
      <c r="D12" s="40">
        <v>32.61</v>
      </c>
      <c r="E12" s="40">
        <v>32.993000000000002</v>
      </c>
      <c r="F12" s="2">
        <f t="shared" si="0"/>
        <v>0</v>
      </c>
      <c r="G12" s="2">
        <f t="shared" si="1"/>
        <v>-0.38300000000000267</v>
      </c>
      <c r="H12" s="3" t="s">
        <v>16</v>
      </c>
      <c r="I12" s="12">
        <f t="shared" si="3"/>
        <v>-1.1608523020034633E-2</v>
      </c>
      <c r="J12" s="48" t="s">
        <v>519</v>
      </c>
      <c r="K12" s="45" t="s">
        <v>463</v>
      </c>
    </row>
    <row r="13" spans="2:11" ht="15.75">
      <c r="B13" s="4" t="s">
        <v>558</v>
      </c>
      <c r="C13" s="4" t="s">
        <v>137</v>
      </c>
      <c r="D13" s="40">
        <v>32.25</v>
      </c>
      <c r="E13" s="40">
        <v>32.569000000000003</v>
      </c>
      <c r="F13" s="2">
        <f t="shared" si="0"/>
        <v>0</v>
      </c>
      <c r="G13" s="2">
        <f t="shared" si="1"/>
        <v>-0.31900000000000261</v>
      </c>
      <c r="H13" s="3" t="s">
        <v>15</v>
      </c>
      <c r="I13" s="12">
        <f>G13/E13</f>
        <v>-9.7945899474961642E-3</v>
      </c>
      <c r="J13" s="48" t="s">
        <v>516</v>
      </c>
      <c r="K13" s="45" t="s">
        <v>463</v>
      </c>
    </row>
    <row r="14" spans="2:11" ht="15.75">
      <c r="B14" s="4" t="s">
        <v>558</v>
      </c>
      <c r="C14" s="4" t="s">
        <v>137</v>
      </c>
      <c r="D14" s="40">
        <v>31.28</v>
      </c>
      <c r="E14" s="40">
        <v>31.643000000000001</v>
      </c>
      <c r="F14" s="2">
        <f t="shared" si="0"/>
        <v>0</v>
      </c>
      <c r="G14" s="2">
        <f t="shared" si="1"/>
        <v>-0.36299999999999955</v>
      </c>
      <c r="H14" s="3" t="s">
        <v>321</v>
      </c>
      <c r="I14" s="12">
        <f>G14/E14</f>
        <v>-1.1471731504598159E-2</v>
      </c>
      <c r="J14" s="48" t="s">
        <v>518</v>
      </c>
      <c r="K14" s="45" t="s">
        <v>463</v>
      </c>
    </row>
    <row r="15" spans="2:11" ht="15.75">
      <c r="B15" s="4" t="s">
        <v>558</v>
      </c>
      <c r="C15" s="4" t="s">
        <v>137</v>
      </c>
      <c r="D15" s="40">
        <v>32.93</v>
      </c>
      <c r="E15" s="40">
        <v>32.909999999999997</v>
      </c>
      <c r="F15" s="2">
        <f t="shared" si="0"/>
        <v>2.0000000000003126E-2</v>
      </c>
      <c r="G15" s="2">
        <f t="shared" si="1"/>
        <v>0</v>
      </c>
      <c r="H15" s="3" t="s">
        <v>13</v>
      </c>
      <c r="I15" s="12">
        <f>F15/E15</f>
        <v>6.0771801883935362E-4</v>
      </c>
      <c r="J15" s="48"/>
      <c r="K15" s="45" t="s">
        <v>463</v>
      </c>
    </row>
    <row r="16" spans="2:11" ht="15.75">
      <c r="B16" s="4" t="s">
        <v>558</v>
      </c>
      <c r="C16" s="4" t="s">
        <v>137</v>
      </c>
      <c r="D16" s="40">
        <v>32.68</v>
      </c>
      <c r="E16" s="40">
        <v>32.56</v>
      </c>
      <c r="F16" s="2">
        <f t="shared" si="0"/>
        <v>0.11999999999999744</v>
      </c>
      <c r="G16" s="2">
        <f t="shared" si="1"/>
        <v>0</v>
      </c>
      <c r="H16" s="3" t="s">
        <v>507</v>
      </c>
      <c r="I16" s="12">
        <f>F16/E16</f>
        <v>3.6855036855036067E-3</v>
      </c>
      <c r="J16" s="48"/>
      <c r="K16" s="45" t="s">
        <v>463</v>
      </c>
    </row>
    <row r="17" spans="2:11" ht="15.75">
      <c r="B17" s="4" t="s">
        <v>560</v>
      </c>
      <c r="C17" s="4" t="s">
        <v>206</v>
      </c>
      <c r="D17" s="2">
        <v>32.24</v>
      </c>
      <c r="E17" s="40">
        <v>32.385640000000002</v>
      </c>
      <c r="F17" s="2">
        <f t="shared" si="0"/>
        <v>0</v>
      </c>
      <c r="G17" s="2">
        <f t="shared" si="1"/>
        <v>-0.14564000000000021</v>
      </c>
      <c r="H17" s="3" t="s">
        <v>217</v>
      </c>
      <c r="I17" s="12">
        <f>G17/E17</f>
        <v>-4.4970548675277132E-3</v>
      </c>
      <c r="J17" s="48"/>
      <c r="K17" s="45" t="s">
        <v>463</v>
      </c>
    </row>
    <row r="18" spans="2:11" ht="15.75">
      <c r="B18" s="4" t="s">
        <v>560</v>
      </c>
      <c r="C18" s="4" t="s">
        <v>206</v>
      </c>
      <c r="D18" s="2">
        <v>32.159999999999997</v>
      </c>
      <c r="E18" s="40">
        <v>32.501999999999995</v>
      </c>
      <c r="F18" s="2">
        <f t="shared" si="0"/>
        <v>0</v>
      </c>
      <c r="G18" s="2">
        <f t="shared" si="1"/>
        <v>-0.34199999999999875</v>
      </c>
      <c r="H18" s="3" t="s">
        <v>496</v>
      </c>
      <c r="I18" s="12">
        <f>G18/E18</f>
        <v>-1.0522429388960643E-2</v>
      </c>
      <c r="J18" s="48"/>
      <c r="K18" s="45" t="s">
        <v>463</v>
      </c>
    </row>
    <row r="19" spans="2:11" ht="15.75">
      <c r="B19" s="4" t="s">
        <v>560</v>
      </c>
      <c r="C19" s="4" t="s">
        <v>206</v>
      </c>
      <c r="D19" s="2">
        <v>32.51</v>
      </c>
      <c r="E19" s="40">
        <v>32.758000000000003</v>
      </c>
      <c r="F19" s="2">
        <f t="shared" si="0"/>
        <v>0</v>
      </c>
      <c r="G19" s="2">
        <f t="shared" si="1"/>
        <v>-0.24800000000000466</v>
      </c>
      <c r="H19" s="3" t="s">
        <v>561</v>
      </c>
      <c r="I19" s="12">
        <f>G19/E19</f>
        <v>-7.5706697600587533E-3</v>
      </c>
      <c r="J19" s="48"/>
      <c r="K19" s="45" t="s">
        <v>463</v>
      </c>
    </row>
    <row r="20" spans="2:11" ht="15.75">
      <c r="B20" s="4" t="s">
        <v>560</v>
      </c>
      <c r="C20" s="4" t="s">
        <v>137</v>
      </c>
      <c r="D20" s="2">
        <v>32.51</v>
      </c>
      <c r="E20" s="40">
        <v>32.381999999999998</v>
      </c>
      <c r="F20" s="2">
        <f t="shared" si="0"/>
        <v>0.12800000000000011</v>
      </c>
      <c r="G20" s="2">
        <f t="shared" si="1"/>
        <v>0</v>
      </c>
      <c r="H20" s="3" t="s">
        <v>531</v>
      </c>
      <c r="I20" s="12">
        <f>F20/E20</f>
        <v>3.9528132913346963E-3</v>
      </c>
      <c r="J20" s="48"/>
      <c r="K20" s="45" t="s">
        <v>463</v>
      </c>
    </row>
    <row r="21" spans="2:11" ht="15.75">
      <c r="B21" s="4" t="s">
        <v>560</v>
      </c>
      <c r="C21" s="4" t="s">
        <v>137</v>
      </c>
      <c r="D21" s="2">
        <v>32.79</v>
      </c>
      <c r="E21" s="40">
        <v>32.769999999999996</v>
      </c>
      <c r="F21" s="2">
        <f t="shared" si="0"/>
        <v>2.0000000000003126E-2</v>
      </c>
      <c r="G21" s="2">
        <f t="shared" si="1"/>
        <v>0</v>
      </c>
      <c r="H21" s="3" t="s">
        <v>562</v>
      </c>
      <c r="I21" s="12">
        <f>F21/E21</f>
        <v>6.1031431187070888E-4</v>
      </c>
      <c r="J21" s="48"/>
      <c r="K21" s="45" t="s">
        <v>463</v>
      </c>
    </row>
    <row r="22" spans="2:11" ht="15.75">
      <c r="B22" s="4" t="s">
        <v>563</v>
      </c>
      <c r="C22" s="4" t="s">
        <v>528</v>
      </c>
      <c r="D22" s="2">
        <v>32.15</v>
      </c>
      <c r="E22" s="40">
        <v>32.219000000000001</v>
      </c>
      <c r="F22" s="2">
        <f t="shared" si="0"/>
        <v>0</v>
      </c>
      <c r="G22" s="2">
        <f t="shared" si="1"/>
        <v>-6.9000000000002615E-2</v>
      </c>
      <c r="H22" s="3" t="s">
        <v>504</v>
      </c>
      <c r="I22" s="12">
        <f>G22/E22</f>
        <v>-2.1415934696918776E-3</v>
      </c>
      <c r="J22" s="48"/>
      <c r="K22" s="45" t="s">
        <v>461</v>
      </c>
    </row>
    <row r="23" spans="2:11" ht="15.75">
      <c r="B23" s="4" t="s">
        <v>563</v>
      </c>
      <c r="C23" s="4" t="s">
        <v>206</v>
      </c>
      <c r="D23" s="2">
        <v>32.08</v>
      </c>
      <c r="E23" s="40">
        <v>32.021999999999998</v>
      </c>
      <c r="F23" s="2">
        <f t="shared" si="0"/>
        <v>5.7999999999999829E-2</v>
      </c>
      <c r="G23" s="2">
        <f t="shared" si="1"/>
        <v>0</v>
      </c>
      <c r="H23" s="3" t="s">
        <v>565</v>
      </c>
      <c r="I23" s="12">
        <f>F23/E23</f>
        <v>1.8112547623508786E-3</v>
      </c>
      <c r="J23" s="48"/>
      <c r="K23" s="45" t="s">
        <v>463</v>
      </c>
    </row>
    <row r="24" spans="2:11" ht="15.75">
      <c r="B24" s="4" t="s">
        <v>563</v>
      </c>
      <c r="C24" s="4" t="s">
        <v>206</v>
      </c>
      <c r="D24" s="2">
        <v>32.19</v>
      </c>
      <c r="E24" s="40">
        <v>32.15</v>
      </c>
      <c r="F24" s="2">
        <f t="shared" si="0"/>
        <v>3.9999999999999147E-2</v>
      </c>
      <c r="G24" s="2">
        <f t="shared" si="1"/>
        <v>0</v>
      </c>
      <c r="H24" s="3" t="s">
        <v>289</v>
      </c>
      <c r="I24" s="12">
        <f>F24/E24</f>
        <v>1.2441679626749346E-3</v>
      </c>
      <c r="J24" s="48"/>
      <c r="K24" s="45" t="s">
        <v>463</v>
      </c>
    </row>
    <row r="25" spans="2:11" ht="15.75">
      <c r="B25" s="4" t="s">
        <v>564</v>
      </c>
      <c r="C25" s="4" t="s">
        <v>528</v>
      </c>
      <c r="D25" s="2">
        <v>32.25</v>
      </c>
      <c r="E25" s="40">
        <v>31.984000000000002</v>
      </c>
      <c r="F25" s="2">
        <f t="shared" si="0"/>
        <v>0.26599999999999824</v>
      </c>
      <c r="G25" s="2">
        <f t="shared" si="1"/>
        <v>0</v>
      </c>
      <c r="H25" s="3" t="s">
        <v>294</v>
      </c>
      <c r="I25" s="12">
        <f>F25/E25</f>
        <v>8.3166583291645266E-3</v>
      </c>
      <c r="J25" s="48"/>
      <c r="K25" s="45" t="s">
        <v>461</v>
      </c>
    </row>
    <row r="26" spans="2:11" ht="15.75">
      <c r="B26" s="4" t="s">
        <v>564</v>
      </c>
      <c r="C26" s="4" t="s">
        <v>137</v>
      </c>
      <c r="D26" s="2">
        <v>31.92</v>
      </c>
      <c r="E26" s="40">
        <v>32.185000000000002</v>
      </c>
      <c r="F26" s="2">
        <f t="shared" si="0"/>
        <v>0</v>
      </c>
      <c r="G26" s="2">
        <f t="shared" si="1"/>
        <v>-0.26500000000000057</v>
      </c>
      <c r="H26" s="3" t="s">
        <v>566</v>
      </c>
      <c r="I26" s="12">
        <f>G26/E26</f>
        <v>-8.2336492154730639E-3</v>
      </c>
      <c r="J26" s="48"/>
      <c r="K26" s="45" t="s">
        <v>463</v>
      </c>
    </row>
    <row r="27" spans="2:11" ht="15.75">
      <c r="B27" s="4" t="s">
        <v>567</v>
      </c>
      <c r="C27" s="4" t="s">
        <v>137</v>
      </c>
      <c r="D27" s="2">
        <v>32.14</v>
      </c>
      <c r="E27" s="40">
        <v>32.143000000000001</v>
      </c>
      <c r="F27" s="2">
        <f t="shared" si="0"/>
        <v>0</v>
      </c>
      <c r="G27" s="2">
        <f t="shared" si="1"/>
        <v>-3.0000000000001137E-3</v>
      </c>
      <c r="H27" s="3" t="s">
        <v>15</v>
      </c>
      <c r="I27" s="12">
        <f>G27/E27</f>
        <v>-9.3332918520365663E-5</v>
      </c>
      <c r="J27" s="48"/>
      <c r="K27" s="45" t="s">
        <v>463</v>
      </c>
    </row>
    <row r="28" spans="2:11" ht="15.75">
      <c r="B28" s="4" t="s">
        <v>567</v>
      </c>
      <c r="C28" s="4" t="s">
        <v>137</v>
      </c>
      <c r="D28" s="2">
        <v>31.35</v>
      </c>
      <c r="E28" s="40">
        <v>31.37</v>
      </c>
      <c r="F28" s="2">
        <f t="shared" si="0"/>
        <v>0</v>
      </c>
      <c r="G28" s="2">
        <f t="shared" si="1"/>
        <v>-1.9999999999999574E-2</v>
      </c>
      <c r="H28" s="3" t="s">
        <v>16</v>
      </c>
      <c r="I28" s="12">
        <f>G28/E28</f>
        <v>-6.3755180108382447E-4</v>
      </c>
      <c r="J28" s="48"/>
      <c r="K28" s="45" t="s">
        <v>463</v>
      </c>
    </row>
    <row r="29" spans="2:11" ht="15.75">
      <c r="B29" s="4" t="s">
        <v>567</v>
      </c>
      <c r="C29" s="4" t="s">
        <v>206</v>
      </c>
      <c r="D29" s="2">
        <v>32.86</v>
      </c>
      <c r="E29" s="40">
        <v>32.759</v>
      </c>
      <c r="F29" s="2">
        <f t="shared" si="0"/>
        <v>0.10099999999999909</v>
      </c>
      <c r="G29" s="2">
        <f t="shared" si="1"/>
        <v>0</v>
      </c>
      <c r="H29" s="3" t="s">
        <v>217</v>
      </c>
      <c r="I29" s="12">
        <f>F29/E29</f>
        <v>3.0831221954271829E-3</v>
      </c>
      <c r="J29" s="48"/>
      <c r="K29" s="45" t="s">
        <v>463</v>
      </c>
    </row>
    <row r="30" spans="2:11" ht="15.75">
      <c r="B30" s="4" t="s">
        <v>569</v>
      </c>
      <c r="C30" s="4" t="s">
        <v>568</v>
      </c>
      <c r="D30" s="2">
        <f>24.48-0.1</f>
        <v>24.38</v>
      </c>
      <c r="E30" s="40">
        <v>24.329000000000001</v>
      </c>
      <c r="F30" s="2">
        <f t="shared" si="0"/>
        <v>5.099999999999838E-2</v>
      </c>
      <c r="G30" s="2">
        <f t="shared" si="1"/>
        <v>0</v>
      </c>
      <c r="H30" s="3" t="s">
        <v>570</v>
      </c>
      <c r="I30" s="12">
        <f>F30/E30</f>
        <v>2.0962637181963246E-3</v>
      </c>
      <c r="J30" s="48"/>
      <c r="K30" s="45" t="s">
        <v>463</v>
      </c>
    </row>
    <row r="31" spans="2:11" ht="15.75">
      <c r="B31" s="4" t="s">
        <v>569</v>
      </c>
      <c r="C31" s="4" t="s">
        <v>568</v>
      </c>
      <c r="D31" s="2">
        <f>24.88-0.1</f>
        <v>24.779999999999998</v>
      </c>
      <c r="E31" s="40">
        <v>24.865999999999996</v>
      </c>
      <c r="F31" s="2">
        <f t="shared" si="0"/>
        <v>0</v>
      </c>
      <c r="G31" s="2">
        <f t="shared" si="1"/>
        <v>-8.5999999999998522E-2</v>
      </c>
      <c r="H31" s="3" t="s">
        <v>571</v>
      </c>
      <c r="I31" s="12">
        <f>F31/E31</f>
        <v>0</v>
      </c>
      <c r="J31" s="48"/>
      <c r="K31" s="45" t="s">
        <v>463</v>
      </c>
    </row>
    <row r="32" spans="2:11" ht="15.75">
      <c r="B32" s="4" t="s">
        <v>569</v>
      </c>
      <c r="C32" s="4" t="s">
        <v>137</v>
      </c>
      <c r="D32" s="2">
        <v>32.380000000000003</v>
      </c>
      <c r="E32" s="40">
        <v>32.532000000000004</v>
      </c>
      <c r="F32" s="2">
        <f t="shared" si="0"/>
        <v>0</v>
      </c>
      <c r="G32" s="2">
        <f t="shared" si="1"/>
        <v>-0.15200000000000102</v>
      </c>
      <c r="H32" s="3" t="s">
        <v>16</v>
      </c>
      <c r="I32" s="12">
        <f>G32/E32</f>
        <v>-4.6723226361736446E-3</v>
      </c>
      <c r="J32" s="48"/>
      <c r="K32" s="45" t="s">
        <v>463</v>
      </c>
    </row>
    <row r="33" spans="2:11" ht="15.75">
      <c r="B33" s="4" t="s">
        <v>569</v>
      </c>
      <c r="C33" s="4" t="s">
        <v>137</v>
      </c>
      <c r="D33" s="2">
        <v>32.25</v>
      </c>
      <c r="E33" s="40">
        <v>32.392999999999994</v>
      </c>
      <c r="F33" s="2">
        <f t="shared" si="0"/>
        <v>0</v>
      </c>
      <c r="G33" s="2">
        <f t="shared" si="1"/>
        <v>-0.14299999999999358</v>
      </c>
      <c r="H33" s="3" t="s">
        <v>316</v>
      </c>
      <c r="I33" s="12">
        <f>G33/E33</f>
        <v>-4.4145340042599825E-3</v>
      </c>
      <c r="J33" s="48"/>
      <c r="K33" s="45" t="s">
        <v>463</v>
      </c>
    </row>
    <row r="34" spans="2:11" ht="15.75">
      <c r="B34" s="4" t="s">
        <v>569</v>
      </c>
      <c r="C34" s="4" t="s">
        <v>137</v>
      </c>
      <c r="D34" s="2">
        <v>33.26</v>
      </c>
      <c r="E34" s="40">
        <v>33.402000000000001</v>
      </c>
      <c r="F34" s="2">
        <f t="shared" si="0"/>
        <v>0</v>
      </c>
      <c r="G34" s="2">
        <f t="shared" si="1"/>
        <v>-0.14200000000000301</v>
      </c>
      <c r="H34" s="3" t="s">
        <v>11</v>
      </c>
      <c r="I34" s="12">
        <f>G34/E34</f>
        <v>-4.2512424405725105E-3</v>
      </c>
      <c r="J34" s="48"/>
      <c r="K34" s="45" t="s">
        <v>463</v>
      </c>
    </row>
    <row r="35" spans="2:11" ht="15.75">
      <c r="B35" s="4" t="s">
        <v>572</v>
      </c>
      <c r="C35" s="4" t="s">
        <v>206</v>
      </c>
      <c r="D35" s="2">
        <v>32.729999999999997</v>
      </c>
      <c r="E35" s="40">
        <v>32.774999999999999</v>
      </c>
      <c r="F35" s="2">
        <f t="shared" si="0"/>
        <v>0</v>
      </c>
      <c r="G35" s="2">
        <f t="shared" si="1"/>
        <v>-4.5000000000001705E-2</v>
      </c>
      <c r="H35" s="3" t="s">
        <v>289</v>
      </c>
      <c r="I35" s="12">
        <f>G35/E35</f>
        <v>-1.3729977116705326E-3</v>
      </c>
      <c r="J35" s="48"/>
      <c r="K35" s="45" t="s">
        <v>463</v>
      </c>
    </row>
    <row r="36" spans="2:11" ht="15.75">
      <c r="B36" s="4" t="s">
        <v>572</v>
      </c>
      <c r="C36" s="4" t="s">
        <v>206</v>
      </c>
      <c r="D36" s="2">
        <v>31.26</v>
      </c>
      <c r="E36" s="40">
        <v>31.391999999999999</v>
      </c>
      <c r="F36" s="2">
        <f t="shared" si="0"/>
        <v>0</v>
      </c>
      <c r="G36" s="2">
        <f t="shared" si="1"/>
        <v>-0.1319999999999979</v>
      </c>
      <c r="H36" s="3" t="s">
        <v>573</v>
      </c>
      <c r="I36" s="12">
        <f>G36/E36</f>
        <v>-4.2048929663607891E-3</v>
      </c>
      <c r="J36" s="48"/>
      <c r="K36" s="45" t="s">
        <v>463</v>
      </c>
    </row>
    <row r="37" spans="2:11" ht="15.75">
      <c r="B37" s="4" t="s">
        <v>572</v>
      </c>
      <c r="C37" s="4" t="s">
        <v>528</v>
      </c>
      <c r="D37" s="2">
        <v>32.520000000000003</v>
      </c>
      <c r="E37" s="40">
        <v>32.513999999999996</v>
      </c>
      <c r="F37" s="2">
        <f t="shared" si="0"/>
        <v>6.0000000000073328E-3</v>
      </c>
      <c r="G37" s="2">
        <f t="shared" si="1"/>
        <v>0</v>
      </c>
      <c r="H37" s="3" t="s">
        <v>524</v>
      </c>
      <c r="I37" s="12">
        <f>F37/E37</f>
        <v>1.8453589223126448E-4</v>
      </c>
      <c r="J37" s="48"/>
      <c r="K37" s="45" t="s">
        <v>463</v>
      </c>
    </row>
    <row r="38" spans="2:11" ht="15.75">
      <c r="B38" s="4" t="s">
        <v>572</v>
      </c>
      <c r="C38" s="4" t="s">
        <v>137</v>
      </c>
      <c r="D38" s="2">
        <v>32.43</v>
      </c>
      <c r="E38" s="40">
        <v>32.432360000000003</v>
      </c>
      <c r="F38" s="2">
        <f t="shared" si="0"/>
        <v>0</v>
      </c>
      <c r="G38" s="2">
        <f t="shared" si="1"/>
        <v>-2.3600000000030263E-3</v>
      </c>
      <c r="H38" s="3" t="s">
        <v>15</v>
      </c>
      <c r="I38" s="12">
        <f>G38/E38</f>
        <v>-7.2766829179345141E-5</v>
      </c>
      <c r="J38" s="48"/>
      <c r="K38" s="45" t="s">
        <v>463</v>
      </c>
    </row>
    <row r="39" spans="2:11" ht="15.75">
      <c r="B39" s="4" t="s">
        <v>572</v>
      </c>
      <c r="C39" s="4" t="s">
        <v>137</v>
      </c>
      <c r="D39" s="2">
        <v>32.08</v>
      </c>
      <c r="E39" s="40">
        <v>32.03</v>
      </c>
      <c r="F39" s="2">
        <f t="shared" si="0"/>
        <v>4.9999999999997158E-2</v>
      </c>
      <c r="G39" s="2">
        <f t="shared" si="1"/>
        <v>0</v>
      </c>
      <c r="H39" s="3" t="s">
        <v>16</v>
      </c>
      <c r="I39" s="12">
        <f>F39/E39</f>
        <v>1.5610365282546724E-3</v>
      </c>
      <c r="J39" s="48"/>
      <c r="K39" s="45" t="s">
        <v>463</v>
      </c>
    </row>
    <row r="40" spans="2:11" ht="15.75">
      <c r="B40" s="4" t="s">
        <v>572</v>
      </c>
      <c r="C40" s="4" t="s">
        <v>206</v>
      </c>
      <c r="D40" s="2">
        <f>24.6-0.1</f>
        <v>24.5</v>
      </c>
      <c r="E40" s="40">
        <v>24.682000000000002</v>
      </c>
      <c r="F40" s="2">
        <f t="shared" si="0"/>
        <v>0</v>
      </c>
      <c r="G40" s="2">
        <f t="shared" si="1"/>
        <v>-0.18200000000000216</v>
      </c>
      <c r="H40" s="3" t="s">
        <v>315</v>
      </c>
      <c r="I40" s="12">
        <f>G40/E40</f>
        <v>-7.3737946681793265E-3</v>
      </c>
      <c r="J40" s="48"/>
      <c r="K40" s="45" t="s">
        <v>463</v>
      </c>
    </row>
    <row r="41" spans="2:11" ht="15.75">
      <c r="B41" s="4" t="s">
        <v>574</v>
      </c>
      <c r="C41" s="4" t="s">
        <v>137</v>
      </c>
      <c r="D41" s="2">
        <v>33.67</v>
      </c>
      <c r="E41" s="40">
        <v>33.70776</v>
      </c>
      <c r="F41" s="2">
        <f t="shared" si="0"/>
        <v>0</v>
      </c>
      <c r="G41" s="2">
        <f t="shared" si="1"/>
        <v>-3.7759999999998684E-2</v>
      </c>
      <c r="H41" s="3" t="s">
        <v>13</v>
      </c>
      <c r="I41" s="12">
        <f>G41/E41</f>
        <v>-1.1202168284097989E-3</v>
      </c>
      <c r="J41" s="48"/>
      <c r="K41" s="45" t="s">
        <v>463</v>
      </c>
    </row>
    <row r="42" spans="2:11" ht="15.75">
      <c r="B42" s="4" t="s">
        <v>574</v>
      </c>
      <c r="C42" s="4" t="s">
        <v>137</v>
      </c>
      <c r="D42" s="2">
        <v>33.119999999999997</v>
      </c>
      <c r="E42" s="40">
        <v>32.980000000000004</v>
      </c>
      <c r="F42" s="2">
        <f t="shared" si="0"/>
        <v>0.13999999999999346</v>
      </c>
      <c r="G42" s="2">
        <f t="shared" si="1"/>
        <v>0</v>
      </c>
      <c r="H42" s="3" t="s">
        <v>16</v>
      </c>
      <c r="I42" s="12">
        <f>F42/E42</f>
        <v>4.2449969678591097E-3</v>
      </c>
      <c r="J42" s="48"/>
      <c r="K42" s="45" t="s">
        <v>463</v>
      </c>
    </row>
    <row r="43" spans="2:11" ht="15.75">
      <c r="B43" s="4" t="s">
        <v>574</v>
      </c>
      <c r="C43" s="4" t="s">
        <v>137</v>
      </c>
      <c r="D43" s="2">
        <v>32.69</v>
      </c>
      <c r="E43" s="40">
        <v>32.692</v>
      </c>
      <c r="F43" s="2">
        <f t="shared" si="0"/>
        <v>0</v>
      </c>
      <c r="G43" s="2">
        <f t="shared" si="1"/>
        <v>-2.0000000000024443E-3</v>
      </c>
      <c r="H43" s="3" t="s">
        <v>287</v>
      </c>
      <c r="I43" s="12">
        <f>G43/E43</f>
        <v>-6.117704637227592E-5</v>
      </c>
      <c r="J43" s="48"/>
      <c r="K43" s="45" t="s">
        <v>463</v>
      </c>
    </row>
    <row r="44" spans="2:11" ht="15.75">
      <c r="B44" s="4" t="s">
        <v>574</v>
      </c>
      <c r="C44" s="4" t="s">
        <v>137</v>
      </c>
      <c r="D44" s="2">
        <v>33.58</v>
      </c>
      <c r="E44" s="40">
        <v>33.485999999999997</v>
      </c>
      <c r="F44" s="2">
        <f t="shared" si="0"/>
        <v>9.4000000000001194E-2</v>
      </c>
      <c r="G44" s="2">
        <f t="shared" si="1"/>
        <v>0</v>
      </c>
      <c r="H44" s="3" t="s">
        <v>342</v>
      </c>
      <c r="I44" s="12">
        <f>F44/E44</f>
        <v>2.8071432837604134E-3</v>
      </c>
      <c r="J44" s="48"/>
      <c r="K44" s="45" t="s">
        <v>463</v>
      </c>
    </row>
    <row r="45" spans="2:11" ht="15.75">
      <c r="B45" s="4" t="s">
        <v>575</v>
      </c>
      <c r="C45" s="4" t="s">
        <v>137</v>
      </c>
      <c r="D45" s="2">
        <v>32.020000000000003</v>
      </c>
      <c r="E45" s="40">
        <v>31.994</v>
      </c>
      <c r="F45" s="2">
        <f t="shared" si="0"/>
        <v>2.6000000000003354E-2</v>
      </c>
      <c r="G45" s="2">
        <f t="shared" si="1"/>
        <v>0</v>
      </c>
      <c r="H45" s="3" t="s">
        <v>16</v>
      </c>
      <c r="I45" s="12">
        <f t="shared" ref="I45:I63" si="4">F45/E45</f>
        <v>8.1265237231991478E-4</v>
      </c>
      <c r="J45" s="48"/>
      <c r="K45" s="45" t="s">
        <v>463</v>
      </c>
    </row>
    <row r="46" spans="2:11" ht="15.75">
      <c r="B46" s="4" t="s">
        <v>575</v>
      </c>
      <c r="C46" s="4" t="s">
        <v>206</v>
      </c>
      <c r="D46" s="2">
        <v>32.409999999999997</v>
      </c>
      <c r="E46" s="40">
        <v>32.646000000000001</v>
      </c>
      <c r="F46" s="2">
        <f t="shared" si="0"/>
        <v>0</v>
      </c>
      <c r="G46" s="2">
        <f t="shared" si="1"/>
        <v>-0.23600000000000421</v>
      </c>
      <c r="H46" s="3" t="s">
        <v>538</v>
      </c>
      <c r="I46" s="12">
        <f>G46/E46</f>
        <v>-7.2290632849354962E-3</v>
      </c>
      <c r="J46" s="48"/>
      <c r="K46" s="45" t="s">
        <v>463</v>
      </c>
    </row>
    <row r="47" spans="2:11" ht="15.75">
      <c r="B47" s="4" t="s">
        <v>575</v>
      </c>
      <c r="C47" s="4" t="s">
        <v>137</v>
      </c>
      <c r="D47" s="2">
        <v>31.26</v>
      </c>
      <c r="E47" s="40">
        <v>31.548999999999999</v>
      </c>
      <c r="F47" s="2">
        <f t="shared" ref="F47" si="5">IF(D47-E47&lt;=0,0,D47-E47)</f>
        <v>0</v>
      </c>
      <c r="G47" s="2">
        <f t="shared" ref="G47" si="6">IF(D47-E47&gt;=0,0,D47-E47)</f>
        <v>-0.28899999999999793</v>
      </c>
      <c r="H47" s="3" t="s">
        <v>13</v>
      </c>
      <c r="I47" s="12">
        <f>G47/E47</f>
        <v>-9.1603537354590613E-3</v>
      </c>
      <c r="J47" s="48"/>
      <c r="K47" s="45" t="s">
        <v>463</v>
      </c>
    </row>
    <row r="48" spans="2:11" ht="15.75">
      <c r="B48" s="4" t="s">
        <v>576</v>
      </c>
      <c r="C48" s="4" t="s">
        <v>137</v>
      </c>
      <c r="D48" s="2">
        <v>31.53</v>
      </c>
      <c r="E48" s="49">
        <v>31.870999999999999</v>
      </c>
      <c r="F48" s="2">
        <f t="shared" si="0"/>
        <v>0</v>
      </c>
      <c r="G48" s="2">
        <f t="shared" si="1"/>
        <v>-0.34099999999999753</v>
      </c>
      <c r="H48" s="3" t="s">
        <v>13</v>
      </c>
      <c r="I48" s="12">
        <f>G48/E48</f>
        <v>-1.069938188321664E-2</v>
      </c>
      <c r="J48" s="48"/>
      <c r="K48" s="45" t="s">
        <v>463</v>
      </c>
    </row>
    <row r="49" spans="2:11" ht="15.75">
      <c r="B49" s="4" t="s">
        <v>576</v>
      </c>
      <c r="C49" s="4" t="s">
        <v>137</v>
      </c>
      <c r="D49" s="2">
        <v>32.03</v>
      </c>
      <c r="E49" s="49">
        <v>32.499000000000002</v>
      </c>
      <c r="F49" s="2">
        <f t="shared" si="0"/>
        <v>0</v>
      </c>
      <c r="G49" s="2">
        <f t="shared" si="1"/>
        <v>-0.46900000000000119</v>
      </c>
      <c r="H49" s="3" t="s">
        <v>16</v>
      </c>
      <c r="I49" s="12">
        <f>G49/E49</f>
        <v>-1.4431213268100592E-2</v>
      </c>
      <c r="J49" s="48"/>
      <c r="K49" s="45" t="s">
        <v>463</v>
      </c>
    </row>
    <row r="50" spans="2:11">
      <c r="B50" s="4" t="s">
        <v>576</v>
      </c>
      <c r="C50" s="4" t="s">
        <v>206</v>
      </c>
      <c r="D50" s="2">
        <v>33.19</v>
      </c>
      <c r="E50" s="49">
        <v>33.055</v>
      </c>
      <c r="F50" s="2">
        <f t="shared" si="0"/>
        <v>0.13499999999999801</v>
      </c>
      <c r="G50" s="2">
        <f t="shared" si="1"/>
        <v>0</v>
      </c>
      <c r="H50" s="4" t="s">
        <v>578</v>
      </c>
      <c r="I50" s="12">
        <f t="shared" si="4"/>
        <v>4.0841022538193319E-3</v>
      </c>
      <c r="J50" s="48"/>
      <c r="K50" s="45" t="s">
        <v>461</v>
      </c>
    </row>
    <row r="51" spans="2:11">
      <c r="B51" s="4" t="s">
        <v>576</v>
      </c>
      <c r="C51" s="4" t="s">
        <v>206</v>
      </c>
      <c r="D51" s="2">
        <v>32.47</v>
      </c>
      <c r="E51" s="40">
        <v>32.595999999999997</v>
      </c>
      <c r="F51" s="2">
        <f t="shared" si="0"/>
        <v>0</v>
      </c>
      <c r="G51" s="2">
        <f t="shared" si="1"/>
        <v>-0.12599999999999767</v>
      </c>
      <c r="H51" s="4" t="s">
        <v>423</v>
      </c>
      <c r="I51" s="12">
        <f>G51/E51</f>
        <v>-3.8655049699348903E-3</v>
      </c>
      <c r="J51" s="48"/>
      <c r="K51" s="45" t="s">
        <v>461</v>
      </c>
    </row>
    <row r="52" spans="2:11">
      <c r="B52" s="4" t="s">
        <v>576</v>
      </c>
      <c r="C52" s="4" t="s">
        <v>206</v>
      </c>
      <c r="D52" s="2">
        <v>32.07</v>
      </c>
      <c r="E52" s="40">
        <v>32.034999999999997</v>
      </c>
      <c r="F52" s="2">
        <f t="shared" si="0"/>
        <v>3.5000000000003695E-2</v>
      </c>
      <c r="G52" s="2">
        <f t="shared" si="1"/>
        <v>0</v>
      </c>
      <c r="H52" s="4" t="s">
        <v>293</v>
      </c>
      <c r="I52" s="12">
        <f t="shared" si="4"/>
        <v>1.0925550179492335E-3</v>
      </c>
      <c r="J52" s="48"/>
      <c r="K52" s="45" t="s">
        <v>461</v>
      </c>
    </row>
    <row r="53" spans="2:11">
      <c r="B53" s="4" t="s">
        <v>577</v>
      </c>
      <c r="C53" s="4" t="s">
        <v>206</v>
      </c>
      <c r="D53" s="2">
        <v>32.51</v>
      </c>
      <c r="E53" s="40">
        <v>32.463000000000001</v>
      </c>
      <c r="F53" s="2">
        <f t="shared" si="0"/>
        <v>4.6999999999997044E-2</v>
      </c>
      <c r="G53" s="2">
        <f t="shared" si="1"/>
        <v>0</v>
      </c>
      <c r="H53" s="4" t="s">
        <v>579</v>
      </c>
      <c r="I53" s="12">
        <f t="shared" si="4"/>
        <v>1.4478021131749082E-3</v>
      </c>
      <c r="J53" s="48"/>
      <c r="K53" s="45" t="s">
        <v>461</v>
      </c>
    </row>
    <row r="54" spans="2:11">
      <c r="B54" s="4" t="s">
        <v>577</v>
      </c>
      <c r="C54" s="4" t="s">
        <v>206</v>
      </c>
      <c r="D54" s="2">
        <v>33.06</v>
      </c>
      <c r="E54" s="40">
        <v>33.003</v>
      </c>
      <c r="F54" s="2">
        <f t="shared" si="0"/>
        <v>5.700000000000216E-2</v>
      </c>
      <c r="G54" s="2">
        <f t="shared" si="1"/>
        <v>0</v>
      </c>
      <c r="H54" s="4" t="s">
        <v>439</v>
      </c>
      <c r="I54" s="12">
        <f t="shared" si="4"/>
        <v>1.7271157167530879E-3</v>
      </c>
      <c r="J54" s="48"/>
      <c r="K54" s="45" t="s">
        <v>461</v>
      </c>
    </row>
    <row r="55" spans="2:11">
      <c r="B55" s="4" t="s">
        <v>577</v>
      </c>
      <c r="C55" s="4" t="s">
        <v>137</v>
      </c>
      <c r="D55" s="2">
        <v>31.82</v>
      </c>
      <c r="E55" s="40">
        <v>31.728000000000002</v>
      </c>
      <c r="F55" s="2">
        <f t="shared" si="0"/>
        <v>9.1999999999998749E-2</v>
      </c>
      <c r="G55" s="2">
        <f t="shared" si="1"/>
        <v>0</v>
      </c>
      <c r="H55" s="4" t="s">
        <v>13</v>
      </c>
      <c r="I55" s="12">
        <f t="shared" si="4"/>
        <v>2.8996469994956738E-3</v>
      </c>
      <c r="J55" s="48"/>
      <c r="K55" s="45" t="s">
        <v>461</v>
      </c>
    </row>
    <row r="56" spans="2:11">
      <c r="B56" s="4" t="s">
        <v>577</v>
      </c>
      <c r="C56" s="4" t="s">
        <v>137</v>
      </c>
      <c r="D56" s="2">
        <v>32.130000000000003</v>
      </c>
      <c r="E56" s="40">
        <v>32.134</v>
      </c>
      <c r="F56" s="2">
        <f t="shared" si="0"/>
        <v>0</v>
      </c>
      <c r="G56" s="2">
        <f t="shared" si="1"/>
        <v>-3.9999999999977831E-3</v>
      </c>
      <c r="H56" s="4" t="s">
        <v>16</v>
      </c>
      <c r="I56" s="12">
        <f>G56/E56</f>
        <v>-1.2447874525417884E-4</v>
      </c>
      <c r="J56" s="48"/>
      <c r="K56" s="45" t="s">
        <v>461</v>
      </c>
    </row>
    <row r="57" spans="2:11">
      <c r="B57" s="4" t="s">
        <v>580</v>
      </c>
      <c r="C57" s="4" t="s">
        <v>137</v>
      </c>
      <c r="D57" s="2">
        <v>30.91</v>
      </c>
      <c r="E57" s="40">
        <v>31.257999999999999</v>
      </c>
      <c r="F57" s="2">
        <f t="shared" si="0"/>
        <v>0</v>
      </c>
      <c r="G57" s="2">
        <f t="shared" si="1"/>
        <v>-0.34799999999999898</v>
      </c>
      <c r="H57" s="50" t="s">
        <v>16</v>
      </c>
      <c r="I57" s="12">
        <f>G57/E57</f>
        <v>-1.1133149913622081E-2</v>
      </c>
      <c r="J57" s="48"/>
      <c r="K57" s="45" t="s">
        <v>463</v>
      </c>
    </row>
    <row r="58" spans="2:11">
      <c r="B58" s="4" t="s">
        <v>580</v>
      </c>
      <c r="C58" s="4" t="s">
        <v>206</v>
      </c>
      <c r="D58" s="2">
        <v>31.92</v>
      </c>
      <c r="E58" s="40">
        <v>31.936</v>
      </c>
      <c r="F58" s="2">
        <f t="shared" si="0"/>
        <v>0</v>
      </c>
      <c r="G58" s="2">
        <f t="shared" si="1"/>
        <v>-1.5999999999998238E-2</v>
      </c>
      <c r="H58" s="50" t="s">
        <v>581</v>
      </c>
      <c r="I58" s="12">
        <f>G58/E58</f>
        <v>-5.010020040079608E-4</v>
      </c>
      <c r="J58" s="48"/>
      <c r="K58" s="45" t="s">
        <v>582</v>
      </c>
    </row>
    <row r="59" spans="2:11">
      <c r="B59" s="4" t="s">
        <v>580</v>
      </c>
      <c r="C59" s="4" t="s">
        <v>137</v>
      </c>
      <c r="D59" s="2">
        <v>33.020000000000003</v>
      </c>
      <c r="E59" s="40">
        <v>32.993000000000002</v>
      </c>
      <c r="F59" s="2">
        <f t="shared" si="0"/>
        <v>2.7000000000001023E-2</v>
      </c>
      <c r="G59" s="2">
        <f t="shared" si="1"/>
        <v>0</v>
      </c>
      <c r="H59" s="4" t="s">
        <v>23</v>
      </c>
      <c r="I59" s="12">
        <f t="shared" si="4"/>
        <v>8.1835540872309345E-4</v>
      </c>
      <c r="J59" s="48"/>
      <c r="K59" s="45" t="s">
        <v>461</v>
      </c>
    </row>
    <row r="60" spans="2:11">
      <c r="B60" s="4" t="s">
        <v>580</v>
      </c>
      <c r="C60" s="4" t="s">
        <v>206</v>
      </c>
      <c r="D60" s="2">
        <v>32.6</v>
      </c>
      <c r="E60" s="40">
        <v>32.192999999999998</v>
      </c>
      <c r="F60" s="2">
        <f t="shared" si="0"/>
        <v>0.40700000000000358</v>
      </c>
      <c r="G60" s="2">
        <f t="shared" si="1"/>
        <v>0</v>
      </c>
      <c r="H60" s="4" t="s">
        <v>218</v>
      </c>
      <c r="I60" s="12">
        <f t="shared" si="4"/>
        <v>1.2642499922343479E-2</v>
      </c>
      <c r="J60" s="48"/>
      <c r="K60" s="45" t="s">
        <v>463</v>
      </c>
    </row>
    <row r="61" spans="2:11">
      <c r="B61" s="4" t="s">
        <v>583</v>
      </c>
      <c r="C61" s="4" t="s">
        <v>137</v>
      </c>
      <c r="D61" s="2">
        <v>32.18</v>
      </c>
      <c r="E61" s="40">
        <v>32.097000000000001</v>
      </c>
      <c r="F61" s="2">
        <f t="shared" si="0"/>
        <v>8.2999999999998408E-2</v>
      </c>
      <c r="G61" s="2">
        <f t="shared" si="1"/>
        <v>0</v>
      </c>
      <c r="H61" s="4" t="s">
        <v>16</v>
      </c>
      <c r="I61" s="12">
        <f t="shared" si="4"/>
        <v>2.5859114558992556E-3</v>
      </c>
      <c r="J61" s="48"/>
      <c r="K61" s="45" t="s">
        <v>463</v>
      </c>
    </row>
    <row r="62" spans="2:11">
      <c r="B62" s="4" t="s">
        <v>583</v>
      </c>
      <c r="C62" s="4" t="s">
        <v>137</v>
      </c>
      <c r="D62" s="2">
        <f>22.4-0.1</f>
        <v>22.299999999999997</v>
      </c>
      <c r="E62" s="40">
        <v>22.363000000000003</v>
      </c>
      <c r="F62" s="2">
        <f t="shared" si="0"/>
        <v>0</v>
      </c>
      <c r="G62" s="2">
        <f t="shared" si="1"/>
        <v>-6.300000000000594E-2</v>
      </c>
      <c r="H62" s="4" t="s">
        <v>584</v>
      </c>
      <c r="I62" s="12">
        <f>G62/E62</f>
        <v>-2.8171533336317101E-3</v>
      </c>
      <c r="J62" s="48"/>
      <c r="K62" s="45" t="s">
        <v>463</v>
      </c>
    </row>
    <row r="63" spans="2:11">
      <c r="B63" s="4" t="s">
        <v>583</v>
      </c>
      <c r="C63" s="4" t="s">
        <v>137</v>
      </c>
      <c r="D63" s="2">
        <v>31.73</v>
      </c>
      <c r="E63" s="40">
        <v>31.559000000000001</v>
      </c>
      <c r="F63" s="2">
        <f t="shared" si="0"/>
        <v>0.17099999999999937</v>
      </c>
      <c r="G63" s="2">
        <f t="shared" si="1"/>
        <v>0</v>
      </c>
      <c r="H63" s="4" t="s">
        <v>13</v>
      </c>
      <c r="I63" s="12">
        <f t="shared" si="4"/>
        <v>5.4184226369656634E-3</v>
      </c>
      <c r="J63" s="48"/>
      <c r="K63" s="45" t="s">
        <v>463</v>
      </c>
    </row>
    <row r="64" spans="2:11">
      <c r="B64" s="4" t="s">
        <v>583</v>
      </c>
      <c r="C64" s="4" t="s">
        <v>137</v>
      </c>
      <c r="D64" s="2">
        <f>24.25-0.1</f>
        <v>24.15</v>
      </c>
      <c r="E64" s="40">
        <v>24.353999999999999</v>
      </c>
      <c r="F64" s="2">
        <f t="shared" si="0"/>
        <v>0</v>
      </c>
      <c r="G64" s="2">
        <f t="shared" si="1"/>
        <v>-0.20400000000000063</v>
      </c>
      <c r="H64" s="4" t="s">
        <v>585</v>
      </c>
      <c r="I64" s="12">
        <f>G64/E64</f>
        <v>-8.3764474008376708E-3</v>
      </c>
      <c r="J64" s="48"/>
      <c r="K64" s="45" t="s">
        <v>463</v>
      </c>
    </row>
    <row r="65" spans="2:11">
      <c r="B65" s="4" t="s">
        <v>586</v>
      </c>
      <c r="C65" s="4" t="s">
        <v>137</v>
      </c>
      <c r="D65" s="2">
        <v>32.840000000000003</v>
      </c>
      <c r="E65" s="40">
        <v>32.993000000000002</v>
      </c>
      <c r="F65" s="2">
        <f t="shared" si="0"/>
        <v>0</v>
      </c>
      <c r="G65" s="2">
        <f t="shared" si="1"/>
        <v>-0.15299999999999869</v>
      </c>
      <c r="H65" s="4" t="s">
        <v>16</v>
      </c>
      <c r="I65" s="12">
        <f>G65/E65</f>
        <v>-4.6373473160973141E-3</v>
      </c>
      <c r="J65" s="48"/>
      <c r="K65" s="45" t="s">
        <v>463</v>
      </c>
    </row>
    <row r="66" spans="2:11">
      <c r="B66" s="4" t="s">
        <v>586</v>
      </c>
      <c r="C66" s="4" t="s">
        <v>528</v>
      </c>
      <c r="D66" s="2">
        <v>32.36</v>
      </c>
      <c r="E66" s="40">
        <v>31.946999999999999</v>
      </c>
      <c r="F66" s="2">
        <f t="shared" si="0"/>
        <v>0.41300000000000026</v>
      </c>
      <c r="G66" s="2">
        <f t="shared" si="1"/>
        <v>0</v>
      </c>
      <c r="H66" s="4" t="s">
        <v>555</v>
      </c>
      <c r="I66" s="12">
        <f t="shared" ref="I66" si="7">F66/E66</f>
        <v>1.292766143925878E-2</v>
      </c>
      <c r="J66" s="48"/>
      <c r="K66" s="45" t="s">
        <v>463</v>
      </c>
    </row>
    <row r="67" spans="2:11">
      <c r="B67" s="4" t="s">
        <v>586</v>
      </c>
      <c r="C67" s="4" t="s">
        <v>206</v>
      </c>
      <c r="D67" s="2">
        <v>32.729999999999997</v>
      </c>
      <c r="E67" s="40">
        <v>32.734000000000002</v>
      </c>
      <c r="F67" s="2">
        <f t="shared" si="0"/>
        <v>0</v>
      </c>
      <c r="G67" s="2">
        <f t="shared" si="1"/>
        <v>-4.0000000000048885E-3</v>
      </c>
      <c r="H67" s="4" t="s">
        <v>416</v>
      </c>
      <c r="I67" s="12">
        <f>G67/E67</f>
        <v>-1.2219710392878623E-4</v>
      </c>
      <c r="J67" s="48"/>
      <c r="K67" s="45"/>
    </row>
    <row r="68" spans="2:11">
      <c r="B68" s="4" t="s">
        <v>586</v>
      </c>
      <c r="C68" s="4" t="s">
        <v>206</v>
      </c>
      <c r="D68" s="2">
        <v>11.73</v>
      </c>
      <c r="E68" s="40">
        <v>11.664999999999999</v>
      </c>
      <c r="F68" s="2">
        <f t="shared" si="0"/>
        <v>6.5000000000001279E-2</v>
      </c>
      <c r="G68" s="2">
        <f t="shared" si="1"/>
        <v>0</v>
      </c>
      <c r="H68" s="4" t="s">
        <v>302</v>
      </c>
      <c r="I68" s="12">
        <f t="shared" ref="I68" si="8">F68/E68</f>
        <v>5.5722246035148975E-3</v>
      </c>
      <c r="J68" s="48"/>
      <c r="K68" s="45"/>
    </row>
    <row r="69" spans="2:11">
      <c r="B69" s="4" t="s">
        <v>586</v>
      </c>
      <c r="C69" s="4" t="s">
        <v>137</v>
      </c>
      <c r="D69" s="2">
        <v>32.94</v>
      </c>
      <c r="E69" s="40">
        <v>33.109000000000002</v>
      </c>
      <c r="F69" s="2">
        <f t="shared" si="0"/>
        <v>0</v>
      </c>
      <c r="G69" s="2">
        <f t="shared" si="1"/>
        <v>-0.16900000000000404</v>
      </c>
      <c r="H69" s="4" t="s">
        <v>11</v>
      </c>
      <c r="I69" s="12">
        <f>G69/E69</f>
        <v>-5.1043522909179993E-3</v>
      </c>
      <c r="J69" s="48"/>
      <c r="K69" s="45"/>
    </row>
    <row r="70" spans="2:11">
      <c r="B70" s="4" t="s">
        <v>587</v>
      </c>
      <c r="C70" s="4" t="s">
        <v>206</v>
      </c>
      <c r="D70" s="2">
        <v>32.590000000000003</v>
      </c>
      <c r="E70" s="40">
        <v>32.35</v>
      </c>
      <c r="F70" s="2">
        <f t="shared" ref="F70:F127" si="9">IF(D70-E70&lt;=0,0,D70-E70)</f>
        <v>0.24000000000000199</v>
      </c>
      <c r="G70" s="2">
        <f t="shared" ref="G70:G127" si="10">IF(D70-E70&gt;=0,0,D70-E70)</f>
        <v>0</v>
      </c>
      <c r="H70" s="4" t="s">
        <v>205</v>
      </c>
      <c r="I70" s="12">
        <f t="shared" ref="I70:I71" si="11">F70/E70</f>
        <v>7.4188562596600302E-3</v>
      </c>
      <c r="J70" s="48"/>
      <c r="K70" s="45"/>
    </row>
    <row r="71" spans="2:11">
      <c r="B71" s="4" t="s">
        <v>587</v>
      </c>
      <c r="C71" s="4" t="s">
        <v>137</v>
      </c>
      <c r="D71" s="2">
        <f>24.82-0.1</f>
        <v>24.72</v>
      </c>
      <c r="E71" s="40">
        <v>24.55</v>
      </c>
      <c r="F71" s="2">
        <f t="shared" si="9"/>
        <v>0.16999999999999815</v>
      </c>
      <c r="G71" s="2">
        <f t="shared" si="10"/>
        <v>0</v>
      </c>
      <c r="H71" s="4" t="s">
        <v>588</v>
      </c>
      <c r="I71" s="12">
        <f t="shared" si="11"/>
        <v>6.9246435845213093E-3</v>
      </c>
      <c r="J71" s="48"/>
      <c r="K71" s="45"/>
    </row>
    <row r="72" spans="2:11">
      <c r="B72" s="4" t="s">
        <v>587</v>
      </c>
      <c r="C72" s="4" t="s">
        <v>206</v>
      </c>
      <c r="D72" s="2">
        <v>33.11</v>
      </c>
      <c r="E72" s="40">
        <v>33.134999999999998</v>
      </c>
      <c r="F72" s="2">
        <f t="shared" si="9"/>
        <v>0</v>
      </c>
      <c r="G72" s="2">
        <f t="shared" si="10"/>
        <v>-2.4999999999998579E-2</v>
      </c>
      <c r="H72" s="4" t="s">
        <v>589</v>
      </c>
      <c r="I72" s="12">
        <f>G72/E72</f>
        <v>-7.5448921080424267E-4</v>
      </c>
      <c r="J72" s="48"/>
      <c r="K72" s="45"/>
    </row>
    <row r="73" spans="2:11">
      <c r="B73" s="4" t="s">
        <v>587</v>
      </c>
      <c r="C73" s="4" t="s">
        <v>137</v>
      </c>
      <c r="D73" s="2">
        <f>23.79-0.1</f>
        <v>23.689999999999998</v>
      </c>
      <c r="E73" s="40">
        <v>23.997</v>
      </c>
      <c r="F73" s="2">
        <f t="shared" si="9"/>
        <v>0</v>
      </c>
      <c r="G73" s="2">
        <f t="shared" si="10"/>
        <v>-0.30700000000000216</v>
      </c>
      <c r="H73" s="4" t="s">
        <v>449</v>
      </c>
      <c r="I73" s="12">
        <f>G73/E73</f>
        <v>-1.2793265824894869E-2</v>
      </c>
      <c r="J73" s="48"/>
      <c r="K73" s="45"/>
    </row>
    <row r="74" spans="2:11">
      <c r="B74" s="4" t="s">
        <v>587</v>
      </c>
      <c r="C74" s="4" t="s">
        <v>137</v>
      </c>
      <c r="D74" s="2">
        <f>24.51-0.1</f>
        <v>24.41</v>
      </c>
      <c r="E74" s="40">
        <v>24.466999999999999</v>
      </c>
      <c r="F74" s="2">
        <f t="shared" si="9"/>
        <v>0</v>
      </c>
      <c r="G74" s="2">
        <f t="shared" si="10"/>
        <v>-5.6999999999998607E-2</v>
      </c>
      <c r="H74" s="4" t="s">
        <v>590</v>
      </c>
      <c r="I74" s="12">
        <f>G74/E74</f>
        <v>-2.3296685331261947E-3</v>
      </c>
      <c r="J74" s="48"/>
      <c r="K74" s="45"/>
    </row>
    <row r="75" spans="2:11">
      <c r="B75" s="4" t="s">
        <v>587</v>
      </c>
      <c r="C75" s="4" t="s">
        <v>137</v>
      </c>
      <c r="D75" s="2">
        <v>32.07</v>
      </c>
      <c r="E75" s="40">
        <v>31.745999999999999</v>
      </c>
      <c r="F75" s="2">
        <f t="shared" si="9"/>
        <v>0.32400000000000162</v>
      </c>
      <c r="G75" s="2">
        <f t="shared" si="10"/>
        <v>0</v>
      </c>
      <c r="H75" s="4" t="s">
        <v>16</v>
      </c>
      <c r="I75" s="12">
        <f t="shared" ref="I75:I92" si="12">F75/E75</f>
        <v>1.0206010206010257E-2</v>
      </c>
      <c r="J75" s="48"/>
      <c r="K75" s="45"/>
    </row>
    <row r="76" spans="2:11">
      <c r="B76" s="4" t="s">
        <v>591</v>
      </c>
      <c r="C76" s="4" t="s">
        <v>137</v>
      </c>
      <c r="D76" s="2">
        <v>31.96</v>
      </c>
      <c r="E76" s="40">
        <f>25.513+6.115</f>
        <v>31.628</v>
      </c>
      <c r="F76" s="2">
        <f t="shared" si="9"/>
        <v>0.33200000000000074</v>
      </c>
      <c r="G76" s="2">
        <f t="shared" si="10"/>
        <v>0</v>
      </c>
      <c r="H76" s="4" t="s">
        <v>212</v>
      </c>
      <c r="I76" s="12">
        <f t="shared" si="12"/>
        <v>1.0497027949917817E-2</v>
      </c>
      <c r="J76" s="48"/>
      <c r="K76" s="45"/>
    </row>
    <row r="77" spans="2:11">
      <c r="B77" s="4" t="s">
        <v>591</v>
      </c>
      <c r="C77" s="4" t="s">
        <v>137</v>
      </c>
      <c r="D77" s="2">
        <f>24.27-0.1</f>
        <v>24.169999999999998</v>
      </c>
      <c r="E77" s="40">
        <v>24.094999999999999</v>
      </c>
      <c r="F77" s="2">
        <f t="shared" si="9"/>
        <v>7.4999999999999289E-2</v>
      </c>
      <c r="G77" s="2">
        <f t="shared" si="10"/>
        <v>0</v>
      </c>
      <c r="H77" s="4" t="s">
        <v>592</v>
      </c>
      <c r="I77" s="12">
        <f t="shared" si="12"/>
        <v>3.1126789790412654E-3</v>
      </c>
      <c r="J77" s="48"/>
      <c r="K77" s="45"/>
    </row>
    <row r="78" spans="2:11">
      <c r="B78" s="4" t="s">
        <v>591</v>
      </c>
      <c r="C78" s="4" t="s">
        <v>137</v>
      </c>
      <c r="D78" s="2">
        <f>24.62-0.1</f>
        <v>24.52</v>
      </c>
      <c r="E78" s="40">
        <v>24.486000000000001</v>
      </c>
      <c r="F78" s="2">
        <f t="shared" si="9"/>
        <v>3.399999999999892E-2</v>
      </c>
      <c r="G78" s="2">
        <f t="shared" si="10"/>
        <v>0</v>
      </c>
      <c r="H78" s="4" t="s">
        <v>593</v>
      </c>
      <c r="I78" s="12">
        <f t="shared" si="12"/>
        <v>1.388548558359835E-3</v>
      </c>
      <c r="J78" s="48"/>
      <c r="K78" s="45"/>
    </row>
    <row r="79" spans="2:11">
      <c r="B79" s="4" t="s">
        <v>591</v>
      </c>
      <c r="C79" s="4" t="s">
        <v>137</v>
      </c>
      <c r="D79" s="2">
        <f>31.44-0.044</f>
        <v>31.396000000000001</v>
      </c>
      <c r="E79" s="40">
        <f>31.164+0.044</f>
        <v>31.208000000000002</v>
      </c>
      <c r="F79" s="2">
        <f t="shared" si="9"/>
        <v>0.18799999999999883</v>
      </c>
      <c r="G79" s="2">
        <f t="shared" si="10"/>
        <v>0</v>
      </c>
      <c r="H79" s="4" t="s">
        <v>16</v>
      </c>
      <c r="I79" s="12">
        <f t="shared" si="12"/>
        <v>6.0240963855421308E-3</v>
      </c>
      <c r="J79" s="48"/>
      <c r="K79" s="45"/>
    </row>
    <row r="80" spans="2:11">
      <c r="B80" s="4" t="s">
        <v>594</v>
      </c>
      <c r="C80" s="4" t="s">
        <v>206</v>
      </c>
      <c r="D80" s="2">
        <v>32.01</v>
      </c>
      <c r="E80" s="40">
        <v>31.902000000000001</v>
      </c>
      <c r="F80" s="2">
        <f t="shared" si="9"/>
        <v>0.10799999999999699</v>
      </c>
      <c r="G80" s="2">
        <f t="shared" si="10"/>
        <v>0</v>
      </c>
      <c r="H80" s="4" t="s">
        <v>386</v>
      </c>
      <c r="I80" s="12">
        <f t="shared" si="12"/>
        <v>3.385367688546078E-3</v>
      </c>
      <c r="J80" s="48"/>
      <c r="K80" s="45"/>
    </row>
    <row r="81" spans="2:12">
      <c r="B81" s="4" t="s">
        <v>594</v>
      </c>
      <c r="C81" s="4" t="s">
        <v>137</v>
      </c>
      <c r="D81" s="2">
        <v>31.58</v>
      </c>
      <c r="E81" s="40">
        <v>31.387</v>
      </c>
      <c r="F81" s="2">
        <f t="shared" si="9"/>
        <v>0.19299999999999784</v>
      </c>
      <c r="G81" s="2">
        <f t="shared" si="10"/>
        <v>0</v>
      </c>
      <c r="H81" s="4" t="s">
        <v>16</v>
      </c>
      <c r="I81" s="12">
        <f t="shared" si="12"/>
        <v>6.1490425972535708E-3</v>
      </c>
      <c r="J81" s="48"/>
      <c r="K81" s="45"/>
    </row>
    <row r="82" spans="2:12">
      <c r="B82" s="4" t="s">
        <v>594</v>
      </c>
      <c r="C82" s="4" t="s">
        <v>137</v>
      </c>
      <c r="D82" s="2">
        <v>31.03</v>
      </c>
      <c r="E82" s="40">
        <v>30.972999999999999</v>
      </c>
      <c r="F82" s="2">
        <f t="shared" si="9"/>
        <v>5.700000000000216E-2</v>
      </c>
      <c r="G82" s="2">
        <f t="shared" si="10"/>
        <v>0</v>
      </c>
      <c r="H82" s="4" t="s">
        <v>23</v>
      </c>
      <c r="I82" s="12">
        <f t="shared" si="12"/>
        <v>1.840312530268368E-3</v>
      </c>
      <c r="J82" s="48"/>
      <c r="K82" s="45"/>
    </row>
    <row r="83" spans="2:12">
      <c r="B83" s="4" t="s">
        <v>594</v>
      </c>
      <c r="C83" s="4" t="s">
        <v>137</v>
      </c>
      <c r="D83" s="2">
        <v>32.75</v>
      </c>
      <c r="E83" s="40">
        <v>32.676000000000002</v>
      </c>
      <c r="F83" s="2">
        <f t="shared" si="9"/>
        <v>7.3999999999998067E-2</v>
      </c>
      <c r="G83" s="2">
        <f t="shared" si="10"/>
        <v>0</v>
      </c>
      <c r="H83" s="4" t="s">
        <v>287</v>
      </c>
      <c r="I83" s="12">
        <f t="shared" si="12"/>
        <v>2.2646590769983491E-3</v>
      </c>
      <c r="J83" s="48"/>
      <c r="K83" s="45"/>
    </row>
    <row r="84" spans="2:12">
      <c r="B84" s="4" t="s">
        <v>594</v>
      </c>
      <c r="C84" s="4" t="s">
        <v>206</v>
      </c>
      <c r="D84" s="2">
        <v>32.729999999999997</v>
      </c>
      <c r="E84" s="40">
        <v>32.704000000000001</v>
      </c>
      <c r="F84" s="2">
        <f t="shared" si="9"/>
        <v>2.5999999999996248E-2</v>
      </c>
      <c r="G84" s="2">
        <f t="shared" si="10"/>
        <v>0</v>
      </c>
      <c r="H84" s="4" t="s">
        <v>291</v>
      </c>
      <c r="I84" s="12">
        <f t="shared" si="12"/>
        <v>7.9500978473569738E-4</v>
      </c>
      <c r="J84" s="48"/>
      <c r="K84" s="45"/>
      <c r="L84" s="38"/>
    </row>
    <row r="85" spans="2:12">
      <c r="B85" s="4" t="s">
        <v>595</v>
      </c>
      <c r="C85" s="4" t="s">
        <v>137</v>
      </c>
      <c r="D85" s="2">
        <v>32.380000000000003</v>
      </c>
      <c r="E85" s="40">
        <v>32.206000000000003</v>
      </c>
      <c r="F85" s="2">
        <f t="shared" si="9"/>
        <v>0.17399999999999949</v>
      </c>
      <c r="G85" s="2">
        <f t="shared" si="10"/>
        <v>0</v>
      </c>
      <c r="H85" s="4" t="s">
        <v>15</v>
      </c>
      <c r="I85" s="12">
        <f t="shared" si="12"/>
        <v>5.4027199900639469E-3</v>
      </c>
      <c r="J85" s="48"/>
      <c r="K85" s="45"/>
    </row>
    <row r="86" spans="2:12">
      <c r="B86" s="4" t="s">
        <v>595</v>
      </c>
      <c r="C86" s="4" t="s">
        <v>137</v>
      </c>
      <c r="D86" s="2">
        <v>30.3</v>
      </c>
      <c r="E86" s="40">
        <v>30.472000000000001</v>
      </c>
      <c r="F86" s="2">
        <f t="shared" si="9"/>
        <v>0</v>
      </c>
      <c r="G86" s="2">
        <f t="shared" si="10"/>
        <v>-0.1720000000000006</v>
      </c>
      <c r="H86" s="4" t="s">
        <v>11</v>
      </c>
      <c r="I86" s="12">
        <f>G86/E86</f>
        <v>-5.6445261223418411E-3</v>
      </c>
      <c r="J86" s="48"/>
      <c r="K86" s="45"/>
    </row>
    <row r="87" spans="2:12">
      <c r="B87" s="4" t="s">
        <v>595</v>
      </c>
      <c r="C87" s="4" t="s">
        <v>137</v>
      </c>
      <c r="D87" s="2">
        <v>31.39</v>
      </c>
      <c r="E87" s="40">
        <v>31.324000000000002</v>
      </c>
      <c r="F87" s="2">
        <f t="shared" si="9"/>
        <v>6.5999999999998948E-2</v>
      </c>
      <c r="G87" s="2">
        <f t="shared" si="10"/>
        <v>0</v>
      </c>
      <c r="H87" s="4" t="s">
        <v>287</v>
      </c>
      <c r="I87" s="12">
        <f t="shared" si="12"/>
        <v>2.107010598901767E-3</v>
      </c>
      <c r="J87" s="48"/>
      <c r="K87" s="45"/>
    </row>
    <row r="88" spans="2:12">
      <c r="B88" s="4" t="s">
        <v>595</v>
      </c>
      <c r="C88" s="4" t="s">
        <v>206</v>
      </c>
      <c r="D88" s="2">
        <v>32.81</v>
      </c>
      <c r="E88" s="40">
        <v>32.901000000000003</v>
      </c>
      <c r="F88" s="2">
        <f t="shared" si="9"/>
        <v>0</v>
      </c>
      <c r="G88" s="2">
        <f t="shared" si="10"/>
        <v>-9.100000000000108E-2</v>
      </c>
      <c r="H88" s="4" t="s">
        <v>300</v>
      </c>
      <c r="I88" s="12">
        <f>G88/E88</f>
        <v>-2.765873377708917E-3</v>
      </c>
      <c r="J88" s="48"/>
      <c r="K88" s="45"/>
    </row>
    <row r="89" spans="2:12">
      <c r="B89" s="4" t="s">
        <v>596</v>
      </c>
      <c r="C89" s="4" t="s">
        <v>568</v>
      </c>
      <c r="D89" s="2">
        <f>24.93-0.1</f>
        <v>24.83</v>
      </c>
      <c r="E89" s="40">
        <v>24.713999999999999</v>
      </c>
      <c r="F89" s="2">
        <f t="shared" si="9"/>
        <v>0.11599999999999966</v>
      </c>
      <c r="G89" s="2">
        <f t="shared" si="10"/>
        <v>0</v>
      </c>
      <c r="H89" s="4" t="s">
        <v>597</v>
      </c>
      <c r="I89" s="12">
        <f t="shared" si="12"/>
        <v>4.6936958808772222E-3</v>
      </c>
      <c r="J89" s="48"/>
      <c r="K89" s="45"/>
    </row>
    <row r="90" spans="2:12">
      <c r="B90" s="4" t="s">
        <v>596</v>
      </c>
      <c r="C90" s="4" t="s">
        <v>206</v>
      </c>
      <c r="D90" s="2">
        <v>32.06</v>
      </c>
      <c r="E90" s="40">
        <v>32.053280000000001</v>
      </c>
      <c r="F90" s="2">
        <f t="shared" si="9"/>
        <v>6.7200000000013915E-3</v>
      </c>
      <c r="G90" s="2">
        <f t="shared" si="10"/>
        <v>0</v>
      </c>
      <c r="H90" s="4" t="s">
        <v>217</v>
      </c>
      <c r="I90" s="12">
        <f t="shared" si="12"/>
        <v>2.0965093119959617E-4</v>
      </c>
      <c r="J90" s="48"/>
      <c r="K90" s="45"/>
    </row>
    <row r="91" spans="2:12">
      <c r="B91" s="4" t="s">
        <v>596</v>
      </c>
      <c r="C91" s="4" t="s">
        <v>137</v>
      </c>
      <c r="D91" s="2">
        <v>32.11</v>
      </c>
      <c r="E91" s="40">
        <v>31.979999999999997</v>
      </c>
      <c r="F91" s="2">
        <f t="shared" si="9"/>
        <v>0.13000000000000256</v>
      </c>
      <c r="G91" s="2">
        <f t="shared" si="10"/>
        <v>0</v>
      </c>
      <c r="H91" s="4" t="s">
        <v>287</v>
      </c>
      <c r="I91" s="12">
        <f t="shared" si="12"/>
        <v>4.0650406504065843E-3</v>
      </c>
      <c r="J91" s="48"/>
      <c r="K91" s="45"/>
    </row>
    <row r="92" spans="2:12">
      <c r="B92" s="4" t="s">
        <v>596</v>
      </c>
      <c r="C92" s="4" t="s">
        <v>206</v>
      </c>
      <c r="D92" s="2">
        <v>31.98</v>
      </c>
      <c r="E92" s="40">
        <v>31.945999999999998</v>
      </c>
      <c r="F92" s="2">
        <f t="shared" si="9"/>
        <v>3.4000000000002473E-2</v>
      </c>
      <c r="G92" s="2">
        <f t="shared" si="10"/>
        <v>0</v>
      </c>
      <c r="H92" s="4" t="s">
        <v>561</v>
      </c>
      <c r="I92" s="12">
        <f t="shared" si="12"/>
        <v>1.0642959994992323E-3</v>
      </c>
      <c r="J92" s="48"/>
      <c r="K92" s="45"/>
    </row>
    <row r="93" spans="2:12">
      <c r="B93" s="4" t="s">
        <v>596</v>
      </c>
      <c r="C93" s="4" t="s">
        <v>137</v>
      </c>
      <c r="D93" s="2">
        <v>32.31</v>
      </c>
      <c r="E93" s="40">
        <v>32.347000000000001</v>
      </c>
      <c r="F93" s="2">
        <f t="shared" si="9"/>
        <v>0</v>
      </c>
      <c r="G93" s="2">
        <f t="shared" si="10"/>
        <v>-3.6999999999999034E-2</v>
      </c>
      <c r="H93" s="4" t="s">
        <v>13</v>
      </c>
      <c r="I93" s="12">
        <f t="shared" ref="I93:I127" si="13">G93/E93</f>
        <v>-1.1438464154326223E-3</v>
      </c>
      <c r="J93" s="48"/>
      <c r="K93" s="45"/>
    </row>
    <row r="94" spans="2:12">
      <c r="B94" s="4" t="s">
        <v>598</v>
      </c>
      <c r="C94" s="4" t="s">
        <v>568</v>
      </c>
      <c r="D94" s="2">
        <f>24.07-0.1</f>
        <v>23.97</v>
      </c>
      <c r="E94" s="40">
        <v>24.258000000000003</v>
      </c>
      <c r="F94" s="2">
        <f t="shared" si="9"/>
        <v>0</v>
      </c>
      <c r="G94" s="2">
        <f t="shared" si="10"/>
        <v>-0.28800000000000381</v>
      </c>
      <c r="H94" s="4" t="s">
        <v>599</v>
      </c>
      <c r="I94" s="12">
        <f t="shared" si="13"/>
        <v>-1.187237200098952E-2</v>
      </c>
      <c r="J94" s="48"/>
      <c r="K94" s="45"/>
    </row>
    <row r="95" spans="2:12">
      <c r="B95" s="4" t="s">
        <v>598</v>
      </c>
      <c r="C95" s="4" t="s">
        <v>137</v>
      </c>
      <c r="D95" s="2">
        <v>32.67</v>
      </c>
      <c r="E95" s="40">
        <v>32.590000000000003</v>
      </c>
      <c r="F95" s="2">
        <f t="shared" si="9"/>
        <v>7.9999999999998295E-2</v>
      </c>
      <c r="G95" s="2">
        <f t="shared" si="10"/>
        <v>0</v>
      </c>
      <c r="H95" s="4" t="s">
        <v>11</v>
      </c>
      <c r="I95" s="12">
        <f t="shared" ref="I95:I96" si="14">F95/E95</f>
        <v>2.4547407180116076E-3</v>
      </c>
      <c r="J95" s="48"/>
      <c r="K95" s="45"/>
    </row>
    <row r="96" spans="2:12">
      <c r="B96" s="4" t="s">
        <v>598</v>
      </c>
      <c r="C96" s="4" t="s">
        <v>206</v>
      </c>
      <c r="D96" s="2">
        <v>33.17</v>
      </c>
      <c r="E96" s="40">
        <v>32.952999999999989</v>
      </c>
      <c r="F96" s="2">
        <f t="shared" si="9"/>
        <v>0.21700000000001296</v>
      </c>
      <c r="G96" s="2">
        <f t="shared" si="10"/>
        <v>0</v>
      </c>
      <c r="H96" s="4" t="s">
        <v>573</v>
      </c>
      <c r="I96" s="12">
        <f t="shared" si="14"/>
        <v>6.5851364063973855E-3</v>
      </c>
      <c r="J96" s="48"/>
      <c r="K96" s="45"/>
    </row>
    <row r="97" spans="2:11">
      <c r="B97" s="4" t="s">
        <v>598</v>
      </c>
      <c r="C97" s="4" t="s">
        <v>137</v>
      </c>
      <c r="D97" s="2">
        <v>32.590000000000003</v>
      </c>
      <c r="E97" s="40">
        <v>32.631</v>
      </c>
      <c r="F97" s="2">
        <f t="shared" si="9"/>
        <v>0</v>
      </c>
      <c r="G97" s="2">
        <f t="shared" si="10"/>
        <v>-4.0999999999996817E-2</v>
      </c>
      <c r="H97" s="4" t="s">
        <v>287</v>
      </c>
      <c r="I97" s="12">
        <f t="shared" si="13"/>
        <v>-1.2564739051820911E-3</v>
      </c>
      <c r="J97" s="48"/>
      <c r="K97" s="45"/>
    </row>
    <row r="98" spans="2:11">
      <c r="B98" s="4" t="s">
        <v>598</v>
      </c>
      <c r="C98" s="4" t="s">
        <v>206</v>
      </c>
      <c r="D98" s="2">
        <v>32.61</v>
      </c>
      <c r="E98" s="40">
        <v>32.615000000000002</v>
      </c>
      <c r="F98" s="2">
        <f t="shared" si="9"/>
        <v>0</v>
      </c>
      <c r="G98" s="2">
        <f t="shared" si="10"/>
        <v>-5.000000000002558E-3</v>
      </c>
      <c r="H98" s="4" t="s">
        <v>330</v>
      </c>
      <c r="I98" s="12">
        <f t="shared" si="13"/>
        <v>-1.5330369461911874E-4</v>
      </c>
      <c r="J98" s="48"/>
      <c r="K98" s="45"/>
    </row>
    <row r="99" spans="2:11">
      <c r="B99" s="4" t="s">
        <v>600</v>
      </c>
      <c r="C99" s="4" t="s">
        <v>206</v>
      </c>
      <c r="D99" s="2">
        <v>17.059999999999999</v>
      </c>
      <c r="E99" s="40">
        <v>17.035599999999999</v>
      </c>
      <c r="F99" s="2">
        <f t="shared" si="9"/>
        <v>2.4399999999999977E-2</v>
      </c>
      <c r="G99" s="2">
        <f t="shared" si="10"/>
        <v>0</v>
      </c>
      <c r="H99" s="4" t="s">
        <v>315</v>
      </c>
      <c r="I99" s="12">
        <f t="shared" ref="I99" si="15">F99/E99</f>
        <v>1.4322947239897613E-3</v>
      </c>
      <c r="J99" s="48"/>
      <c r="K99" s="45"/>
    </row>
    <row r="100" spans="2:11">
      <c r="B100" s="4" t="s">
        <v>600</v>
      </c>
      <c r="C100" s="4" t="s">
        <v>137</v>
      </c>
      <c r="D100" s="2">
        <v>32.4</v>
      </c>
      <c r="E100" s="40">
        <v>32.460999999999999</v>
      </c>
      <c r="F100" s="2">
        <f t="shared" si="9"/>
        <v>0</v>
      </c>
      <c r="G100" s="2">
        <f t="shared" si="10"/>
        <v>-6.0999999999999943E-2</v>
      </c>
      <c r="H100" s="4" t="s">
        <v>23</v>
      </c>
      <c r="I100" s="12">
        <f t="shared" si="13"/>
        <v>-1.8791780906318334E-3</v>
      </c>
      <c r="J100" s="48"/>
      <c r="K100" s="45"/>
    </row>
    <row r="101" spans="2:11">
      <c r="B101" s="4" t="s">
        <v>600</v>
      </c>
      <c r="C101" s="4" t="s">
        <v>137</v>
      </c>
      <c r="D101" s="2">
        <v>32.6</v>
      </c>
      <c r="E101" s="40">
        <v>32.6</v>
      </c>
      <c r="F101" s="2">
        <f t="shared" si="9"/>
        <v>0</v>
      </c>
      <c r="G101" s="2">
        <f t="shared" si="10"/>
        <v>0</v>
      </c>
      <c r="H101" s="4" t="s">
        <v>287</v>
      </c>
      <c r="I101" s="12">
        <f t="shared" ref="I101" si="16">F101/E101</f>
        <v>0</v>
      </c>
      <c r="J101" s="48"/>
      <c r="K101" s="45"/>
    </row>
    <row r="102" spans="2:11">
      <c r="B102" s="4" t="s">
        <v>600</v>
      </c>
      <c r="C102" s="4" t="s">
        <v>206</v>
      </c>
      <c r="D102" s="2">
        <v>32.44</v>
      </c>
      <c r="E102" s="40">
        <v>32.465000000000003</v>
      </c>
      <c r="F102" s="2">
        <f t="shared" si="9"/>
        <v>0</v>
      </c>
      <c r="G102" s="2">
        <f t="shared" si="10"/>
        <v>-2.5000000000005684E-2</v>
      </c>
      <c r="H102" s="4" t="s">
        <v>601</v>
      </c>
      <c r="I102" s="12">
        <f t="shared" si="13"/>
        <v>-7.7006006468522043E-4</v>
      </c>
      <c r="J102" s="48"/>
      <c r="K102" s="45"/>
    </row>
    <row r="103" spans="2:11">
      <c r="B103" s="4" t="s">
        <v>602</v>
      </c>
      <c r="C103" s="4" t="s">
        <v>137</v>
      </c>
      <c r="D103" s="2">
        <v>31.89</v>
      </c>
      <c r="E103" s="40">
        <v>31.823999999999998</v>
      </c>
      <c r="F103" s="2">
        <f t="shared" si="9"/>
        <v>6.6000000000002501E-2</v>
      </c>
      <c r="G103" s="2">
        <f t="shared" si="10"/>
        <v>0</v>
      </c>
      <c r="H103" s="4" t="s">
        <v>287</v>
      </c>
      <c r="I103" s="12">
        <f t="shared" ref="I103:I106" si="17">F103/E103</f>
        <v>2.0739064856712705E-3</v>
      </c>
      <c r="J103" s="48"/>
      <c r="K103" s="45"/>
    </row>
    <row r="104" spans="2:11">
      <c r="B104" s="4" t="s">
        <v>602</v>
      </c>
      <c r="C104" s="4" t="s">
        <v>137</v>
      </c>
      <c r="D104" s="2">
        <v>32.22</v>
      </c>
      <c r="E104" s="40">
        <v>32.212000000000003</v>
      </c>
      <c r="F104" s="2">
        <f t="shared" ref="F104:F120" si="18">IF(D104-E104&lt;=0,0,D104-E104)</f>
        <v>7.9999999999955662E-3</v>
      </c>
      <c r="G104" s="2">
        <f t="shared" ref="G104:G119" si="19">IF(D104-E104&gt;=0,0,D104-E104)</f>
        <v>0</v>
      </c>
      <c r="H104" s="4" t="s">
        <v>13</v>
      </c>
      <c r="I104" s="12">
        <f t="shared" si="17"/>
        <v>2.4835465044069181E-4</v>
      </c>
      <c r="J104" s="48"/>
      <c r="K104" s="45"/>
    </row>
    <row r="105" spans="2:11">
      <c r="B105" s="4" t="s">
        <v>602</v>
      </c>
      <c r="C105" s="4" t="s">
        <v>137</v>
      </c>
      <c r="D105" s="2">
        <v>32.9</v>
      </c>
      <c r="E105" s="40">
        <v>32.795000000000002</v>
      </c>
      <c r="F105" s="2">
        <f t="shared" si="18"/>
        <v>0.10499999999999687</v>
      </c>
      <c r="G105" s="2">
        <f t="shared" si="19"/>
        <v>0</v>
      </c>
      <c r="H105" s="4" t="s">
        <v>16</v>
      </c>
      <c r="I105" s="12">
        <f t="shared" si="17"/>
        <v>3.2017075773745044E-3</v>
      </c>
      <c r="J105" s="48"/>
      <c r="K105" s="45"/>
    </row>
    <row r="106" spans="2:11">
      <c r="B106" s="4" t="s">
        <v>602</v>
      </c>
      <c r="C106" s="4" t="s">
        <v>137</v>
      </c>
      <c r="D106" s="2">
        <v>32.57</v>
      </c>
      <c r="E106" s="40">
        <v>32.484000000000002</v>
      </c>
      <c r="F106" s="2">
        <f t="shared" si="18"/>
        <v>8.5999999999998522E-2</v>
      </c>
      <c r="G106" s="2">
        <f t="shared" si="19"/>
        <v>0</v>
      </c>
      <c r="H106" s="4" t="s">
        <v>11</v>
      </c>
      <c r="I106" s="12">
        <f t="shared" si="17"/>
        <v>2.6474572097031929E-3</v>
      </c>
      <c r="J106" s="48"/>
      <c r="K106" s="45"/>
    </row>
    <row r="107" spans="2:11">
      <c r="B107" s="4" t="s">
        <v>603</v>
      </c>
      <c r="C107" s="4" t="s">
        <v>137</v>
      </c>
      <c r="D107" s="2">
        <v>32.4</v>
      </c>
      <c r="E107" s="40">
        <v>32.555</v>
      </c>
      <c r="F107" s="2">
        <f t="shared" si="18"/>
        <v>0</v>
      </c>
      <c r="G107" s="2">
        <f t="shared" si="19"/>
        <v>-0.15500000000000114</v>
      </c>
      <c r="H107" s="4" t="s">
        <v>13</v>
      </c>
      <c r="I107" s="12">
        <f t="shared" ref="I107:I119" si="20">G107/E107</f>
        <v>-4.7611733988634965E-3</v>
      </c>
      <c r="J107" s="48"/>
      <c r="K107" s="45"/>
    </row>
    <row r="108" spans="2:11">
      <c r="B108" s="4" t="s">
        <v>603</v>
      </c>
      <c r="C108" s="4" t="s">
        <v>206</v>
      </c>
      <c r="D108" s="2">
        <v>32.020000000000003</v>
      </c>
      <c r="E108" s="40">
        <v>31.962000000000003</v>
      </c>
      <c r="F108" s="2">
        <f t="shared" si="18"/>
        <v>5.7999999999999829E-2</v>
      </c>
      <c r="G108" s="2">
        <f t="shared" si="19"/>
        <v>0</v>
      </c>
      <c r="H108" s="4" t="s">
        <v>416</v>
      </c>
      <c r="I108" s="12">
        <f t="shared" ref="I108" si="21">F108/E108</f>
        <v>1.8146549026969471E-3</v>
      </c>
      <c r="J108" s="48"/>
      <c r="K108" s="45"/>
    </row>
    <row r="109" spans="2:11">
      <c r="B109" s="4" t="s">
        <v>603</v>
      </c>
      <c r="C109" s="4" t="s">
        <v>137</v>
      </c>
      <c r="D109" s="2">
        <v>32.72</v>
      </c>
      <c r="E109" s="40">
        <v>33.000999999999998</v>
      </c>
      <c r="F109" s="2">
        <f t="shared" ref="F109:F117" si="22">IF(D109-E109&lt;=0,0,D109-E109)</f>
        <v>0</v>
      </c>
      <c r="G109" s="2">
        <f t="shared" ref="G109:G117" si="23">IF(D109-E109&gt;=0,0,D109-E109)</f>
        <v>-0.28099999999999881</v>
      </c>
      <c r="H109" s="4" t="s">
        <v>11</v>
      </c>
      <c r="I109" s="12">
        <f t="shared" ref="I109:I117" si="24">G109/E109</f>
        <v>-8.5148934880760838E-3</v>
      </c>
      <c r="J109" s="48"/>
      <c r="K109" s="45"/>
    </row>
    <row r="110" spans="2:11">
      <c r="B110" s="4" t="s">
        <v>603</v>
      </c>
      <c r="C110" s="4" t="s">
        <v>137</v>
      </c>
      <c r="D110" s="2">
        <v>32.36</v>
      </c>
      <c r="E110" s="40">
        <v>32.468000000000004</v>
      </c>
      <c r="F110" s="2">
        <f t="shared" si="22"/>
        <v>0</v>
      </c>
      <c r="G110" s="2">
        <f t="shared" si="23"/>
        <v>-0.10800000000000409</v>
      </c>
      <c r="H110" s="4" t="s">
        <v>23</v>
      </c>
      <c r="I110" s="12">
        <f t="shared" si="24"/>
        <v>-3.3263521005298781E-3</v>
      </c>
      <c r="J110" s="48"/>
      <c r="K110" s="45"/>
    </row>
    <row r="111" spans="2:11">
      <c r="B111" s="4" t="s">
        <v>603</v>
      </c>
      <c r="C111" s="4" t="s">
        <v>206</v>
      </c>
      <c r="D111" s="2">
        <v>32.83</v>
      </c>
      <c r="E111" s="40">
        <v>32.780999999999999</v>
      </c>
      <c r="F111" s="2">
        <f t="shared" si="22"/>
        <v>4.8999999999999488E-2</v>
      </c>
      <c r="G111" s="2">
        <f t="shared" si="23"/>
        <v>0</v>
      </c>
      <c r="H111" s="4" t="s">
        <v>573</v>
      </c>
      <c r="I111" s="12">
        <f t="shared" ref="I111:I112" si="25">F111/E111</f>
        <v>1.4947683109117931E-3</v>
      </c>
      <c r="J111" s="48"/>
      <c r="K111" s="45"/>
    </row>
    <row r="112" spans="2:11">
      <c r="B112" s="4" t="s">
        <v>603</v>
      </c>
      <c r="C112" s="4" t="s">
        <v>137</v>
      </c>
      <c r="D112" s="2">
        <v>31.32</v>
      </c>
      <c r="E112" s="40">
        <v>31.291999999999994</v>
      </c>
      <c r="F112" s="2">
        <f t="shared" si="22"/>
        <v>2.8000000000005798E-2</v>
      </c>
      <c r="G112" s="2">
        <f t="shared" si="23"/>
        <v>0</v>
      </c>
      <c r="H112" s="4" t="s">
        <v>604</v>
      </c>
      <c r="I112" s="12">
        <f t="shared" si="25"/>
        <v>8.9479739230492782E-4</v>
      </c>
      <c r="J112" s="48"/>
      <c r="K112" s="45"/>
    </row>
    <row r="113" spans="2:11">
      <c r="B113" s="4" t="s">
        <v>605</v>
      </c>
      <c r="C113" s="4" t="s">
        <v>568</v>
      </c>
      <c r="D113" s="2">
        <f>24.49-0.1</f>
        <v>24.389999999999997</v>
      </c>
      <c r="E113" s="40">
        <v>24.509</v>
      </c>
      <c r="F113" s="2">
        <f t="shared" si="22"/>
        <v>0</v>
      </c>
      <c r="G113" s="2">
        <f t="shared" si="23"/>
        <v>-0.11900000000000333</v>
      </c>
      <c r="H113" s="4" t="s">
        <v>449</v>
      </c>
      <c r="I113" s="12">
        <f t="shared" si="24"/>
        <v>-4.855359255783725E-3</v>
      </c>
      <c r="J113" s="48"/>
      <c r="K113" s="45"/>
    </row>
    <row r="114" spans="2:11">
      <c r="B114" s="4" t="s">
        <v>605</v>
      </c>
      <c r="C114" s="4" t="s">
        <v>568</v>
      </c>
      <c r="D114" s="2">
        <f>25.16-0.1</f>
        <v>25.06</v>
      </c>
      <c r="E114" s="40">
        <v>25.13</v>
      </c>
      <c r="F114" s="2">
        <f t="shared" si="22"/>
        <v>0</v>
      </c>
      <c r="G114" s="2">
        <f t="shared" si="23"/>
        <v>-7.0000000000000284E-2</v>
      </c>
      <c r="H114" s="4" t="s">
        <v>606</v>
      </c>
      <c r="I114" s="12">
        <f t="shared" si="24"/>
        <v>-2.7855153203342731E-3</v>
      </c>
      <c r="J114" s="48"/>
      <c r="K114" s="45"/>
    </row>
    <row r="115" spans="2:11">
      <c r="B115" s="4" t="s">
        <v>605</v>
      </c>
      <c r="C115" s="4" t="s">
        <v>137</v>
      </c>
      <c r="D115" s="2">
        <v>31.71</v>
      </c>
      <c r="E115" s="40">
        <v>32.020096000000002</v>
      </c>
      <c r="F115" s="2">
        <f t="shared" si="22"/>
        <v>0</v>
      </c>
      <c r="G115" s="2">
        <f t="shared" si="23"/>
        <v>-0.31009600000000148</v>
      </c>
      <c r="H115" s="4" t="s">
        <v>13</v>
      </c>
      <c r="I115" s="12">
        <f t="shared" si="24"/>
        <v>-9.6844181853796268E-3</v>
      </c>
      <c r="J115" s="48"/>
      <c r="K115" s="45"/>
    </row>
    <row r="116" spans="2:11">
      <c r="B116" s="4" t="s">
        <v>605</v>
      </c>
      <c r="C116" s="4" t="s">
        <v>137</v>
      </c>
      <c r="D116" s="2">
        <v>32.659999999999997</v>
      </c>
      <c r="E116" s="40">
        <v>32.686999999999998</v>
      </c>
      <c r="F116" s="2">
        <f t="shared" si="22"/>
        <v>0</v>
      </c>
      <c r="G116" s="2">
        <f t="shared" si="23"/>
        <v>-2.7000000000001023E-2</v>
      </c>
      <c r="H116" s="4" t="s">
        <v>11</v>
      </c>
      <c r="I116" s="12">
        <f t="shared" si="24"/>
        <v>-8.2601645914280987E-4</v>
      </c>
      <c r="J116" s="48"/>
      <c r="K116" s="45"/>
    </row>
    <row r="117" spans="2:11">
      <c r="B117" s="4" t="s">
        <v>607</v>
      </c>
      <c r="C117" s="4" t="s">
        <v>137</v>
      </c>
      <c r="D117" s="2">
        <v>32.14</v>
      </c>
      <c r="E117" s="40">
        <v>32.285759999999996</v>
      </c>
      <c r="F117" s="2">
        <f t="shared" si="22"/>
        <v>0</v>
      </c>
      <c r="G117" s="2">
        <f t="shared" si="23"/>
        <v>-0.14575999999999567</v>
      </c>
      <c r="H117" s="4" t="s">
        <v>16</v>
      </c>
      <c r="I117" s="12">
        <f t="shared" si="24"/>
        <v>-4.5146838730138516E-3</v>
      </c>
      <c r="J117" s="48"/>
      <c r="K117" s="45"/>
    </row>
    <row r="118" spans="2:11">
      <c r="B118" s="4" t="s">
        <v>607</v>
      </c>
      <c r="C118" s="4" t="s">
        <v>137</v>
      </c>
      <c r="D118" s="2">
        <v>31.39</v>
      </c>
      <c r="E118" s="40">
        <v>31.56127</v>
      </c>
      <c r="F118" s="2">
        <f t="shared" si="18"/>
        <v>0</v>
      </c>
      <c r="G118" s="2">
        <f t="shared" si="19"/>
        <v>-0.17126999999999981</v>
      </c>
      <c r="H118" s="4" t="s">
        <v>13</v>
      </c>
      <c r="I118" s="12">
        <f t="shared" si="20"/>
        <v>-5.4265877133588035E-3</v>
      </c>
      <c r="J118" s="48"/>
      <c r="K118" s="45"/>
    </row>
    <row r="119" spans="2:11">
      <c r="B119" s="4" t="s">
        <v>607</v>
      </c>
      <c r="C119" s="4" t="s">
        <v>137</v>
      </c>
      <c r="D119" s="2">
        <v>32.75</v>
      </c>
      <c r="E119" s="40">
        <v>32.912880000000001</v>
      </c>
      <c r="F119" s="2">
        <f t="shared" si="18"/>
        <v>0</v>
      </c>
      <c r="G119" s="2">
        <f t="shared" si="19"/>
        <v>-0.16288000000000125</v>
      </c>
      <c r="H119" s="4" t="s">
        <v>287</v>
      </c>
      <c r="I119" s="12">
        <f t="shared" si="20"/>
        <v>-4.9488224670706802E-3</v>
      </c>
      <c r="J119" s="48"/>
      <c r="K119" s="45"/>
    </row>
    <row r="120" spans="2:11">
      <c r="B120" s="4" t="s">
        <v>607</v>
      </c>
      <c r="C120" s="4" t="s">
        <v>137</v>
      </c>
      <c r="D120" s="2">
        <v>31.93</v>
      </c>
      <c r="E120" s="40">
        <v>31.926835000000001</v>
      </c>
      <c r="F120" s="2">
        <f t="shared" si="18"/>
        <v>3.1649999999991962E-3</v>
      </c>
      <c r="G120" s="2">
        <f>IF(D120-E120&gt;=0,0,D120-E120)</f>
        <v>0</v>
      </c>
      <c r="H120" s="4" t="s">
        <v>11</v>
      </c>
      <c r="I120" s="12">
        <f t="shared" ref="I120" si="26">F120/E120</f>
        <v>9.9132908100636855E-5</v>
      </c>
      <c r="J120" s="48"/>
      <c r="K120" s="45"/>
    </row>
    <row r="121" spans="2:11">
      <c r="B121" s="4" t="s">
        <v>608</v>
      </c>
      <c r="C121" s="4" t="s">
        <v>137</v>
      </c>
      <c r="D121" s="2">
        <v>32.909999999999997</v>
      </c>
      <c r="E121" s="40">
        <v>33.411740000000002</v>
      </c>
      <c r="F121" s="2">
        <f t="shared" si="9"/>
        <v>0</v>
      </c>
      <c r="G121" s="2">
        <f t="shared" si="10"/>
        <v>-0.50174000000000518</v>
      </c>
      <c r="H121" s="4" t="s">
        <v>31</v>
      </c>
      <c r="I121" s="12">
        <f t="shared" si="13"/>
        <v>-1.5016877301212244E-2</v>
      </c>
      <c r="J121" s="48"/>
      <c r="K121" s="45"/>
    </row>
    <row r="122" spans="2:11">
      <c r="B122" s="4" t="s">
        <v>608</v>
      </c>
      <c r="C122" s="4" t="s">
        <v>137</v>
      </c>
      <c r="D122" s="2">
        <v>31.19</v>
      </c>
      <c r="E122" s="40">
        <v>31.232984000000002</v>
      </c>
      <c r="F122" s="2">
        <f t="shared" si="9"/>
        <v>0</v>
      </c>
      <c r="G122" s="2">
        <f t="shared" si="10"/>
        <v>-4.2984000000000577E-2</v>
      </c>
      <c r="H122" s="4" t="s">
        <v>16</v>
      </c>
      <c r="I122" s="12">
        <f t="shared" si="13"/>
        <v>-1.3762373777670611E-3</v>
      </c>
      <c r="J122" s="48"/>
      <c r="K122" s="45"/>
    </row>
    <row r="123" spans="2:11">
      <c r="B123" s="4" t="s">
        <v>608</v>
      </c>
      <c r="C123" s="4" t="s">
        <v>137</v>
      </c>
      <c r="D123" s="2">
        <v>32.04</v>
      </c>
      <c r="E123" s="40">
        <v>32.375</v>
      </c>
      <c r="F123" s="2">
        <f t="shared" si="9"/>
        <v>0</v>
      </c>
      <c r="G123" s="2">
        <f t="shared" si="10"/>
        <v>-0.33500000000000085</v>
      </c>
      <c r="H123" s="4" t="s">
        <v>316</v>
      </c>
      <c r="I123" s="12">
        <f t="shared" si="13"/>
        <v>-1.0347490347490374E-2</v>
      </c>
      <c r="J123" s="48"/>
      <c r="K123" s="45"/>
    </row>
    <row r="124" spans="2:11">
      <c r="B124" s="4" t="s">
        <v>608</v>
      </c>
      <c r="C124" s="4" t="s">
        <v>137</v>
      </c>
      <c r="D124" s="2">
        <v>31.14</v>
      </c>
      <c r="E124" s="40">
        <v>31.150000000000002</v>
      </c>
      <c r="F124" s="2">
        <f t="shared" si="9"/>
        <v>0</v>
      </c>
      <c r="G124" s="2">
        <f t="shared" si="10"/>
        <v>-1.0000000000001563E-2</v>
      </c>
      <c r="H124" s="4" t="s">
        <v>11</v>
      </c>
      <c r="I124" s="12">
        <f t="shared" si="13"/>
        <v>-3.2102728731947229E-4</v>
      </c>
      <c r="J124" s="48"/>
      <c r="K124" s="45"/>
    </row>
    <row r="125" spans="2:11">
      <c r="B125" s="4" t="s">
        <v>608</v>
      </c>
      <c r="C125" s="4" t="s">
        <v>137</v>
      </c>
      <c r="D125" s="2">
        <v>32.42</v>
      </c>
      <c r="E125" s="40">
        <v>32.735799999999998</v>
      </c>
      <c r="F125" s="2">
        <f t="shared" si="9"/>
        <v>0</v>
      </c>
      <c r="G125" s="2">
        <f t="shared" si="10"/>
        <v>-0.31579999999999586</v>
      </c>
      <c r="H125" s="4" t="s">
        <v>13</v>
      </c>
      <c r="I125" s="12">
        <f t="shared" si="13"/>
        <v>-9.6469308830086902E-3</v>
      </c>
      <c r="J125" s="48"/>
      <c r="K125" s="45"/>
    </row>
    <row r="126" spans="2:11">
      <c r="B126" s="4"/>
      <c r="C126" s="4"/>
      <c r="D126" s="2"/>
      <c r="E126" s="40"/>
      <c r="F126" s="2">
        <f t="shared" si="9"/>
        <v>0</v>
      </c>
      <c r="G126" s="2">
        <f t="shared" si="10"/>
        <v>0</v>
      </c>
      <c r="H126" s="4"/>
      <c r="I126" s="12" t="e">
        <f t="shared" si="13"/>
        <v>#DIV/0!</v>
      </c>
      <c r="J126" s="48"/>
      <c r="K126" s="45"/>
    </row>
    <row r="127" spans="2:11" ht="15.75">
      <c r="B127" s="4"/>
      <c r="C127" s="4"/>
      <c r="D127" s="2"/>
      <c r="E127" s="40"/>
      <c r="F127" s="2">
        <f t="shared" si="9"/>
        <v>0</v>
      </c>
      <c r="G127" s="2">
        <f t="shared" si="10"/>
        <v>0</v>
      </c>
      <c r="H127" s="3"/>
      <c r="I127" s="12" t="e">
        <f t="shared" si="13"/>
        <v>#DIV/0!</v>
      </c>
      <c r="J127" s="48"/>
      <c r="K127" s="45"/>
    </row>
    <row r="128" spans="2:11" ht="15.75">
      <c r="B128" s="7"/>
      <c r="C128" s="7"/>
      <c r="D128" s="6">
        <f>SUM(D5:D127)</f>
        <v>3765.076</v>
      </c>
      <c r="E128" s="6">
        <f>SUM(E5:E127)</f>
        <v>3768.7760050000011</v>
      </c>
      <c r="F128" s="6">
        <f>SUM(F5:F127)</f>
        <v>5.937285000000017</v>
      </c>
      <c r="G128" s="6">
        <f>SUM(G5:G127)</f>
        <v>-9.6372900000000321</v>
      </c>
      <c r="H128" s="10">
        <f>SUM(F128:G128)</f>
        <v>-3.7000050000000151</v>
      </c>
      <c r="I128" s="11">
        <f>H128/E128</f>
        <v>-9.8175242972552666E-4</v>
      </c>
      <c r="J128" s="11"/>
      <c r="K128" s="45"/>
    </row>
    <row r="130" spans="5:5">
      <c r="E130" s="38"/>
    </row>
    <row r="131" spans="5:5">
      <c r="E131" s="38"/>
    </row>
    <row r="132" spans="5:5">
      <c r="E132" s="38"/>
    </row>
  </sheetData>
  <mergeCells count="1">
    <mergeCell ref="B2:I2"/>
  </mergeCells>
  <pageMargins left="0.45" right="0.45" top="0.25" bottom="0.25" header="0.3" footer="0.3"/>
  <pageSetup paperSize="9" scale="43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B2:L150"/>
  <sheetViews>
    <sheetView zoomScaleSheetLayoutView="100" workbookViewId="0">
      <pane ySplit="4" topLeftCell="A126" activePane="bottomLeft" state="frozen"/>
      <selection pane="bottomLeft" activeCell="I131" sqref="I131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8" customWidth="1"/>
    <col min="9" max="9" width="11.42578125" customWidth="1"/>
    <col min="10" max="10" width="43.5703125" hidden="1" customWidth="1"/>
    <col min="11" max="11" width="12.28515625" bestFit="1" customWidth="1"/>
    <col min="13" max="13" width="9.42578125" bestFit="1" customWidth="1"/>
    <col min="16" max="16" width="12.85546875" bestFit="1" customWidth="1"/>
  </cols>
  <sheetData>
    <row r="2" spans="2:11" ht="19.5">
      <c r="B2" s="58" t="s">
        <v>612</v>
      </c>
      <c r="C2" s="59"/>
      <c r="D2" s="59"/>
      <c r="E2" s="59"/>
      <c r="F2" s="59"/>
      <c r="G2" s="59"/>
      <c r="H2" s="59"/>
      <c r="I2" s="59"/>
      <c r="J2" s="52"/>
    </row>
    <row r="4" spans="2:11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5" t="s">
        <v>7</v>
      </c>
      <c r="J4" s="5" t="s">
        <v>510</v>
      </c>
      <c r="K4" s="5" t="s">
        <v>462</v>
      </c>
    </row>
    <row r="5" spans="2:11" ht="15.75">
      <c r="B5" s="4" t="s">
        <v>609</v>
      </c>
      <c r="C5" s="4" t="s">
        <v>137</v>
      </c>
      <c r="D5" s="2">
        <v>32.83</v>
      </c>
      <c r="E5" s="40">
        <v>33.139000000000003</v>
      </c>
      <c r="F5" s="2">
        <f t="shared" ref="F5" si="0">IF(D5-E5&lt;=0,0,D5-E5)</f>
        <v>0</v>
      </c>
      <c r="G5" s="2">
        <f t="shared" ref="G5" si="1">IF(D5-E5&gt;=0,0,D5-E5)</f>
        <v>-0.3090000000000046</v>
      </c>
      <c r="H5" s="3" t="s">
        <v>16</v>
      </c>
      <c r="I5" s="12">
        <f t="shared" ref="I5:I68" si="2">G5/E5</f>
        <v>-9.3243610247745728E-3</v>
      </c>
      <c r="J5" s="48" t="s">
        <v>512</v>
      </c>
      <c r="K5" s="45"/>
    </row>
    <row r="6" spans="2:11" ht="15.75">
      <c r="B6" s="4" t="s">
        <v>609</v>
      </c>
      <c r="C6" s="4" t="s">
        <v>137</v>
      </c>
      <c r="D6" s="2">
        <v>31.99</v>
      </c>
      <c r="E6" s="40">
        <v>32.031999999999996</v>
      </c>
      <c r="F6" s="2">
        <f t="shared" ref="F6:F69" si="3">IF(D6-E6&lt;=0,0,D6-E6)</f>
        <v>0</v>
      </c>
      <c r="G6" s="2">
        <f t="shared" ref="G6:G69" si="4">IF(D6-E6&gt;=0,0,D6-E6)</f>
        <v>-4.1999999999998039E-2</v>
      </c>
      <c r="H6" s="3" t="s">
        <v>31</v>
      </c>
      <c r="I6" s="12">
        <f t="shared" si="2"/>
        <v>-1.3111888111887501E-3</v>
      </c>
      <c r="J6" s="48" t="s">
        <v>512</v>
      </c>
      <c r="K6" s="45"/>
    </row>
    <row r="7" spans="2:11" ht="15.75">
      <c r="B7" s="4" t="s">
        <v>609</v>
      </c>
      <c r="C7" s="4" t="s">
        <v>137</v>
      </c>
      <c r="D7" s="2">
        <v>33.090000000000003</v>
      </c>
      <c r="E7" s="40">
        <v>33.004000000000005</v>
      </c>
      <c r="F7" s="2">
        <f>IF(D7-E7&lt;=0,0,D7-E7)</f>
        <v>8.5999999999998522E-2</v>
      </c>
      <c r="G7" s="2">
        <f>IF(D7-E7&gt;=0,0,D7-E7)</f>
        <v>0</v>
      </c>
      <c r="H7" s="3" t="s">
        <v>157</v>
      </c>
      <c r="I7" s="12">
        <f t="shared" ref="I7:I9" si="5">F7/E7</f>
        <v>2.6057447582110808E-3</v>
      </c>
      <c r="J7" s="48" t="s">
        <v>512</v>
      </c>
      <c r="K7" s="45"/>
    </row>
    <row r="8" spans="2:11" ht="15.75">
      <c r="B8" s="4" t="s">
        <v>609</v>
      </c>
      <c r="C8" s="4" t="s">
        <v>137</v>
      </c>
      <c r="D8" s="2">
        <v>32.89</v>
      </c>
      <c r="E8" s="40">
        <v>33.119999999999997</v>
      </c>
      <c r="F8" s="2">
        <f t="shared" si="3"/>
        <v>0</v>
      </c>
      <c r="G8" s="2">
        <f t="shared" si="4"/>
        <v>-0.22999999999999687</v>
      </c>
      <c r="H8" s="3" t="s">
        <v>316</v>
      </c>
      <c r="I8" s="12">
        <f t="shared" si="2"/>
        <v>-6.9444444444443504E-3</v>
      </c>
      <c r="J8" s="48" t="s">
        <v>512</v>
      </c>
      <c r="K8" s="45"/>
    </row>
    <row r="9" spans="2:11" ht="15.75">
      <c r="B9" s="4" t="s">
        <v>613</v>
      </c>
      <c r="C9" s="4" t="s">
        <v>137</v>
      </c>
      <c r="D9" s="2">
        <v>32.21</v>
      </c>
      <c r="E9" s="40">
        <v>32.164000000000001</v>
      </c>
      <c r="F9" s="2">
        <f t="shared" si="3"/>
        <v>4.5999999999999375E-2</v>
      </c>
      <c r="G9" s="2">
        <f t="shared" si="4"/>
        <v>0</v>
      </c>
      <c r="H9" s="3" t="s">
        <v>16</v>
      </c>
      <c r="I9" s="12">
        <f t="shared" si="5"/>
        <v>1.4301703768187842E-3</v>
      </c>
      <c r="J9" s="48" t="s">
        <v>512</v>
      </c>
      <c r="K9" s="45"/>
    </row>
    <row r="10" spans="2:11" ht="15.75">
      <c r="B10" s="4" t="s">
        <v>613</v>
      </c>
      <c r="C10" s="4" t="s">
        <v>137</v>
      </c>
      <c r="D10" s="2">
        <v>31.6</v>
      </c>
      <c r="E10" s="40">
        <v>31.991</v>
      </c>
      <c r="F10" s="2">
        <f t="shared" si="3"/>
        <v>0</v>
      </c>
      <c r="G10" s="2">
        <f t="shared" si="4"/>
        <v>-0.39099999999999824</v>
      </c>
      <c r="H10" s="3" t="s">
        <v>157</v>
      </c>
      <c r="I10" s="12">
        <f t="shared" si="2"/>
        <v>-1.2222187490231573E-2</v>
      </c>
      <c r="J10" s="48" t="s">
        <v>512</v>
      </c>
      <c r="K10" s="45"/>
    </row>
    <row r="11" spans="2:11" ht="15.75">
      <c r="B11" s="4" t="s">
        <v>613</v>
      </c>
      <c r="C11" s="4" t="s">
        <v>137</v>
      </c>
      <c r="D11" s="2">
        <v>32.130000000000003</v>
      </c>
      <c r="E11" s="40">
        <v>32.531599999999997</v>
      </c>
      <c r="F11" s="2">
        <f t="shared" si="3"/>
        <v>0</v>
      </c>
      <c r="G11" s="2">
        <f t="shared" si="4"/>
        <v>-0.40159999999999485</v>
      </c>
      <c r="H11" s="3" t="s">
        <v>31</v>
      </c>
      <c r="I11" s="12">
        <f t="shared" si="2"/>
        <v>-1.2344920016230216E-2</v>
      </c>
      <c r="J11" s="48" t="s">
        <v>512</v>
      </c>
      <c r="K11" s="45"/>
    </row>
    <row r="12" spans="2:11" ht="15.75">
      <c r="B12" s="4" t="s">
        <v>613</v>
      </c>
      <c r="C12" s="4" t="s">
        <v>137</v>
      </c>
      <c r="D12" s="2">
        <v>32.22</v>
      </c>
      <c r="E12" s="40">
        <v>32.207999999999998</v>
      </c>
      <c r="F12" s="2">
        <f t="shared" si="3"/>
        <v>1.2000000000000455E-2</v>
      </c>
      <c r="G12" s="2">
        <f t="shared" si="4"/>
        <v>0</v>
      </c>
      <c r="H12" s="3" t="s">
        <v>316</v>
      </c>
      <c r="I12" s="12">
        <f t="shared" ref="I12" si="6">F12/E12</f>
        <v>3.725782414307146E-4</v>
      </c>
      <c r="J12" s="48" t="s">
        <v>512</v>
      </c>
      <c r="K12" s="45"/>
    </row>
    <row r="13" spans="2:11" ht="15.75">
      <c r="B13" s="4" t="s">
        <v>613</v>
      </c>
      <c r="C13" s="4" t="s">
        <v>137</v>
      </c>
      <c r="D13" s="2">
        <v>31.96</v>
      </c>
      <c r="E13" s="40">
        <v>32.079000000000001</v>
      </c>
      <c r="F13" s="2">
        <f t="shared" si="3"/>
        <v>0</v>
      </c>
      <c r="G13" s="2">
        <f t="shared" si="4"/>
        <v>-0.11899999999999977</v>
      </c>
      <c r="H13" s="3" t="s">
        <v>13</v>
      </c>
      <c r="I13" s="12">
        <f t="shared" si="2"/>
        <v>-3.7095919448860552E-3</v>
      </c>
      <c r="J13" s="48" t="s">
        <v>512</v>
      </c>
      <c r="K13" s="45"/>
    </row>
    <row r="14" spans="2:11" ht="15.75">
      <c r="B14" s="4" t="s">
        <v>613</v>
      </c>
      <c r="C14" s="4" t="s">
        <v>137</v>
      </c>
      <c r="D14" s="2">
        <v>31.45</v>
      </c>
      <c r="E14" s="40">
        <v>31.463999999999999</v>
      </c>
      <c r="F14" s="2">
        <f t="shared" si="3"/>
        <v>0</v>
      </c>
      <c r="G14" s="2">
        <f t="shared" si="4"/>
        <v>-1.3999999999999346E-2</v>
      </c>
      <c r="H14" s="3" t="s">
        <v>342</v>
      </c>
      <c r="I14" s="12">
        <f t="shared" si="2"/>
        <v>-4.4495296211541276E-4</v>
      </c>
      <c r="J14" s="48" t="s">
        <v>512</v>
      </c>
      <c r="K14" s="45"/>
    </row>
    <row r="15" spans="2:11" ht="15.75">
      <c r="B15" s="4" t="s">
        <v>613</v>
      </c>
      <c r="C15" s="4" t="s">
        <v>206</v>
      </c>
      <c r="D15" s="2">
        <v>32.840000000000003</v>
      </c>
      <c r="E15" s="40">
        <v>32.655999999999999</v>
      </c>
      <c r="F15" s="2">
        <f t="shared" si="3"/>
        <v>0.1840000000000046</v>
      </c>
      <c r="G15" s="2">
        <f t="shared" si="4"/>
        <v>0</v>
      </c>
      <c r="H15" s="3" t="s">
        <v>507</v>
      </c>
      <c r="I15" s="12">
        <f t="shared" ref="I15" si="7">F15/E15</f>
        <v>5.6344928956395335E-3</v>
      </c>
      <c r="J15" s="48" t="s">
        <v>512</v>
      </c>
      <c r="K15" s="45"/>
    </row>
    <row r="16" spans="2:11" ht="15.75">
      <c r="B16" s="4" t="s">
        <v>614</v>
      </c>
      <c r="C16" s="4" t="s">
        <v>137</v>
      </c>
      <c r="D16" s="2">
        <v>31.97</v>
      </c>
      <c r="E16" s="40">
        <v>32.286999999999999</v>
      </c>
      <c r="F16" s="2">
        <f t="shared" si="3"/>
        <v>0</v>
      </c>
      <c r="G16" s="2">
        <f t="shared" si="4"/>
        <v>-0.31700000000000017</v>
      </c>
      <c r="H16" s="3" t="s">
        <v>31</v>
      </c>
      <c r="I16" s="12">
        <f t="shared" si="2"/>
        <v>-9.8181930808065223E-3</v>
      </c>
      <c r="J16" s="48" t="s">
        <v>512</v>
      </c>
      <c r="K16" s="45"/>
    </row>
    <row r="17" spans="2:11" ht="15.75">
      <c r="B17" s="4" t="s">
        <v>614</v>
      </c>
      <c r="C17" s="4" t="s">
        <v>137</v>
      </c>
      <c r="D17" s="2">
        <v>31.95</v>
      </c>
      <c r="E17" s="40">
        <v>32.221000000000004</v>
      </c>
      <c r="F17" s="2">
        <f t="shared" si="3"/>
        <v>0</v>
      </c>
      <c r="G17" s="2">
        <f t="shared" si="4"/>
        <v>-0.27100000000000435</v>
      </c>
      <c r="H17" s="3" t="s">
        <v>13</v>
      </c>
      <c r="I17" s="12">
        <f t="shared" si="2"/>
        <v>-8.4106638527669635E-3</v>
      </c>
      <c r="J17" s="48" t="s">
        <v>512</v>
      </c>
      <c r="K17" s="45"/>
    </row>
    <row r="18" spans="2:11" ht="15.75">
      <c r="B18" s="4" t="s">
        <v>614</v>
      </c>
      <c r="C18" s="4" t="s">
        <v>137</v>
      </c>
      <c r="D18" s="2">
        <v>31.83</v>
      </c>
      <c r="E18" s="40">
        <v>31.916</v>
      </c>
      <c r="F18" s="2">
        <f t="shared" si="3"/>
        <v>0</v>
      </c>
      <c r="G18" s="2">
        <f t="shared" si="4"/>
        <v>-8.6000000000002075E-2</v>
      </c>
      <c r="H18" s="3" t="s">
        <v>16</v>
      </c>
      <c r="I18" s="12">
        <f t="shared" si="2"/>
        <v>-2.6945732547938987E-3</v>
      </c>
      <c r="J18" s="48" t="s">
        <v>512</v>
      </c>
      <c r="K18" s="45"/>
    </row>
    <row r="19" spans="2:11" ht="15.75">
      <c r="B19" s="4" t="s">
        <v>614</v>
      </c>
      <c r="C19" s="4" t="s">
        <v>137</v>
      </c>
      <c r="D19" s="2">
        <v>32.19</v>
      </c>
      <c r="E19" s="40">
        <v>32.271999999999998</v>
      </c>
      <c r="F19" s="2">
        <f t="shared" si="3"/>
        <v>0</v>
      </c>
      <c r="G19" s="2">
        <f t="shared" si="4"/>
        <v>-8.2000000000000739E-2</v>
      </c>
      <c r="H19" s="3" t="s">
        <v>9</v>
      </c>
      <c r="I19" s="12">
        <f t="shared" si="2"/>
        <v>-2.5409023301933794E-3</v>
      </c>
      <c r="J19" s="48" t="s">
        <v>512</v>
      </c>
      <c r="K19" s="45"/>
    </row>
    <row r="20" spans="2:11" ht="15.75">
      <c r="B20" s="4" t="s">
        <v>614</v>
      </c>
      <c r="C20" s="4" t="s">
        <v>137</v>
      </c>
      <c r="D20" s="2">
        <v>33.14</v>
      </c>
      <c r="E20" s="40">
        <v>33.254519999999999</v>
      </c>
      <c r="F20" s="2">
        <f t="shared" si="3"/>
        <v>0</v>
      </c>
      <c r="G20" s="2">
        <f t="shared" si="4"/>
        <v>-0.11451999999999884</v>
      </c>
      <c r="H20" s="3" t="s">
        <v>23</v>
      </c>
      <c r="I20" s="12">
        <f t="shared" si="2"/>
        <v>-3.4437423844938626E-3</v>
      </c>
      <c r="J20" s="48" t="s">
        <v>512</v>
      </c>
      <c r="K20" s="45"/>
    </row>
    <row r="21" spans="2:11" ht="15.75">
      <c r="B21" s="4" t="s">
        <v>614</v>
      </c>
      <c r="C21" s="4" t="s">
        <v>137</v>
      </c>
      <c r="D21" s="2">
        <v>31.18</v>
      </c>
      <c r="E21" s="40">
        <v>31.416</v>
      </c>
      <c r="F21" s="2">
        <f t="shared" si="3"/>
        <v>0</v>
      </c>
      <c r="G21" s="2">
        <f t="shared" si="4"/>
        <v>-0.23600000000000065</v>
      </c>
      <c r="H21" s="3" t="s">
        <v>336</v>
      </c>
      <c r="I21" s="12">
        <f t="shared" si="2"/>
        <v>-7.512095747389886E-3</v>
      </c>
      <c r="J21" s="48" t="s">
        <v>512</v>
      </c>
      <c r="K21" s="45"/>
    </row>
    <row r="22" spans="2:11" ht="15.75">
      <c r="B22" s="4" t="s">
        <v>614</v>
      </c>
      <c r="C22" s="4" t="s">
        <v>137</v>
      </c>
      <c r="D22" s="2">
        <v>31.4</v>
      </c>
      <c r="E22" s="40">
        <v>31.675799999999999</v>
      </c>
      <c r="F22" s="2">
        <f t="shared" si="3"/>
        <v>0</v>
      </c>
      <c r="G22" s="2">
        <f t="shared" si="4"/>
        <v>-0.27580000000000027</v>
      </c>
      <c r="H22" s="3" t="s">
        <v>31</v>
      </c>
      <c r="I22" s="12">
        <f t="shared" si="2"/>
        <v>-8.706962412946169E-3</v>
      </c>
      <c r="J22" s="48" t="s">
        <v>512</v>
      </c>
      <c r="K22" s="45"/>
    </row>
    <row r="23" spans="2:11" ht="15.75">
      <c r="B23" s="4" t="s">
        <v>615</v>
      </c>
      <c r="C23" s="4" t="s">
        <v>137</v>
      </c>
      <c r="D23" s="2">
        <v>32.06</v>
      </c>
      <c r="E23" s="40">
        <v>32.015999999999998</v>
      </c>
      <c r="F23" s="2">
        <f t="shared" si="3"/>
        <v>4.4000000000004036E-2</v>
      </c>
      <c r="G23" s="2">
        <f t="shared" si="4"/>
        <v>0</v>
      </c>
      <c r="H23" s="3" t="s">
        <v>16</v>
      </c>
      <c r="I23" s="12">
        <f t="shared" ref="I23" si="8">F23/E23</f>
        <v>1.3743128435783371E-3</v>
      </c>
      <c r="J23" s="48" t="s">
        <v>512</v>
      </c>
      <c r="K23" s="45"/>
    </row>
    <row r="24" spans="2:11" ht="15.75">
      <c r="B24" s="4" t="s">
        <v>615</v>
      </c>
      <c r="C24" s="4" t="s">
        <v>137</v>
      </c>
      <c r="D24" s="2">
        <v>32</v>
      </c>
      <c r="E24" s="40">
        <v>32.083689999999997</v>
      </c>
      <c r="F24" s="2">
        <f t="shared" si="3"/>
        <v>0</v>
      </c>
      <c r="G24" s="2">
        <f t="shared" si="4"/>
        <v>-8.3689999999997156E-2</v>
      </c>
      <c r="H24" s="3" t="s">
        <v>616</v>
      </c>
      <c r="I24" s="12">
        <f t="shared" si="2"/>
        <v>-2.6084904822355898E-3</v>
      </c>
      <c r="J24" s="48" t="s">
        <v>512</v>
      </c>
      <c r="K24" s="45"/>
    </row>
    <row r="25" spans="2:11" ht="15.75">
      <c r="B25" s="4" t="s">
        <v>615</v>
      </c>
      <c r="C25" s="4" t="s">
        <v>137</v>
      </c>
      <c r="D25" s="2">
        <v>31.59</v>
      </c>
      <c r="E25" s="40">
        <v>31.618400000000001</v>
      </c>
      <c r="F25" s="2">
        <f t="shared" si="3"/>
        <v>0</v>
      </c>
      <c r="G25" s="2">
        <f t="shared" si="4"/>
        <v>-2.8400000000001313E-2</v>
      </c>
      <c r="H25" s="3" t="s">
        <v>13</v>
      </c>
      <c r="I25" s="12">
        <f t="shared" si="2"/>
        <v>-8.9821116818059456E-4</v>
      </c>
      <c r="J25" s="48" t="s">
        <v>512</v>
      </c>
      <c r="K25" s="45"/>
    </row>
    <row r="26" spans="2:11" ht="15.75">
      <c r="B26" s="4" t="s">
        <v>615</v>
      </c>
      <c r="C26" s="4" t="s">
        <v>137</v>
      </c>
      <c r="D26" s="2">
        <v>32.770000000000003</v>
      </c>
      <c r="E26" s="40">
        <v>32.991999999999997</v>
      </c>
      <c r="F26" s="2">
        <f t="shared" si="3"/>
        <v>0</v>
      </c>
      <c r="G26" s="2">
        <f t="shared" si="4"/>
        <v>-0.2219999999999942</v>
      </c>
      <c r="H26" s="3" t="s">
        <v>31</v>
      </c>
      <c r="I26" s="12">
        <f t="shared" si="2"/>
        <v>-6.7289039767214542E-3</v>
      </c>
      <c r="J26" s="48" t="s">
        <v>512</v>
      </c>
      <c r="K26" s="45"/>
    </row>
    <row r="27" spans="2:11" ht="15.75">
      <c r="B27" s="4" t="s">
        <v>615</v>
      </c>
      <c r="C27" s="4" t="s">
        <v>137</v>
      </c>
      <c r="D27" s="2">
        <v>32.28</v>
      </c>
      <c r="E27" s="40">
        <v>32.39</v>
      </c>
      <c r="F27" s="2">
        <f t="shared" si="3"/>
        <v>0</v>
      </c>
      <c r="G27" s="2">
        <f t="shared" si="4"/>
        <v>-0.10999999999999943</v>
      </c>
      <c r="H27" s="3" t="s">
        <v>484</v>
      </c>
      <c r="I27" s="12">
        <f t="shared" si="2"/>
        <v>-3.3961099104661756E-3</v>
      </c>
      <c r="J27" s="48" t="s">
        <v>512</v>
      </c>
      <c r="K27" s="45"/>
    </row>
    <row r="28" spans="2:11" ht="15.75">
      <c r="B28" s="4" t="s">
        <v>615</v>
      </c>
      <c r="C28" s="4" t="s">
        <v>137</v>
      </c>
      <c r="D28" s="2">
        <v>31.52</v>
      </c>
      <c r="E28" s="40">
        <v>31.668999999999997</v>
      </c>
      <c r="F28" s="2">
        <f t="shared" si="3"/>
        <v>0</v>
      </c>
      <c r="G28" s="2">
        <f t="shared" si="4"/>
        <v>-0.14899999999999736</v>
      </c>
      <c r="H28" s="3" t="s">
        <v>9</v>
      </c>
      <c r="I28" s="12">
        <f t="shared" si="2"/>
        <v>-4.7049164798382446E-3</v>
      </c>
      <c r="J28" s="48" t="s">
        <v>512</v>
      </c>
      <c r="K28" s="45"/>
    </row>
    <row r="29" spans="2:11" ht="15.75">
      <c r="B29" s="4" t="s">
        <v>615</v>
      </c>
      <c r="C29" s="4" t="s">
        <v>137</v>
      </c>
      <c r="D29" s="2">
        <v>32.79</v>
      </c>
      <c r="E29" s="40">
        <v>32.956000000000003</v>
      </c>
      <c r="F29" s="2">
        <f t="shared" si="3"/>
        <v>0</v>
      </c>
      <c r="G29" s="2">
        <f t="shared" si="4"/>
        <v>-0.16600000000000392</v>
      </c>
      <c r="H29" s="3" t="s">
        <v>16</v>
      </c>
      <c r="I29" s="12">
        <f t="shared" si="2"/>
        <v>-5.0370190557107626E-3</v>
      </c>
      <c r="J29" s="48" t="s">
        <v>512</v>
      </c>
      <c r="K29" s="45"/>
    </row>
    <row r="30" spans="2:11" ht="15.75">
      <c r="B30" s="4" t="s">
        <v>615</v>
      </c>
      <c r="C30" s="4" t="s">
        <v>206</v>
      </c>
      <c r="D30" s="2">
        <v>39.58</v>
      </c>
      <c r="E30" s="40">
        <v>39.652000000000001</v>
      </c>
      <c r="F30" s="2">
        <f t="shared" si="3"/>
        <v>0</v>
      </c>
      <c r="G30" s="2">
        <f t="shared" si="4"/>
        <v>-7.2000000000002728E-2</v>
      </c>
      <c r="H30" s="3" t="s">
        <v>253</v>
      </c>
      <c r="I30" s="12">
        <f t="shared" si="2"/>
        <v>-1.8157974377081289E-3</v>
      </c>
      <c r="J30" s="48" t="s">
        <v>512</v>
      </c>
      <c r="K30" s="45"/>
    </row>
    <row r="31" spans="2:11" ht="15.75">
      <c r="B31" s="4" t="s">
        <v>617</v>
      </c>
      <c r="C31" s="4" t="s">
        <v>137</v>
      </c>
      <c r="D31" s="2">
        <v>32.28</v>
      </c>
      <c r="E31" s="40">
        <v>32.242000000000004</v>
      </c>
      <c r="F31" s="2">
        <f t="shared" si="3"/>
        <v>3.7999999999996703E-2</v>
      </c>
      <c r="G31" s="2">
        <f t="shared" si="4"/>
        <v>0</v>
      </c>
      <c r="H31" s="3" t="s">
        <v>336</v>
      </c>
      <c r="I31" s="12">
        <f t="shared" ref="I31" si="9">F31/E31</f>
        <v>1.1785869362941721E-3</v>
      </c>
      <c r="J31" s="48" t="s">
        <v>512</v>
      </c>
      <c r="K31" s="45"/>
    </row>
    <row r="32" spans="2:11" ht="15.75">
      <c r="B32" s="4" t="s">
        <v>617</v>
      </c>
      <c r="C32" s="4" t="s">
        <v>137</v>
      </c>
      <c r="D32" s="2">
        <v>32.69</v>
      </c>
      <c r="E32" s="40">
        <v>32.704000000000001</v>
      </c>
      <c r="F32" s="2">
        <f t="shared" si="3"/>
        <v>0</v>
      </c>
      <c r="G32" s="2">
        <f t="shared" si="4"/>
        <v>-1.4000000000002899E-2</v>
      </c>
      <c r="H32" s="3" t="s">
        <v>13</v>
      </c>
      <c r="I32" s="12">
        <f t="shared" si="2"/>
        <v>-4.2808219178091053E-4</v>
      </c>
      <c r="J32" s="48" t="s">
        <v>512</v>
      </c>
      <c r="K32" s="45"/>
    </row>
    <row r="33" spans="2:11" ht="15.75">
      <c r="B33" s="4" t="s">
        <v>617</v>
      </c>
      <c r="C33" s="4" t="s">
        <v>137</v>
      </c>
      <c r="D33" s="2">
        <v>32.869999999999997</v>
      </c>
      <c r="E33" s="40">
        <v>33.045450000000002</v>
      </c>
      <c r="F33" s="2">
        <f t="shared" si="3"/>
        <v>0</v>
      </c>
      <c r="G33" s="2">
        <f t="shared" si="4"/>
        <v>-0.17545000000000499</v>
      </c>
      <c r="H33" s="3" t="s">
        <v>23</v>
      </c>
      <c r="I33" s="12">
        <f t="shared" si="2"/>
        <v>-5.3093542378755618E-3</v>
      </c>
      <c r="J33" s="48" t="s">
        <v>512</v>
      </c>
      <c r="K33" s="45"/>
    </row>
    <row r="34" spans="2:11" ht="15.75">
      <c r="B34" s="4" t="s">
        <v>617</v>
      </c>
      <c r="C34" s="4" t="s">
        <v>137</v>
      </c>
      <c r="D34" s="2">
        <v>31.17</v>
      </c>
      <c r="E34" s="40">
        <v>31.370999999999999</v>
      </c>
      <c r="F34" s="2">
        <f t="shared" si="3"/>
        <v>0</v>
      </c>
      <c r="G34" s="2">
        <f t="shared" si="4"/>
        <v>-0.20099999999999696</v>
      </c>
      <c r="H34" s="3" t="s">
        <v>16</v>
      </c>
      <c r="I34" s="12">
        <f t="shared" si="2"/>
        <v>-6.4071913550730599E-3</v>
      </c>
      <c r="J34" s="48" t="s">
        <v>512</v>
      </c>
      <c r="K34" s="45"/>
    </row>
    <row r="35" spans="2:11" ht="15.75">
      <c r="B35" s="4" t="s">
        <v>617</v>
      </c>
      <c r="C35" s="4" t="s">
        <v>137</v>
      </c>
      <c r="D35" s="2">
        <v>31.85</v>
      </c>
      <c r="E35" s="40">
        <v>32.021000000000001</v>
      </c>
      <c r="F35" s="2">
        <f t="shared" si="3"/>
        <v>0</v>
      </c>
      <c r="G35" s="2">
        <f t="shared" si="4"/>
        <v>-0.17099999999999937</v>
      </c>
      <c r="H35" s="3" t="s">
        <v>287</v>
      </c>
      <c r="I35" s="12">
        <f t="shared" si="2"/>
        <v>-5.3402454639142867E-3</v>
      </c>
      <c r="J35" s="48" t="s">
        <v>512</v>
      </c>
      <c r="K35" s="45"/>
    </row>
    <row r="36" spans="2:11" ht="15.75">
      <c r="B36" s="4" t="s">
        <v>617</v>
      </c>
      <c r="C36" s="4" t="s">
        <v>137</v>
      </c>
      <c r="D36" s="2">
        <v>31.43</v>
      </c>
      <c r="E36" s="40">
        <v>31.638000000000002</v>
      </c>
      <c r="F36" s="2">
        <f t="shared" si="3"/>
        <v>0</v>
      </c>
      <c r="G36" s="2">
        <f t="shared" si="4"/>
        <v>-0.20800000000000196</v>
      </c>
      <c r="H36" s="3" t="s">
        <v>13</v>
      </c>
      <c r="I36" s="12">
        <f t="shared" si="2"/>
        <v>-6.5743725899235711E-3</v>
      </c>
      <c r="J36" s="48" t="s">
        <v>512</v>
      </c>
      <c r="K36" s="45"/>
    </row>
    <row r="37" spans="2:11" ht="15.75">
      <c r="B37" s="4" t="s">
        <v>617</v>
      </c>
      <c r="C37" s="4" t="s">
        <v>137</v>
      </c>
      <c r="D37" s="2">
        <v>31.16</v>
      </c>
      <c r="E37" s="40">
        <v>31.3</v>
      </c>
      <c r="F37" s="2">
        <f t="shared" si="3"/>
        <v>0</v>
      </c>
      <c r="G37" s="2">
        <f t="shared" si="4"/>
        <v>-0.14000000000000057</v>
      </c>
      <c r="H37" s="3" t="s">
        <v>336</v>
      </c>
      <c r="I37" s="12">
        <f t="shared" si="2"/>
        <v>-4.4728434504792509E-3</v>
      </c>
      <c r="J37" s="48" t="s">
        <v>512</v>
      </c>
      <c r="K37" s="45"/>
    </row>
    <row r="38" spans="2:11" ht="15.75">
      <c r="B38" s="4" t="s">
        <v>618</v>
      </c>
      <c r="C38" s="4" t="s">
        <v>137</v>
      </c>
      <c r="D38" s="2">
        <v>32.1</v>
      </c>
      <c r="E38" s="40">
        <v>32.252000000000002</v>
      </c>
      <c r="F38" s="2">
        <f t="shared" si="3"/>
        <v>0</v>
      </c>
      <c r="G38" s="2">
        <f t="shared" si="4"/>
        <v>-0.15200000000000102</v>
      </c>
      <c r="H38" s="3" t="s">
        <v>16</v>
      </c>
      <c r="I38" s="12">
        <f t="shared" si="2"/>
        <v>-4.7128860225722751E-3</v>
      </c>
      <c r="J38" s="48" t="s">
        <v>512</v>
      </c>
      <c r="K38" s="45"/>
    </row>
    <row r="39" spans="2:11" ht="15.75">
      <c r="B39" s="4" t="s">
        <v>618</v>
      </c>
      <c r="C39" s="4" t="s">
        <v>137</v>
      </c>
      <c r="D39" s="2">
        <v>31.24</v>
      </c>
      <c r="E39" s="40">
        <v>31.232999999999997</v>
      </c>
      <c r="F39" s="2">
        <f t="shared" si="3"/>
        <v>7.0000000000014495E-3</v>
      </c>
      <c r="G39" s="2">
        <f t="shared" si="4"/>
        <v>0</v>
      </c>
      <c r="H39" s="3" t="s">
        <v>13</v>
      </c>
      <c r="I39" s="12">
        <f t="shared" ref="I39" si="10">F39/E39</f>
        <v>2.2412192232579165E-4</v>
      </c>
      <c r="J39" s="48" t="s">
        <v>512</v>
      </c>
      <c r="K39" s="45"/>
    </row>
    <row r="40" spans="2:11" ht="15.75">
      <c r="B40" s="4" t="s">
        <v>618</v>
      </c>
      <c r="C40" s="4" t="s">
        <v>206</v>
      </c>
      <c r="D40" s="2">
        <v>32.08</v>
      </c>
      <c r="E40" s="40">
        <v>32.35</v>
      </c>
      <c r="F40" s="2">
        <f t="shared" si="3"/>
        <v>0</v>
      </c>
      <c r="G40" s="2">
        <f t="shared" si="4"/>
        <v>-0.27000000000000313</v>
      </c>
      <c r="H40" s="3" t="s">
        <v>217</v>
      </c>
      <c r="I40" s="12">
        <f t="shared" si="2"/>
        <v>-8.3462132921175609E-3</v>
      </c>
      <c r="J40" s="48" t="s">
        <v>512</v>
      </c>
      <c r="K40" s="45"/>
    </row>
    <row r="41" spans="2:11" ht="15.75">
      <c r="B41" s="4" t="s">
        <v>618</v>
      </c>
      <c r="C41" s="4" t="s">
        <v>206</v>
      </c>
      <c r="D41" s="2">
        <v>32.57</v>
      </c>
      <c r="E41" s="40">
        <v>32.991</v>
      </c>
      <c r="F41" s="2">
        <f t="shared" si="3"/>
        <v>0</v>
      </c>
      <c r="G41" s="2">
        <f t="shared" si="4"/>
        <v>-0.42099999999999937</v>
      </c>
      <c r="H41" s="3" t="s">
        <v>619</v>
      </c>
      <c r="I41" s="12">
        <f t="shared" si="2"/>
        <v>-1.2761056045588172E-2</v>
      </c>
      <c r="J41" s="48" t="s">
        <v>512</v>
      </c>
      <c r="K41" s="45"/>
    </row>
    <row r="42" spans="2:11" ht="15.75">
      <c r="B42" s="4" t="s">
        <v>618</v>
      </c>
      <c r="C42" s="4" t="s">
        <v>137</v>
      </c>
      <c r="D42" s="2">
        <v>31.88</v>
      </c>
      <c r="E42" s="40">
        <v>32.173999999999999</v>
      </c>
      <c r="F42" s="2">
        <f t="shared" si="3"/>
        <v>0</v>
      </c>
      <c r="G42" s="2">
        <f t="shared" si="4"/>
        <v>-0.29400000000000048</v>
      </c>
      <c r="H42" s="3" t="s">
        <v>287</v>
      </c>
      <c r="I42" s="12">
        <f t="shared" si="2"/>
        <v>-9.1378131410455796E-3</v>
      </c>
      <c r="J42" s="48" t="s">
        <v>512</v>
      </c>
      <c r="K42" s="45"/>
    </row>
    <row r="43" spans="2:11" ht="15.75">
      <c r="B43" s="4" t="s">
        <v>618</v>
      </c>
      <c r="C43" s="4" t="s">
        <v>137</v>
      </c>
      <c r="D43" s="2">
        <v>31.92</v>
      </c>
      <c r="E43" s="40">
        <v>32.314999999999998</v>
      </c>
      <c r="F43" s="2">
        <f t="shared" si="3"/>
        <v>0</v>
      </c>
      <c r="G43" s="2">
        <f t="shared" si="4"/>
        <v>-0.39499999999999602</v>
      </c>
      <c r="H43" s="3" t="s">
        <v>9</v>
      </c>
      <c r="I43" s="12">
        <f t="shared" si="2"/>
        <v>-1.2223425653721059E-2</v>
      </c>
      <c r="J43" s="48" t="s">
        <v>512</v>
      </c>
      <c r="K43" s="45"/>
    </row>
    <row r="44" spans="2:11" ht="15.75">
      <c r="B44" s="4" t="s">
        <v>618</v>
      </c>
      <c r="C44" s="4" t="s">
        <v>137</v>
      </c>
      <c r="D44" s="2">
        <v>30.95</v>
      </c>
      <c r="E44" s="40">
        <v>31.119999999999997</v>
      </c>
      <c r="F44" s="2">
        <f t="shared" si="3"/>
        <v>0</v>
      </c>
      <c r="G44" s="2">
        <f t="shared" si="4"/>
        <v>-0.16999999999999815</v>
      </c>
      <c r="H44" s="3" t="s">
        <v>15</v>
      </c>
      <c r="I44" s="12">
        <f t="shared" si="2"/>
        <v>-5.462724935732589E-3</v>
      </c>
      <c r="J44" s="48" t="s">
        <v>512</v>
      </c>
      <c r="K44" s="45"/>
    </row>
    <row r="45" spans="2:11" ht="15.75">
      <c r="B45" s="4" t="s">
        <v>618</v>
      </c>
      <c r="C45" s="4" t="s">
        <v>137</v>
      </c>
      <c r="D45" s="2">
        <v>30.87</v>
      </c>
      <c r="E45" s="40">
        <v>31.187000000000001</v>
      </c>
      <c r="F45" s="2">
        <f t="shared" si="3"/>
        <v>0</v>
      </c>
      <c r="G45" s="2">
        <f t="shared" si="4"/>
        <v>-0.31700000000000017</v>
      </c>
      <c r="H45" s="3" t="s">
        <v>321</v>
      </c>
      <c r="I45" s="12">
        <f t="shared" si="2"/>
        <v>-1.016449161509604E-2</v>
      </c>
      <c r="J45" s="48" t="s">
        <v>512</v>
      </c>
      <c r="K45" s="45"/>
    </row>
    <row r="46" spans="2:11" ht="15.75">
      <c r="B46" s="4" t="s">
        <v>620</v>
      </c>
      <c r="C46" s="4" t="s">
        <v>137</v>
      </c>
      <c r="D46" s="2">
        <v>31.98</v>
      </c>
      <c r="E46" s="40">
        <v>32.030999999999999</v>
      </c>
      <c r="F46" s="2">
        <f t="shared" si="3"/>
        <v>0</v>
      </c>
      <c r="G46" s="2">
        <f t="shared" si="4"/>
        <v>-5.099999999999838E-2</v>
      </c>
      <c r="H46" s="3" t="s">
        <v>16</v>
      </c>
      <c r="I46" s="12">
        <f t="shared" si="2"/>
        <v>-1.5922075489369168E-3</v>
      </c>
      <c r="J46" s="48" t="s">
        <v>512</v>
      </c>
      <c r="K46" s="45"/>
    </row>
    <row r="47" spans="2:11" ht="15.75">
      <c r="B47" s="4" t="s">
        <v>620</v>
      </c>
      <c r="C47" s="4" t="s">
        <v>137</v>
      </c>
      <c r="D47" s="2">
        <v>32.35</v>
      </c>
      <c r="E47" s="40">
        <v>32.654539999999997</v>
      </c>
      <c r="F47" s="2">
        <f t="shared" si="3"/>
        <v>0</v>
      </c>
      <c r="G47" s="2">
        <f t="shared" si="4"/>
        <v>-0.30453999999999581</v>
      </c>
      <c r="H47" s="3" t="s">
        <v>13</v>
      </c>
      <c r="I47" s="12">
        <f t="shared" si="2"/>
        <v>-9.3261151435603089E-3</v>
      </c>
      <c r="J47" s="48" t="s">
        <v>512</v>
      </c>
      <c r="K47" s="45"/>
    </row>
    <row r="48" spans="2:11" ht="15.75">
      <c r="B48" s="4" t="s">
        <v>620</v>
      </c>
      <c r="C48" s="4" t="s">
        <v>137</v>
      </c>
      <c r="D48" s="2">
        <v>32.9</v>
      </c>
      <c r="E48" s="40">
        <v>33.21</v>
      </c>
      <c r="F48" s="2">
        <f t="shared" si="3"/>
        <v>0</v>
      </c>
      <c r="G48" s="2">
        <f t="shared" si="4"/>
        <v>-0.31000000000000227</v>
      </c>
      <c r="H48" s="3" t="s">
        <v>287</v>
      </c>
      <c r="I48" s="12">
        <f t="shared" si="2"/>
        <v>-9.334537789822411E-3</v>
      </c>
      <c r="J48" s="48" t="s">
        <v>512</v>
      </c>
      <c r="K48" s="45"/>
    </row>
    <row r="49" spans="2:11" ht="15.75">
      <c r="B49" s="4" t="s">
        <v>620</v>
      </c>
      <c r="C49" s="4" t="s">
        <v>137</v>
      </c>
      <c r="D49" s="2">
        <v>31.92</v>
      </c>
      <c r="E49" s="40">
        <v>32.003999999999998</v>
      </c>
      <c r="F49" s="2">
        <f t="shared" si="3"/>
        <v>0</v>
      </c>
      <c r="G49" s="2">
        <f t="shared" si="4"/>
        <v>-8.3999999999996078E-2</v>
      </c>
      <c r="H49" s="3" t="s">
        <v>23</v>
      </c>
      <c r="I49" s="12">
        <f t="shared" si="2"/>
        <v>-2.6246719160103764E-3</v>
      </c>
      <c r="J49" s="48" t="s">
        <v>512</v>
      </c>
      <c r="K49" s="45"/>
    </row>
    <row r="50" spans="2:11" ht="15.75">
      <c r="B50" s="4" t="s">
        <v>620</v>
      </c>
      <c r="C50" s="4" t="s">
        <v>137</v>
      </c>
      <c r="D50" s="2">
        <v>33</v>
      </c>
      <c r="E50" s="40">
        <v>33.115000000000002</v>
      </c>
      <c r="F50" s="2">
        <f t="shared" si="3"/>
        <v>0</v>
      </c>
      <c r="G50" s="2">
        <f t="shared" si="4"/>
        <v>-0.11500000000000199</v>
      </c>
      <c r="H50" s="3" t="s">
        <v>16</v>
      </c>
      <c r="I50" s="12">
        <f t="shared" si="2"/>
        <v>-3.4727464895063257E-3</v>
      </c>
      <c r="J50" s="48" t="s">
        <v>512</v>
      </c>
      <c r="K50" s="45"/>
    </row>
    <row r="51" spans="2:11" ht="15.75">
      <c r="B51" s="4" t="s">
        <v>620</v>
      </c>
      <c r="C51" s="4" t="s">
        <v>137</v>
      </c>
      <c r="D51" s="2">
        <v>32.229999999999997</v>
      </c>
      <c r="E51" s="40">
        <v>32.487000000000002</v>
      </c>
      <c r="F51" s="2">
        <f t="shared" si="3"/>
        <v>0</v>
      </c>
      <c r="G51" s="2">
        <f t="shared" si="4"/>
        <v>-0.257000000000005</v>
      </c>
      <c r="H51" s="3" t="s">
        <v>157</v>
      </c>
      <c r="I51" s="12">
        <f t="shared" si="2"/>
        <v>-7.9108566503526025E-3</v>
      </c>
      <c r="J51" s="48" t="s">
        <v>512</v>
      </c>
      <c r="K51" s="45"/>
    </row>
    <row r="52" spans="2:11" ht="15.75">
      <c r="B52" s="4" t="s">
        <v>621</v>
      </c>
      <c r="C52" s="4" t="s">
        <v>137</v>
      </c>
      <c r="D52" s="2">
        <v>33.21</v>
      </c>
      <c r="E52" s="40">
        <v>33.284999999999997</v>
      </c>
      <c r="F52" s="2">
        <f t="shared" si="3"/>
        <v>0</v>
      </c>
      <c r="G52" s="2">
        <f t="shared" si="4"/>
        <v>-7.4999999999995737E-2</v>
      </c>
      <c r="H52" s="3" t="s">
        <v>13</v>
      </c>
      <c r="I52" s="12">
        <f t="shared" si="2"/>
        <v>-2.2532672374942389E-3</v>
      </c>
      <c r="J52" s="48" t="s">
        <v>512</v>
      </c>
      <c r="K52" s="45"/>
    </row>
    <row r="53" spans="2:11" ht="15.75">
      <c r="B53" s="4" t="s">
        <v>621</v>
      </c>
      <c r="C53" s="4" t="s">
        <v>137</v>
      </c>
      <c r="D53" s="2">
        <v>32.53</v>
      </c>
      <c r="E53" s="40">
        <v>32.792000000000002</v>
      </c>
      <c r="F53" s="2">
        <f t="shared" si="3"/>
        <v>0</v>
      </c>
      <c r="G53" s="2">
        <f t="shared" si="4"/>
        <v>-0.26200000000000045</v>
      </c>
      <c r="H53" s="3" t="s">
        <v>15</v>
      </c>
      <c r="I53" s="12">
        <f t="shared" si="2"/>
        <v>-7.9897535984386567E-3</v>
      </c>
      <c r="J53" s="48" t="s">
        <v>512</v>
      </c>
      <c r="K53" s="45"/>
    </row>
    <row r="54" spans="2:11" ht="15.75">
      <c r="B54" s="4" t="s">
        <v>621</v>
      </c>
      <c r="C54" s="4" t="s">
        <v>206</v>
      </c>
      <c r="D54" s="2">
        <v>38.72</v>
      </c>
      <c r="E54" s="40">
        <v>39.054000000000002</v>
      </c>
      <c r="F54" s="2">
        <f t="shared" si="3"/>
        <v>0</v>
      </c>
      <c r="G54" s="2">
        <f t="shared" si="4"/>
        <v>-0.33400000000000318</v>
      </c>
      <c r="H54" s="3" t="s">
        <v>622</v>
      </c>
      <c r="I54" s="12">
        <f t="shared" si="2"/>
        <v>-8.5522609719875849E-3</v>
      </c>
      <c r="J54" s="48" t="s">
        <v>512</v>
      </c>
      <c r="K54" s="45"/>
    </row>
    <row r="55" spans="2:11" ht="15.75">
      <c r="B55" s="4" t="s">
        <v>621</v>
      </c>
      <c r="C55" s="4" t="s">
        <v>206</v>
      </c>
      <c r="D55" s="2">
        <v>32.369999999999997</v>
      </c>
      <c r="E55" s="40">
        <v>32.963000000000001</v>
      </c>
      <c r="F55" s="2">
        <f t="shared" si="3"/>
        <v>0</v>
      </c>
      <c r="G55" s="2">
        <f t="shared" si="4"/>
        <v>-0.59300000000000352</v>
      </c>
      <c r="H55" s="3" t="s">
        <v>623</v>
      </c>
      <c r="I55" s="12">
        <f t="shared" si="2"/>
        <v>-1.7989867427115357E-2</v>
      </c>
      <c r="J55" s="48" t="s">
        <v>512</v>
      </c>
      <c r="K55" s="45"/>
    </row>
    <row r="56" spans="2:11" ht="15.75">
      <c r="B56" s="4" t="s">
        <v>621</v>
      </c>
      <c r="C56" s="4" t="s">
        <v>206</v>
      </c>
      <c r="D56" s="2">
        <v>32.33</v>
      </c>
      <c r="E56" s="40">
        <v>32.736999999999995</v>
      </c>
      <c r="F56" s="2">
        <f t="shared" si="3"/>
        <v>0</v>
      </c>
      <c r="G56" s="2">
        <f t="shared" si="4"/>
        <v>-0.40699999999999648</v>
      </c>
      <c r="H56" s="3" t="s">
        <v>624</v>
      </c>
      <c r="I56" s="12">
        <f t="shared" si="2"/>
        <v>-1.2432415920823427E-2</v>
      </c>
      <c r="J56" s="48" t="s">
        <v>512</v>
      </c>
      <c r="K56" s="45"/>
    </row>
    <row r="57" spans="2:11" ht="15.75">
      <c r="B57" s="4" t="s">
        <v>621</v>
      </c>
      <c r="C57" s="4" t="s">
        <v>137</v>
      </c>
      <c r="D57" s="2">
        <v>31.97</v>
      </c>
      <c r="E57" s="40">
        <v>31.438000000000002</v>
      </c>
      <c r="F57" s="2">
        <f t="shared" si="3"/>
        <v>0.53199999999999648</v>
      </c>
      <c r="G57" s="2">
        <f t="shared" si="4"/>
        <v>0</v>
      </c>
      <c r="H57" s="3" t="s">
        <v>625</v>
      </c>
      <c r="I57" s="12">
        <f t="shared" ref="I57" si="11">F57/E57</f>
        <v>1.6922196068452078E-2</v>
      </c>
      <c r="J57" s="48" t="s">
        <v>512</v>
      </c>
      <c r="K57" s="45"/>
    </row>
    <row r="58" spans="2:11" ht="15.75">
      <c r="B58" s="4" t="s">
        <v>621</v>
      </c>
      <c r="C58" s="4" t="s">
        <v>206</v>
      </c>
      <c r="D58" s="2">
        <v>32.21</v>
      </c>
      <c r="E58" s="40">
        <v>32.572000000000003</v>
      </c>
      <c r="F58" s="2">
        <f t="shared" si="3"/>
        <v>0</v>
      </c>
      <c r="G58" s="2">
        <f t="shared" si="4"/>
        <v>-0.36200000000000188</v>
      </c>
      <c r="H58" s="3" t="s">
        <v>212</v>
      </c>
      <c r="I58" s="12">
        <f t="shared" si="2"/>
        <v>-1.1113840108068335E-2</v>
      </c>
      <c r="J58" s="48" t="s">
        <v>512</v>
      </c>
      <c r="K58" s="45"/>
    </row>
    <row r="59" spans="2:11" ht="15.75">
      <c r="B59" s="4" t="s">
        <v>621</v>
      </c>
      <c r="C59" s="4" t="s">
        <v>137</v>
      </c>
      <c r="D59" s="2">
        <v>31.88</v>
      </c>
      <c r="E59" s="40">
        <v>32.231999999999999</v>
      </c>
      <c r="F59" s="2">
        <f t="shared" si="3"/>
        <v>0</v>
      </c>
      <c r="G59" s="2">
        <f t="shared" si="4"/>
        <v>-0.35200000000000031</v>
      </c>
      <c r="H59" s="3" t="s">
        <v>13</v>
      </c>
      <c r="I59" s="12">
        <f t="shared" si="2"/>
        <v>-1.0920824025812867E-2</v>
      </c>
      <c r="J59" s="48" t="s">
        <v>512</v>
      </c>
      <c r="K59" s="45"/>
    </row>
    <row r="60" spans="2:11" ht="15.75">
      <c r="B60" s="4" t="s">
        <v>626</v>
      </c>
      <c r="C60" s="4" t="s">
        <v>137</v>
      </c>
      <c r="D60" s="2">
        <v>33.43</v>
      </c>
      <c r="E60" s="40">
        <v>32.966999999999999</v>
      </c>
      <c r="F60" s="2">
        <f t="shared" si="3"/>
        <v>0.46300000000000097</v>
      </c>
      <c r="G60" s="2">
        <f t="shared" si="4"/>
        <v>0</v>
      </c>
      <c r="H60" s="3" t="s">
        <v>13</v>
      </c>
      <c r="I60" s="12">
        <f t="shared" ref="I60" si="12">F60/E60</f>
        <v>1.4044347377680741E-2</v>
      </c>
      <c r="J60" s="48" t="s">
        <v>512</v>
      </c>
      <c r="K60" s="45"/>
    </row>
    <row r="61" spans="2:11" ht="15.75">
      <c r="B61" s="4" t="s">
        <v>626</v>
      </c>
      <c r="C61" s="4" t="s">
        <v>137</v>
      </c>
      <c r="D61" s="2">
        <v>32.35</v>
      </c>
      <c r="E61" s="40">
        <v>32.654000000000003</v>
      </c>
      <c r="F61" s="2">
        <f t="shared" si="3"/>
        <v>0</v>
      </c>
      <c r="G61" s="2">
        <f t="shared" si="4"/>
        <v>-0.30400000000000205</v>
      </c>
      <c r="H61" s="3" t="s">
        <v>15</v>
      </c>
      <c r="I61" s="12">
        <f t="shared" si="2"/>
        <v>-9.3097323451951375E-3</v>
      </c>
      <c r="J61" s="48" t="s">
        <v>512</v>
      </c>
      <c r="K61" s="45"/>
    </row>
    <row r="62" spans="2:11" ht="15.75">
      <c r="B62" s="4" t="s">
        <v>626</v>
      </c>
      <c r="C62" s="4" t="s">
        <v>137</v>
      </c>
      <c r="D62" s="2">
        <v>33</v>
      </c>
      <c r="E62" s="40">
        <v>33.027000000000001</v>
      </c>
      <c r="F62" s="2">
        <f t="shared" si="3"/>
        <v>0</v>
      </c>
      <c r="G62" s="2">
        <f t="shared" si="4"/>
        <v>-2.7000000000001023E-2</v>
      </c>
      <c r="H62" s="3" t="s">
        <v>12</v>
      </c>
      <c r="I62" s="12">
        <f t="shared" si="2"/>
        <v>-8.1751294395497696E-4</v>
      </c>
      <c r="J62" s="48" t="s">
        <v>512</v>
      </c>
      <c r="K62" s="45"/>
    </row>
    <row r="63" spans="2:11" ht="15.75">
      <c r="B63" s="4" t="s">
        <v>626</v>
      </c>
      <c r="C63" s="4" t="s">
        <v>206</v>
      </c>
      <c r="D63" s="2">
        <v>31.88</v>
      </c>
      <c r="E63" s="40">
        <v>32.296999999999997</v>
      </c>
      <c r="F63" s="2">
        <f t="shared" si="3"/>
        <v>0</v>
      </c>
      <c r="G63" s="2">
        <f t="shared" si="4"/>
        <v>-0.41699999999999804</v>
      </c>
      <c r="H63" s="3" t="s">
        <v>501</v>
      </c>
      <c r="I63" s="12">
        <f t="shared" si="2"/>
        <v>-1.2911415920983313E-2</v>
      </c>
      <c r="J63" s="48" t="s">
        <v>512</v>
      </c>
      <c r="K63" s="45"/>
    </row>
    <row r="64" spans="2:11" ht="15.75">
      <c r="B64" s="4" t="s">
        <v>626</v>
      </c>
      <c r="C64" s="4" t="s">
        <v>137</v>
      </c>
      <c r="D64" s="2">
        <v>32.049999999999997</v>
      </c>
      <c r="E64" s="40">
        <v>32.408000000000001</v>
      </c>
      <c r="F64" s="2">
        <f t="shared" si="3"/>
        <v>0</v>
      </c>
      <c r="G64" s="2">
        <f t="shared" si="4"/>
        <v>-0.35800000000000409</v>
      </c>
      <c r="H64" s="3" t="s">
        <v>16</v>
      </c>
      <c r="I64" s="12">
        <f t="shared" si="2"/>
        <v>-1.104665514687744E-2</v>
      </c>
      <c r="J64" s="48" t="s">
        <v>512</v>
      </c>
      <c r="K64" s="45"/>
    </row>
    <row r="65" spans="2:11" ht="15.75">
      <c r="B65" s="4" t="s">
        <v>626</v>
      </c>
      <c r="C65" s="4" t="s">
        <v>206</v>
      </c>
      <c r="D65" s="2">
        <v>31.76</v>
      </c>
      <c r="E65" s="40">
        <v>32.061</v>
      </c>
      <c r="F65" s="2">
        <f t="shared" si="3"/>
        <v>0</v>
      </c>
      <c r="G65" s="2">
        <f t="shared" si="4"/>
        <v>-0.30099999999999838</v>
      </c>
      <c r="H65" s="3" t="s">
        <v>374</v>
      </c>
      <c r="I65" s="12">
        <f t="shared" si="2"/>
        <v>-9.3883534512335352E-3</v>
      </c>
      <c r="J65" s="48" t="s">
        <v>512</v>
      </c>
      <c r="K65" s="45"/>
    </row>
    <row r="66" spans="2:11" ht="15.75">
      <c r="B66" s="4" t="s">
        <v>626</v>
      </c>
      <c r="C66" s="4" t="s">
        <v>137</v>
      </c>
      <c r="D66" s="2">
        <v>32.06</v>
      </c>
      <c r="E66" s="40">
        <v>32.380000000000003</v>
      </c>
      <c r="F66" s="2">
        <f t="shared" si="3"/>
        <v>0</v>
      </c>
      <c r="G66" s="2">
        <f t="shared" si="4"/>
        <v>-0.32000000000000028</v>
      </c>
      <c r="H66" s="3" t="s">
        <v>13</v>
      </c>
      <c r="I66" s="12">
        <f t="shared" si="2"/>
        <v>-9.8826436071649242E-3</v>
      </c>
      <c r="J66" s="48" t="s">
        <v>512</v>
      </c>
      <c r="K66" s="45"/>
    </row>
    <row r="67" spans="2:11" ht="15.75">
      <c r="B67" s="4" t="s">
        <v>627</v>
      </c>
      <c r="C67" s="4" t="s">
        <v>137</v>
      </c>
      <c r="D67" s="2">
        <v>31.66</v>
      </c>
      <c r="E67" s="40">
        <v>32.062000000000005</v>
      </c>
      <c r="F67" s="2">
        <f t="shared" si="3"/>
        <v>0</v>
      </c>
      <c r="G67" s="2">
        <f t="shared" si="4"/>
        <v>-0.40200000000000458</v>
      </c>
      <c r="H67" s="3" t="s">
        <v>12</v>
      </c>
      <c r="I67" s="12">
        <f t="shared" si="2"/>
        <v>-1.2538207223504601E-2</v>
      </c>
      <c r="J67" s="48" t="s">
        <v>512</v>
      </c>
      <c r="K67" s="45"/>
    </row>
    <row r="68" spans="2:11" ht="15.75">
      <c r="B68" s="4" t="s">
        <v>627</v>
      </c>
      <c r="C68" s="4" t="s">
        <v>137</v>
      </c>
      <c r="D68" s="2">
        <v>31.2</v>
      </c>
      <c r="E68" s="40">
        <v>31.305520000000001</v>
      </c>
      <c r="F68" s="2">
        <f t="shared" si="3"/>
        <v>0</v>
      </c>
      <c r="G68" s="2">
        <f t="shared" si="4"/>
        <v>-0.10552000000000206</v>
      </c>
      <c r="H68" s="3" t="s">
        <v>23</v>
      </c>
      <c r="I68" s="12">
        <f t="shared" si="2"/>
        <v>-3.3706515656025536E-3</v>
      </c>
      <c r="J68" s="48" t="s">
        <v>512</v>
      </c>
      <c r="K68" s="45"/>
    </row>
    <row r="69" spans="2:11" ht="15.75">
      <c r="B69" s="4" t="s">
        <v>627</v>
      </c>
      <c r="C69" s="4" t="s">
        <v>206</v>
      </c>
      <c r="D69" s="2">
        <v>31.97</v>
      </c>
      <c r="E69" s="40">
        <v>32.314</v>
      </c>
      <c r="F69" s="2">
        <f t="shared" si="3"/>
        <v>0</v>
      </c>
      <c r="G69" s="2">
        <f t="shared" si="4"/>
        <v>-0.34400000000000119</v>
      </c>
      <c r="H69" s="3" t="s">
        <v>542</v>
      </c>
      <c r="I69" s="12">
        <f t="shared" ref="I69:I71" si="13">G69/E69</f>
        <v>-1.0645540632543207E-2</v>
      </c>
      <c r="J69" s="48" t="s">
        <v>512</v>
      </c>
      <c r="K69" s="45"/>
    </row>
    <row r="70" spans="2:11" ht="15.75">
      <c r="B70" s="4" t="s">
        <v>627</v>
      </c>
      <c r="C70" s="4" t="s">
        <v>137</v>
      </c>
      <c r="D70" s="2">
        <v>32.32</v>
      </c>
      <c r="E70" s="40">
        <v>32.690000000000005</v>
      </c>
      <c r="F70" s="2">
        <f t="shared" ref="F70:F143" si="14">IF(D70-E70&lt;=0,0,D70-E70)</f>
        <v>0</v>
      </c>
      <c r="G70" s="2">
        <f t="shared" ref="G70:G143" si="15">IF(D70-E70&gt;=0,0,D70-E70)</f>
        <v>-0.37000000000000455</v>
      </c>
      <c r="H70" s="3" t="s">
        <v>15</v>
      </c>
      <c r="I70" s="12">
        <f t="shared" si="13"/>
        <v>-1.1318446007953641E-2</v>
      </c>
      <c r="J70" s="48" t="s">
        <v>512</v>
      </c>
      <c r="K70" s="45"/>
    </row>
    <row r="71" spans="2:11" ht="15.75">
      <c r="B71" s="4" t="s">
        <v>627</v>
      </c>
      <c r="C71" s="4" t="s">
        <v>206</v>
      </c>
      <c r="D71" s="2">
        <v>32.479999999999997</v>
      </c>
      <c r="E71" s="40">
        <v>32.756999999999998</v>
      </c>
      <c r="F71" s="2">
        <f t="shared" si="14"/>
        <v>0</v>
      </c>
      <c r="G71" s="2">
        <f t="shared" si="15"/>
        <v>-0.27700000000000102</v>
      </c>
      <c r="H71" s="3" t="s">
        <v>632</v>
      </c>
      <c r="I71" s="12">
        <f t="shared" si="13"/>
        <v>-8.456207833440213E-3</v>
      </c>
      <c r="J71" s="48" t="s">
        <v>512</v>
      </c>
      <c r="K71" s="45"/>
    </row>
    <row r="72" spans="2:11" ht="15.75">
      <c r="B72" s="4" t="s">
        <v>627</v>
      </c>
      <c r="C72" s="4" t="s">
        <v>528</v>
      </c>
      <c r="D72" s="2">
        <v>25.33</v>
      </c>
      <c r="E72" s="40">
        <f>20.652+4.623</f>
        <v>25.275000000000002</v>
      </c>
      <c r="F72" s="2">
        <f t="shared" si="14"/>
        <v>5.4999999999996163E-2</v>
      </c>
      <c r="G72" s="2">
        <f t="shared" si="15"/>
        <v>0</v>
      </c>
      <c r="H72" s="3" t="s">
        <v>557</v>
      </c>
      <c r="I72" s="12">
        <f t="shared" ref="I72" si="16">F72/E72</f>
        <v>2.1760633036595907E-3</v>
      </c>
      <c r="J72" s="48" t="s">
        <v>512</v>
      </c>
      <c r="K72" s="45"/>
    </row>
    <row r="73" spans="2:11" ht="15.75">
      <c r="B73" s="4" t="s">
        <v>627</v>
      </c>
      <c r="C73" s="4" t="s">
        <v>206</v>
      </c>
      <c r="D73" s="2">
        <v>32.28</v>
      </c>
      <c r="E73" s="40">
        <v>32.61</v>
      </c>
      <c r="F73" s="2">
        <f t="shared" si="14"/>
        <v>0</v>
      </c>
      <c r="G73" s="2">
        <f t="shared" si="15"/>
        <v>-0.32999999999999829</v>
      </c>
      <c r="H73" s="3" t="s">
        <v>496</v>
      </c>
      <c r="I73" s="12">
        <f t="shared" ref="I73:I78" si="17">G73/E73</f>
        <v>-1.01195952161913E-2</v>
      </c>
      <c r="J73" s="48" t="s">
        <v>512</v>
      </c>
      <c r="K73" s="45"/>
    </row>
    <row r="74" spans="2:11" ht="15.75">
      <c r="B74" s="4" t="s">
        <v>627</v>
      </c>
      <c r="C74" s="4" t="s">
        <v>137</v>
      </c>
      <c r="D74" s="2">
        <v>30.57</v>
      </c>
      <c r="E74" s="40">
        <v>30.861000000000001</v>
      </c>
      <c r="F74" s="2">
        <f t="shared" si="14"/>
        <v>0</v>
      </c>
      <c r="G74" s="2">
        <f t="shared" si="15"/>
        <v>-0.29100000000000037</v>
      </c>
      <c r="H74" s="3" t="s">
        <v>13</v>
      </c>
      <c r="I74" s="12">
        <f t="shared" si="17"/>
        <v>-9.4293768834451362E-3</v>
      </c>
      <c r="J74" s="48" t="s">
        <v>512</v>
      </c>
      <c r="K74" s="45"/>
    </row>
    <row r="75" spans="2:11" ht="15.75">
      <c r="B75" s="4" t="s">
        <v>628</v>
      </c>
      <c r="C75" s="4" t="s">
        <v>206</v>
      </c>
      <c r="D75" s="2">
        <v>32.06</v>
      </c>
      <c r="E75" s="40">
        <v>32.394000000000005</v>
      </c>
      <c r="F75" s="2">
        <f t="shared" si="14"/>
        <v>0</v>
      </c>
      <c r="G75" s="2">
        <f t="shared" si="15"/>
        <v>-0.33400000000000318</v>
      </c>
      <c r="H75" s="3" t="s">
        <v>633</v>
      </c>
      <c r="I75" s="12">
        <f t="shared" si="17"/>
        <v>-1.0310551336667381E-2</v>
      </c>
      <c r="J75" s="48" t="s">
        <v>512</v>
      </c>
      <c r="K75" s="45"/>
    </row>
    <row r="76" spans="2:11" ht="15.75">
      <c r="B76" s="4" t="s">
        <v>628</v>
      </c>
      <c r="C76" s="4" t="s">
        <v>206</v>
      </c>
      <c r="D76" s="2">
        <v>31.36</v>
      </c>
      <c r="E76" s="40">
        <v>31.582000000000001</v>
      </c>
      <c r="F76" s="2">
        <f t="shared" si="14"/>
        <v>0</v>
      </c>
      <c r="G76" s="2">
        <f t="shared" si="15"/>
        <v>-0.22200000000000131</v>
      </c>
      <c r="H76" s="3" t="s">
        <v>302</v>
      </c>
      <c r="I76" s="12">
        <f t="shared" si="17"/>
        <v>-7.0293204990184693E-3</v>
      </c>
      <c r="J76" s="48" t="s">
        <v>512</v>
      </c>
      <c r="K76" s="45"/>
    </row>
    <row r="77" spans="2:11" ht="15.75">
      <c r="B77" s="4" t="s">
        <v>628</v>
      </c>
      <c r="C77" s="4" t="s">
        <v>206</v>
      </c>
      <c r="D77" s="2">
        <v>32.47</v>
      </c>
      <c r="E77" s="40">
        <v>32.738999999999997</v>
      </c>
      <c r="F77" s="2">
        <f t="shared" si="14"/>
        <v>0</v>
      </c>
      <c r="G77" s="2">
        <f t="shared" si="15"/>
        <v>-0.26899999999999835</v>
      </c>
      <c r="H77" s="3" t="s">
        <v>494</v>
      </c>
      <c r="I77" s="12">
        <f t="shared" si="17"/>
        <v>-8.2165001985399187E-3</v>
      </c>
      <c r="J77" s="48" t="s">
        <v>512</v>
      </c>
      <c r="K77" s="45"/>
    </row>
    <row r="78" spans="2:11" ht="15.75">
      <c r="B78" s="4" t="s">
        <v>628</v>
      </c>
      <c r="C78" s="4" t="s">
        <v>206</v>
      </c>
      <c r="D78" s="2">
        <v>32.21</v>
      </c>
      <c r="E78" s="40">
        <v>32.362050000000004</v>
      </c>
      <c r="F78" s="2">
        <f t="shared" si="14"/>
        <v>0</v>
      </c>
      <c r="G78" s="2">
        <f t="shared" si="15"/>
        <v>-0.15205000000000268</v>
      </c>
      <c r="H78" s="3" t="s">
        <v>579</v>
      </c>
      <c r="I78" s="12">
        <f t="shared" si="17"/>
        <v>-4.698404458308502E-3</v>
      </c>
      <c r="J78" s="48" t="s">
        <v>512</v>
      </c>
      <c r="K78" s="45"/>
    </row>
    <row r="79" spans="2:11" ht="15.75">
      <c r="B79" s="4" t="s">
        <v>628</v>
      </c>
      <c r="C79" s="4" t="s">
        <v>137</v>
      </c>
      <c r="D79" s="2">
        <v>30.05</v>
      </c>
      <c r="E79" s="40">
        <v>29.917999999999999</v>
      </c>
      <c r="F79" s="2">
        <f t="shared" si="14"/>
        <v>0.13200000000000145</v>
      </c>
      <c r="G79" s="2">
        <f t="shared" si="15"/>
        <v>0</v>
      </c>
      <c r="H79" s="3" t="s">
        <v>634</v>
      </c>
      <c r="I79" s="12">
        <f t="shared" ref="I79" si="18">F79/E79</f>
        <v>4.4120596296544374E-3</v>
      </c>
      <c r="J79" s="48" t="s">
        <v>512</v>
      </c>
      <c r="K79" s="45"/>
    </row>
    <row r="80" spans="2:11" ht="15.75">
      <c r="B80" s="4" t="s">
        <v>629</v>
      </c>
      <c r="C80" s="4" t="s">
        <v>206</v>
      </c>
      <c r="D80" s="2">
        <v>32</v>
      </c>
      <c r="E80" s="40">
        <v>32.906399999999998</v>
      </c>
      <c r="F80" s="2">
        <f t="shared" si="14"/>
        <v>0</v>
      </c>
      <c r="G80" s="2">
        <f t="shared" si="15"/>
        <v>-0.90639999999999787</v>
      </c>
      <c r="H80" s="3" t="s">
        <v>209</v>
      </c>
      <c r="I80" s="12">
        <f t="shared" ref="I80" si="19">G80/E80</f>
        <v>-2.7544793717939303E-2</v>
      </c>
      <c r="J80" s="48" t="s">
        <v>512</v>
      </c>
      <c r="K80" s="45"/>
    </row>
    <row r="81" spans="2:12" ht="15.75">
      <c r="B81" s="4" t="s">
        <v>629</v>
      </c>
      <c r="C81" s="4" t="s">
        <v>137</v>
      </c>
      <c r="D81" s="2">
        <v>32.659999999999997</v>
      </c>
      <c r="E81" s="40">
        <v>32.587000000000003</v>
      </c>
      <c r="F81" s="2">
        <f t="shared" si="14"/>
        <v>7.2999999999993292E-2</v>
      </c>
      <c r="G81" s="2">
        <f t="shared" si="15"/>
        <v>0</v>
      </c>
      <c r="H81" s="3" t="s">
        <v>157</v>
      </c>
      <c r="I81" s="12">
        <f t="shared" ref="I81:I82" si="20">F81/E81</f>
        <v>2.2401571178688831E-3</v>
      </c>
      <c r="J81" s="48" t="s">
        <v>512</v>
      </c>
      <c r="K81" s="45"/>
    </row>
    <row r="82" spans="2:12" ht="15.75">
      <c r="B82" s="4" t="s">
        <v>629</v>
      </c>
      <c r="C82" s="4" t="s">
        <v>137</v>
      </c>
      <c r="D82" s="2">
        <v>31.74</v>
      </c>
      <c r="E82" s="40">
        <v>31.545999999999999</v>
      </c>
      <c r="F82" s="2">
        <f t="shared" si="14"/>
        <v>0.19399999999999906</v>
      </c>
      <c r="G82" s="2">
        <f t="shared" si="15"/>
        <v>0</v>
      </c>
      <c r="H82" s="3" t="s">
        <v>635</v>
      </c>
      <c r="I82" s="12">
        <f t="shared" si="20"/>
        <v>6.1497495720534796E-3</v>
      </c>
      <c r="J82" s="48" t="s">
        <v>512</v>
      </c>
      <c r="K82" s="45"/>
    </row>
    <row r="83" spans="2:12" ht="15.75">
      <c r="B83" s="4" t="s">
        <v>629</v>
      </c>
      <c r="C83" s="4" t="s">
        <v>206</v>
      </c>
      <c r="D83" s="2">
        <v>31.3</v>
      </c>
      <c r="E83" s="40">
        <v>32.046579999999999</v>
      </c>
      <c r="F83" s="2">
        <f t="shared" si="14"/>
        <v>0</v>
      </c>
      <c r="G83" s="2">
        <f t="shared" si="15"/>
        <v>-0.74657999999999802</v>
      </c>
      <c r="H83" s="3" t="s">
        <v>300</v>
      </c>
      <c r="I83" s="12">
        <f t="shared" ref="I83:I85" si="21">G83/E83</f>
        <v>-2.3296713721089678E-2</v>
      </c>
      <c r="J83" s="48" t="s">
        <v>512</v>
      </c>
      <c r="K83" s="45"/>
    </row>
    <row r="84" spans="2:12" ht="15.75">
      <c r="B84" s="4" t="s">
        <v>629</v>
      </c>
      <c r="C84" s="4" t="s">
        <v>206</v>
      </c>
      <c r="D84" s="2">
        <v>40.11</v>
      </c>
      <c r="E84" s="40">
        <v>40.337461499999989</v>
      </c>
      <c r="F84" s="2">
        <f t="shared" si="14"/>
        <v>0</v>
      </c>
      <c r="G84" s="2">
        <f t="shared" si="15"/>
        <v>-0.22746149999998977</v>
      </c>
      <c r="H84" s="3" t="s">
        <v>622</v>
      </c>
      <c r="I84" s="12">
        <f t="shared" si="21"/>
        <v>-5.6389641673408189E-3</v>
      </c>
      <c r="J84" s="48" t="s">
        <v>512</v>
      </c>
      <c r="K84" s="45"/>
      <c r="L84" s="38"/>
    </row>
    <row r="85" spans="2:12" ht="15.75">
      <c r="B85" s="4" t="s">
        <v>629</v>
      </c>
      <c r="C85" s="4" t="s">
        <v>206</v>
      </c>
      <c r="D85" s="2">
        <v>31.11</v>
      </c>
      <c r="E85" s="40">
        <v>31.845359999999999</v>
      </c>
      <c r="F85" s="2">
        <f t="shared" si="14"/>
        <v>0</v>
      </c>
      <c r="G85" s="2">
        <f t="shared" si="15"/>
        <v>-0.73536000000000001</v>
      </c>
      <c r="H85" s="3" t="s">
        <v>499</v>
      </c>
      <c r="I85" s="12">
        <f t="shared" si="21"/>
        <v>-2.3091590109202722E-2</v>
      </c>
      <c r="J85" s="48" t="s">
        <v>512</v>
      </c>
      <c r="K85" s="45"/>
    </row>
    <row r="86" spans="2:12" ht="15.75">
      <c r="B86" s="4" t="s">
        <v>630</v>
      </c>
      <c r="C86" s="4" t="s">
        <v>137</v>
      </c>
      <c r="D86" s="2">
        <v>32.03</v>
      </c>
      <c r="E86" s="40">
        <v>32.011649999999996</v>
      </c>
      <c r="F86" s="2">
        <f t="shared" si="14"/>
        <v>1.8350000000005195E-2</v>
      </c>
      <c r="G86" s="2">
        <f t="shared" si="15"/>
        <v>0</v>
      </c>
      <c r="H86" s="3" t="s">
        <v>9</v>
      </c>
      <c r="I86" s="12">
        <f t="shared" ref="I86" si="22">F86/E86</f>
        <v>5.7322880888692701E-4</v>
      </c>
      <c r="J86" s="48" t="s">
        <v>512</v>
      </c>
      <c r="K86" s="45"/>
    </row>
    <row r="87" spans="2:12" ht="15.75">
      <c r="B87" s="4" t="s">
        <v>630</v>
      </c>
      <c r="C87" s="4" t="s">
        <v>206</v>
      </c>
      <c r="D87" s="2">
        <v>32.659999999999997</v>
      </c>
      <c r="E87" s="40">
        <v>33.16122</v>
      </c>
      <c r="F87" s="2">
        <f t="shared" si="14"/>
        <v>0</v>
      </c>
      <c r="G87" s="2">
        <f t="shared" si="15"/>
        <v>-0.50122000000000355</v>
      </c>
      <c r="H87" s="3" t="s">
        <v>217</v>
      </c>
      <c r="I87" s="12">
        <f t="shared" ref="I87" si="23">G87/E87</f>
        <v>-1.5114642947394685E-2</v>
      </c>
      <c r="J87" s="48" t="s">
        <v>512</v>
      </c>
      <c r="K87" s="45"/>
    </row>
    <row r="88" spans="2:12" ht="15.75">
      <c r="B88" s="4" t="s">
        <v>630</v>
      </c>
      <c r="C88" s="4" t="s">
        <v>137</v>
      </c>
      <c r="D88" s="2">
        <v>32.47</v>
      </c>
      <c r="E88" s="40">
        <v>32.401049999999998</v>
      </c>
      <c r="F88" s="2">
        <f t="shared" si="14"/>
        <v>6.8950000000000955E-2</v>
      </c>
      <c r="G88" s="2">
        <f t="shared" si="15"/>
        <v>0</v>
      </c>
      <c r="H88" s="3" t="s">
        <v>287</v>
      </c>
      <c r="I88" s="12">
        <f t="shared" ref="I88" si="24">F88/E88</f>
        <v>2.1280174562244422E-3</v>
      </c>
      <c r="J88" s="48" t="s">
        <v>512</v>
      </c>
      <c r="K88" s="45"/>
    </row>
    <row r="89" spans="2:12" ht="15.75">
      <c r="B89" s="4" t="s">
        <v>630</v>
      </c>
      <c r="C89" s="4" t="s">
        <v>137</v>
      </c>
      <c r="D89" s="2">
        <v>31.22</v>
      </c>
      <c r="E89" s="40">
        <v>31.621434999999998</v>
      </c>
      <c r="F89" s="2">
        <f t="shared" si="14"/>
        <v>0</v>
      </c>
      <c r="G89" s="2">
        <f t="shared" si="15"/>
        <v>-0.40143499999999932</v>
      </c>
      <c r="H89" s="3" t="s">
        <v>15</v>
      </c>
      <c r="I89" s="12">
        <f t="shared" ref="I89:I90" si="25">G89/E89</f>
        <v>-1.2695027913818565E-2</v>
      </c>
      <c r="J89" s="48" t="s">
        <v>512</v>
      </c>
      <c r="K89" s="45"/>
    </row>
    <row r="90" spans="2:12" ht="15.75">
      <c r="B90" s="4" t="s">
        <v>630</v>
      </c>
      <c r="C90" s="4" t="s">
        <v>137</v>
      </c>
      <c r="D90" s="2">
        <v>31.05</v>
      </c>
      <c r="E90" s="40">
        <v>31.408194999999999</v>
      </c>
      <c r="F90" s="2">
        <f t="shared" si="14"/>
        <v>0</v>
      </c>
      <c r="G90" s="2">
        <f t="shared" si="15"/>
        <v>-0.35819499999999849</v>
      </c>
      <c r="H90" s="3" t="s">
        <v>13</v>
      </c>
      <c r="I90" s="12">
        <f t="shared" si="25"/>
        <v>-1.1404507645218023E-2</v>
      </c>
      <c r="J90" s="48" t="s">
        <v>512</v>
      </c>
      <c r="K90" s="45"/>
    </row>
    <row r="91" spans="2:12" ht="15.75">
      <c r="B91" s="4" t="s">
        <v>631</v>
      </c>
      <c r="C91" s="4" t="s">
        <v>206</v>
      </c>
      <c r="D91" s="2">
        <v>32.68</v>
      </c>
      <c r="E91" s="40">
        <f>31.87065+0.677</f>
        <v>32.547650000000004</v>
      </c>
      <c r="F91" s="2">
        <f t="shared" si="14"/>
        <v>0.1323499999999953</v>
      </c>
      <c r="G91" s="2">
        <f t="shared" si="15"/>
        <v>0</v>
      </c>
      <c r="H91" s="3" t="s">
        <v>205</v>
      </c>
      <c r="I91" s="12">
        <f t="shared" ref="I91" si="26">F91/E91</f>
        <v>4.0663458037675619E-3</v>
      </c>
      <c r="J91" s="48" t="s">
        <v>512</v>
      </c>
      <c r="K91" s="45"/>
    </row>
    <row r="92" spans="2:12" ht="15.75">
      <c r="B92" s="4" t="s">
        <v>631</v>
      </c>
      <c r="C92" s="4" t="s">
        <v>568</v>
      </c>
      <c r="D92" s="2">
        <f>25.13-0.1</f>
        <v>25.029999999999998</v>
      </c>
      <c r="E92" s="40">
        <v>25.352520000000002</v>
      </c>
      <c r="F92" s="2">
        <f t="shared" si="14"/>
        <v>0</v>
      </c>
      <c r="G92" s="2">
        <f t="shared" si="15"/>
        <v>-0.32252000000000436</v>
      </c>
      <c r="H92" s="3" t="s">
        <v>636</v>
      </c>
      <c r="I92" s="12">
        <f t="shared" ref="I92" si="27">G92/E92</f>
        <v>-1.2721417831442568E-2</v>
      </c>
      <c r="J92" s="48" t="s">
        <v>512</v>
      </c>
      <c r="K92" s="45"/>
    </row>
    <row r="93" spans="2:12" ht="15.75">
      <c r="B93" s="4" t="s">
        <v>631</v>
      </c>
      <c r="C93" s="4" t="s">
        <v>206</v>
      </c>
      <c r="D93" s="2">
        <v>32.74</v>
      </c>
      <c r="E93" s="40">
        <v>32.545000000000002</v>
      </c>
      <c r="F93" s="2">
        <f t="shared" si="14"/>
        <v>0.19500000000000028</v>
      </c>
      <c r="G93" s="2">
        <f t="shared" si="15"/>
        <v>0</v>
      </c>
      <c r="H93" s="3" t="s">
        <v>637</v>
      </c>
      <c r="I93" s="12">
        <f t="shared" ref="I93:I94" si="28">F93/E93</f>
        <v>5.991703794745745E-3</v>
      </c>
      <c r="J93" s="48" t="s">
        <v>512</v>
      </c>
      <c r="K93" s="45"/>
    </row>
    <row r="94" spans="2:12" ht="15.75">
      <c r="B94" s="4" t="s">
        <v>631</v>
      </c>
      <c r="C94" s="4" t="s">
        <v>206</v>
      </c>
      <c r="D94" s="2">
        <v>32.61</v>
      </c>
      <c r="E94" s="40">
        <v>32.454000000000001</v>
      </c>
      <c r="F94" s="2">
        <f t="shared" si="14"/>
        <v>0.15599999999999881</v>
      </c>
      <c r="G94" s="2">
        <f t="shared" si="15"/>
        <v>0</v>
      </c>
      <c r="H94" s="3" t="s">
        <v>216</v>
      </c>
      <c r="I94" s="12">
        <f t="shared" si="28"/>
        <v>4.8068034756886301E-3</v>
      </c>
      <c r="J94" s="48" t="s">
        <v>512</v>
      </c>
      <c r="K94" s="45"/>
    </row>
    <row r="95" spans="2:12" ht="15.75">
      <c r="B95" s="4" t="s">
        <v>631</v>
      </c>
      <c r="C95" s="4" t="s">
        <v>137</v>
      </c>
      <c r="D95" s="2">
        <v>30.99</v>
      </c>
      <c r="E95" s="40">
        <v>31.107000000000003</v>
      </c>
      <c r="F95" s="2">
        <f t="shared" si="14"/>
        <v>0</v>
      </c>
      <c r="G95" s="2">
        <f t="shared" si="15"/>
        <v>-0.11700000000000443</v>
      </c>
      <c r="H95" s="3" t="s">
        <v>287</v>
      </c>
      <c r="I95" s="12">
        <f t="shared" ref="I95" si="29">G95/E95</f>
        <v>-3.761211302922314E-3</v>
      </c>
      <c r="J95" s="48" t="s">
        <v>512</v>
      </c>
      <c r="K95" s="45"/>
    </row>
    <row r="96" spans="2:12" ht="15.75">
      <c r="B96" s="4" t="s">
        <v>638</v>
      </c>
      <c r="C96" s="4" t="s">
        <v>568</v>
      </c>
      <c r="D96" s="2">
        <f>25.11-0.1</f>
        <v>25.009999999999998</v>
      </c>
      <c r="E96" s="40">
        <v>24.97</v>
      </c>
      <c r="F96" s="2">
        <f t="shared" si="14"/>
        <v>3.9999999999999147E-2</v>
      </c>
      <c r="G96" s="2">
        <f t="shared" si="15"/>
        <v>0</v>
      </c>
      <c r="H96" s="3" t="s">
        <v>639</v>
      </c>
      <c r="I96" s="12">
        <f t="shared" ref="I96:I106" si="30">F96/E96</f>
        <v>1.6019223067680877E-3</v>
      </c>
      <c r="J96" s="48" t="s">
        <v>512</v>
      </c>
      <c r="K96" s="45"/>
    </row>
    <row r="97" spans="2:11" ht="15.75">
      <c r="B97" s="4" t="s">
        <v>638</v>
      </c>
      <c r="C97" s="4" t="s">
        <v>137</v>
      </c>
      <c r="D97" s="2">
        <v>32.44</v>
      </c>
      <c r="E97" s="40">
        <v>32.228999999999999</v>
      </c>
      <c r="F97" s="2">
        <f t="shared" si="14"/>
        <v>0.21099999999999852</v>
      </c>
      <c r="G97" s="2">
        <f t="shared" si="15"/>
        <v>0</v>
      </c>
      <c r="H97" s="3" t="s">
        <v>336</v>
      </c>
      <c r="I97" s="12">
        <f t="shared" si="30"/>
        <v>6.5468987557789115E-3</v>
      </c>
      <c r="J97" s="48" t="s">
        <v>512</v>
      </c>
      <c r="K97" s="45"/>
    </row>
    <row r="98" spans="2:11" ht="15.75">
      <c r="B98" s="4" t="s">
        <v>638</v>
      </c>
      <c r="C98" s="4" t="s">
        <v>206</v>
      </c>
      <c r="D98" s="2">
        <v>31.47</v>
      </c>
      <c r="E98" s="40">
        <v>31.346999999999994</v>
      </c>
      <c r="F98" s="2">
        <f t="shared" si="14"/>
        <v>0.12300000000000466</v>
      </c>
      <c r="G98" s="2">
        <f t="shared" si="15"/>
        <v>0</v>
      </c>
      <c r="H98" s="3" t="s">
        <v>533</v>
      </c>
      <c r="I98" s="12">
        <f t="shared" si="30"/>
        <v>3.9238204612883111E-3</v>
      </c>
      <c r="J98" s="48" t="s">
        <v>512</v>
      </c>
      <c r="K98" s="45"/>
    </row>
    <row r="99" spans="2:11" ht="15.75">
      <c r="B99" s="4" t="s">
        <v>638</v>
      </c>
      <c r="C99" s="4" t="s">
        <v>206</v>
      </c>
      <c r="D99" s="2">
        <v>31.63</v>
      </c>
      <c r="E99" s="40">
        <v>31.585999999999999</v>
      </c>
      <c r="F99" s="2">
        <f t="shared" si="14"/>
        <v>4.4000000000000483E-2</v>
      </c>
      <c r="G99" s="2">
        <f t="shared" si="15"/>
        <v>0</v>
      </c>
      <c r="H99" s="3" t="s">
        <v>204</v>
      </c>
      <c r="I99" s="12">
        <f t="shared" si="30"/>
        <v>1.3930222250364238E-3</v>
      </c>
      <c r="J99" s="48" t="s">
        <v>512</v>
      </c>
      <c r="K99" s="45"/>
    </row>
    <row r="100" spans="2:11" ht="15.75">
      <c r="B100" s="4" t="s">
        <v>640</v>
      </c>
      <c r="C100" s="4" t="s">
        <v>206</v>
      </c>
      <c r="D100" s="2">
        <v>16.399999999999999</v>
      </c>
      <c r="E100" s="40">
        <v>16.321999999999999</v>
      </c>
      <c r="F100" s="2">
        <f t="shared" si="14"/>
        <v>7.7999999999999403E-2</v>
      </c>
      <c r="G100" s="2">
        <f t="shared" si="15"/>
        <v>0</v>
      </c>
      <c r="H100" s="3" t="s">
        <v>302</v>
      </c>
      <c r="I100" s="12">
        <f t="shared" si="30"/>
        <v>4.7788261242494431E-3</v>
      </c>
      <c r="J100" s="48" t="s">
        <v>512</v>
      </c>
      <c r="K100" s="45"/>
    </row>
    <row r="101" spans="2:11" ht="15.75">
      <c r="B101" s="4" t="s">
        <v>640</v>
      </c>
      <c r="C101" s="4" t="s">
        <v>206</v>
      </c>
      <c r="D101" s="2">
        <v>32.86</v>
      </c>
      <c r="E101" s="40">
        <v>32.689</v>
      </c>
      <c r="F101" s="2">
        <f t="shared" si="14"/>
        <v>0.17099999999999937</v>
      </c>
      <c r="G101" s="2">
        <f t="shared" si="15"/>
        <v>0</v>
      </c>
      <c r="H101" s="3" t="s">
        <v>453</v>
      </c>
      <c r="I101" s="12">
        <f t="shared" si="30"/>
        <v>5.2311175013001121E-3</v>
      </c>
      <c r="J101" s="48" t="s">
        <v>512</v>
      </c>
      <c r="K101" s="45"/>
    </row>
    <row r="102" spans="2:11" ht="15.75">
      <c r="B102" s="4" t="s">
        <v>640</v>
      </c>
      <c r="C102" s="4" t="s">
        <v>206</v>
      </c>
      <c r="D102" s="2">
        <v>32.83</v>
      </c>
      <c r="E102" s="40">
        <v>32.476999999999997</v>
      </c>
      <c r="F102" s="2">
        <f t="shared" si="14"/>
        <v>0.35300000000000153</v>
      </c>
      <c r="G102" s="2">
        <f t="shared" si="15"/>
        <v>0</v>
      </c>
      <c r="H102" s="3" t="s">
        <v>217</v>
      </c>
      <c r="I102" s="12">
        <f t="shared" si="30"/>
        <v>1.0869230532376808E-2</v>
      </c>
      <c r="J102" s="48" t="s">
        <v>512</v>
      </c>
      <c r="K102" s="45"/>
    </row>
    <row r="103" spans="2:11" ht="15.75">
      <c r="B103" s="4" t="s">
        <v>640</v>
      </c>
      <c r="C103" s="4" t="s">
        <v>206</v>
      </c>
      <c r="D103" s="2">
        <v>32.54</v>
      </c>
      <c r="E103" s="40">
        <v>32.39</v>
      </c>
      <c r="F103" s="2">
        <f t="shared" si="14"/>
        <v>0.14999999999999858</v>
      </c>
      <c r="G103" s="2">
        <f t="shared" si="15"/>
        <v>0</v>
      </c>
      <c r="H103" s="3" t="s">
        <v>538</v>
      </c>
      <c r="I103" s="12">
        <f t="shared" si="30"/>
        <v>4.6310589688174919E-3</v>
      </c>
      <c r="J103" s="48" t="s">
        <v>512</v>
      </c>
      <c r="K103" s="45"/>
    </row>
    <row r="104" spans="2:11" ht="15.75">
      <c r="B104" s="4" t="s">
        <v>640</v>
      </c>
      <c r="C104" s="4" t="s">
        <v>206</v>
      </c>
      <c r="D104" s="2">
        <v>32.92</v>
      </c>
      <c r="E104" s="40">
        <v>32.650000000000006</v>
      </c>
      <c r="F104" s="2">
        <f t="shared" si="14"/>
        <v>0.26999999999999602</v>
      </c>
      <c r="G104" s="2">
        <f t="shared" si="15"/>
        <v>0</v>
      </c>
      <c r="H104" s="3" t="s">
        <v>293</v>
      </c>
      <c r="I104" s="12">
        <f t="shared" si="30"/>
        <v>8.269525267993752E-3</v>
      </c>
      <c r="J104" s="48" t="s">
        <v>512</v>
      </c>
      <c r="K104" s="45"/>
    </row>
    <row r="105" spans="2:11" ht="15.75">
      <c r="B105" s="4" t="s">
        <v>641</v>
      </c>
      <c r="C105" s="4" t="s">
        <v>206</v>
      </c>
      <c r="D105" s="2">
        <v>25.35</v>
      </c>
      <c r="E105" s="40">
        <v>25.162999999999997</v>
      </c>
      <c r="F105" s="2">
        <f t="shared" si="14"/>
        <v>0.18700000000000472</v>
      </c>
      <c r="G105" s="2">
        <f t="shared" si="15"/>
        <v>0</v>
      </c>
      <c r="H105" s="3" t="s">
        <v>300</v>
      </c>
      <c r="I105" s="12">
        <f t="shared" si="30"/>
        <v>7.4315463180067856E-3</v>
      </c>
      <c r="J105" s="48" t="s">
        <v>512</v>
      </c>
      <c r="K105" s="45"/>
    </row>
    <row r="106" spans="2:11" ht="15.75">
      <c r="B106" s="4" t="s">
        <v>641</v>
      </c>
      <c r="C106" s="4" t="s">
        <v>206</v>
      </c>
      <c r="D106" s="2">
        <v>32.090000000000003</v>
      </c>
      <c r="E106" s="40">
        <v>31.937200000000001</v>
      </c>
      <c r="F106" s="2">
        <f t="shared" si="14"/>
        <v>0.15280000000000271</v>
      </c>
      <c r="G106" s="2">
        <f t="shared" si="15"/>
        <v>0</v>
      </c>
      <c r="H106" s="3" t="s">
        <v>352</v>
      </c>
      <c r="I106" s="12">
        <f t="shared" si="30"/>
        <v>4.7843893641271841E-3</v>
      </c>
      <c r="J106" s="48" t="s">
        <v>512</v>
      </c>
      <c r="K106" s="45"/>
    </row>
    <row r="107" spans="2:11" ht="15.75">
      <c r="B107" s="4" t="s">
        <v>641</v>
      </c>
      <c r="C107" s="4" t="s">
        <v>206</v>
      </c>
      <c r="D107" s="2">
        <v>32.43</v>
      </c>
      <c r="E107" s="40">
        <v>32.567999999999998</v>
      </c>
      <c r="F107" s="2">
        <f t="shared" si="14"/>
        <v>0</v>
      </c>
      <c r="G107" s="2">
        <f t="shared" si="15"/>
        <v>-0.13799999999999812</v>
      </c>
      <c r="H107" s="3" t="s">
        <v>416</v>
      </c>
      <c r="I107" s="12">
        <f t="shared" ref="I107" si="31">G107/E107</f>
        <v>-4.2372881355931631E-3</v>
      </c>
      <c r="J107" s="48" t="s">
        <v>512</v>
      </c>
      <c r="K107" s="45"/>
    </row>
    <row r="108" spans="2:11" ht="15.75">
      <c r="B108" s="4" t="s">
        <v>641</v>
      </c>
      <c r="C108" s="4" t="s">
        <v>206</v>
      </c>
      <c r="D108" s="2">
        <v>32.9</v>
      </c>
      <c r="E108" s="40">
        <v>32.841500000000003</v>
      </c>
      <c r="F108" s="2">
        <f t="shared" si="14"/>
        <v>5.8499999999995111E-2</v>
      </c>
      <c r="G108" s="2">
        <f t="shared" si="15"/>
        <v>0</v>
      </c>
      <c r="H108" s="3" t="s">
        <v>581</v>
      </c>
      <c r="I108" s="12">
        <f t="shared" ref="I108:I109" si="32">F108/E108</f>
        <v>1.781282828128895E-3</v>
      </c>
      <c r="J108" s="48" t="s">
        <v>512</v>
      </c>
      <c r="K108" s="45"/>
    </row>
    <row r="109" spans="2:11" ht="15.75">
      <c r="B109" s="4" t="s">
        <v>641</v>
      </c>
      <c r="C109" s="4" t="s">
        <v>137</v>
      </c>
      <c r="D109" s="2">
        <v>31.99</v>
      </c>
      <c r="E109" s="40">
        <v>31.853000000000002</v>
      </c>
      <c r="F109" s="2">
        <f t="shared" si="14"/>
        <v>0.1369999999999969</v>
      </c>
      <c r="G109" s="2">
        <f t="shared" si="15"/>
        <v>0</v>
      </c>
      <c r="H109" s="3" t="s">
        <v>15</v>
      </c>
      <c r="I109" s="12">
        <f t="shared" si="32"/>
        <v>4.3010077543715469E-3</v>
      </c>
      <c r="J109" s="48" t="s">
        <v>512</v>
      </c>
      <c r="K109" s="45"/>
    </row>
    <row r="110" spans="2:11" ht="15.75">
      <c r="B110" s="4" t="s">
        <v>642</v>
      </c>
      <c r="C110" s="4" t="s">
        <v>206</v>
      </c>
      <c r="D110" s="2">
        <v>32.159999999999997</v>
      </c>
      <c r="E110" s="40">
        <v>32.384</v>
      </c>
      <c r="F110" s="2">
        <f t="shared" si="14"/>
        <v>0</v>
      </c>
      <c r="G110" s="2">
        <f t="shared" si="15"/>
        <v>-0.22400000000000375</v>
      </c>
      <c r="H110" s="3" t="s">
        <v>218</v>
      </c>
      <c r="I110" s="12">
        <f t="shared" ref="I110" si="33">G110/E110</f>
        <v>-6.9169960474309462E-3</v>
      </c>
      <c r="J110" s="48" t="s">
        <v>512</v>
      </c>
      <c r="K110" s="45"/>
    </row>
    <row r="111" spans="2:11" ht="15.75">
      <c r="B111" s="4" t="s">
        <v>642</v>
      </c>
      <c r="C111" s="4" t="s">
        <v>137</v>
      </c>
      <c r="D111" s="2">
        <v>31</v>
      </c>
      <c r="E111" s="40">
        <v>30.882999999999999</v>
      </c>
      <c r="F111" s="2">
        <f t="shared" si="14"/>
        <v>0.11700000000000088</v>
      </c>
      <c r="G111" s="2">
        <f t="shared" si="15"/>
        <v>0</v>
      </c>
      <c r="H111" s="3" t="s">
        <v>287</v>
      </c>
      <c r="I111" s="12">
        <f t="shared" ref="I111" si="34">F111/E111</f>
        <v>3.7884920506427769E-3</v>
      </c>
      <c r="J111" s="48" t="s">
        <v>512</v>
      </c>
      <c r="K111" s="45"/>
    </row>
    <row r="112" spans="2:11" ht="15.75">
      <c r="B112" s="4" t="s">
        <v>642</v>
      </c>
      <c r="C112" s="4" t="s">
        <v>206</v>
      </c>
      <c r="D112" s="2">
        <v>32.130000000000003</v>
      </c>
      <c r="E112" s="40">
        <v>32.414000000000001</v>
      </c>
      <c r="F112" s="2">
        <f t="shared" si="14"/>
        <v>0</v>
      </c>
      <c r="G112" s="2">
        <f t="shared" si="15"/>
        <v>-0.28399999999999892</v>
      </c>
      <c r="H112" s="3" t="s">
        <v>217</v>
      </c>
      <c r="I112" s="12">
        <f t="shared" ref="I112:I115" si="35">G112/E112</f>
        <v>-8.7616462022582497E-3</v>
      </c>
      <c r="J112" s="48" t="s">
        <v>512</v>
      </c>
      <c r="K112" s="45"/>
    </row>
    <row r="113" spans="2:11" ht="15.75">
      <c r="B113" s="4" t="s">
        <v>642</v>
      </c>
      <c r="C113" s="4" t="s">
        <v>206</v>
      </c>
      <c r="D113" s="2">
        <v>32.380000000000003</v>
      </c>
      <c r="E113" s="40">
        <v>32.947000000000003</v>
      </c>
      <c r="F113" s="2">
        <f t="shared" si="14"/>
        <v>0</v>
      </c>
      <c r="G113" s="2">
        <f t="shared" si="15"/>
        <v>-0.56700000000000017</v>
      </c>
      <c r="H113" s="3" t="s">
        <v>344</v>
      </c>
      <c r="I113" s="12">
        <f t="shared" si="35"/>
        <v>-1.720945761374329E-2</v>
      </c>
      <c r="J113" s="48" t="s">
        <v>512</v>
      </c>
      <c r="K113" s="45"/>
    </row>
    <row r="114" spans="2:11" ht="15.75">
      <c r="B114" s="4" t="s">
        <v>642</v>
      </c>
      <c r="C114" s="4" t="s">
        <v>206</v>
      </c>
      <c r="D114" s="2">
        <v>32.619999999999997</v>
      </c>
      <c r="E114" s="40">
        <v>32.668999999999997</v>
      </c>
      <c r="F114" s="2">
        <f t="shared" si="14"/>
        <v>0</v>
      </c>
      <c r="G114" s="2">
        <f t="shared" si="15"/>
        <v>-4.8999999999999488E-2</v>
      </c>
      <c r="H114" s="3" t="s">
        <v>439</v>
      </c>
      <c r="I114" s="12">
        <f t="shared" si="35"/>
        <v>-1.4998928647953563E-3</v>
      </c>
      <c r="J114" s="48" t="s">
        <v>512</v>
      </c>
      <c r="K114" s="45"/>
    </row>
    <row r="115" spans="2:11" ht="15.75">
      <c r="B115" s="4" t="s">
        <v>643</v>
      </c>
      <c r="C115" s="4" t="s">
        <v>206</v>
      </c>
      <c r="D115" s="2">
        <v>32.200000000000003</v>
      </c>
      <c r="E115" s="40">
        <v>32.425000000000004</v>
      </c>
      <c r="F115" s="2">
        <f t="shared" si="14"/>
        <v>0</v>
      </c>
      <c r="G115" s="2">
        <f t="shared" si="15"/>
        <v>-0.22500000000000142</v>
      </c>
      <c r="H115" s="3" t="s">
        <v>294</v>
      </c>
      <c r="I115" s="12">
        <f t="shared" si="35"/>
        <v>-6.9390902081727492E-3</v>
      </c>
      <c r="J115" s="48" t="s">
        <v>512</v>
      </c>
      <c r="K115" s="45"/>
    </row>
    <row r="116" spans="2:11" ht="15.75">
      <c r="B116" s="4" t="s">
        <v>643</v>
      </c>
      <c r="C116" s="4" t="s">
        <v>137</v>
      </c>
      <c r="D116" s="2">
        <v>32.28</v>
      </c>
      <c r="E116" s="40">
        <v>32.267750000000007</v>
      </c>
      <c r="F116" s="2">
        <f t="shared" si="14"/>
        <v>1.2249999999994543E-2</v>
      </c>
      <c r="G116" s="2">
        <f t="shared" si="15"/>
        <v>0</v>
      </c>
      <c r="H116" s="3" t="s">
        <v>13</v>
      </c>
      <c r="I116" s="12">
        <f t="shared" ref="I116" si="36">F116/E116</f>
        <v>3.7963601428654122E-4</v>
      </c>
      <c r="J116" s="48" t="s">
        <v>512</v>
      </c>
      <c r="K116" s="45"/>
    </row>
    <row r="117" spans="2:11" ht="15.75">
      <c r="B117" s="4" t="s">
        <v>644</v>
      </c>
      <c r="C117" s="4" t="s">
        <v>206</v>
      </c>
      <c r="D117" s="2">
        <v>32.130000000000003</v>
      </c>
      <c r="E117" s="40">
        <v>32.142000000000003</v>
      </c>
      <c r="F117" s="2">
        <f t="shared" si="14"/>
        <v>0</v>
      </c>
      <c r="G117" s="2">
        <f t="shared" si="15"/>
        <v>-1.2000000000000455E-2</v>
      </c>
      <c r="H117" s="3" t="s">
        <v>209</v>
      </c>
      <c r="I117" s="12">
        <f t="shared" ref="I117" si="37">G117/E117</f>
        <v>-3.7334328915439156E-4</v>
      </c>
      <c r="J117" s="48" t="s">
        <v>512</v>
      </c>
      <c r="K117" s="45"/>
    </row>
    <row r="118" spans="2:11" ht="15.75">
      <c r="B118" s="4" t="s">
        <v>645</v>
      </c>
      <c r="C118" s="4" t="s">
        <v>137</v>
      </c>
      <c r="D118" s="2">
        <v>33.119999999999997</v>
      </c>
      <c r="E118" s="40">
        <v>32.893999999999998</v>
      </c>
      <c r="F118" s="2">
        <f t="shared" si="14"/>
        <v>0.22599999999999909</v>
      </c>
      <c r="G118" s="2">
        <f t="shared" si="15"/>
        <v>0</v>
      </c>
      <c r="H118" s="3" t="s">
        <v>15</v>
      </c>
      <c r="I118" s="12">
        <f t="shared" ref="I118" si="38">F118/E118</f>
        <v>6.8705539004073422E-3</v>
      </c>
      <c r="J118" s="48" t="s">
        <v>512</v>
      </c>
      <c r="K118" s="45"/>
    </row>
    <row r="119" spans="2:11" ht="15.75">
      <c r="B119" s="4" t="s">
        <v>647</v>
      </c>
      <c r="C119" s="4" t="s">
        <v>648</v>
      </c>
      <c r="D119" s="2">
        <v>49.27</v>
      </c>
      <c r="E119" s="40">
        <v>49.661000000000001</v>
      </c>
      <c r="F119" s="2">
        <f t="shared" si="14"/>
        <v>0</v>
      </c>
      <c r="G119" s="2">
        <f t="shared" si="15"/>
        <v>-0.39099999999999824</v>
      </c>
      <c r="H119" s="3" t="s">
        <v>646</v>
      </c>
      <c r="I119" s="12">
        <f t="shared" ref="I119:I122" si="39">G119/E119</f>
        <v>-7.8733815267513392E-3</v>
      </c>
      <c r="J119" s="48" t="s">
        <v>512</v>
      </c>
      <c r="K119" s="45"/>
    </row>
    <row r="120" spans="2:11" ht="15.75">
      <c r="B120" s="4" t="s">
        <v>647</v>
      </c>
      <c r="C120" s="4" t="s">
        <v>648</v>
      </c>
      <c r="D120" s="2">
        <v>49.85</v>
      </c>
      <c r="E120" s="40">
        <v>49.957999999999998</v>
      </c>
      <c r="F120" s="2">
        <f t="shared" si="14"/>
        <v>0</v>
      </c>
      <c r="G120" s="2">
        <f t="shared" si="15"/>
        <v>-0.10799999999999699</v>
      </c>
      <c r="H120" s="3" t="s">
        <v>649</v>
      </c>
      <c r="I120" s="12">
        <f t="shared" si="39"/>
        <v>-2.1618159253772567E-3</v>
      </c>
      <c r="J120" s="48" t="s">
        <v>512</v>
      </c>
      <c r="K120" s="45"/>
    </row>
    <row r="121" spans="2:11" ht="15.75">
      <c r="B121" s="4" t="s">
        <v>651</v>
      </c>
      <c r="C121" s="4" t="s">
        <v>648</v>
      </c>
      <c r="D121" s="2">
        <v>24.37</v>
      </c>
      <c r="E121" s="40">
        <v>24.616</v>
      </c>
      <c r="F121" s="2">
        <f t="shared" si="14"/>
        <v>0</v>
      </c>
      <c r="G121" s="2">
        <f t="shared" si="15"/>
        <v>-0.24599999999999866</v>
      </c>
      <c r="H121" s="3" t="s">
        <v>650</v>
      </c>
      <c r="I121" s="12">
        <f t="shared" si="39"/>
        <v>-9.9935001624958837E-3</v>
      </c>
      <c r="J121" s="48" t="s">
        <v>512</v>
      </c>
      <c r="K121" s="45"/>
    </row>
    <row r="122" spans="2:11" ht="15.75">
      <c r="B122" s="4" t="s">
        <v>651</v>
      </c>
      <c r="C122" s="4" t="s">
        <v>648</v>
      </c>
      <c r="D122" s="2">
        <v>24.86</v>
      </c>
      <c r="E122" s="40">
        <v>25.057000000000002</v>
      </c>
      <c r="F122" s="2">
        <f t="shared" si="14"/>
        <v>0</v>
      </c>
      <c r="G122" s="2">
        <f t="shared" si="15"/>
        <v>-0.19700000000000273</v>
      </c>
      <c r="H122" s="3" t="s">
        <v>652</v>
      </c>
      <c r="I122" s="12">
        <f t="shared" si="39"/>
        <v>-7.8620744702080341E-3</v>
      </c>
      <c r="J122" s="48" t="s">
        <v>512</v>
      </c>
      <c r="K122" s="45"/>
    </row>
    <row r="123" spans="2:11" ht="15.75">
      <c r="B123" s="4" t="s">
        <v>651</v>
      </c>
      <c r="C123" s="4" t="s">
        <v>648</v>
      </c>
      <c r="D123" s="2">
        <v>24.84</v>
      </c>
      <c r="E123" s="40">
        <v>24.512999999999998</v>
      </c>
      <c r="F123" s="2">
        <f t="shared" si="14"/>
        <v>0.32700000000000173</v>
      </c>
      <c r="G123" s="2">
        <f t="shared" si="15"/>
        <v>0</v>
      </c>
      <c r="H123" s="3" t="s">
        <v>653</v>
      </c>
      <c r="I123" s="12">
        <f t="shared" ref="I123" si="40">F123/E123</f>
        <v>1.3339860482193194E-2</v>
      </c>
      <c r="J123" s="48" t="s">
        <v>512</v>
      </c>
      <c r="K123" s="45"/>
    </row>
    <row r="124" spans="2:11" ht="15.75">
      <c r="B124" s="4" t="s">
        <v>651</v>
      </c>
      <c r="C124" s="4" t="s">
        <v>648</v>
      </c>
      <c r="D124" s="2">
        <v>49.22</v>
      </c>
      <c r="E124" s="40">
        <v>49.361000000000004</v>
      </c>
      <c r="F124" s="2">
        <f t="shared" si="14"/>
        <v>0</v>
      </c>
      <c r="G124" s="2">
        <f t="shared" si="15"/>
        <v>-0.14100000000000534</v>
      </c>
      <c r="H124" s="3" t="s">
        <v>654</v>
      </c>
      <c r="I124" s="12">
        <f t="shared" ref="I124" si="41">G124/E124</f>
        <v>-2.8565061485789456E-3</v>
      </c>
      <c r="J124" s="48" t="s">
        <v>512</v>
      </c>
      <c r="K124" s="45"/>
    </row>
    <row r="125" spans="2:11" ht="15.75">
      <c r="B125" s="4" t="s">
        <v>655</v>
      </c>
      <c r="C125" s="4" t="s">
        <v>648</v>
      </c>
      <c r="D125" s="2">
        <v>24.37</v>
      </c>
      <c r="E125" s="40">
        <v>24.077999999999999</v>
      </c>
      <c r="F125" s="2">
        <f t="shared" ref="F125:F142" si="42">IF(D125-E125&lt;=0,0,D125-E125)</f>
        <v>0.29200000000000159</v>
      </c>
      <c r="G125" s="2">
        <f t="shared" ref="G125:G142" si="43">IF(D125-E125&gt;=0,0,D125-E125)</f>
        <v>0</v>
      </c>
      <c r="H125" s="3" t="s">
        <v>656</v>
      </c>
      <c r="I125" s="12">
        <f t="shared" ref="I125:I126" si="44">F125/E125</f>
        <v>1.2127253094110873E-2</v>
      </c>
      <c r="J125" s="48" t="s">
        <v>512</v>
      </c>
      <c r="K125" s="45"/>
    </row>
    <row r="126" spans="2:11" ht="15.75">
      <c r="B126" s="4" t="s">
        <v>655</v>
      </c>
      <c r="C126" s="4" t="s">
        <v>648</v>
      </c>
      <c r="D126" s="2">
        <v>50.29</v>
      </c>
      <c r="E126" s="40">
        <v>49.919000000000004</v>
      </c>
      <c r="F126" s="2">
        <f t="shared" si="42"/>
        <v>0.37099999999999511</v>
      </c>
      <c r="G126" s="2">
        <f t="shared" si="43"/>
        <v>0</v>
      </c>
      <c r="H126" s="3" t="s">
        <v>657</v>
      </c>
      <c r="I126" s="12">
        <f t="shared" si="44"/>
        <v>7.4320399046454268E-3</v>
      </c>
      <c r="J126" s="48" t="s">
        <v>512</v>
      </c>
      <c r="K126" s="45"/>
    </row>
    <row r="127" spans="2:11" ht="15.75">
      <c r="B127" s="4" t="s">
        <v>658</v>
      </c>
      <c r="C127" s="4" t="s">
        <v>206</v>
      </c>
      <c r="D127" s="2">
        <v>32.32</v>
      </c>
      <c r="E127" s="40">
        <v>32.391000000000005</v>
      </c>
      <c r="F127" s="2">
        <f t="shared" si="42"/>
        <v>0</v>
      </c>
      <c r="G127" s="2">
        <f t="shared" si="43"/>
        <v>-7.1000000000005059E-2</v>
      </c>
      <c r="H127" s="3" t="s">
        <v>374</v>
      </c>
      <c r="I127" s="12">
        <f t="shared" ref="I127:I130" si="45">G127/E127</f>
        <v>-2.1919669043871767E-3</v>
      </c>
      <c r="J127" s="48" t="s">
        <v>512</v>
      </c>
      <c r="K127" s="45"/>
    </row>
    <row r="128" spans="2:11" ht="15.75">
      <c r="B128" s="4" t="s">
        <v>658</v>
      </c>
      <c r="C128" s="4" t="s">
        <v>206</v>
      </c>
      <c r="D128" s="2">
        <v>32.229999999999997</v>
      </c>
      <c r="E128" s="40">
        <v>32.883999999999993</v>
      </c>
      <c r="F128" s="2">
        <f t="shared" ref="F128:F135" si="46">IF(D128-E128&lt;=0,0,D128-E128)</f>
        <v>0</v>
      </c>
      <c r="G128" s="2">
        <f t="shared" ref="G128:G135" si="47">IF(D128-E128&gt;=0,0,D128-E128)</f>
        <v>-0.65399999999999636</v>
      </c>
      <c r="H128" s="3" t="s">
        <v>315</v>
      </c>
      <c r="I128" s="12">
        <f t="shared" si="45"/>
        <v>-1.9888091473056698E-2</v>
      </c>
      <c r="J128" s="48" t="s">
        <v>512</v>
      </c>
      <c r="K128" s="45"/>
    </row>
    <row r="129" spans="2:11" ht="15.75">
      <c r="B129" s="4" t="s">
        <v>658</v>
      </c>
      <c r="C129" s="4" t="s">
        <v>206</v>
      </c>
      <c r="D129" s="2">
        <v>32.06</v>
      </c>
      <c r="E129" s="40">
        <v>32.247</v>
      </c>
      <c r="F129" s="2">
        <f t="shared" si="46"/>
        <v>0</v>
      </c>
      <c r="G129" s="2">
        <f t="shared" si="47"/>
        <v>-0.18699999999999761</v>
      </c>
      <c r="H129" s="3" t="s">
        <v>554</v>
      </c>
      <c r="I129" s="12">
        <f t="shared" si="45"/>
        <v>-5.7989890532451887E-3</v>
      </c>
      <c r="J129" s="48" t="s">
        <v>512</v>
      </c>
      <c r="K129" s="45"/>
    </row>
    <row r="130" spans="2:11" ht="15.75">
      <c r="B130" s="4" t="s">
        <v>658</v>
      </c>
      <c r="C130" s="4" t="s">
        <v>206</v>
      </c>
      <c r="D130" s="2">
        <v>32.57</v>
      </c>
      <c r="E130" s="40">
        <v>33.094999999999999</v>
      </c>
      <c r="F130" s="2">
        <f t="shared" si="46"/>
        <v>0</v>
      </c>
      <c r="G130" s="2">
        <f t="shared" si="47"/>
        <v>-0.52499999999999858</v>
      </c>
      <c r="H130" s="3" t="s">
        <v>217</v>
      </c>
      <c r="I130" s="12">
        <f t="shared" si="45"/>
        <v>-1.5863423477866706E-2</v>
      </c>
      <c r="J130" s="48" t="s">
        <v>512</v>
      </c>
      <c r="K130" s="45"/>
    </row>
    <row r="131" spans="2:11" ht="15.75">
      <c r="B131" s="4" t="s">
        <v>659</v>
      </c>
      <c r="C131" s="4" t="s">
        <v>648</v>
      </c>
      <c r="D131" s="2">
        <f>24.78</f>
        <v>24.78</v>
      </c>
      <c r="E131" s="40">
        <v>24.483999999999998</v>
      </c>
      <c r="F131" s="2">
        <f t="shared" si="46"/>
        <v>0.29600000000000293</v>
      </c>
      <c r="G131" s="2">
        <f t="shared" si="47"/>
        <v>0</v>
      </c>
      <c r="H131" s="3" t="s">
        <v>660</v>
      </c>
      <c r="I131" s="12">
        <f t="shared" ref="I131:I138" si="48">F131/E131</f>
        <v>1.2089527854925786E-2</v>
      </c>
      <c r="J131" s="48" t="s">
        <v>512</v>
      </c>
      <c r="K131" s="45"/>
    </row>
    <row r="132" spans="2:11" ht="15.75">
      <c r="B132" s="4" t="s">
        <v>661</v>
      </c>
      <c r="C132" s="4" t="s">
        <v>206</v>
      </c>
      <c r="D132" s="2">
        <v>31.98</v>
      </c>
      <c r="E132" s="40">
        <v>32.365000000000002</v>
      </c>
      <c r="F132" s="2">
        <f t="shared" si="46"/>
        <v>0</v>
      </c>
      <c r="G132" s="2">
        <f t="shared" si="47"/>
        <v>-0.38500000000000156</v>
      </c>
      <c r="H132" s="3" t="s">
        <v>205</v>
      </c>
      <c r="I132" s="12">
        <f t="shared" ref="I132:I134" si="49">G132/E132</f>
        <v>-1.18955661980535E-2</v>
      </c>
      <c r="J132" s="48" t="s">
        <v>512</v>
      </c>
      <c r="K132" s="45"/>
    </row>
    <row r="133" spans="2:11" ht="15.75">
      <c r="B133" s="4" t="s">
        <v>661</v>
      </c>
      <c r="C133" s="4" t="s">
        <v>206</v>
      </c>
      <c r="D133" s="2">
        <v>32.49</v>
      </c>
      <c r="E133" s="40">
        <v>32.517199999999995</v>
      </c>
      <c r="F133" s="2">
        <f t="shared" si="46"/>
        <v>0</v>
      </c>
      <c r="G133" s="2">
        <f t="shared" si="47"/>
        <v>-2.7199999999993452E-2</v>
      </c>
      <c r="H133" s="3" t="s">
        <v>386</v>
      </c>
      <c r="I133" s="12">
        <f t="shared" si="49"/>
        <v>-8.364803857648708E-4</v>
      </c>
      <c r="J133" s="48" t="s">
        <v>512</v>
      </c>
      <c r="K133" s="45"/>
    </row>
    <row r="134" spans="2:11" ht="15.75">
      <c r="B134" s="4" t="s">
        <v>662</v>
      </c>
      <c r="C134" s="4" t="s">
        <v>206</v>
      </c>
      <c r="D134" s="2">
        <v>32.619999999999997</v>
      </c>
      <c r="E134" s="40">
        <v>32.64</v>
      </c>
      <c r="F134" s="2">
        <f t="shared" si="46"/>
        <v>0</v>
      </c>
      <c r="G134" s="2">
        <f t="shared" si="47"/>
        <v>-2.0000000000003126E-2</v>
      </c>
      <c r="H134" s="3" t="s">
        <v>663</v>
      </c>
      <c r="I134" s="12">
        <f t="shared" si="49"/>
        <v>-6.1274509803931141E-4</v>
      </c>
      <c r="J134" s="48" t="s">
        <v>512</v>
      </c>
      <c r="K134" s="45"/>
    </row>
    <row r="135" spans="2:11" ht="15.75">
      <c r="B135" s="4" t="s">
        <v>662</v>
      </c>
      <c r="C135" s="4" t="s">
        <v>206</v>
      </c>
      <c r="D135" s="2">
        <v>33.06</v>
      </c>
      <c r="E135" s="40">
        <v>33.027159999999995</v>
      </c>
      <c r="F135" s="2">
        <f t="shared" si="46"/>
        <v>3.2840000000007308E-2</v>
      </c>
      <c r="G135" s="2">
        <f t="shared" si="47"/>
        <v>0</v>
      </c>
      <c r="H135" s="3" t="s">
        <v>664</v>
      </c>
      <c r="I135" s="12">
        <f t="shared" si="48"/>
        <v>9.9433314883893469E-4</v>
      </c>
      <c r="J135" s="48" t="s">
        <v>512</v>
      </c>
      <c r="K135" s="45"/>
    </row>
    <row r="136" spans="2:11" ht="15.75">
      <c r="B136" s="4" t="s">
        <v>662</v>
      </c>
      <c r="C136" s="4" t="s">
        <v>206</v>
      </c>
      <c r="D136" s="2">
        <v>32.58</v>
      </c>
      <c r="E136" s="40">
        <v>32.619459999999997</v>
      </c>
      <c r="F136" s="2">
        <f t="shared" si="42"/>
        <v>0</v>
      </c>
      <c r="G136" s="2">
        <f t="shared" si="43"/>
        <v>-3.9459999999998274E-2</v>
      </c>
      <c r="H136" s="3" t="s">
        <v>665</v>
      </c>
      <c r="I136" s="12">
        <f t="shared" ref="I136" si="50">G136/E136</f>
        <v>-1.2097073342108753E-3</v>
      </c>
      <c r="J136" s="48" t="s">
        <v>512</v>
      </c>
      <c r="K136" s="45"/>
    </row>
    <row r="137" spans="2:11" ht="15.75">
      <c r="B137" s="4" t="s">
        <v>662</v>
      </c>
      <c r="C137" s="4" t="s">
        <v>206</v>
      </c>
      <c r="D137" s="2">
        <v>30.77</v>
      </c>
      <c r="E137" s="40">
        <v>30.738</v>
      </c>
      <c r="F137" s="2">
        <f t="shared" si="42"/>
        <v>3.2000000000000028E-2</v>
      </c>
      <c r="G137" s="2">
        <f t="shared" si="43"/>
        <v>0</v>
      </c>
      <c r="H137" s="3" t="s">
        <v>9</v>
      </c>
      <c r="I137" s="12">
        <f t="shared" si="48"/>
        <v>1.0410566725226114E-3</v>
      </c>
      <c r="J137" s="48" t="s">
        <v>512</v>
      </c>
      <c r="K137" s="45"/>
    </row>
    <row r="138" spans="2:11" ht="15.75">
      <c r="B138" s="4" t="s">
        <v>662</v>
      </c>
      <c r="C138" s="4" t="s">
        <v>206</v>
      </c>
      <c r="D138" s="2">
        <v>33.119999999999997</v>
      </c>
      <c r="E138" s="40">
        <v>33.076000000000001</v>
      </c>
      <c r="F138" s="2">
        <f t="shared" si="42"/>
        <v>4.399999999999693E-2</v>
      </c>
      <c r="G138" s="2">
        <f t="shared" si="43"/>
        <v>0</v>
      </c>
      <c r="H138" s="3" t="s">
        <v>666</v>
      </c>
      <c r="I138" s="12">
        <f t="shared" si="48"/>
        <v>1.3302696819445195E-3</v>
      </c>
      <c r="J138" s="48" t="s">
        <v>512</v>
      </c>
      <c r="K138" s="45"/>
    </row>
    <row r="139" spans="2:11" ht="15.75">
      <c r="B139" s="4" t="s">
        <v>667</v>
      </c>
      <c r="C139" s="4" t="s">
        <v>206</v>
      </c>
      <c r="D139" s="2">
        <v>32.880000000000003</v>
      </c>
      <c r="E139" s="40">
        <v>32.918000000000006</v>
      </c>
      <c r="F139" s="2">
        <f t="shared" ref="F139:F141" si="51">IF(D139-E139&lt;=0,0,D139-E139)</f>
        <v>0</v>
      </c>
      <c r="G139" s="2">
        <f t="shared" ref="G139:G141" si="52">IF(D139-E139&gt;=0,0,D139-E139)</f>
        <v>-3.8000000000003809E-2</v>
      </c>
      <c r="H139" s="3" t="s">
        <v>330</v>
      </c>
      <c r="I139" s="12">
        <f t="shared" ref="I139:I143" si="53">G139/E139</f>
        <v>-1.1543836199041193E-3</v>
      </c>
      <c r="J139" s="48" t="s">
        <v>512</v>
      </c>
      <c r="K139" s="45"/>
    </row>
    <row r="140" spans="2:11" ht="15.75">
      <c r="B140" s="4" t="s">
        <v>667</v>
      </c>
      <c r="C140" s="4" t="s">
        <v>206</v>
      </c>
      <c r="D140" s="2">
        <v>32.61</v>
      </c>
      <c r="E140" s="40">
        <v>32.655000000000001</v>
      </c>
      <c r="F140" s="2">
        <f t="shared" si="51"/>
        <v>0</v>
      </c>
      <c r="G140" s="2">
        <f t="shared" si="52"/>
        <v>-4.5000000000001705E-2</v>
      </c>
      <c r="H140" s="3" t="s">
        <v>291</v>
      </c>
      <c r="I140" s="12">
        <f t="shared" si="53"/>
        <v>-1.3780431786863177E-3</v>
      </c>
      <c r="J140" s="48" t="s">
        <v>512</v>
      </c>
      <c r="K140" s="45"/>
    </row>
    <row r="141" spans="2:11" ht="15.75">
      <c r="B141" s="4" t="s">
        <v>667</v>
      </c>
      <c r="C141" s="4" t="s">
        <v>206</v>
      </c>
      <c r="D141" s="2">
        <v>32.590000000000003</v>
      </c>
      <c r="E141" s="40">
        <v>32.808</v>
      </c>
      <c r="F141" s="2">
        <f t="shared" si="51"/>
        <v>0</v>
      </c>
      <c r="G141" s="2">
        <f t="shared" si="52"/>
        <v>-0.21799999999999642</v>
      </c>
      <c r="H141" s="3" t="s">
        <v>578</v>
      </c>
      <c r="I141" s="12">
        <f t="shared" si="53"/>
        <v>-6.6447207998048168E-3</v>
      </c>
      <c r="J141" s="48" t="s">
        <v>512</v>
      </c>
      <c r="K141" s="45"/>
    </row>
    <row r="142" spans="2:11" ht="15.75">
      <c r="B142" s="4" t="s">
        <v>668</v>
      </c>
      <c r="C142" s="4" t="s">
        <v>206</v>
      </c>
      <c r="D142" s="2">
        <v>32.64</v>
      </c>
      <c r="E142" s="40">
        <v>32.724000000000004</v>
      </c>
      <c r="F142" s="2">
        <f t="shared" si="42"/>
        <v>0</v>
      </c>
      <c r="G142" s="2">
        <f t="shared" si="43"/>
        <v>-8.4000000000003183E-2</v>
      </c>
      <c r="H142" s="3" t="s">
        <v>542</v>
      </c>
      <c r="I142" s="12">
        <f t="shared" si="53"/>
        <v>-2.566923359002664E-3</v>
      </c>
      <c r="J142" s="48" t="s">
        <v>512</v>
      </c>
      <c r="K142" s="45"/>
    </row>
    <row r="143" spans="2:11" ht="15.75">
      <c r="B143" s="4" t="s">
        <v>668</v>
      </c>
      <c r="C143" s="4" t="s">
        <v>206</v>
      </c>
      <c r="D143" s="2">
        <v>32.68</v>
      </c>
      <c r="E143" s="40">
        <v>32.874999999999993</v>
      </c>
      <c r="F143" s="2">
        <f t="shared" si="14"/>
        <v>0</v>
      </c>
      <c r="G143" s="2">
        <f t="shared" si="15"/>
        <v>-0.19499999999999318</v>
      </c>
      <c r="H143" s="3" t="s">
        <v>669</v>
      </c>
      <c r="I143" s="12">
        <f t="shared" si="53"/>
        <v>-5.9315589353610108E-3</v>
      </c>
      <c r="J143" s="48" t="s">
        <v>512</v>
      </c>
      <c r="K143" s="45"/>
    </row>
    <row r="144" spans="2:11">
      <c r="B144" s="4"/>
      <c r="C144" s="4"/>
      <c r="D144" s="2"/>
      <c r="E144" s="40"/>
      <c r="F144" s="2">
        <f t="shared" ref="F144:F145" si="54">IF(D144-E144&lt;=0,0,D144-E144)</f>
        <v>0</v>
      </c>
      <c r="G144" s="2">
        <f t="shared" ref="G144:G145" si="55">IF(D144-E144&gt;=0,0,D144-E144)</f>
        <v>0</v>
      </c>
      <c r="H144" s="4"/>
      <c r="I144" s="12"/>
      <c r="J144" s="48"/>
      <c r="K144" s="45"/>
    </row>
    <row r="145" spans="2:11" ht="15.75">
      <c r="B145" s="4"/>
      <c r="C145" s="4"/>
      <c r="D145" s="2"/>
      <c r="E145" s="40"/>
      <c r="F145" s="2">
        <f t="shared" si="54"/>
        <v>0</v>
      </c>
      <c r="G145" s="2">
        <f t="shared" si="55"/>
        <v>0</v>
      </c>
      <c r="H145" s="3"/>
      <c r="I145" s="12"/>
      <c r="J145" s="48"/>
      <c r="K145" s="45"/>
    </row>
    <row r="146" spans="2:11" ht="15.75">
      <c r="B146" s="7"/>
      <c r="C146" s="7"/>
      <c r="D146" s="6">
        <f>SUM(D5:D145)</f>
        <v>4478.9400000000014</v>
      </c>
      <c r="E146" s="6">
        <f>SUM(E5:E145)</f>
        <v>4497.1433614999978</v>
      </c>
      <c r="F146" s="6">
        <f>SUM(F5:F145)</f>
        <v>6.1620399999999904</v>
      </c>
      <c r="G146" s="6">
        <f>SUM(G5:G145)</f>
        <v>-24.365401500000015</v>
      </c>
      <c r="H146" s="10">
        <f>SUM(F146:G146)</f>
        <v>-18.203361500000025</v>
      </c>
      <c r="I146" s="11">
        <f>H146/E146</f>
        <v>-4.0477609977566716E-3</v>
      </c>
      <c r="J146" s="11"/>
      <c r="K146" s="45"/>
    </row>
    <row r="148" spans="2:11">
      <c r="E148" s="38"/>
    </row>
    <row r="149" spans="2:11">
      <c r="E149" s="38"/>
    </row>
    <row r="150" spans="2:11">
      <c r="E150" s="38"/>
    </row>
  </sheetData>
  <mergeCells count="1">
    <mergeCell ref="B2:I2"/>
  </mergeCells>
  <pageMargins left="0.45" right="0.45" top="0.25" bottom="0.25" header="0.3" footer="0.3"/>
  <pageSetup paperSize="9" scale="41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M151"/>
  <sheetViews>
    <sheetView zoomScaleSheetLayoutView="100" workbookViewId="0">
      <pane ySplit="4" topLeftCell="A67" activePane="bottomLeft" state="frozen"/>
      <selection pane="bottomLeft" activeCell="E72" sqref="E72:E80"/>
    </sheetView>
  </sheetViews>
  <sheetFormatPr defaultRowHeight="15"/>
  <cols>
    <col min="2" max="2" width="10.140625" customWidth="1"/>
    <col min="3" max="3" width="9.5703125" customWidth="1"/>
    <col min="4" max="4" width="11.7109375" customWidth="1"/>
    <col min="5" max="5" width="11.140625" customWidth="1"/>
    <col min="6" max="7" width="8.5703125" customWidth="1"/>
    <col min="8" max="8" width="18" customWidth="1"/>
    <col min="9" max="9" width="11.42578125" customWidth="1"/>
    <col min="10" max="10" width="43.5703125" hidden="1" customWidth="1"/>
    <col min="11" max="11" width="12.28515625" bestFit="1" customWidth="1"/>
    <col min="13" max="13" width="9.42578125" bestFit="1" customWidth="1"/>
    <col min="16" max="16" width="12.85546875" bestFit="1" customWidth="1"/>
  </cols>
  <sheetData>
    <row r="2" spans="2:11" ht="19.5">
      <c r="B2" s="58" t="s">
        <v>670</v>
      </c>
      <c r="C2" s="59"/>
      <c r="D2" s="59"/>
      <c r="E2" s="59"/>
      <c r="F2" s="59"/>
      <c r="G2" s="59"/>
      <c r="H2" s="59"/>
      <c r="I2" s="59"/>
      <c r="J2" s="53"/>
    </row>
    <row r="4" spans="2:11">
      <c r="B4" s="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5" t="s">
        <v>7</v>
      </c>
      <c r="J4" s="5" t="s">
        <v>510</v>
      </c>
      <c r="K4" s="5" t="s">
        <v>462</v>
      </c>
    </row>
    <row r="5" spans="2:11" ht="15.75">
      <c r="B5" s="4" t="s">
        <v>671</v>
      </c>
      <c r="C5" s="4" t="s">
        <v>206</v>
      </c>
      <c r="D5" s="2">
        <v>32.35</v>
      </c>
      <c r="E5" s="40">
        <v>32.722999999999999</v>
      </c>
      <c r="F5" s="2">
        <f t="shared" ref="F5:F68" si="0">IF(D5-E5&lt;=0,0,D5-E5)</f>
        <v>0</v>
      </c>
      <c r="G5" s="2">
        <f t="shared" ref="G5:G68" si="1">IF(D5-E5&gt;=0,0,D5-E5)</f>
        <v>-0.37299999999999756</v>
      </c>
      <c r="H5" s="3" t="s">
        <v>204</v>
      </c>
      <c r="I5" s="12">
        <f t="shared" ref="I5:I8" si="2">G5/E5</f>
        <v>-1.1398710387189365E-2</v>
      </c>
      <c r="J5" s="48" t="s">
        <v>512</v>
      </c>
      <c r="K5" s="45"/>
    </row>
    <row r="6" spans="2:11" ht="15.75">
      <c r="B6" s="4" t="s">
        <v>672</v>
      </c>
      <c r="C6" s="4" t="s">
        <v>206</v>
      </c>
      <c r="D6" s="2">
        <v>32.68</v>
      </c>
      <c r="E6" s="40">
        <v>32.777000000000001</v>
      </c>
      <c r="F6" s="2">
        <f t="shared" si="0"/>
        <v>0</v>
      </c>
      <c r="G6" s="2">
        <f t="shared" si="1"/>
        <v>-9.7000000000001307E-2</v>
      </c>
      <c r="H6" s="3" t="s">
        <v>687</v>
      </c>
      <c r="I6" s="12">
        <f t="shared" si="2"/>
        <v>-2.9593922567654547E-3</v>
      </c>
      <c r="J6" s="48" t="s">
        <v>512</v>
      </c>
      <c r="K6" s="45"/>
    </row>
    <row r="7" spans="2:11" ht="15.75">
      <c r="B7" s="4" t="s">
        <v>671</v>
      </c>
      <c r="C7" s="4" t="s">
        <v>206</v>
      </c>
      <c r="D7" s="2">
        <v>32.49</v>
      </c>
      <c r="E7" s="40">
        <v>32.499000000000002</v>
      </c>
      <c r="F7" s="2">
        <f t="shared" si="0"/>
        <v>0</v>
      </c>
      <c r="G7" s="2">
        <f t="shared" si="1"/>
        <v>-9.0000000000003411E-3</v>
      </c>
      <c r="H7" s="3" t="s">
        <v>637</v>
      </c>
      <c r="I7" s="12">
        <f t="shared" si="2"/>
        <v>-2.7693159789533031E-4</v>
      </c>
      <c r="J7" s="48" t="s">
        <v>512</v>
      </c>
      <c r="K7" s="45"/>
    </row>
    <row r="8" spans="2:11" ht="15.75">
      <c r="B8" s="4" t="s">
        <v>673</v>
      </c>
      <c r="C8" s="4" t="s">
        <v>206</v>
      </c>
      <c r="D8" s="2">
        <v>32.36</v>
      </c>
      <c r="E8" s="40">
        <v>32.381999999999998</v>
      </c>
      <c r="F8" s="2">
        <f t="shared" si="0"/>
        <v>0</v>
      </c>
      <c r="G8" s="2">
        <f t="shared" si="1"/>
        <v>-2.1999999999998465E-2</v>
      </c>
      <c r="H8" s="3" t="s">
        <v>533</v>
      </c>
      <c r="I8" s="12">
        <f t="shared" si="2"/>
        <v>-6.7938978444810291E-4</v>
      </c>
      <c r="J8" s="48" t="s">
        <v>512</v>
      </c>
      <c r="K8" s="45"/>
    </row>
    <row r="9" spans="2:11" ht="15.75">
      <c r="B9" s="4" t="s">
        <v>673</v>
      </c>
      <c r="C9" s="4" t="s">
        <v>206</v>
      </c>
      <c r="D9" s="2">
        <v>33.39</v>
      </c>
      <c r="E9" s="40">
        <v>33.06</v>
      </c>
      <c r="F9" s="2">
        <f t="shared" si="0"/>
        <v>0.32999999999999829</v>
      </c>
      <c r="G9" s="2">
        <f t="shared" si="1"/>
        <v>0</v>
      </c>
      <c r="H9" s="3" t="s">
        <v>579</v>
      </c>
      <c r="I9" s="12">
        <f t="shared" ref="I9:I14" si="3">F9/E9</f>
        <v>9.9818511796732692E-3</v>
      </c>
      <c r="J9" s="48" t="s">
        <v>512</v>
      </c>
      <c r="K9" s="45"/>
    </row>
    <row r="10" spans="2:11" ht="15.75">
      <c r="B10" s="4" t="s">
        <v>673</v>
      </c>
      <c r="C10" s="4" t="s">
        <v>206</v>
      </c>
      <c r="D10" s="2">
        <v>32.54</v>
      </c>
      <c r="E10" s="40">
        <v>33.238999999999997</v>
      </c>
      <c r="F10" s="2">
        <f t="shared" si="0"/>
        <v>0</v>
      </c>
      <c r="G10" s="2">
        <f t="shared" si="1"/>
        <v>-0.69899999999999807</v>
      </c>
      <c r="H10" s="3" t="s">
        <v>700</v>
      </c>
      <c r="I10" s="12">
        <f t="shared" si="3"/>
        <v>0</v>
      </c>
      <c r="J10" s="48" t="s">
        <v>512</v>
      </c>
      <c r="K10" s="45"/>
    </row>
    <row r="11" spans="2:11" ht="15.75">
      <c r="B11" s="4" t="s">
        <v>673</v>
      </c>
      <c r="C11" s="4" t="s">
        <v>206</v>
      </c>
      <c r="D11" s="2">
        <v>32.71</v>
      </c>
      <c r="E11" s="40">
        <v>32.497999999999998</v>
      </c>
      <c r="F11" s="2">
        <f t="shared" si="0"/>
        <v>0.2120000000000033</v>
      </c>
      <c r="G11" s="2">
        <f t="shared" si="1"/>
        <v>0</v>
      </c>
      <c r="H11" s="3" t="s">
        <v>531</v>
      </c>
      <c r="I11" s="12">
        <f t="shared" si="3"/>
        <v>6.5234783678996648E-3</v>
      </c>
      <c r="J11" s="48" t="s">
        <v>512</v>
      </c>
      <c r="K11" s="45"/>
    </row>
    <row r="12" spans="2:11" ht="15.75">
      <c r="B12" s="4" t="s">
        <v>673</v>
      </c>
      <c r="C12" s="4" t="s">
        <v>137</v>
      </c>
      <c r="D12" s="2">
        <v>32.43</v>
      </c>
      <c r="E12" s="40">
        <v>32.271000000000001</v>
      </c>
      <c r="F12" s="2">
        <f t="shared" si="0"/>
        <v>0.15899999999999892</v>
      </c>
      <c r="G12" s="2">
        <f t="shared" si="1"/>
        <v>0</v>
      </c>
      <c r="H12" s="3" t="s">
        <v>15</v>
      </c>
      <c r="I12" s="12">
        <f t="shared" si="3"/>
        <v>4.9270242632703954E-3</v>
      </c>
      <c r="J12" s="48" t="s">
        <v>512</v>
      </c>
      <c r="K12" s="45"/>
    </row>
    <row r="13" spans="2:11" ht="15.75">
      <c r="B13" s="4" t="s">
        <v>673</v>
      </c>
      <c r="C13" s="4" t="s">
        <v>137</v>
      </c>
      <c r="D13" s="2">
        <v>32.159999999999997</v>
      </c>
      <c r="E13" s="40">
        <v>32.026000000000003</v>
      </c>
      <c r="F13" s="2">
        <f t="shared" si="0"/>
        <v>0.13399999999999324</v>
      </c>
      <c r="G13" s="2">
        <f t="shared" si="1"/>
        <v>0</v>
      </c>
      <c r="H13" s="3" t="s">
        <v>13</v>
      </c>
      <c r="I13" s="12">
        <f t="shared" si="3"/>
        <v>4.1841004184098298E-3</v>
      </c>
      <c r="J13" s="48" t="s">
        <v>512</v>
      </c>
      <c r="K13" s="45"/>
    </row>
    <row r="14" spans="2:11" ht="15.75">
      <c r="B14" s="4" t="s">
        <v>674</v>
      </c>
      <c r="C14" s="4" t="s">
        <v>206</v>
      </c>
      <c r="D14" s="2">
        <v>33.409999999999997</v>
      </c>
      <c r="E14" s="40">
        <v>33.39</v>
      </c>
      <c r="F14" s="2">
        <f t="shared" si="0"/>
        <v>1.9999999999996021E-2</v>
      </c>
      <c r="G14" s="2">
        <f t="shared" si="1"/>
        <v>0</v>
      </c>
      <c r="H14" s="3" t="s">
        <v>315</v>
      </c>
      <c r="I14" s="12">
        <f t="shared" si="3"/>
        <v>5.9898173105708353E-4</v>
      </c>
      <c r="J14" s="48" t="s">
        <v>512</v>
      </c>
      <c r="K14" s="45"/>
    </row>
    <row r="15" spans="2:11" ht="15.75">
      <c r="B15" s="4" t="s">
        <v>674</v>
      </c>
      <c r="C15" s="4" t="s">
        <v>206</v>
      </c>
      <c r="D15" s="2">
        <v>32.76</v>
      </c>
      <c r="E15" s="40">
        <v>33.024000000000001</v>
      </c>
      <c r="F15" s="2">
        <f t="shared" si="0"/>
        <v>0</v>
      </c>
      <c r="G15" s="2">
        <f t="shared" si="1"/>
        <v>-0.2640000000000029</v>
      </c>
      <c r="H15" s="3" t="s">
        <v>294</v>
      </c>
      <c r="I15" s="12">
        <f t="shared" ref="I15:I67" si="4">G15/E15</f>
        <v>-7.994186046511715E-3</v>
      </c>
      <c r="J15" s="48" t="s">
        <v>512</v>
      </c>
      <c r="K15" s="45"/>
    </row>
    <row r="16" spans="2:11" ht="15.75">
      <c r="B16" s="4" t="s">
        <v>674</v>
      </c>
      <c r="C16" s="4" t="s">
        <v>137</v>
      </c>
      <c r="D16" s="2">
        <v>32.5</v>
      </c>
      <c r="E16" s="40">
        <v>32.701000000000001</v>
      </c>
      <c r="F16" s="2">
        <f t="shared" si="0"/>
        <v>0</v>
      </c>
      <c r="G16" s="2">
        <f t="shared" si="1"/>
        <v>-0.20100000000000051</v>
      </c>
      <c r="H16" s="3" t="s">
        <v>484</v>
      </c>
      <c r="I16" s="12">
        <f t="shared" si="4"/>
        <v>-6.1466010213755088E-3</v>
      </c>
      <c r="J16" s="48" t="s">
        <v>512</v>
      </c>
      <c r="K16" s="45"/>
    </row>
    <row r="17" spans="2:11" ht="15.75">
      <c r="B17" s="4" t="s">
        <v>674</v>
      </c>
      <c r="C17" s="4" t="s">
        <v>137</v>
      </c>
      <c r="D17" s="2">
        <v>31.51</v>
      </c>
      <c r="E17" s="40">
        <v>31.51</v>
      </c>
      <c r="F17" s="2">
        <f t="shared" si="0"/>
        <v>0</v>
      </c>
      <c r="G17" s="2">
        <f t="shared" si="1"/>
        <v>0</v>
      </c>
      <c r="H17" s="3" t="s">
        <v>15</v>
      </c>
      <c r="I17" s="12">
        <f t="shared" ref="I17" si="5">F17/E17</f>
        <v>0</v>
      </c>
      <c r="J17" s="48" t="s">
        <v>512</v>
      </c>
      <c r="K17" s="45"/>
    </row>
    <row r="18" spans="2:11" ht="15.75">
      <c r="B18" s="4" t="s">
        <v>674</v>
      </c>
      <c r="C18" s="4" t="s">
        <v>137</v>
      </c>
      <c r="D18" s="2">
        <v>32.24</v>
      </c>
      <c r="E18" s="40">
        <v>32.411999999999999</v>
      </c>
      <c r="F18" s="2">
        <f t="shared" si="0"/>
        <v>0</v>
      </c>
      <c r="G18" s="2">
        <f t="shared" si="1"/>
        <v>-0.17199999999999704</v>
      </c>
      <c r="H18" s="3" t="s">
        <v>31</v>
      </c>
      <c r="I18" s="12">
        <f t="shared" ref="I18:I21" si="6">G18/E18</f>
        <v>-5.3066765395531606E-3</v>
      </c>
      <c r="J18" s="48" t="s">
        <v>512</v>
      </c>
      <c r="K18" s="45"/>
    </row>
    <row r="19" spans="2:11" ht="15.75">
      <c r="B19" s="4" t="s">
        <v>675</v>
      </c>
      <c r="C19" s="4" t="s">
        <v>528</v>
      </c>
      <c r="D19" s="2">
        <v>32.35</v>
      </c>
      <c r="E19" s="40">
        <v>32.597000000000001</v>
      </c>
      <c r="F19" s="2">
        <f t="shared" si="0"/>
        <v>0</v>
      </c>
      <c r="G19" s="2">
        <f t="shared" si="1"/>
        <v>-0.24699999999999989</v>
      </c>
      <c r="H19" s="3" t="s">
        <v>522</v>
      </c>
      <c r="I19" s="12">
        <f t="shared" si="6"/>
        <v>-7.5773844218793105E-3</v>
      </c>
      <c r="J19" s="48" t="s">
        <v>512</v>
      </c>
      <c r="K19" s="45"/>
    </row>
    <row r="20" spans="2:11" ht="15.75">
      <c r="B20" s="4" t="s">
        <v>675</v>
      </c>
      <c r="C20" s="4" t="s">
        <v>206</v>
      </c>
      <c r="D20" s="2">
        <v>32.42</v>
      </c>
      <c r="E20" s="40">
        <v>32.613</v>
      </c>
      <c r="F20" s="2">
        <f t="shared" si="0"/>
        <v>0</v>
      </c>
      <c r="G20" s="2">
        <f t="shared" si="1"/>
        <v>-0.19299999999999784</v>
      </c>
      <c r="H20" s="3" t="s">
        <v>376</v>
      </c>
      <c r="I20" s="12">
        <f t="shared" si="6"/>
        <v>-5.9178855057798376E-3</v>
      </c>
      <c r="J20" s="48" t="s">
        <v>512</v>
      </c>
      <c r="K20" s="45"/>
    </row>
    <row r="21" spans="2:11" ht="15.75">
      <c r="B21" s="4" t="s">
        <v>675</v>
      </c>
      <c r="C21" s="4" t="s">
        <v>206</v>
      </c>
      <c r="D21" s="2">
        <v>32.369999999999997</v>
      </c>
      <c r="E21" s="40">
        <v>32.651000000000003</v>
      </c>
      <c r="F21" s="2">
        <f t="shared" si="0"/>
        <v>0</v>
      </c>
      <c r="G21" s="2">
        <f t="shared" si="1"/>
        <v>-0.28100000000000591</v>
      </c>
      <c r="H21" s="3" t="s">
        <v>348</v>
      </c>
      <c r="I21" s="12">
        <f t="shared" si="6"/>
        <v>-8.606168264371869E-3</v>
      </c>
      <c r="J21" s="48" t="s">
        <v>512</v>
      </c>
      <c r="K21" s="45"/>
    </row>
    <row r="22" spans="2:11" ht="15.75">
      <c r="B22" s="4" t="s">
        <v>675</v>
      </c>
      <c r="C22" s="4" t="s">
        <v>206</v>
      </c>
      <c r="D22" s="2">
        <v>10.01</v>
      </c>
      <c r="E22" s="40">
        <v>9.9429999999999996</v>
      </c>
      <c r="F22" s="2">
        <f t="shared" si="0"/>
        <v>6.7000000000000171E-2</v>
      </c>
      <c r="G22" s="2">
        <f t="shared" si="1"/>
        <v>0</v>
      </c>
      <c r="H22" s="3" t="s">
        <v>217</v>
      </c>
      <c r="I22" s="12">
        <f t="shared" ref="I22:I24" si="7">F22/E22</f>
        <v>6.7384089309061824E-3</v>
      </c>
      <c r="J22" s="48" t="s">
        <v>512</v>
      </c>
      <c r="K22" s="45"/>
    </row>
    <row r="23" spans="2:11" ht="15.75">
      <c r="B23" s="4" t="s">
        <v>675</v>
      </c>
      <c r="C23" s="4" t="s">
        <v>137</v>
      </c>
      <c r="D23" s="2">
        <v>33.119999999999997</v>
      </c>
      <c r="E23" s="40">
        <v>33.005000000000003</v>
      </c>
      <c r="F23" s="2">
        <f t="shared" si="0"/>
        <v>0.11499999999999488</v>
      </c>
      <c r="G23" s="2">
        <f t="shared" si="1"/>
        <v>0</v>
      </c>
      <c r="H23" s="3" t="s">
        <v>31</v>
      </c>
      <c r="I23" s="12">
        <f t="shared" si="7"/>
        <v>3.4843205574911339E-3</v>
      </c>
      <c r="J23" s="48" t="s">
        <v>512</v>
      </c>
      <c r="K23" s="45"/>
    </row>
    <row r="24" spans="2:11" ht="15.75">
      <c r="B24" s="4" t="s">
        <v>675</v>
      </c>
      <c r="C24" s="4" t="s">
        <v>137</v>
      </c>
      <c r="D24" s="2">
        <v>33.47</v>
      </c>
      <c r="E24" s="40">
        <v>33.374000000000002</v>
      </c>
      <c r="F24" s="2">
        <f t="shared" si="0"/>
        <v>9.5999999999996533E-2</v>
      </c>
      <c r="G24" s="2">
        <f t="shared" si="1"/>
        <v>0</v>
      </c>
      <c r="H24" s="3" t="s">
        <v>321</v>
      </c>
      <c r="I24" s="12">
        <f t="shared" si="7"/>
        <v>2.8764906813686262E-3</v>
      </c>
      <c r="J24" s="48" t="s">
        <v>512</v>
      </c>
      <c r="K24" s="45"/>
    </row>
    <row r="25" spans="2:11" ht="15.75">
      <c r="B25" s="4" t="s">
        <v>676</v>
      </c>
      <c r="C25" s="4" t="s">
        <v>685</v>
      </c>
      <c r="D25" s="2">
        <v>31.71</v>
      </c>
      <c r="E25" s="40">
        <v>31.777999999999999</v>
      </c>
      <c r="F25" s="2">
        <f t="shared" si="0"/>
        <v>0</v>
      </c>
      <c r="G25" s="2">
        <f t="shared" si="1"/>
        <v>-6.799999999999784E-2</v>
      </c>
      <c r="H25" s="3" t="s">
        <v>23</v>
      </c>
      <c r="I25" s="12">
        <f t="shared" si="4"/>
        <v>-2.1398451759077927E-3</v>
      </c>
      <c r="J25" s="48" t="s">
        <v>512</v>
      </c>
      <c r="K25" s="45"/>
    </row>
    <row r="26" spans="2:11" ht="15.75">
      <c r="B26" s="4" t="s">
        <v>676</v>
      </c>
      <c r="C26" s="4" t="s">
        <v>137</v>
      </c>
      <c r="D26" s="2">
        <v>29.04</v>
      </c>
      <c r="E26" s="40">
        <v>29.355</v>
      </c>
      <c r="F26" s="2">
        <f t="shared" si="0"/>
        <v>0</v>
      </c>
      <c r="G26" s="2">
        <f t="shared" si="1"/>
        <v>-0.31500000000000128</v>
      </c>
      <c r="H26" s="3" t="s">
        <v>15</v>
      </c>
      <c r="I26" s="12">
        <f t="shared" si="4"/>
        <v>-1.0730710270822732E-2</v>
      </c>
      <c r="J26" s="48" t="s">
        <v>512</v>
      </c>
      <c r="K26" s="45"/>
    </row>
    <row r="27" spans="2:11" ht="15.75">
      <c r="B27" s="4" t="s">
        <v>676</v>
      </c>
      <c r="C27" s="4" t="s">
        <v>137</v>
      </c>
      <c r="D27" s="2">
        <v>32.9</v>
      </c>
      <c r="E27" s="40">
        <v>32.719000000000001</v>
      </c>
      <c r="F27" s="2">
        <f t="shared" si="0"/>
        <v>0.18099999999999739</v>
      </c>
      <c r="G27" s="2">
        <f t="shared" si="1"/>
        <v>0</v>
      </c>
      <c r="H27" s="3" t="s">
        <v>31</v>
      </c>
      <c r="I27" s="12">
        <f t="shared" ref="I27" si="8">F27/E27</f>
        <v>5.5319539105717587E-3</v>
      </c>
      <c r="J27" s="48" t="s">
        <v>512</v>
      </c>
      <c r="K27" s="45"/>
    </row>
    <row r="28" spans="2:11" ht="15.75">
      <c r="B28" s="4" t="s">
        <v>676</v>
      </c>
      <c r="C28" s="4" t="s">
        <v>137</v>
      </c>
      <c r="D28" s="2">
        <v>32.299999999999997</v>
      </c>
      <c r="E28" s="40">
        <v>32.570999999999998</v>
      </c>
      <c r="F28" s="2">
        <f t="shared" si="0"/>
        <v>0</v>
      </c>
      <c r="G28" s="2">
        <f t="shared" si="1"/>
        <v>-0.2710000000000008</v>
      </c>
      <c r="H28" s="3" t="s">
        <v>157</v>
      </c>
      <c r="I28" s="12">
        <f t="shared" si="4"/>
        <v>-8.3202849160296227E-3</v>
      </c>
      <c r="J28" s="48" t="s">
        <v>512</v>
      </c>
      <c r="K28" s="45"/>
    </row>
    <row r="29" spans="2:11" ht="15.75">
      <c r="B29" s="4" t="s">
        <v>676</v>
      </c>
      <c r="C29" s="4" t="s">
        <v>206</v>
      </c>
      <c r="D29" s="2">
        <v>32.380000000000003</v>
      </c>
      <c r="E29" s="40">
        <v>32.210999999999999</v>
      </c>
      <c r="F29" s="2">
        <f t="shared" si="0"/>
        <v>0.16900000000000404</v>
      </c>
      <c r="G29" s="2">
        <f t="shared" si="1"/>
        <v>0</v>
      </c>
      <c r="H29" s="3" t="s">
        <v>375</v>
      </c>
      <c r="I29" s="12">
        <f t="shared" ref="I29:I31" si="9">F29/E29</f>
        <v>5.2466548694546601E-3</v>
      </c>
      <c r="J29" s="48" t="s">
        <v>512</v>
      </c>
      <c r="K29" s="45"/>
    </row>
    <row r="30" spans="2:11">
      <c r="B30" s="4" t="s">
        <v>676</v>
      </c>
      <c r="C30" s="4" t="s">
        <v>206</v>
      </c>
      <c r="D30" s="2">
        <v>32.35</v>
      </c>
      <c r="E30" s="40">
        <v>32.231999999999999</v>
      </c>
      <c r="F30" s="2">
        <f t="shared" si="0"/>
        <v>0.1180000000000021</v>
      </c>
      <c r="G30" s="2">
        <f t="shared" si="1"/>
        <v>0</v>
      </c>
      <c r="H30" s="4" t="s">
        <v>291</v>
      </c>
      <c r="I30" s="12">
        <f t="shared" si="9"/>
        <v>3.6609580541077844E-3</v>
      </c>
      <c r="J30" s="48" t="s">
        <v>512</v>
      </c>
      <c r="K30" s="45"/>
    </row>
    <row r="31" spans="2:11">
      <c r="B31" s="4" t="s">
        <v>677</v>
      </c>
      <c r="C31" s="4" t="s">
        <v>206</v>
      </c>
      <c r="D31" s="2">
        <v>32.54</v>
      </c>
      <c r="E31" s="40">
        <v>32.517000000000003</v>
      </c>
      <c r="F31" s="2">
        <f t="shared" si="0"/>
        <v>2.2999999999996135E-2</v>
      </c>
      <c r="G31" s="2">
        <f t="shared" si="1"/>
        <v>0</v>
      </c>
      <c r="H31" s="4" t="s">
        <v>688</v>
      </c>
      <c r="I31" s="12">
        <f t="shared" si="9"/>
        <v>7.0732232370748012E-4</v>
      </c>
      <c r="J31" s="48" t="s">
        <v>512</v>
      </c>
      <c r="K31" s="45"/>
    </row>
    <row r="32" spans="2:11">
      <c r="B32" s="4" t="s">
        <v>677</v>
      </c>
      <c r="C32" s="4" t="s">
        <v>686</v>
      </c>
      <c r="D32" s="2">
        <v>32.450000000000003</v>
      </c>
      <c r="E32" s="40">
        <v>32.57</v>
      </c>
      <c r="F32" s="2">
        <f t="shared" si="0"/>
        <v>0</v>
      </c>
      <c r="G32" s="2">
        <f t="shared" si="1"/>
        <v>-0.11999999999999744</v>
      </c>
      <c r="H32" s="4" t="s">
        <v>23</v>
      </c>
      <c r="I32" s="12">
        <f t="shared" ref="I32" si="10">G32/E32</f>
        <v>-3.6843721215842015E-3</v>
      </c>
      <c r="J32" s="48" t="s">
        <v>512</v>
      </c>
      <c r="K32" s="45"/>
    </row>
    <row r="33" spans="2:11">
      <c r="B33" s="4" t="s">
        <v>677</v>
      </c>
      <c r="C33" s="4" t="s">
        <v>137</v>
      </c>
      <c r="D33" s="2">
        <v>33.78</v>
      </c>
      <c r="E33" s="40">
        <v>33.762999999999998</v>
      </c>
      <c r="F33" s="2">
        <f t="shared" si="0"/>
        <v>1.7000000000003013E-2</v>
      </c>
      <c r="G33" s="2">
        <f t="shared" si="1"/>
        <v>0</v>
      </c>
      <c r="H33" s="4" t="s">
        <v>484</v>
      </c>
      <c r="I33" s="12">
        <f t="shared" ref="I33" si="11">F33/E33</f>
        <v>5.0350975920395152E-4</v>
      </c>
      <c r="J33" s="48" t="s">
        <v>512</v>
      </c>
      <c r="K33" s="45"/>
    </row>
    <row r="34" spans="2:11">
      <c r="B34" s="4" t="s">
        <v>677</v>
      </c>
      <c r="C34" s="4" t="s">
        <v>137</v>
      </c>
      <c r="D34" s="2">
        <v>33.35</v>
      </c>
      <c r="E34" s="40">
        <v>33.414999999999999</v>
      </c>
      <c r="F34" s="2">
        <f t="shared" si="0"/>
        <v>0</v>
      </c>
      <c r="G34" s="2">
        <f t="shared" si="1"/>
        <v>-6.4999999999997726E-2</v>
      </c>
      <c r="H34" s="4" t="s">
        <v>31</v>
      </c>
      <c r="I34" s="12">
        <f t="shared" si="4"/>
        <v>-1.9452341762680751E-3</v>
      </c>
      <c r="J34" s="48" t="s">
        <v>512</v>
      </c>
      <c r="K34" s="45"/>
    </row>
    <row r="35" spans="2:11">
      <c r="B35" s="4" t="s">
        <v>677</v>
      </c>
      <c r="C35" s="4" t="s">
        <v>137</v>
      </c>
      <c r="D35" s="2">
        <v>31.24</v>
      </c>
      <c r="E35" s="40">
        <v>31.443000000000001</v>
      </c>
      <c r="F35" s="2">
        <f t="shared" si="0"/>
        <v>0</v>
      </c>
      <c r="G35" s="2">
        <f t="shared" si="1"/>
        <v>-0.20300000000000296</v>
      </c>
      <c r="H35" s="4" t="s">
        <v>157</v>
      </c>
      <c r="I35" s="12">
        <f t="shared" si="4"/>
        <v>-6.4561269598957778E-3</v>
      </c>
      <c r="J35" s="48" t="s">
        <v>512</v>
      </c>
      <c r="K35" s="45"/>
    </row>
    <row r="36" spans="2:11">
      <c r="B36" s="4" t="s">
        <v>678</v>
      </c>
      <c r="C36" s="4" t="s">
        <v>568</v>
      </c>
      <c r="D36" s="2">
        <v>24.69</v>
      </c>
      <c r="E36" s="40">
        <v>24.684000000000001</v>
      </c>
      <c r="F36" s="2">
        <f t="shared" si="0"/>
        <v>6.0000000000002274E-3</v>
      </c>
      <c r="G36" s="2">
        <f t="shared" si="1"/>
        <v>0</v>
      </c>
      <c r="H36" s="4" t="s">
        <v>689</v>
      </c>
      <c r="I36" s="12">
        <f t="shared" ref="I36" si="12">F36/E36</f>
        <v>2.4307243558581378E-4</v>
      </c>
      <c r="J36" s="48" t="s">
        <v>512</v>
      </c>
      <c r="K36" s="45"/>
    </row>
    <row r="37" spans="2:11">
      <c r="B37" s="4" t="s">
        <v>678</v>
      </c>
      <c r="C37" s="4" t="s">
        <v>568</v>
      </c>
      <c r="D37" s="2">
        <v>24.01</v>
      </c>
      <c r="E37" s="40">
        <v>24.140999999999998</v>
      </c>
      <c r="F37" s="2">
        <f t="shared" si="0"/>
        <v>0</v>
      </c>
      <c r="G37" s="2">
        <f t="shared" si="1"/>
        <v>-0.13099999999999667</v>
      </c>
      <c r="H37" s="4" t="s">
        <v>690</v>
      </c>
      <c r="I37" s="12">
        <f t="shared" si="4"/>
        <v>-5.4264529224140132E-3</v>
      </c>
      <c r="J37" s="48" t="s">
        <v>512</v>
      </c>
      <c r="K37" s="45"/>
    </row>
    <row r="38" spans="2:11">
      <c r="B38" s="4" t="s">
        <v>678</v>
      </c>
      <c r="C38" s="4" t="s">
        <v>137</v>
      </c>
      <c r="D38" s="2">
        <v>32.369999999999997</v>
      </c>
      <c r="E38" s="40">
        <v>32.295000000000002</v>
      </c>
      <c r="F38" s="2">
        <f t="shared" si="0"/>
        <v>7.4999999999995737E-2</v>
      </c>
      <c r="G38" s="2">
        <f t="shared" si="1"/>
        <v>0</v>
      </c>
      <c r="H38" s="4" t="s">
        <v>23</v>
      </c>
      <c r="I38" s="12">
        <f t="shared" ref="I38" si="13">F38/E38</f>
        <v>2.3223409196468721E-3</v>
      </c>
      <c r="J38" s="48" t="s">
        <v>512</v>
      </c>
      <c r="K38" s="45"/>
    </row>
    <row r="39" spans="2:11">
      <c r="B39" s="4" t="s">
        <v>678</v>
      </c>
      <c r="C39" s="4" t="s">
        <v>137</v>
      </c>
      <c r="D39" s="2">
        <v>32.61</v>
      </c>
      <c r="E39" s="40">
        <v>33.036000000000001</v>
      </c>
      <c r="F39" s="2">
        <f t="shared" si="0"/>
        <v>0</v>
      </c>
      <c r="G39" s="2">
        <f t="shared" si="1"/>
        <v>-0.42600000000000193</v>
      </c>
      <c r="H39" s="4" t="s">
        <v>484</v>
      </c>
      <c r="I39" s="12">
        <f t="shared" si="4"/>
        <v>-1.289502361060667E-2</v>
      </c>
      <c r="J39" s="48" t="s">
        <v>512</v>
      </c>
      <c r="K39" s="45"/>
    </row>
    <row r="40" spans="2:11">
      <c r="B40" s="4" t="s">
        <v>678</v>
      </c>
      <c r="C40" s="4" t="s">
        <v>206</v>
      </c>
      <c r="D40" s="2">
        <v>32.770000000000003</v>
      </c>
      <c r="E40" s="40">
        <v>32.777000000000001</v>
      </c>
      <c r="F40" s="2">
        <f t="shared" si="0"/>
        <v>0</v>
      </c>
      <c r="G40" s="2">
        <f t="shared" si="1"/>
        <v>-6.9999999999978968E-3</v>
      </c>
      <c r="H40" s="4" t="s">
        <v>623</v>
      </c>
      <c r="I40" s="12">
        <f t="shared" si="4"/>
        <v>-2.1356438966341936E-4</v>
      </c>
      <c r="J40" s="48" t="s">
        <v>512</v>
      </c>
      <c r="K40" s="45"/>
    </row>
    <row r="41" spans="2:11">
      <c r="B41" s="4" t="s">
        <v>679</v>
      </c>
      <c r="C41" s="4" t="s">
        <v>137</v>
      </c>
      <c r="D41" s="2">
        <v>31.96</v>
      </c>
      <c r="E41" s="40">
        <v>31.925000000000001</v>
      </c>
      <c r="F41" s="2">
        <f t="shared" si="0"/>
        <v>3.5000000000000142E-2</v>
      </c>
      <c r="G41" s="2">
        <f t="shared" si="1"/>
        <v>0</v>
      </c>
      <c r="H41" s="4" t="s">
        <v>287</v>
      </c>
      <c r="I41" s="12">
        <f t="shared" ref="I41" si="14">F41/E41</f>
        <v>1.0963194988253763E-3</v>
      </c>
      <c r="J41" s="48" t="s">
        <v>512</v>
      </c>
      <c r="K41" s="45"/>
    </row>
    <row r="42" spans="2:11">
      <c r="B42" s="4" t="s">
        <v>679</v>
      </c>
      <c r="C42" s="4" t="s">
        <v>137</v>
      </c>
      <c r="D42" s="2">
        <v>32.979999999999997</v>
      </c>
      <c r="E42" s="40">
        <v>33.101999999999997</v>
      </c>
      <c r="F42" s="2">
        <f t="shared" si="0"/>
        <v>0</v>
      </c>
      <c r="G42" s="2">
        <f t="shared" si="1"/>
        <v>-0.12199999999999989</v>
      </c>
      <c r="H42" s="4" t="s">
        <v>366</v>
      </c>
      <c r="I42" s="12">
        <f t="shared" si="4"/>
        <v>-3.6855779107002567E-3</v>
      </c>
      <c r="J42" s="48" t="s">
        <v>512</v>
      </c>
      <c r="K42" s="45"/>
    </row>
    <row r="43" spans="2:11">
      <c r="B43" s="4" t="s">
        <v>679</v>
      </c>
      <c r="C43" s="4" t="s">
        <v>137</v>
      </c>
      <c r="D43" s="2">
        <v>32.56</v>
      </c>
      <c r="E43" s="40">
        <v>32.585000000000001</v>
      </c>
      <c r="F43" s="2">
        <f t="shared" si="0"/>
        <v>0</v>
      </c>
      <c r="G43" s="2">
        <f t="shared" si="1"/>
        <v>-2.4999999999998579E-2</v>
      </c>
      <c r="H43" s="4" t="s">
        <v>484</v>
      </c>
      <c r="I43" s="12">
        <f t="shared" si="4"/>
        <v>-7.6722418290620152E-4</v>
      </c>
      <c r="J43" s="48" t="s">
        <v>512</v>
      </c>
      <c r="K43" s="45"/>
    </row>
    <row r="44" spans="2:11">
      <c r="B44" s="4" t="s">
        <v>679</v>
      </c>
      <c r="C44" s="4" t="s">
        <v>568</v>
      </c>
      <c r="D44" s="2">
        <v>24.09</v>
      </c>
      <c r="E44" s="40">
        <v>24.204000000000001</v>
      </c>
      <c r="F44" s="2">
        <f t="shared" si="0"/>
        <v>0</v>
      </c>
      <c r="G44" s="2">
        <f t="shared" si="1"/>
        <v>-0.11400000000000077</v>
      </c>
      <c r="H44" s="4" t="s">
        <v>691</v>
      </c>
      <c r="I44" s="12">
        <f t="shared" si="4"/>
        <v>-4.7099652949925946E-3</v>
      </c>
      <c r="J44" s="48" t="s">
        <v>512</v>
      </c>
      <c r="K44" s="45"/>
    </row>
    <row r="45" spans="2:11">
      <c r="B45" s="4" t="s">
        <v>680</v>
      </c>
      <c r="C45" s="4" t="s">
        <v>568</v>
      </c>
      <c r="D45" s="2">
        <v>22.08</v>
      </c>
      <c r="E45" s="40">
        <v>22.231999999999999</v>
      </c>
      <c r="F45" s="2">
        <f t="shared" si="0"/>
        <v>0</v>
      </c>
      <c r="G45" s="2">
        <f t="shared" si="1"/>
        <v>-0.15200000000000102</v>
      </c>
      <c r="H45" s="4" t="s">
        <v>692</v>
      </c>
      <c r="I45" s="12">
        <f t="shared" si="4"/>
        <v>-6.8369917236416437E-3</v>
      </c>
      <c r="J45" s="48" t="s">
        <v>512</v>
      </c>
      <c r="K45" s="45"/>
    </row>
    <row r="46" spans="2:11">
      <c r="B46" s="4" t="s">
        <v>680</v>
      </c>
      <c r="C46" s="4" t="s">
        <v>568</v>
      </c>
      <c r="D46" s="2">
        <v>22.09</v>
      </c>
      <c r="E46" s="40">
        <v>22.193999999999999</v>
      </c>
      <c r="F46" s="2">
        <f t="shared" si="0"/>
        <v>0</v>
      </c>
      <c r="G46" s="2">
        <f t="shared" si="1"/>
        <v>-0.1039999999999992</v>
      </c>
      <c r="H46" s="4" t="s">
        <v>693</v>
      </c>
      <c r="I46" s="12">
        <f t="shared" si="4"/>
        <v>-4.685951157970587E-3</v>
      </c>
      <c r="J46" s="48" t="s">
        <v>512</v>
      </c>
      <c r="K46" s="45"/>
    </row>
    <row r="47" spans="2:11">
      <c r="B47" s="4" t="s">
        <v>680</v>
      </c>
      <c r="C47" s="4" t="s">
        <v>137</v>
      </c>
      <c r="D47" s="2">
        <v>32.450000000000003</v>
      </c>
      <c r="E47" s="40">
        <v>32.39</v>
      </c>
      <c r="F47" s="2">
        <f t="shared" si="0"/>
        <v>6.0000000000002274E-2</v>
      </c>
      <c r="G47" s="2">
        <f t="shared" si="1"/>
        <v>0</v>
      </c>
      <c r="H47" s="4" t="s">
        <v>23</v>
      </c>
      <c r="I47" s="12">
        <f t="shared" ref="I47" si="15">F47/E47</f>
        <v>1.8524235875270847E-3</v>
      </c>
      <c r="J47" s="48" t="s">
        <v>512</v>
      </c>
      <c r="K47" s="45"/>
    </row>
    <row r="48" spans="2:11">
      <c r="B48" s="4" t="s">
        <v>680</v>
      </c>
      <c r="C48" s="4" t="s">
        <v>137</v>
      </c>
      <c r="D48" s="2">
        <v>31.87</v>
      </c>
      <c r="E48" s="40">
        <v>31.98</v>
      </c>
      <c r="F48" s="2">
        <f t="shared" si="0"/>
        <v>0</v>
      </c>
      <c r="G48" s="2">
        <f t="shared" si="1"/>
        <v>-0.10999999999999943</v>
      </c>
      <c r="H48" s="4" t="s">
        <v>366</v>
      </c>
      <c r="I48" s="12">
        <f t="shared" si="4"/>
        <v>-3.439649781113178E-3</v>
      </c>
      <c r="J48" s="48" t="s">
        <v>512</v>
      </c>
      <c r="K48" s="45"/>
    </row>
    <row r="49" spans="2:11">
      <c r="B49" s="4" t="s">
        <v>680</v>
      </c>
      <c r="C49" s="4" t="s">
        <v>137</v>
      </c>
      <c r="D49" s="2">
        <v>31.61</v>
      </c>
      <c r="E49" s="40">
        <v>31.684000000000001</v>
      </c>
      <c r="F49" s="2">
        <f t="shared" si="0"/>
        <v>0</v>
      </c>
      <c r="G49" s="2">
        <f t="shared" si="1"/>
        <v>-7.400000000000162E-2</v>
      </c>
      <c r="H49" s="4" t="s">
        <v>15</v>
      </c>
      <c r="I49" s="12">
        <f t="shared" si="4"/>
        <v>-2.3355636914531505E-3</v>
      </c>
      <c r="J49" s="48" t="s">
        <v>512</v>
      </c>
      <c r="K49" s="45"/>
    </row>
    <row r="50" spans="2:11">
      <c r="B50" s="4" t="s">
        <v>681</v>
      </c>
      <c r="C50" s="4" t="s">
        <v>206</v>
      </c>
      <c r="D50" s="2">
        <v>32.04</v>
      </c>
      <c r="E50" s="40">
        <v>32.256999999999998</v>
      </c>
      <c r="F50" s="2">
        <f t="shared" si="0"/>
        <v>0</v>
      </c>
      <c r="G50" s="2">
        <f t="shared" si="1"/>
        <v>-0.21699999999999875</v>
      </c>
      <c r="H50" s="4" t="s">
        <v>694</v>
      </c>
      <c r="I50" s="12">
        <f t="shared" si="4"/>
        <v>-6.7272219983259066E-3</v>
      </c>
      <c r="J50" s="48" t="s">
        <v>512</v>
      </c>
      <c r="K50" s="45"/>
    </row>
    <row r="51" spans="2:11">
      <c r="B51" s="4" t="s">
        <v>681</v>
      </c>
      <c r="C51" s="4" t="s">
        <v>137</v>
      </c>
      <c r="D51" s="2">
        <v>32.36</v>
      </c>
      <c r="E51" s="40">
        <v>32.914000000000001</v>
      </c>
      <c r="F51" s="2">
        <f t="shared" si="0"/>
        <v>0</v>
      </c>
      <c r="G51" s="2">
        <f t="shared" si="1"/>
        <v>-0.55400000000000205</v>
      </c>
      <c r="H51" s="4" t="s">
        <v>23</v>
      </c>
      <c r="I51" s="12">
        <f t="shared" si="4"/>
        <v>-1.6831743331105365E-2</v>
      </c>
      <c r="J51" s="48" t="s">
        <v>512</v>
      </c>
      <c r="K51" s="45"/>
    </row>
    <row r="52" spans="2:11">
      <c r="B52" s="4" t="s">
        <v>681</v>
      </c>
      <c r="C52" s="4" t="s">
        <v>137</v>
      </c>
      <c r="D52" s="2">
        <v>29.97</v>
      </c>
      <c r="E52" s="40">
        <v>30.341000000000001</v>
      </c>
      <c r="F52" s="2">
        <f t="shared" si="0"/>
        <v>0</v>
      </c>
      <c r="G52" s="2">
        <f t="shared" si="1"/>
        <v>-0.37100000000000222</v>
      </c>
      <c r="H52" s="4" t="s">
        <v>287</v>
      </c>
      <c r="I52" s="12">
        <f t="shared" si="4"/>
        <v>-1.2227678718565709E-2</v>
      </c>
      <c r="J52" s="48" t="s">
        <v>512</v>
      </c>
      <c r="K52" s="45"/>
    </row>
    <row r="53" spans="2:11">
      <c r="B53" s="4" t="s">
        <v>682</v>
      </c>
      <c r="C53" s="4" t="s">
        <v>206</v>
      </c>
      <c r="D53" s="2">
        <v>11.21</v>
      </c>
      <c r="E53" s="40">
        <v>11.262</v>
      </c>
      <c r="F53" s="2">
        <f t="shared" si="0"/>
        <v>0</v>
      </c>
      <c r="G53" s="2">
        <f t="shared" si="1"/>
        <v>-5.1999999999999602E-2</v>
      </c>
      <c r="H53" s="4" t="s">
        <v>439</v>
      </c>
      <c r="I53" s="12">
        <f t="shared" si="4"/>
        <v>-4.6172971053098566E-3</v>
      </c>
      <c r="J53" s="48" t="s">
        <v>512</v>
      </c>
      <c r="K53" s="45"/>
    </row>
    <row r="54" spans="2:11">
      <c r="B54" s="4" t="s">
        <v>682</v>
      </c>
      <c r="C54" s="4" t="s">
        <v>137</v>
      </c>
      <c r="D54" s="2">
        <v>30.98</v>
      </c>
      <c r="E54" s="40">
        <v>31.446000000000002</v>
      </c>
      <c r="F54" s="2">
        <f t="shared" si="0"/>
        <v>0</v>
      </c>
      <c r="G54" s="2">
        <f t="shared" si="1"/>
        <v>-0.46600000000000108</v>
      </c>
      <c r="H54" s="4" t="s">
        <v>157</v>
      </c>
      <c r="I54" s="12">
        <f t="shared" si="4"/>
        <v>-1.4819054887744102E-2</v>
      </c>
      <c r="J54" s="48" t="s">
        <v>512</v>
      </c>
      <c r="K54" s="45"/>
    </row>
    <row r="55" spans="2:11">
      <c r="B55" s="4" t="s">
        <v>682</v>
      </c>
      <c r="C55" s="4" t="s">
        <v>137</v>
      </c>
      <c r="D55" s="2">
        <v>31.92</v>
      </c>
      <c r="E55" s="40">
        <v>32.234000000000002</v>
      </c>
      <c r="F55" s="2">
        <f t="shared" si="0"/>
        <v>0</v>
      </c>
      <c r="G55" s="2">
        <f t="shared" si="1"/>
        <v>-0.31400000000000006</v>
      </c>
      <c r="H55" s="4" t="s">
        <v>13</v>
      </c>
      <c r="I55" s="12">
        <f t="shared" si="4"/>
        <v>-9.741266985170938E-3</v>
      </c>
      <c r="J55" s="48" t="s">
        <v>512</v>
      </c>
      <c r="K55" s="45"/>
    </row>
    <row r="56" spans="2:11">
      <c r="B56" s="4" t="s">
        <v>683</v>
      </c>
      <c r="C56" s="4" t="s">
        <v>206</v>
      </c>
      <c r="D56" s="2">
        <v>32.369999999999997</v>
      </c>
      <c r="E56" s="40">
        <v>32.329000000000001</v>
      </c>
      <c r="F56" s="2">
        <f t="shared" si="0"/>
        <v>4.0999999999996817E-2</v>
      </c>
      <c r="G56" s="2">
        <f t="shared" si="1"/>
        <v>0</v>
      </c>
      <c r="H56" s="4" t="s">
        <v>565</v>
      </c>
      <c r="I56" s="12">
        <f t="shared" ref="I56" si="16">F56/E56</f>
        <v>1.2682112035632656E-3</v>
      </c>
      <c r="J56" s="48" t="s">
        <v>512</v>
      </c>
      <c r="K56" s="45"/>
    </row>
    <row r="57" spans="2:11">
      <c r="B57" s="4" t="s">
        <v>683</v>
      </c>
      <c r="C57" s="4" t="s">
        <v>206</v>
      </c>
      <c r="D57" s="2">
        <v>31.49</v>
      </c>
      <c r="E57" s="40">
        <v>31.579000000000001</v>
      </c>
      <c r="F57" s="2">
        <f t="shared" si="0"/>
        <v>0</v>
      </c>
      <c r="G57" s="2">
        <f t="shared" si="1"/>
        <v>-8.9000000000002188E-2</v>
      </c>
      <c r="H57" s="4" t="s">
        <v>348</v>
      </c>
      <c r="I57" s="12">
        <f t="shared" si="4"/>
        <v>-2.8183286361190092E-3</v>
      </c>
      <c r="J57" s="48" t="s">
        <v>512</v>
      </c>
      <c r="K57" s="45"/>
    </row>
    <row r="58" spans="2:11">
      <c r="B58" s="4" t="s">
        <v>683</v>
      </c>
      <c r="C58" s="4" t="s">
        <v>206</v>
      </c>
      <c r="D58" s="2">
        <v>32.979999999999997</v>
      </c>
      <c r="E58" s="40">
        <v>32.956000000000003</v>
      </c>
      <c r="F58" s="2">
        <f t="shared" si="0"/>
        <v>2.3999999999993804E-2</v>
      </c>
      <c r="G58" s="2">
        <f t="shared" si="1"/>
        <v>0</v>
      </c>
      <c r="H58" s="4" t="s">
        <v>542</v>
      </c>
      <c r="I58" s="12">
        <f t="shared" ref="I58:I59" si="17">F58/E58</f>
        <v>7.2824371889773643E-4</v>
      </c>
      <c r="J58" s="48" t="s">
        <v>512</v>
      </c>
      <c r="K58" s="45"/>
    </row>
    <row r="59" spans="2:11">
      <c r="B59" s="4" t="s">
        <v>683</v>
      </c>
      <c r="C59" s="4" t="s">
        <v>206</v>
      </c>
      <c r="D59" s="2">
        <v>33.19</v>
      </c>
      <c r="E59" s="40">
        <v>32.994</v>
      </c>
      <c r="F59" s="2">
        <f t="shared" si="0"/>
        <v>0.19599999999999795</v>
      </c>
      <c r="G59" s="2">
        <f t="shared" si="1"/>
        <v>0</v>
      </c>
      <c r="H59" s="4" t="s">
        <v>453</v>
      </c>
      <c r="I59" s="12">
        <f t="shared" si="17"/>
        <v>5.9404740255803463E-3</v>
      </c>
      <c r="J59" s="48" t="s">
        <v>512</v>
      </c>
      <c r="K59" s="45"/>
    </row>
    <row r="60" spans="2:11">
      <c r="B60" s="4" t="s">
        <v>683</v>
      </c>
      <c r="C60" s="4" t="s">
        <v>137</v>
      </c>
      <c r="D60" s="2">
        <v>29.45</v>
      </c>
      <c r="E60" s="40">
        <v>29.893000000000001</v>
      </c>
      <c r="F60" s="2">
        <f t="shared" si="0"/>
        <v>0</v>
      </c>
      <c r="G60" s="2">
        <f t="shared" si="1"/>
        <v>-0.44300000000000139</v>
      </c>
      <c r="H60" s="4" t="s">
        <v>287</v>
      </c>
      <c r="I60" s="12">
        <f t="shared" si="4"/>
        <v>-1.4819522965242745E-2</v>
      </c>
      <c r="J60" s="48" t="s">
        <v>512</v>
      </c>
      <c r="K60" s="45"/>
    </row>
    <row r="61" spans="2:11">
      <c r="B61" s="4" t="s">
        <v>683</v>
      </c>
      <c r="C61" s="4" t="s">
        <v>137</v>
      </c>
      <c r="D61" s="2">
        <v>31.91</v>
      </c>
      <c r="E61" s="40">
        <v>32.316000000000003</v>
      </c>
      <c r="F61" s="2">
        <f t="shared" si="0"/>
        <v>0</v>
      </c>
      <c r="G61" s="2">
        <f t="shared" si="1"/>
        <v>-0.40600000000000236</v>
      </c>
      <c r="H61" s="4" t="s">
        <v>23</v>
      </c>
      <c r="I61" s="12">
        <f t="shared" si="4"/>
        <v>-1.2563436068820471E-2</v>
      </c>
      <c r="J61" s="48" t="s">
        <v>512</v>
      </c>
      <c r="K61" s="45"/>
    </row>
    <row r="62" spans="2:11">
      <c r="B62" s="4" t="s">
        <v>683</v>
      </c>
      <c r="C62" s="4" t="s">
        <v>568</v>
      </c>
      <c r="D62" s="2">
        <v>24.53</v>
      </c>
      <c r="E62" s="40">
        <v>24.66</v>
      </c>
      <c r="F62" s="2">
        <f t="shared" si="0"/>
        <v>0</v>
      </c>
      <c r="G62" s="2">
        <f t="shared" si="1"/>
        <v>-0.12999999999999901</v>
      </c>
      <c r="H62" s="4" t="s">
        <v>695</v>
      </c>
      <c r="I62" s="12">
        <f t="shared" si="4"/>
        <v>-5.2716950527169106E-3</v>
      </c>
      <c r="J62" s="48" t="s">
        <v>512</v>
      </c>
      <c r="K62" s="45"/>
    </row>
    <row r="63" spans="2:11">
      <c r="B63" s="4" t="s">
        <v>683</v>
      </c>
      <c r="C63" s="4" t="s">
        <v>137</v>
      </c>
      <c r="D63" s="2">
        <v>31.14</v>
      </c>
      <c r="E63" s="40">
        <v>31.306999999999999</v>
      </c>
      <c r="F63" s="2">
        <f t="shared" si="0"/>
        <v>0</v>
      </c>
      <c r="G63" s="2">
        <f t="shared" si="1"/>
        <v>-0.16699999999999804</v>
      </c>
      <c r="H63" s="4" t="s">
        <v>157</v>
      </c>
      <c r="I63" s="12">
        <f t="shared" si="4"/>
        <v>-5.3342702909891732E-3</v>
      </c>
      <c r="J63" s="48" t="s">
        <v>512</v>
      </c>
      <c r="K63" s="45"/>
    </row>
    <row r="64" spans="2:11">
      <c r="B64" s="4" t="s">
        <v>684</v>
      </c>
      <c r="C64" s="4" t="s">
        <v>137</v>
      </c>
      <c r="D64" s="2">
        <v>31.1</v>
      </c>
      <c r="E64" s="40">
        <v>31.376000000000001</v>
      </c>
      <c r="F64" s="2">
        <f t="shared" si="0"/>
        <v>0</v>
      </c>
      <c r="G64" s="2">
        <f t="shared" si="1"/>
        <v>-0.2759999999999998</v>
      </c>
      <c r="H64" s="4" t="s">
        <v>484</v>
      </c>
      <c r="I64" s="12">
        <f t="shared" si="4"/>
        <v>-8.7965323814380349E-3</v>
      </c>
      <c r="J64" s="48" t="s">
        <v>512</v>
      </c>
      <c r="K64" s="45"/>
    </row>
    <row r="65" spans="2:13">
      <c r="B65" s="4" t="s">
        <v>684</v>
      </c>
      <c r="C65" s="4" t="s">
        <v>137</v>
      </c>
      <c r="D65" s="2">
        <v>31.55</v>
      </c>
      <c r="E65" s="40">
        <v>31.83</v>
      </c>
      <c r="F65" s="2">
        <f t="shared" si="0"/>
        <v>0</v>
      </c>
      <c r="G65" s="2">
        <f t="shared" si="1"/>
        <v>-0.27999999999999758</v>
      </c>
      <c r="H65" s="4" t="s">
        <v>23</v>
      </c>
      <c r="I65" s="12">
        <f t="shared" si="4"/>
        <v>-8.7967326421614072E-3</v>
      </c>
      <c r="J65" s="48" t="s">
        <v>512</v>
      </c>
      <c r="K65" s="45"/>
    </row>
    <row r="66" spans="2:13">
      <c r="B66" s="4" t="s">
        <v>684</v>
      </c>
      <c r="C66" s="4" t="s">
        <v>568</v>
      </c>
      <c r="D66" s="2">
        <v>24.11</v>
      </c>
      <c r="E66" s="40">
        <v>24.318000000000001</v>
      </c>
      <c r="F66" s="2">
        <f t="shared" si="0"/>
        <v>0</v>
      </c>
      <c r="G66" s="2">
        <f t="shared" si="1"/>
        <v>-0.20800000000000196</v>
      </c>
      <c r="H66" s="4" t="s">
        <v>696</v>
      </c>
      <c r="I66" s="12">
        <f t="shared" si="4"/>
        <v>-8.5533349782055245E-3</v>
      </c>
      <c r="J66" s="48" t="s">
        <v>512</v>
      </c>
      <c r="K66" s="45"/>
    </row>
    <row r="67" spans="2:13">
      <c r="B67" s="4" t="s">
        <v>684</v>
      </c>
      <c r="C67" s="4" t="s">
        <v>568</v>
      </c>
      <c r="D67" s="2">
        <v>23.98</v>
      </c>
      <c r="E67" s="40">
        <v>24.132999999999999</v>
      </c>
      <c r="F67" s="2">
        <f t="shared" si="0"/>
        <v>0</v>
      </c>
      <c r="G67" s="2">
        <f t="shared" si="1"/>
        <v>-0.15299999999999869</v>
      </c>
      <c r="H67" s="4" t="s">
        <v>697</v>
      </c>
      <c r="I67" s="12">
        <f t="shared" si="4"/>
        <v>-6.3398665727426636E-3</v>
      </c>
      <c r="J67" s="48" t="s">
        <v>512</v>
      </c>
      <c r="K67" s="45"/>
    </row>
    <row r="68" spans="2:13">
      <c r="B68" s="4" t="s">
        <v>684</v>
      </c>
      <c r="C68" s="4" t="s">
        <v>206</v>
      </c>
      <c r="D68" s="2">
        <v>32.03</v>
      </c>
      <c r="E68" s="40">
        <v>31.672999999999998</v>
      </c>
      <c r="F68" s="2">
        <f t="shared" si="0"/>
        <v>0.35700000000000287</v>
      </c>
      <c r="G68" s="2">
        <f t="shared" si="1"/>
        <v>0</v>
      </c>
      <c r="H68" s="4" t="s">
        <v>375</v>
      </c>
      <c r="I68" s="12">
        <f t="shared" ref="I68:I72" si="18">F68/E68</f>
        <v>1.1271429924541498E-2</v>
      </c>
      <c r="J68" s="48" t="s">
        <v>512</v>
      </c>
      <c r="K68" s="45"/>
    </row>
    <row r="69" spans="2:13">
      <c r="B69" s="4" t="s">
        <v>684</v>
      </c>
      <c r="C69" s="4" t="s">
        <v>206</v>
      </c>
      <c r="D69" s="2">
        <v>32.5</v>
      </c>
      <c r="E69" s="40">
        <v>32.311999999999998</v>
      </c>
      <c r="F69" s="2">
        <f t="shared" ref="F69:F133" si="19">IF(D69-E69&lt;=0,0,D69-E69)</f>
        <v>0.18800000000000239</v>
      </c>
      <c r="G69" s="2">
        <f t="shared" ref="G69:G133" si="20">IF(D69-E69&gt;=0,0,D69-E69)</f>
        <v>0</v>
      </c>
      <c r="H69" s="4" t="s">
        <v>386</v>
      </c>
      <c r="I69" s="12">
        <f t="shared" si="18"/>
        <v>5.8182718494677642E-3</v>
      </c>
      <c r="J69" s="48" t="s">
        <v>512</v>
      </c>
      <c r="K69" s="45"/>
    </row>
    <row r="70" spans="2:13">
      <c r="B70" s="4" t="s">
        <v>684</v>
      </c>
      <c r="C70" s="4" t="s">
        <v>206</v>
      </c>
      <c r="D70" s="2">
        <v>32</v>
      </c>
      <c r="E70" s="40">
        <v>31.89</v>
      </c>
      <c r="F70" s="2">
        <f t="shared" si="19"/>
        <v>0.10999999999999943</v>
      </c>
      <c r="G70" s="2">
        <f t="shared" si="20"/>
        <v>0</v>
      </c>
      <c r="H70" s="4" t="s">
        <v>589</v>
      </c>
      <c r="I70" s="12">
        <f t="shared" si="18"/>
        <v>3.4493571652555481E-3</v>
      </c>
      <c r="J70" s="48" t="s">
        <v>512</v>
      </c>
      <c r="K70" s="45"/>
    </row>
    <row r="71" spans="2:13">
      <c r="B71" s="4" t="s">
        <v>684</v>
      </c>
      <c r="C71" s="4" t="s">
        <v>206</v>
      </c>
      <c r="D71" s="2">
        <v>32.92</v>
      </c>
      <c r="E71" s="40">
        <f>32.677+0.047</f>
        <v>32.723999999999997</v>
      </c>
      <c r="F71" s="2">
        <f t="shared" ref="F71" si="21">IF(D71-E71&lt;=0,0,D71-E71)</f>
        <v>0.19600000000000506</v>
      </c>
      <c r="G71" s="2">
        <f t="shared" ref="G71" si="22">IF(D71-E71&gt;=0,0,D71-E71)</f>
        <v>0</v>
      </c>
      <c r="H71" s="4" t="s">
        <v>293</v>
      </c>
      <c r="I71" s="12">
        <f t="shared" ref="I71" si="23">F71/E71</f>
        <v>5.9894878376728113E-3</v>
      </c>
      <c r="J71" s="48" t="s">
        <v>512</v>
      </c>
      <c r="K71" s="45"/>
    </row>
    <row r="72" spans="2:13">
      <c r="B72" s="4" t="s">
        <v>684</v>
      </c>
      <c r="C72" s="4" t="s">
        <v>528</v>
      </c>
      <c r="D72" s="2"/>
      <c r="E72" s="40"/>
      <c r="F72" s="2">
        <f t="shared" si="19"/>
        <v>0</v>
      </c>
      <c r="G72" s="2">
        <f t="shared" si="20"/>
        <v>0</v>
      </c>
      <c r="H72" s="4" t="s">
        <v>530</v>
      </c>
      <c r="I72" s="12" t="e">
        <f t="shared" si="18"/>
        <v>#DIV/0!</v>
      </c>
      <c r="J72" s="48" t="s">
        <v>512</v>
      </c>
      <c r="K72" s="45"/>
    </row>
    <row r="73" spans="2:13" ht="15.75">
      <c r="B73" s="4" t="s">
        <v>698</v>
      </c>
      <c r="C73" s="4" t="s">
        <v>137</v>
      </c>
      <c r="D73" s="2"/>
      <c r="E73" s="40"/>
      <c r="F73" s="2">
        <f t="shared" si="19"/>
        <v>0</v>
      </c>
      <c r="G73" s="2">
        <f t="shared" si="20"/>
        <v>0</v>
      </c>
      <c r="H73" s="3" t="s">
        <v>157</v>
      </c>
      <c r="I73" s="12" t="e">
        <f t="shared" ref="I73" si="24">F73/E73</f>
        <v>#DIV/0!</v>
      </c>
      <c r="J73" s="48" t="s">
        <v>512</v>
      </c>
      <c r="K73" s="45"/>
      <c r="M73" s="40">
        <v>20.725000000000001</v>
      </c>
    </row>
    <row r="74" spans="2:13" ht="15.75">
      <c r="B74" s="4" t="s">
        <v>698</v>
      </c>
      <c r="C74" s="4" t="s">
        <v>206</v>
      </c>
      <c r="D74" s="2"/>
      <c r="E74" s="40"/>
      <c r="F74" s="2">
        <f t="shared" si="19"/>
        <v>0</v>
      </c>
      <c r="G74" s="2">
        <f t="shared" si="20"/>
        <v>0</v>
      </c>
      <c r="H74" s="3" t="s">
        <v>373</v>
      </c>
      <c r="I74" s="12" t="e">
        <f t="shared" ref="I74:I79" si="25">G74/E74</f>
        <v>#DIV/0!</v>
      </c>
      <c r="J74" s="48" t="s">
        <v>512</v>
      </c>
      <c r="K74" s="45"/>
      <c r="M74" s="40">
        <v>32.370000000000005</v>
      </c>
    </row>
    <row r="75" spans="2:13" ht="15.75">
      <c r="B75" s="4" t="s">
        <v>698</v>
      </c>
      <c r="C75" s="4" t="s">
        <v>206</v>
      </c>
      <c r="D75" s="2"/>
      <c r="E75" s="40"/>
      <c r="F75" s="2">
        <f t="shared" si="19"/>
        <v>0</v>
      </c>
      <c r="G75" s="2">
        <f t="shared" si="20"/>
        <v>0</v>
      </c>
      <c r="H75" s="3" t="s">
        <v>330</v>
      </c>
      <c r="I75" s="12" t="e">
        <f t="shared" si="25"/>
        <v>#DIV/0!</v>
      </c>
      <c r="J75" s="48" t="s">
        <v>512</v>
      </c>
      <c r="K75" s="45"/>
      <c r="M75" s="40">
        <v>33.275999999999996</v>
      </c>
    </row>
    <row r="76" spans="2:13" ht="15.75">
      <c r="B76" s="4" t="s">
        <v>698</v>
      </c>
      <c r="C76" s="4" t="s">
        <v>206</v>
      </c>
      <c r="D76" s="2"/>
      <c r="E76" s="40"/>
      <c r="F76" s="2">
        <f t="shared" si="19"/>
        <v>0</v>
      </c>
      <c r="G76" s="2">
        <f t="shared" si="20"/>
        <v>0</v>
      </c>
      <c r="H76" s="3" t="s">
        <v>352</v>
      </c>
      <c r="I76" s="12" t="e">
        <f t="shared" si="25"/>
        <v>#DIV/0!</v>
      </c>
      <c r="J76" s="48" t="s">
        <v>512</v>
      </c>
      <c r="K76" s="45"/>
      <c r="M76" s="40">
        <v>32.929000000000002</v>
      </c>
    </row>
    <row r="77" spans="2:13" ht="15.75">
      <c r="B77" s="4" t="s">
        <v>698</v>
      </c>
      <c r="C77" s="4" t="s">
        <v>137</v>
      </c>
      <c r="D77" s="2"/>
      <c r="E77" s="40"/>
      <c r="F77" s="2">
        <f t="shared" si="19"/>
        <v>0</v>
      </c>
      <c r="G77" s="2">
        <f t="shared" si="20"/>
        <v>0</v>
      </c>
      <c r="H77" s="3" t="s">
        <v>484</v>
      </c>
      <c r="I77" s="12" t="e">
        <f t="shared" si="25"/>
        <v>#DIV/0!</v>
      </c>
      <c r="J77" s="48" t="s">
        <v>512</v>
      </c>
      <c r="K77" s="45"/>
      <c r="M77" s="40">
        <v>33.219000000000001</v>
      </c>
    </row>
    <row r="78" spans="2:13" ht="15.75">
      <c r="B78" s="4" t="s">
        <v>698</v>
      </c>
      <c r="C78" s="4" t="s">
        <v>206</v>
      </c>
      <c r="D78" s="2"/>
      <c r="E78" s="40"/>
      <c r="F78" s="2">
        <f t="shared" si="19"/>
        <v>0</v>
      </c>
      <c r="G78" s="2">
        <f t="shared" si="20"/>
        <v>0</v>
      </c>
      <c r="H78" s="3" t="s">
        <v>291</v>
      </c>
      <c r="I78" s="12" t="e">
        <f t="shared" si="25"/>
        <v>#DIV/0!</v>
      </c>
      <c r="J78" s="48" t="s">
        <v>512</v>
      </c>
      <c r="K78" s="45"/>
      <c r="M78" s="40">
        <v>33.281999999999996</v>
      </c>
    </row>
    <row r="79" spans="2:13" ht="15.75">
      <c r="B79" s="4" t="s">
        <v>698</v>
      </c>
      <c r="C79" s="4" t="s">
        <v>137</v>
      </c>
      <c r="D79" s="2"/>
      <c r="E79" s="40"/>
      <c r="F79" s="2">
        <f t="shared" si="19"/>
        <v>0</v>
      </c>
      <c r="G79" s="2">
        <f t="shared" si="20"/>
        <v>0</v>
      </c>
      <c r="H79" s="3" t="s">
        <v>23</v>
      </c>
      <c r="I79" s="12" t="e">
        <f t="shared" si="25"/>
        <v>#DIV/0!</v>
      </c>
      <c r="J79" s="48" t="s">
        <v>512</v>
      </c>
      <c r="K79" s="45"/>
      <c r="M79" s="40">
        <v>32.841000000000001</v>
      </c>
    </row>
    <row r="80" spans="2:13" ht="15.75">
      <c r="B80" s="4" t="s">
        <v>698</v>
      </c>
      <c r="C80" s="4" t="s">
        <v>568</v>
      </c>
      <c r="D80" s="2"/>
      <c r="E80" s="40"/>
      <c r="F80" s="2">
        <f t="shared" si="19"/>
        <v>0</v>
      </c>
      <c r="G80" s="2">
        <f t="shared" si="20"/>
        <v>0</v>
      </c>
      <c r="H80" s="3" t="s">
        <v>699</v>
      </c>
      <c r="I80" s="12" t="e">
        <f t="shared" ref="I80" si="26">F80/E80</f>
        <v>#DIV/0!</v>
      </c>
      <c r="J80" s="48" t="s">
        <v>512</v>
      </c>
      <c r="K80" s="45"/>
      <c r="M80" s="40">
        <v>32.489000000000004</v>
      </c>
    </row>
    <row r="81" spans="2:13" ht="15.75">
      <c r="B81" s="4"/>
      <c r="C81" s="4"/>
      <c r="D81" s="2"/>
      <c r="E81" s="40"/>
      <c r="F81" s="2">
        <f t="shared" si="19"/>
        <v>0</v>
      </c>
      <c r="G81" s="2">
        <f t="shared" si="20"/>
        <v>0</v>
      </c>
      <c r="H81" s="3"/>
      <c r="I81" s="12" t="e">
        <f t="shared" ref="I81" si="27">G81/E81</f>
        <v>#DIV/0!</v>
      </c>
      <c r="J81" s="48" t="s">
        <v>512</v>
      </c>
      <c r="K81" s="45"/>
      <c r="M81" s="40">
        <v>23.33</v>
      </c>
    </row>
    <row r="82" spans="2:13" ht="15.75">
      <c r="B82" s="4"/>
      <c r="C82" s="4"/>
      <c r="D82" s="2"/>
      <c r="E82" s="40"/>
      <c r="F82" s="2">
        <f t="shared" si="19"/>
        <v>0</v>
      </c>
      <c r="G82" s="2">
        <f t="shared" si="20"/>
        <v>0</v>
      </c>
      <c r="H82" s="3"/>
      <c r="I82" s="12" t="e">
        <f t="shared" ref="I82:I83" si="28">F82/E82</f>
        <v>#DIV/0!</v>
      </c>
      <c r="J82" s="48" t="s">
        <v>512</v>
      </c>
      <c r="K82" s="45"/>
    </row>
    <row r="83" spans="2:13" ht="15.75">
      <c r="B83" s="4"/>
      <c r="C83" s="4"/>
      <c r="D83" s="2"/>
      <c r="E83" s="40"/>
      <c r="F83" s="2">
        <f t="shared" si="19"/>
        <v>0</v>
      </c>
      <c r="G83" s="2">
        <f t="shared" si="20"/>
        <v>0</v>
      </c>
      <c r="H83" s="3"/>
      <c r="I83" s="12" t="e">
        <f t="shared" si="28"/>
        <v>#DIV/0!</v>
      </c>
      <c r="J83" s="48" t="s">
        <v>512</v>
      </c>
      <c r="K83" s="45"/>
    </row>
    <row r="84" spans="2:13" ht="15.75">
      <c r="B84" s="4"/>
      <c r="C84" s="4"/>
      <c r="D84" s="2"/>
      <c r="E84" s="40"/>
      <c r="F84" s="2">
        <f t="shared" si="19"/>
        <v>0</v>
      </c>
      <c r="G84" s="2">
        <f t="shared" si="20"/>
        <v>0</v>
      </c>
      <c r="H84" s="3"/>
      <c r="I84" s="12" t="e">
        <f t="shared" ref="I84:I86" si="29">G84/E84</f>
        <v>#DIV/0!</v>
      </c>
      <c r="J84" s="48" t="s">
        <v>512</v>
      </c>
      <c r="K84" s="45"/>
    </row>
    <row r="85" spans="2:13" ht="15.75">
      <c r="B85" s="4"/>
      <c r="C85" s="4"/>
      <c r="D85" s="2"/>
      <c r="E85" s="40"/>
      <c r="F85" s="2">
        <f t="shared" si="19"/>
        <v>0</v>
      </c>
      <c r="G85" s="2">
        <f t="shared" si="20"/>
        <v>0</v>
      </c>
      <c r="H85" s="3"/>
      <c r="I85" s="12" t="e">
        <f t="shared" si="29"/>
        <v>#DIV/0!</v>
      </c>
      <c r="J85" s="48" t="s">
        <v>512</v>
      </c>
      <c r="K85" s="45"/>
      <c r="L85" s="38"/>
    </row>
    <row r="86" spans="2:13" ht="15.75">
      <c r="B86" s="4"/>
      <c r="C86" s="4"/>
      <c r="D86" s="2"/>
      <c r="E86" s="40"/>
      <c r="F86" s="2">
        <f t="shared" si="19"/>
        <v>0</v>
      </c>
      <c r="G86" s="2">
        <f t="shared" si="20"/>
        <v>0</v>
      </c>
      <c r="H86" s="3"/>
      <c r="I86" s="12" t="e">
        <f t="shared" si="29"/>
        <v>#DIV/0!</v>
      </c>
      <c r="J86" s="48" t="s">
        <v>512</v>
      </c>
      <c r="K86" s="45"/>
    </row>
    <row r="87" spans="2:13" ht="15.75">
      <c r="B87" s="4"/>
      <c r="C87" s="4"/>
      <c r="D87" s="2"/>
      <c r="E87" s="40"/>
      <c r="F87" s="2">
        <f t="shared" si="19"/>
        <v>0</v>
      </c>
      <c r="G87" s="2">
        <f t="shared" si="20"/>
        <v>0</v>
      </c>
      <c r="H87" s="3"/>
      <c r="I87" s="12" t="e">
        <f t="shared" ref="I87" si="30">F87/E87</f>
        <v>#DIV/0!</v>
      </c>
      <c r="J87" s="48" t="s">
        <v>512</v>
      </c>
      <c r="K87" s="45"/>
    </row>
    <row r="88" spans="2:13" ht="15.75">
      <c r="B88" s="4"/>
      <c r="C88" s="4"/>
      <c r="D88" s="2"/>
      <c r="E88" s="40"/>
      <c r="F88" s="2">
        <f t="shared" si="19"/>
        <v>0</v>
      </c>
      <c r="G88" s="2">
        <f t="shared" si="20"/>
        <v>0</v>
      </c>
      <c r="H88" s="3"/>
      <c r="I88" s="12" t="e">
        <f t="shared" ref="I88" si="31">G88/E88</f>
        <v>#DIV/0!</v>
      </c>
      <c r="J88" s="48" t="s">
        <v>512</v>
      </c>
      <c r="K88" s="45"/>
    </row>
    <row r="89" spans="2:13" ht="15.75">
      <c r="B89" s="4"/>
      <c r="C89" s="4"/>
      <c r="D89" s="2"/>
      <c r="E89" s="40"/>
      <c r="F89" s="2">
        <f t="shared" si="19"/>
        <v>0</v>
      </c>
      <c r="G89" s="2">
        <f t="shared" si="20"/>
        <v>0</v>
      </c>
      <c r="H89" s="3"/>
      <c r="I89" s="12" t="e">
        <f t="shared" ref="I89" si="32">F89/E89</f>
        <v>#DIV/0!</v>
      </c>
      <c r="J89" s="48" t="s">
        <v>512</v>
      </c>
      <c r="K89" s="45"/>
    </row>
    <row r="90" spans="2:13" ht="15.75">
      <c r="B90" s="4"/>
      <c r="C90" s="4"/>
      <c r="D90" s="2"/>
      <c r="E90" s="40"/>
      <c r="F90" s="2">
        <f t="shared" si="19"/>
        <v>0</v>
      </c>
      <c r="G90" s="2">
        <f t="shared" si="20"/>
        <v>0</v>
      </c>
      <c r="H90" s="3"/>
      <c r="I90" s="12" t="e">
        <f t="shared" ref="I90:I91" si="33">G90/E90</f>
        <v>#DIV/0!</v>
      </c>
      <c r="J90" s="48" t="s">
        <v>512</v>
      </c>
      <c r="K90" s="45"/>
    </row>
    <row r="91" spans="2:13" ht="15.75">
      <c r="B91" s="4"/>
      <c r="C91" s="4"/>
      <c r="D91" s="2"/>
      <c r="E91" s="40"/>
      <c r="F91" s="2">
        <f t="shared" si="19"/>
        <v>0</v>
      </c>
      <c r="G91" s="2">
        <f t="shared" si="20"/>
        <v>0</v>
      </c>
      <c r="H91" s="3"/>
      <c r="I91" s="12" t="e">
        <f t="shared" si="33"/>
        <v>#DIV/0!</v>
      </c>
      <c r="J91" s="48" t="s">
        <v>512</v>
      </c>
      <c r="K91" s="45"/>
    </row>
    <row r="92" spans="2:13" ht="15.75">
      <c r="B92" s="4"/>
      <c r="C92" s="4"/>
      <c r="D92" s="2"/>
      <c r="E92" s="40"/>
      <c r="F92" s="2">
        <f t="shared" si="19"/>
        <v>0</v>
      </c>
      <c r="G92" s="2">
        <f t="shared" si="20"/>
        <v>0</v>
      </c>
      <c r="H92" s="3"/>
      <c r="I92" s="12" t="e">
        <f t="shared" ref="I92" si="34">F92/E92</f>
        <v>#DIV/0!</v>
      </c>
      <c r="J92" s="48" t="s">
        <v>512</v>
      </c>
      <c r="K92" s="45"/>
    </row>
    <row r="93" spans="2:13" ht="15.75">
      <c r="B93" s="4"/>
      <c r="C93" s="4"/>
      <c r="D93" s="2"/>
      <c r="E93" s="40"/>
      <c r="F93" s="2">
        <f t="shared" si="19"/>
        <v>0</v>
      </c>
      <c r="G93" s="2">
        <f t="shared" si="20"/>
        <v>0</v>
      </c>
      <c r="H93" s="3"/>
      <c r="I93" s="12" t="e">
        <f t="shared" ref="I93" si="35">G93/E93</f>
        <v>#DIV/0!</v>
      </c>
      <c r="J93" s="48" t="s">
        <v>512</v>
      </c>
      <c r="K93" s="45"/>
    </row>
    <row r="94" spans="2:13" ht="15.75">
      <c r="B94" s="4"/>
      <c r="C94" s="4"/>
      <c r="D94" s="2"/>
      <c r="E94" s="40"/>
      <c r="F94" s="2">
        <f t="shared" si="19"/>
        <v>0</v>
      </c>
      <c r="G94" s="2">
        <f t="shared" si="20"/>
        <v>0</v>
      </c>
      <c r="H94" s="3"/>
      <c r="I94" s="12" t="e">
        <f t="shared" ref="I94:I95" si="36">F94/E94</f>
        <v>#DIV/0!</v>
      </c>
      <c r="J94" s="48" t="s">
        <v>512</v>
      </c>
      <c r="K94" s="45"/>
    </row>
    <row r="95" spans="2:13" ht="15.75">
      <c r="B95" s="4"/>
      <c r="C95" s="4"/>
      <c r="D95" s="2"/>
      <c r="E95" s="40"/>
      <c r="F95" s="2">
        <f t="shared" si="19"/>
        <v>0</v>
      </c>
      <c r="G95" s="2">
        <f t="shared" si="20"/>
        <v>0</v>
      </c>
      <c r="H95" s="3"/>
      <c r="I95" s="12" t="e">
        <f t="shared" si="36"/>
        <v>#DIV/0!</v>
      </c>
      <c r="J95" s="48" t="s">
        <v>512</v>
      </c>
      <c r="K95" s="45"/>
    </row>
    <row r="96" spans="2:13" ht="15.75">
      <c r="B96" s="4"/>
      <c r="C96" s="4"/>
      <c r="D96" s="2"/>
      <c r="E96" s="40"/>
      <c r="F96" s="2">
        <f t="shared" si="19"/>
        <v>0</v>
      </c>
      <c r="G96" s="2">
        <f t="shared" si="20"/>
        <v>0</v>
      </c>
      <c r="H96" s="3"/>
      <c r="I96" s="12" t="e">
        <f t="shared" ref="I96" si="37">G96/E96</f>
        <v>#DIV/0!</v>
      </c>
      <c r="J96" s="48" t="s">
        <v>512</v>
      </c>
      <c r="K96" s="45"/>
    </row>
    <row r="97" spans="2:11" ht="15.75">
      <c r="B97" s="4"/>
      <c r="C97" s="4"/>
      <c r="D97" s="2"/>
      <c r="E97" s="40"/>
      <c r="F97" s="2">
        <f t="shared" si="19"/>
        <v>0</v>
      </c>
      <c r="G97" s="2">
        <f t="shared" si="20"/>
        <v>0</v>
      </c>
      <c r="H97" s="3"/>
      <c r="I97" s="12" t="e">
        <f t="shared" ref="I97:I107" si="38">F97/E97</f>
        <v>#DIV/0!</v>
      </c>
      <c r="J97" s="48" t="s">
        <v>512</v>
      </c>
      <c r="K97" s="45"/>
    </row>
    <row r="98" spans="2:11" ht="15.75">
      <c r="B98" s="4"/>
      <c r="C98" s="4"/>
      <c r="D98" s="2"/>
      <c r="E98" s="40"/>
      <c r="F98" s="2">
        <f t="shared" si="19"/>
        <v>0</v>
      </c>
      <c r="G98" s="2">
        <f t="shared" si="20"/>
        <v>0</v>
      </c>
      <c r="H98" s="3"/>
      <c r="I98" s="12" t="e">
        <f t="shared" si="38"/>
        <v>#DIV/0!</v>
      </c>
      <c r="J98" s="48" t="s">
        <v>512</v>
      </c>
      <c r="K98" s="45"/>
    </row>
    <row r="99" spans="2:11" ht="15.75">
      <c r="B99" s="4"/>
      <c r="C99" s="4"/>
      <c r="D99" s="2"/>
      <c r="E99" s="40"/>
      <c r="F99" s="2">
        <f t="shared" si="19"/>
        <v>0</v>
      </c>
      <c r="G99" s="2">
        <f t="shared" si="20"/>
        <v>0</v>
      </c>
      <c r="H99" s="3"/>
      <c r="I99" s="12" t="e">
        <f t="shared" si="38"/>
        <v>#DIV/0!</v>
      </c>
      <c r="J99" s="48" t="s">
        <v>512</v>
      </c>
      <c r="K99" s="45"/>
    </row>
    <row r="100" spans="2:11" ht="15.75">
      <c r="B100" s="4"/>
      <c r="C100" s="4"/>
      <c r="D100" s="2"/>
      <c r="E100" s="40"/>
      <c r="F100" s="2">
        <f t="shared" si="19"/>
        <v>0</v>
      </c>
      <c r="G100" s="2">
        <f t="shared" si="20"/>
        <v>0</v>
      </c>
      <c r="H100" s="3"/>
      <c r="I100" s="12" t="e">
        <f t="shared" si="38"/>
        <v>#DIV/0!</v>
      </c>
      <c r="J100" s="48" t="s">
        <v>512</v>
      </c>
      <c r="K100" s="45"/>
    </row>
    <row r="101" spans="2:11" ht="15.75">
      <c r="B101" s="4"/>
      <c r="C101" s="4"/>
      <c r="D101" s="2"/>
      <c r="E101" s="40"/>
      <c r="F101" s="2">
        <f t="shared" si="19"/>
        <v>0</v>
      </c>
      <c r="G101" s="2">
        <f t="shared" si="20"/>
        <v>0</v>
      </c>
      <c r="H101" s="3"/>
      <c r="I101" s="12" t="e">
        <f t="shared" si="38"/>
        <v>#DIV/0!</v>
      </c>
      <c r="J101" s="48" t="s">
        <v>512</v>
      </c>
      <c r="K101" s="45"/>
    </row>
    <row r="102" spans="2:11" ht="15.75">
      <c r="B102" s="4"/>
      <c r="C102" s="4"/>
      <c r="D102" s="2"/>
      <c r="E102" s="40"/>
      <c r="F102" s="2">
        <f t="shared" si="19"/>
        <v>0</v>
      </c>
      <c r="G102" s="2">
        <f t="shared" si="20"/>
        <v>0</v>
      </c>
      <c r="H102" s="3"/>
      <c r="I102" s="12" t="e">
        <f t="shared" si="38"/>
        <v>#DIV/0!</v>
      </c>
      <c r="J102" s="48" t="s">
        <v>512</v>
      </c>
      <c r="K102" s="45"/>
    </row>
    <row r="103" spans="2:11" ht="15.75">
      <c r="B103" s="4"/>
      <c r="C103" s="4"/>
      <c r="D103" s="2"/>
      <c r="E103" s="40"/>
      <c r="F103" s="2">
        <f t="shared" si="19"/>
        <v>0</v>
      </c>
      <c r="G103" s="2">
        <f t="shared" si="20"/>
        <v>0</v>
      </c>
      <c r="H103" s="3"/>
      <c r="I103" s="12" t="e">
        <f t="shared" si="38"/>
        <v>#DIV/0!</v>
      </c>
      <c r="J103" s="48" t="s">
        <v>512</v>
      </c>
      <c r="K103" s="45"/>
    </row>
    <row r="104" spans="2:11" ht="15.75">
      <c r="B104" s="4"/>
      <c r="C104" s="4"/>
      <c r="D104" s="2"/>
      <c r="E104" s="40"/>
      <c r="F104" s="2">
        <f t="shared" si="19"/>
        <v>0</v>
      </c>
      <c r="G104" s="2">
        <f t="shared" si="20"/>
        <v>0</v>
      </c>
      <c r="H104" s="3"/>
      <c r="I104" s="12" t="e">
        <f t="shared" si="38"/>
        <v>#DIV/0!</v>
      </c>
      <c r="J104" s="48" t="s">
        <v>512</v>
      </c>
      <c r="K104" s="45"/>
    </row>
    <row r="105" spans="2:11" ht="15.75">
      <c r="B105" s="4"/>
      <c r="C105" s="4"/>
      <c r="D105" s="2"/>
      <c r="E105" s="40"/>
      <c r="F105" s="2">
        <f t="shared" si="19"/>
        <v>0</v>
      </c>
      <c r="G105" s="2">
        <f t="shared" si="20"/>
        <v>0</v>
      </c>
      <c r="H105" s="3"/>
      <c r="I105" s="12" t="e">
        <f t="shared" si="38"/>
        <v>#DIV/0!</v>
      </c>
      <c r="J105" s="48" t="s">
        <v>512</v>
      </c>
      <c r="K105" s="45"/>
    </row>
    <row r="106" spans="2:11" ht="15.75">
      <c r="B106" s="4"/>
      <c r="C106" s="4"/>
      <c r="D106" s="2"/>
      <c r="E106" s="40"/>
      <c r="F106" s="2">
        <f t="shared" si="19"/>
        <v>0</v>
      </c>
      <c r="G106" s="2">
        <f t="shared" si="20"/>
        <v>0</v>
      </c>
      <c r="H106" s="3"/>
      <c r="I106" s="12" t="e">
        <f t="shared" si="38"/>
        <v>#DIV/0!</v>
      </c>
      <c r="J106" s="48" t="s">
        <v>512</v>
      </c>
      <c r="K106" s="45"/>
    </row>
    <row r="107" spans="2:11" ht="15.75">
      <c r="B107" s="4"/>
      <c r="C107" s="4"/>
      <c r="D107" s="2"/>
      <c r="E107" s="40"/>
      <c r="F107" s="2">
        <f t="shared" si="19"/>
        <v>0</v>
      </c>
      <c r="G107" s="2">
        <f t="shared" si="20"/>
        <v>0</v>
      </c>
      <c r="H107" s="3"/>
      <c r="I107" s="12" t="e">
        <f t="shared" si="38"/>
        <v>#DIV/0!</v>
      </c>
      <c r="J107" s="48" t="s">
        <v>512</v>
      </c>
      <c r="K107" s="45"/>
    </row>
    <row r="108" spans="2:11" ht="15.75">
      <c r="B108" s="4"/>
      <c r="C108" s="4"/>
      <c r="D108" s="2"/>
      <c r="E108" s="40"/>
      <c r="F108" s="2">
        <f t="shared" si="19"/>
        <v>0</v>
      </c>
      <c r="G108" s="2">
        <f t="shared" si="20"/>
        <v>0</v>
      </c>
      <c r="H108" s="3"/>
      <c r="I108" s="12" t="e">
        <f t="shared" ref="I108" si="39">G108/E108</f>
        <v>#DIV/0!</v>
      </c>
      <c r="J108" s="48" t="s">
        <v>512</v>
      </c>
      <c r="K108" s="45"/>
    </row>
    <row r="109" spans="2:11" ht="15.75">
      <c r="B109" s="4"/>
      <c r="C109" s="4"/>
      <c r="D109" s="2"/>
      <c r="E109" s="40"/>
      <c r="F109" s="2">
        <f t="shared" si="19"/>
        <v>0</v>
      </c>
      <c r="G109" s="2">
        <f t="shared" si="20"/>
        <v>0</v>
      </c>
      <c r="H109" s="3"/>
      <c r="I109" s="12" t="e">
        <f t="shared" ref="I109:I110" si="40">F109/E109</f>
        <v>#DIV/0!</v>
      </c>
      <c r="J109" s="48" t="s">
        <v>512</v>
      </c>
      <c r="K109" s="45"/>
    </row>
    <row r="110" spans="2:11" ht="15.75">
      <c r="B110" s="4"/>
      <c r="C110" s="4"/>
      <c r="D110" s="2"/>
      <c r="E110" s="40"/>
      <c r="F110" s="2">
        <f t="shared" si="19"/>
        <v>0</v>
      </c>
      <c r="G110" s="2">
        <f t="shared" si="20"/>
        <v>0</v>
      </c>
      <c r="H110" s="3"/>
      <c r="I110" s="12" t="e">
        <f t="shared" si="40"/>
        <v>#DIV/0!</v>
      </c>
      <c r="J110" s="48" t="s">
        <v>512</v>
      </c>
      <c r="K110" s="45"/>
    </row>
    <row r="111" spans="2:11" ht="15.75">
      <c r="B111" s="4"/>
      <c r="C111" s="4"/>
      <c r="D111" s="2"/>
      <c r="E111" s="40"/>
      <c r="F111" s="2">
        <f t="shared" si="19"/>
        <v>0</v>
      </c>
      <c r="G111" s="2">
        <f t="shared" si="20"/>
        <v>0</v>
      </c>
      <c r="H111" s="3"/>
      <c r="I111" s="12" t="e">
        <f t="shared" ref="I111" si="41">G111/E111</f>
        <v>#DIV/0!</v>
      </c>
      <c r="J111" s="48" t="s">
        <v>512</v>
      </c>
      <c r="K111" s="45"/>
    </row>
    <row r="112" spans="2:11" ht="15.75">
      <c r="B112" s="4"/>
      <c r="C112" s="4"/>
      <c r="D112" s="2"/>
      <c r="E112" s="40"/>
      <c r="F112" s="2">
        <f t="shared" si="19"/>
        <v>0</v>
      </c>
      <c r="G112" s="2">
        <f t="shared" si="20"/>
        <v>0</v>
      </c>
      <c r="H112" s="3"/>
      <c r="I112" s="12" t="e">
        <f t="shared" ref="I112" si="42">F112/E112</f>
        <v>#DIV/0!</v>
      </c>
      <c r="J112" s="48" t="s">
        <v>512</v>
      </c>
      <c r="K112" s="45"/>
    </row>
    <row r="113" spans="2:11" ht="15.75">
      <c r="B113" s="4"/>
      <c r="C113" s="4"/>
      <c r="D113" s="2"/>
      <c r="E113" s="40"/>
      <c r="F113" s="2">
        <f t="shared" si="19"/>
        <v>0</v>
      </c>
      <c r="G113" s="2">
        <f t="shared" si="20"/>
        <v>0</v>
      </c>
      <c r="H113" s="3"/>
      <c r="I113" s="12" t="e">
        <f t="shared" ref="I113:I116" si="43">G113/E113</f>
        <v>#DIV/0!</v>
      </c>
      <c r="J113" s="48" t="s">
        <v>512</v>
      </c>
      <c r="K113" s="45"/>
    </row>
    <row r="114" spans="2:11" ht="15.75">
      <c r="B114" s="4"/>
      <c r="C114" s="4"/>
      <c r="D114" s="2"/>
      <c r="E114" s="40"/>
      <c r="F114" s="2">
        <f t="shared" si="19"/>
        <v>0</v>
      </c>
      <c r="G114" s="2">
        <f t="shared" si="20"/>
        <v>0</v>
      </c>
      <c r="H114" s="3"/>
      <c r="I114" s="12" t="e">
        <f t="shared" si="43"/>
        <v>#DIV/0!</v>
      </c>
      <c r="J114" s="48" t="s">
        <v>512</v>
      </c>
      <c r="K114" s="45"/>
    </row>
    <row r="115" spans="2:11" ht="15.75">
      <c r="B115" s="4"/>
      <c r="C115" s="4"/>
      <c r="D115" s="2"/>
      <c r="E115" s="40"/>
      <c r="F115" s="2">
        <f t="shared" si="19"/>
        <v>0</v>
      </c>
      <c r="G115" s="2">
        <f t="shared" si="20"/>
        <v>0</v>
      </c>
      <c r="H115" s="3"/>
      <c r="I115" s="12" t="e">
        <f t="shared" si="43"/>
        <v>#DIV/0!</v>
      </c>
      <c r="J115" s="48" t="s">
        <v>512</v>
      </c>
      <c r="K115" s="45"/>
    </row>
    <row r="116" spans="2:11" ht="15.75">
      <c r="B116" s="4"/>
      <c r="C116" s="4"/>
      <c r="D116" s="2"/>
      <c r="E116" s="40"/>
      <c r="F116" s="2">
        <f t="shared" si="19"/>
        <v>0</v>
      </c>
      <c r="G116" s="2">
        <f t="shared" si="20"/>
        <v>0</v>
      </c>
      <c r="H116" s="3"/>
      <c r="I116" s="12" t="e">
        <f t="shared" si="43"/>
        <v>#DIV/0!</v>
      </c>
      <c r="J116" s="48" t="s">
        <v>512</v>
      </c>
      <c r="K116" s="45"/>
    </row>
    <row r="117" spans="2:11" ht="15.75">
      <c r="B117" s="4"/>
      <c r="C117" s="4"/>
      <c r="D117" s="2"/>
      <c r="E117" s="40"/>
      <c r="F117" s="2">
        <f t="shared" si="19"/>
        <v>0</v>
      </c>
      <c r="G117" s="2">
        <f t="shared" si="20"/>
        <v>0</v>
      </c>
      <c r="H117" s="3"/>
      <c r="I117" s="12" t="e">
        <f t="shared" ref="I117" si="44">F117/E117</f>
        <v>#DIV/0!</v>
      </c>
      <c r="J117" s="48" t="s">
        <v>512</v>
      </c>
      <c r="K117" s="45"/>
    </row>
    <row r="118" spans="2:11" ht="15.75">
      <c r="B118" s="4"/>
      <c r="C118" s="4"/>
      <c r="D118" s="2"/>
      <c r="E118" s="40"/>
      <c r="F118" s="2">
        <f t="shared" si="19"/>
        <v>0</v>
      </c>
      <c r="G118" s="2">
        <f t="shared" si="20"/>
        <v>0</v>
      </c>
      <c r="H118" s="3"/>
      <c r="I118" s="12" t="e">
        <f t="shared" ref="I118" si="45">G118/E118</f>
        <v>#DIV/0!</v>
      </c>
      <c r="J118" s="48" t="s">
        <v>512</v>
      </c>
      <c r="K118" s="45"/>
    </row>
    <row r="119" spans="2:11" ht="15.75">
      <c r="B119" s="4"/>
      <c r="C119" s="4"/>
      <c r="D119" s="2"/>
      <c r="E119" s="40"/>
      <c r="F119" s="2">
        <f t="shared" si="19"/>
        <v>0</v>
      </c>
      <c r="G119" s="2">
        <f t="shared" si="20"/>
        <v>0</v>
      </c>
      <c r="H119" s="3"/>
      <c r="I119" s="12" t="e">
        <f t="shared" ref="I119" si="46">F119/E119</f>
        <v>#DIV/0!</v>
      </c>
      <c r="J119" s="48" t="s">
        <v>512</v>
      </c>
      <c r="K119" s="45"/>
    </row>
    <row r="120" spans="2:11" ht="15.75">
      <c r="B120" s="4"/>
      <c r="C120" s="4"/>
      <c r="D120" s="2"/>
      <c r="E120" s="40"/>
      <c r="F120" s="2">
        <f t="shared" si="19"/>
        <v>0</v>
      </c>
      <c r="G120" s="2">
        <f t="shared" si="20"/>
        <v>0</v>
      </c>
      <c r="H120" s="3"/>
      <c r="I120" s="12" t="e">
        <f t="shared" ref="I120:I123" si="47">G120/E120</f>
        <v>#DIV/0!</v>
      </c>
      <c r="J120" s="48" t="s">
        <v>512</v>
      </c>
      <c r="K120" s="45"/>
    </row>
    <row r="121" spans="2:11" ht="15.75">
      <c r="B121" s="4"/>
      <c r="C121" s="4"/>
      <c r="D121" s="2"/>
      <c r="E121" s="40"/>
      <c r="F121" s="2">
        <f t="shared" si="19"/>
        <v>0</v>
      </c>
      <c r="G121" s="2">
        <f t="shared" si="20"/>
        <v>0</v>
      </c>
      <c r="H121" s="3"/>
      <c r="I121" s="12" t="e">
        <f t="shared" si="47"/>
        <v>#DIV/0!</v>
      </c>
      <c r="J121" s="48" t="s">
        <v>512</v>
      </c>
      <c r="K121" s="45"/>
    </row>
    <row r="122" spans="2:11" ht="15.75">
      <c r="B122" s="4"/>
      <c r="C122" s="4"/>
      <c r="D122" s="2"/>
      <c r="E122" s="40"/>
      <c r="F122" s="2">
        <f t="shared" si="19"/>
        <v>0</v>
      </c>
      <c r="G122" s="2">
        <f t="shared" si="20"/>
        <v>0</v>
      </c>
      <c r="H122" s="3"/>
      <c r="I122" s="12" t="e">
        <f t="shared" si="47"/>
        <v>#DIV/0!</v>
      </c>
      <c r="J122" s="48" t="s">
        <v>512</v>
      </c>
      <c r="K122" s="45"/>
    </row>
    <row r="123" spans="2:11" ht="15.75">
      <c r="B123" s="4"/>
      <c r="C123" s="4"/>
      <c r="D123" s="2"/>
      <c r="E123" s="40"/>
      <c r="F123" s="2">
        <f t="shared" si="19"/>
        <v>0</v>
      </c>
      <c r="G123" s="2">
        <f t="shared" si="20"/>
        <v>0</v>
      </c>
      <c r="H123" s="3"/>
      <c r="I123" s="12" t="e">
        <f t="shared" si="47"/>
        <v>#DIV/0!</v>
      </c>
      <c r="J123" s="48" t="s">
        <v>512</v>
      </c>
      <c r="K123" s="45"/>
    </row>
    <row r="124" spans="2:11" ht="15.75">
      <c r="B124" s="4"/>
      <c r="C124" s="4"/>
      <c r="D124" s="2"/>
      <c r="E124" s="40"/>
      <c r="F124" s="2">
        <f t="shared" si="19"/>
        <v>0</v>
      </c>
      <c r="G124" s="2">
        <f t="shared" si="20"/>
        <v>0</v>
      </c>
      <c r="H124" s="3"/>
      <c r="I124" s="12" t="e">
        <f t="shared" ref="I124" si="48">F124/E124</f>
        <v>#DIV/0!</v>
      </c>
      <c r="J124" s="48" t="s">
        <v>512</v>
      </c>
      <c r="K124" s="45"/>
    </row>
    <row r="125" spans="2:11" ht="15.75">
      <c r="B125" s="4"/>
      <c r="C125" s="4"/>
      <c r="D125" s="2"/>
      <c r="E125" s="40"/>
      <c r="F125" s="2">
        <f t="shared" si="19"/>
        <v>0</v>
      </c>
      <c r="G125" s="2">
        <f t="shared" si="20"/>
        <v>0</v>
      </c>
      <c r="H125" s="3"/>
      <c r="I125" s="12" t="e">
        <f t="shared" ref="I125" si="49">G125/E125</f>
        <v>#DIV/0!</v>
      </c>
      <c r="J125" s="48" t="s">
        <v>512</v>
      </c>
      <c r="K125" s="45"/>
    </row>
    <row r="126" spans="2:11" ht="15.75">
      <c r="B126" s="4"/>
      <c r="C126" s="4"/>
      <c r="D126" s="2"/>
      <c r="E126" s="40"/>
      <c r="F126" s="2">
        <f t="shared" si="19"/>
        <v>0</v>
      </c>
      <c r="G126" s="2">
        <f t="shared" si="20"/>
        <v>0</v>
      </c>
      <c r="H126" s="3"/>
      <c r="I126" s="12" t="e">
        <f t="shared" ref="I126:I127" si="50">F126/E126</f>
        <v>#DIV/0!</v>
      </c>
      <c r="J126" s="48" t="s">
        <v>512</v>
      </c>
      <c r="K126" s="45"/>
    </row>
    <row r="127" spans="2:11" ht="15.75">
      <c r="B127" s="4"/>
      <c r="C127" s="4"/>
      <c r="D127" s="2"/>
      <c r="E127" s="40"/>
      <c r="F127" s="2">
        <f t="shared" si="19"/>
        <v>0</v>
      </c>
      <c r="G127" s="2">
        <f t="shared" si="20"/>
        <v>0</v>
      </c>
      <c r="H127" s="3"/>
      <c r="I127" s="12" t="e">
        <f t="shared" si="50"/>
        <v>#DIV/0!</v>
      </c>
      <c r="J127" s="48" t="s">
        <v>512</v>
      </c>
      <c r="K127" s="45"/>
    </row>
    <row r="128" spans="2:11" ht="15.75">
      <c r="B128" s="4"/>
      <c r="C128" s="4"/>
      <c r="D128" s="2"/>
      <c r="E128" s="40"/>
      <c r="F128" s="2">
        <f t="shared" si="19"/>
        <v>0</v>
      </c>
      <c r="G128" s="2">
        <f t="shared" si="20"/>
        <v>0</v>
      </c>
      <c r="H128" s="3"/>
      <c r="I128" s="12" t="e">
        <f t="shared" ref="I128:I131" si="51">G128/E128</f>
        <v>#DIV/0!</v>
      </c>
      <c r="J128" s="48" t="s">
        <v>512</v>
      </c>
      <c r="K128" s="45"/>
    </row>
    <row r="129" spans="2:11" ht="15.75">
      <c r="B129" s="4"/>
      <c r="C129" s="4"/>
      <c r="D129" s="2"/>
      <c r="E129" s="40"/>
      <c r="F129" s="2">
        <f t="shared" si="19"/>
        <v>0</v>
      </c>
      <c r="G129" s="2">
        <f t="shared" si="20"/>
        <v>0</v>
      </c>
      <c r="H129" s="3"/>
      <c r="I129" s="12" t="e">
        <f t="shared" si="51"/>
        <v>#DIV/0!</v>
      </c>
      <c r="J129" s="48" t="s">
        <v>512</v>
      </c>
      <c r="K129" s="45"/>
    </row>
    <row r="130" spans="2:11" ht="15.75">
      <c r="B130" s="4"/>
      <c r="C130" s="4"/>
      <c r="D130" s="2"/>
      <c r="E130" s="40"/>
      <c r="F130" s="2">
        <f t="shared" si="19"/>
        <v>0</v>
      </c>
      <c r="G130" s="2">
        <f t="shared" si="20"/>
        <v>0</v>
      </c>
      <c r="H130" s="3"/>
      <c r="I130" s="12" t="e">
        <f t="shared" si="51"/>
        <v>#DIV/0!</v>
      </c>
      <c r="J130" s="48" t="s">
        <v>512</v>
      </c>
      <c r="K130" s="45"/>
    </row>
    <row r="131" spans="2:11" ht="15.75">
      <c r="B131" s="4"/>
      <c r="C131" s="4"/>
      <c r="D131" s="2"/>
      <c r="E131" s="40"/>
      <c r="F131" s="2">
        <f t="shared" si="19"/>
        <v>0</v>
      </c>
      <c r="G131" s="2">
        <f t="shared" si="20"/>
        <v>0</v>
      </c>
      <c r="H131" s="3"/>
      <c r="I131" s="12" t="e">
        <f t="shared" si="51"/>
        <v>#DIV/0!</v>
      </c>
      <c r="J131" s="48" t="s">
        <v>512</v>
      </c>
      <c r="K131" s="45"/>
    </row>
    <row r="132" spans="2:11" ht="15.75">
      <c r="B132" s="4"/>
      <c r="C132" s="4"/>
      <c r="D132" s="2"/>
      <c r="E132" s="40"/>
      <c r="F132" s="2">
        <f t="shared" si="19"/>
        <v>0</v>
      </c>
      <c r="G132" s="2">
        <f t="shared" si="20"/>
        <v>0</v>
      </c>
      <c r="H132" s="3"/>
      <c r="I132" s="12" t="e">
        <f t="shared" ref="I132:I139" si="52">F132/E132</f>
        <v>#DIV/0!</v>
      </c>
      <c r="J132" s="48" t="s">
        <v>512</v>
      </c>
      <c r="K132" s="45"/>
    </row>
    <row r="133" spans="2:11" ht="15.75">
      <c r="B133" s="4"/>
      <c r="C133" s="4"/>
      <c r="D133" s="2"/>
      <c r="E133" s="40"/>
      <c r="F133" s="2">
        <f t="shared" si="19"/>
        <v>0</v>
      </c>
      <c r="G133" s="2">
        <f t="shared" si="20"/>
        <v>0</v>
      </c>
      <c r="H133" s="3"/>
      <c r="I133" s="12" t="e">
        <f t="shared" ref="I133:I135" si="53">G133/E133</f>
        <v>#DIV/0!</v>
      </c>
      <c r="J133" s="48" t="s">
        <v>512</v>
      </c>
      <c r="K133" s="45"/>
    </row>
    <row r="134" spans="2:11" ht="15.75">
      <c r="B134" s="4"/>
      <c r="C134" s="4"/>
      <c r="D134" s="2"/>
      <c r="E134" s="40"/>
      <c r="F134" s="2">
        <f t="shared" ref="F134:F146" si="54">IF(D134-E134&lt;=0,0,D134-E134)</f>
        <v>0</v>
      </c>
      <c r="G134" s="2">
        <f t="shared" ref="G134:G146" si="55">IF(D134-E134&gt;=0,0,D134-E134)</f>
        <v>0</v>
      </c>
      <c r="H134" s="3"/>
      <c r="I134" s="12" t="e">
        <f t="shared" si="53"/>
        <v>#DIV/0!</v>
      </c>
      <c r="J134" s="48" t="s">
        <v>512</v>
      </c>
      <c r="K134" s="45"/>
    </row>
    <row r="135" spans="2:11" ht="15.75">
      <c r="B135" s="4"/>
      <c r="C135" s="4"/>
      <c r="D135" s="2"/>
      <c r="E135" s="40"/>
      <c r="F135" s="2">
        <f t="shared" si="54"/>
        <v>0</v>
      </c>
      <c r="G135" s="2">
        <f t="shared" si="55"/>
        <v>0</v>
      </c>
      <c r="H135" s="3"/>
      <c r="I135" s="12" t="e">
        <f t="shared" si="53"/>
        <v>#DIV/0!</v>
      </c>
      <c r="J135" s="48" t="s">
        <v>512</v>
      </c>
      <c r="K135" s="45"/>
    </row>
    <row r="136" spans="2:11" ht="15.75">
      <c r="B136" s="4"/>
      <c r="C136" s="4"/>
      <c r="D136" s="2"/>
      <c r="E136" s="40"/>
      <c r="F136" s="2">
        <f t="shared" si="54"/>
        <v>0</v>
      </c>
      <c r="G136" s="2">
        <f t="shared" si="55"/>
        <v>0</v>
      </c>
      <c r="H136" s="3"/>
      <c r="I136" s="12" t="e">
        <f t="shared" si="52"/>
        <v>#DIV/0!</v>
      </c>
      <c r="J136" s="48" t="s">
        <v>512</v>
      </c>
      <c r="K136" s="45"/>
    </row>
    <row r="137" spans="2:11" ht="15.75">
      <c r="B137" s="4"/>
      <c r="C137" s="4"/>
      <c r="D137" s="2"/>
      <c r="E137" s="40"/>
      <c r="F137" s="2">
        <f t="shared" si="54"/>
        <v>0</v>
      </c>
      <c r="G137" s="2">
        <f t="shared" si="55"/>
        <v>0</v>
      </c>
      <c r="H137" s="3"/>
      <c r="I137" s="12" t="e">
        <f t="shared" ref="I137" si="56">G137/E137</f>
        <v>#DIV/0!</v>
      </c>
      <c r="J137" s="48" t="s">
        <v>512</v>
      </c>
      <c r="K137" s="45"/>
    </row>
    <row r="138" spans="2:11" ht="15.75">
      <c r="B138" s="4"/>
      <c r="C138" s="4"/>
      <c r="D138" s="2"/>
      <c r="E138" s="40"/>
      <c r="F138" s="2">
        <f t="shared" si="54"/>
        <v>0</v>
      </c>
      <c r="G138" s="2">
        <f t="shared" si="55"/>
        <v>0</v>
      </c>
      <c r="H138" s="3"/>
      <c r="I138" s="12" t="e">
        <f t="shared" si="52"/>
        <v>#DIV/0!</v>
      </c>
      <c r="J138" s="48" t="s">
        <v>512</v>
      </c>
      <c r="K138" s="45"/>
    </row>
    <row r="139" spans="2:11" ht="15.75">
      <c r="B139" s="4"/>
      <c r="C139" s="4"/>
      <c r="D139" s="2"/>
      <c r="E139" s="40"/>
      <c r="F139" s="2">
        <f t="shared" si="54"/>
        <v>0</v>
      </c>
      <c r="G139" s="2">
        <f t="shared" si="55"/>
        <v>0</v>
      </c>
      <c r="H139" s="3"/>
      <c r="I139" s="12" t="e">
        <f t="shared" si="52"/>
        <v>#DIV/0!</v>
      </c>
      <c r="J139" s="48" t="s">
        <v>512</v>
      </c>
      <c r="K139" s="45"/>
    </row>
    <row r="140" spans="2:11" ht="15.75">
      <c r="B140" s="4"/>
      <c r="C140" s="4"/>
      <c r="D140" s="2"/>
      <c r="E140" s="40"/>
      <c r="F140" s="2">
        <f t="shared" si="54"/>
        <v>0</v>
      </c>
      <c r="G140" s="2">
        <f t="shared" si="55"/>
        <v>0</v>
      </c>
      <c r="H140" s="3"/>
      <c r="I140" s="12" t="e">
        <f t="shared" ref="I140:I144" si="57">G140/E140</f>
        <v>#DIV/0!</v>
      </c>
      <c r="J140" s="48" t="s">
        <v>512</v>
      </c>
      <c r="K140" s="45"/>
    </row>
    <row r="141" spans="2:11" ht="15.75">
      <c r="B141" s="4"/>
      <c r="C141" s="4"/>
      <c r="D141" s="2"/>
      <c r="E141" s="40"/>
      <c r="F141" s="2">
        <f t="shared" si="54"/>
        <v>0</v>
      </c>
      <c r="G141" s="2">
        <f t="shared" si="55"/>
        <v>0</v>
      </c>
      <c r="H141" s="3"/>
      <c r="I141" s="12" t="e">
        <f t="shared" si="57"/>
        <v>#DIV/0!</v>
      </c>
      <c r="J141" s="48" t="s">
        <v>512</v>
      </c>
      <c r="K141" s="45"/>
    </row>
    <row r="142" spans="2:11" ht="15.75">
      <c r="B142" s="4"/>
      <c r="C142" s="4"/>
      <c r="D142" s="2"/>
      <c r="E142" s="40"/>
      <c r="F142" s="2">
        <f t="shared" si="54"/>
        <v>0</v>
      </c>
      <c r="G142" s="2">
        <f t="shared" si="55"/>
        <v>0</v>
      </c>
      <c r="H142" s="3"/>
      <c r="I142" s="12" t="e">
        <f t="shared" si="57"/>
        <v>#DIV/0!</v>
      </c>
      <c r="J142" s="48" t="s">
        <v>512</v>
      </c>
      <c r="K142" s="45"/>
    </row>
    <row r="143" spans="2:11" ht="15.75">
      <c r="B143" s="4"/>
      <c r="C143" s="4"/>
      <c r="D143" s="2"/>
      <c r="E143" s="40"/>
      <c r="F143" s="2">
        <f t="shared" si="54"/>
        <v>0</v>
      </c>
      <c r="G143" s="2">
        <f t="shared" si="55"/>
        <v>0</v>
      </c>
      <c r="H143" s="3"/>
      <c r="I143" s="12" t="e">
        <f t="shared" si="57"/>
        <v>#DIV/0!</v>
      </c>
      <c r="J143" s="48" t="s">
        <v>512</v>
      </c>
      <c r="K143" s="45"/>
    </row>
    <row r="144" spans="2:11" ht="15.75">
      <c r="B144" s="4"/>
      <c r="C144" s="4"/>
      <c r="D144" s="2"/>
      <c r="E144" s="40"/>
      <c r="F144" s="2">
        <f t="shared" si="54"/>
        <v>0</v>
      </c>
      <c r="G144" s="2">
        <f t="shared" si="55"/>
        <v>0</v>
      </c>
      <c r="H144" s="3"/>
      <c r="I144" s="12" t="e">
        <f t="shared" si="57"/>
        <v>#DIV/0!</v>
      </c>
      <c r="J144" s="48" t="s">
        <v>512</v>
      </c>
      <c r="K144" s="45"/>
    </row>
    <row r="145" spans="2:11">
      <c r="B145" s="4"/>
      <c r="C145" s="4"/>
      <c r="D145" s="2"/>
      <c r="E145" s="40"/>
      <c r="F145" s="2">
        <f t="shared" si="54"/>
        <v>0</v>
      </c>
      <c r="G145" s="2">
        <f t="shared" si="55"/>
        <v>0</v>
      </c>
      <c r="H145" s="4"/>
      <c r="I145" s="12"/>
      <c r="J145" s="48"/>
      <c r="K145" s="45"/>
    </row>
    <row r="146" spans="2:11" ht="15.75">
      <c r="B146" s="4"/>
      <c r="C146" s="4"/>
      <c r="D146" s="2"/>
      <c r="E146" s="40"/>
      <c r="F146" s="2">
        <f t="shared" si="54"/>
        <v>0</v>
      </c>
      <c r="G146" s="2">
        <f t="shared" si="55"/>
        <v>0</v>
      </c>
      <c r="H146" s="3"/>
      <c r="I146" s="12"/>
      <c r="J146" s="48"/>
      <c r="K146" s="45"/>
    </row>
    <row r="147" spans="2:11" ht="15.75">
      <c r="B147" s="7"/>
      <c r="C147" s="7"/>
      <c r="D147" s="6">
        <f>SUM(D5:D146)</f>
        <v>2047.1799999999994</v>
      </c>
      <c r="E147" s="6">
        <f>SUM(E5:E146)</f>
        <v>2053.2419999999997</v>
      </c>
      <c r="F147" s="6">
        <f>SUM(F5:F146)</f>
        <v>2.9289999999999807</v>
      </c>
      <c r="G147" s="6">
        <f>SUM(G5:G146)</f>
        <v>-8.9909999999999997</v>
      </c>
      <c r="H147" s="10">
        <f>SUM(F147:G147)</f>
        <v>-6.0620000000000189</v>
      </c>
      <c r="I147" s="11">
        <f>H147/E147</f>
        <v>-2.9524040517386746E-3</v>
      </c>
      <c r="J147" s="11"/>
      <c r="K147" s="45"/>
    </row>
    <row r="149" spans="2:11">
      <c r="E149" s="38">
        <v>2327.703</v>
      </c>
    </row>
    <row r="150" spans="2:11">
      <c r="E150" s="38"/>
    </row>
    <row r="151" spans="2:11">
      <c r="E151" s="38">
        <f>E147-E149</f>
        <v>-274.46100000000024</v>
      </c>
    </row>
  </sheetData>
  <autoFilter ref="B4:L83"/>
  <mergeCells count="1">
    <mergeCell ref="B2:I2"/>
  </mergeCells>
  <pageMargins left="0.45" right="0.45" top="0.25" bottom="0.25" header="0.3" footer="0.3"/>
  <pageSetup paperSize="9" scale="41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SUMMARY </vt:lpstr>
      <vt:lpstr>APRIL-23</vt:lpstr>
      <vt:lpstr>May -23 </vt:lpstr>
      <vt:lpstr>JUN -23</vt:lpstr>
      <vt:lpstr>JULY -23 </vt:lpstr>
      <vt:lpstr>AUG -23  </vt:lpstr>
      <vt:lpstr>SEP -23</vt:lpstr>
      <vt:lpstr>OCT -23 </vt:lpstr>
      <vt:lpstr>NOV -23  </vt:lpstr>
      <vt:lpstr>DEC -23</vt:lpstr>
      <vt:lpstr>JAN -24 </vt:lpstr>
      <vt:lpstr>'APRIL-23'!Print_Area</vt:lpstr>
      <vt:lpstr>'DEC -23'!Print_Area</vt:lpstr>
      <vt:lpstr>'JAN -24 '!Print_Area</vt:lpstr>
      <vt:lpstr>'NOV -23  '!Print_Area</vt:lpstr>
      <vt:lpstr>'OCT -23 '!Print_Area</vt:lpstr>
      <vt:lpstr>'SEP -23'!Print_Area</vt:lpstr>
      <vt:lpstr>'SUMMARY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2024-01-15T10:16:39Z</dcterms:modified>
</cp:coreProperties>
</file>