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641" firstSheet="24" activeTab="27"/>
  </bookViews>
  <sheets>
    <sheet name="KEC BB DISPATCHED APRIL" sheetId="2" r:id="rId1"/>
    <sheet name="KEC BB DISP. TRADING APRIL" sheetId="3" r:id="rId2"/>
    <sheet name="KEC BB DISPATCHED MAY" sheetId="5" r:id="rId3"/>
    <sheet name="KEC BB DISPATCHED JUN" sheetId="6" r:id="rId4"/>
    <sheet name="KEC JBP DISPATCHED JUN " sheetId="7" r:id="rId5"/>
    <sheet name="KEC BB DISPATCHED JULY" sheetId="8" r:id="rId6"/>
    <sheet name="KEC JBP DISPATCHED JULY" sheetId="9" r:id="rId7"/>
    <sheet name="KEC JBP TRADING DISPATCHED JULY" sheetId="10" r:id="rId8"/>
    <sheet name="KEC BB DISPATCHED AUG" sheetId="11" r:id="rId9"/>
    <sheet name="KEC JBP DISPATCHED AUG" sheetId="14" r:id="rId10"/>
    <sheet name="KEC JBP TRADING DISPATCHED AUG" sheetId="12" r:id="rId11"/>
    <sheet name="BILLETS RETURN DETAILS MDU AUG" sheetId="13" r:id="rId12"/>
    <sheet name="KEC JAIPUR TRADING  AUG" sheetId="15" r:id="rId13"/>
    <sheet name="KEC BB DISPATCHED SEP" sheetId="16" r:id="rId14"/>
    <sheet name="KEC JBP DISPATCHED SEP" sheetId="17" r:id="rId15"/>
    <sheet name="KEC BB DISPATCHED OCT" sheetId="18" r:id="rId16"/>
    <sheet name="KEC JBP DISPATCHED OCT" sheetId="20" r:id="rId17"/>
    <sheet name="KEC JBP TRADING OCT " sheetId="22" r:id="rId18"/>
    <sheet name="KEC JAIPUR TRADING OCT" sheetId="21" r:id="rId19"/>
    <sheet name="BILLETS RETURN DETAILS MDU OCT" sheetId="23" r:id="rId20"/>
    <sheet name="KEC BB DISPATCHED NOV" sheetId="24" r:id="rId21"/>
    <sheet name="KEC JBP DISPATCHED NOV " sheetId="25" r:id="rId22"/>
    <sheet name="KEC JAIPUR TRADING NOV" sheetId="26" r:id="rId23"/>
    <sheet name="KEC BB DISPATCHED DEC " sheetId="28" r:id="rId24"/>
    <sheet name="KEC JBP DISPATCHED DEC" sheetId="27" r:id="rId25"/>
    <sheet name="KEC JAIPUR TRADING DEC" sheetId="29" r:id="rId26"/>
    <sheet name="KEC BB DISPATCHED JAN" sheetId="31" r:id="rId27"/>
    <sheet name="KEC JBP DISPATCHED JAN" sheetId="30" r:id="rId28"/>
  </sheets>
  <definedNames>
    <definedName name="_xlnm._FilterDatabase" localSheetId="1" hidden="1">'KEC BB DISP. TRADING APRIL'!$A$2:$I$54</definedName>
    <definedName name="_xlnm._FilterDatabase" localSheetId="0" hidden="1">'KEC BB DISPATCHED APRIL'!$A$1:$K$1</definedName>
    <definedName name="_xlnm._FilterDatabase" localSheetId="8" hidden="1">'KEC BB DISPATCHED AUG'!$A$1:$L$400</definedName>
    <definedName name="_xlnm._FilterDatabase" localSheetId="23" hidden="1">'KEC BB DISPATCHED DEC '!$A$1:$L$270</definedName>
    <definedName name="_xlnm._FilterDatabase" localSheetId="26" hidden="1">'KEC BB DISPATCHED JAN'!$A$1:$L$1</definedName>
    <definedName name="_xlnm._FilterDatabase" localSheetId="5" hidden="1">'KEC BB DISPATCHED JULY'!$A$1:$K$377</definedName>
    <definedName name="_xlnm._FilterDatabase" localSheetId="3" hidden="1">'KEC BB DISPATCHED JUN'!$A$1:$K$231</definedName>
    <definedName name="_xlnm._FilterDatabase" localSheetId="2" hidden="1">'KEC BB DISPATCHED MAY'!$A$2:$I$2</definedName>
    <definedName name="_xlnm._FilterDatabase" localSheetId="20" hidden="1">'KEC BB DISPATCHED NOV'!$A$1:$L$286</definedName>
    <definedName name="_xlnm._FilterDatabase" localSheetId="15" hidden="1">'KEC BB DISPATCHED OCT'!$A$1:$L$275</definedName>
    <definedName name="_xlnm._FilterDatabase" localSheetId="13" hidden="1">'KEC BB DISPATCHED SEP'!$A$1:$I$235</definedName>
    <definedName name="_xlnm._FilterDatabase" localSheetId="12" hidden="1">'KEC JAIPUR TRADING  AUG'!$A$1:$I$8</definedName>
    <definedName name="_xlnm._FilterDatabase" localSheetId="25" hidden="1">'KEC JAIPUR TRADING DEC'!$A$1:$K$1</definedName>
    <definedName name="_xlnm._FilterDatabase" localSheetId="22" hidden="1">'KEC JAIPUR TRADING NOV'!$A$1:$K$1</definedName>
    <definedName name="_xlnm._FilterDatabase" localSheetId="18" hidden="1">'KEC JAIPUR TRADING OCT'!$A$1:$K$1</definedName>
    <definedName name="_xlnm._FilterDatabase" localSheetId="9" hidden="1">'KEC JBP DISPATCHED AUG'!$A$1:$K$51</definedName>
    <definedName name="_xlnm._FilterDatabase" localSheetId="24" hidden="1">'KEC JBP DISPATCHED DEC'!$A$1:$I$1</definedName>
    <definedName name="_xlnm._FilterDatabase" localSheetId="27" hidden="1">'KEC JBP DISPATCHED JAN'!$A$1:$I$1</definedName>
    <definedName name="_xlnm._FilterDatabase" localSheetId="6" hidden="1">'KEC JBP DISPATCHED JULY'!$A$1:$I$1</definedName>
    <definedName name="_xlnm._FilterDatabase" localSheetId="4" hidden="1">'KEC JBP DISPATCHED JUN '!$A$1:$I$1</definedName>
    <definedName name="_xlnm._FilterDatabase" localSheetId="21" hidden="1">'KEC JBP DISPATCHED NOV '!$A$1:$I$145</definedName>
    <definedName name="_xlnm._FilterDatabase" localSheetId="16" hidden="1">'KEC JBP DISPATCHED OCT'!$A$1:$I$185</definedName>
    <definedName name="_xlnm._FilterDatabase" localSheetId="14" hidden="1">'KEC JBP DISPATCHED SEP'!$A$1:$I$165</definedName>
    <definedName name="_xlnm._FilterDatabase" localSheetId="10" hidden="1">'KEC JBP TRADING DISPATCHED AUG'!$A$1:$I$13</definedName>
    <definedName name="_xlnm._FilterDatabase" localSheetId="7" hidden="1">'KEC JBP TRADING DISPATCHED JULY'!$A$1:$I$36</definedName>
    <definedName name="_xlnm._FilterDatabase" localSheetId="17" hidden="1">'KEC JBP TRADING OCT '!$A$1:$K$20</definedName>
    <definedName name="_xlnm.Print_Area" localSheetId="11">'BILLETS RETURN DETAILS MDU AUG'!$A$2:$L$24</definedName>
    <definedName name="_xlnm.Print_Area" localSheetId="19">'BILLETS RETURN DETAILS MDU OCT'!$A$2:$L$9</definedName>
    <definedName name="_xlnm.Print_Area" localSheetId="1">'KEC BB DISP. TRADING APRIL'!$A$17:$I$19</definedName>
    <definedName name="_xlnm.Print_Titles" localSheetId="1">'KEC BB DISP. TRADING APRIL'!$1:$2</definedName>
    <definedName name="_xlnm.Print_Titles" localSheetId="2">'KEC BB DISPATCHED MAY'!$1:$2</definedName>
  </definedNames>
  <calcPr calcId="124519"/>
</workbook>
</file>

<file path=xl/calcChain.xml><?xml version="1.0" encoding="utf-8"?>
<calcChain xmlns="http://schemas.openxmlformats.org/spreadsheetml/2006/main">
  <c r="E51" i="30"/>
  <c r="E54"/>
  <c r="E67" i="31"/>
  <c r="E48" i="30"/>
  <c r="E43" l="1"/>
  <c r="E41"/>
  <c r="E74" i="31"/>
  <c r="E53"/>
  <c r="E43"/>
  <c r="E37"/>
  <c r="E33"/>
  <c r="E39" i="30"/>
  <c r="E44" s="1"/>
  <c r="E30" i="31" l="1"/>
  <c r="E24"/>
  <c r="E32" i="30"/>
  <c r="E18" i="31" l="1"/>
  <c r="E30" i="30"/>
  <c r="E35" s="1"/>
  <c r="E26"/>
  <c r="E25"/>
  <c r="E20"/>
  <c r="E17"/>
  <c r="E17" i="31"/>
  <c r="E15" i="30"/>
  <c r="E27" s="1"/>
  <c r="E298" i="27"/>
  <c r="E78" i="31" l="1"/>
  <c r="E321" i="28"/>
  <c r="E329"/>
  <c r="E335" s="1"/>
  <c r="E14" i="30"/>
  <c r="E13"/>
  <c r="E11"/>
  <c r="E2"/>
  <c r="E312" i="27" l="1"/>
  <c r="E306"/>
  <c r="E315" s="1"/>
  <c r="E62" i="30" l="1"/>
  <c r="E299" i="27"/>
  <c r="E303" s="1"/>
  <c r="E68" i="30" l="1"/>
  <c r="J74" i="31"/>
  <c r="K76" s="1"/>
  <c r="K78" s="1"/>
  <c r="E290" i="27"/>
  <c r="E287"/>
  <c r="E284"/>
  <c r="E323" i="28"/>
  <c r="E279" i="27" l="1"/>
  <c r="E261"/>
  <c r="E283" s="1"/>
  <c r="E318" i="28" l="1"/>
  <c r="E253" i="27" l="1"/>
  <c r="E249"/>
  <c r="E248"/>
  <c r="E242"/>
  <c r="E235"/>
  <c r="E255" s="1"/>
  <c r="E317" i="28" l="1"/>
  <c r="E315"/>
  <c r="E311"/>
  <c r="E309" l="1"/>
  <c r="E299" l="1"/>
  <c r="E290" l="1"/>
  <c r="E288"/>
  <c r="E285"/>
  <c r="E284"/>
  <c r="E283"/>
  <c r="E282"/>
  <c r="E281"/>
  <c r="E280"/>
  <c r="E277"/>
  <c r="E272"/>
  <c r="E294" s="1"/>
  <c r="E222" i="27" l="1"/>
  <c r="E233" s="1"/>
  <c r="E270" i="28"/>
  <c r="E267"/>
  <c r="E262"/>
  <c r="E220" i="27"/>
  <c r="E218"/>
  <c r="E214" l="1"/>
  <c r="E211"/>
  <c r="E257" i="28"/>
  <c r="E254"/>
  <c r="E210" i="27"/>
  <c r="E216" s="1"/>
  <c r="E205" l="1"/>
  <c r="E200" l="1"/>
  <c r="E197"/>
  <c r="E207" s="1"/>
  <c r="E242" i="28"/>
  <c r="E240"/>
  <c r="E238"/>
  <c r="E250" s="1"/>
  <c r="E173" i="27" l="1"/>
  <c r="E195"/>
  <c r="E193"/>
  <c r="E187" l="1"/>
  <c r="E183"/>
  <c r="E233" i="28"/>
  <c r="E230"/>
  <c r="E227"/>
  <c r="E237" s="1"/>
  <c r="L335" l="1"/>
  <c r="E182" i="27"/>
  <c r="E226" i="28"/>
  <c r="E172" i="27"/>
  <c r="E217" i="28"/>
  <c r="E165" i="27" l="1"/>
  <c r="E209" i="28"/>
  <c r="E202"/>
  <c r="E190" l="1"/>
  <c r="E197" s="1"/>
  <c r="E150" i="27"/>
  <c r="E148"/>
  <c r="E147"/>
  <c r="E145"/>
  <c r="E152" s="1"/>
  <c r="E6" i="29"/>
  <c r="E12" s="1"/>
  <c r="E183" i="28"/>
  <c r="E143" i="27" l="1"/>
  <c r="E144" s="1"/>
  <c r="E158" i="28"/>
  <c r="E155"/>
  <c r="E151"/>
  <c r="E148"/>
  <c r="E146"/>
  <c r="E184" s="1"/>
  <c r="E140" l="1"/>
  <c r="E122" i="27"/>
  <c r="E138" s="1"/>
  <c r="E138" i="28"/>
  <c r="E145" s="1"/>
  <c r="E114" i="27" l="1"/>
  <c r="E131" i="28"/>
  <c r="E110" i="27"/>
  <c r="E101"/>
  <c r="E100"/>
  <c r="E121" s="1"/>
  <c r="E126" i="28"/>
  <c r="E123"/>
  <c r="E134" s="1"/>
  <c r="E120" l="1"/>
  <c r="E118"/>
  <c r="E117"/>
  <c r="E116"/>
  <c r="E113"/>
  <c r="E112"/>
  <c r="E122" s="1"/>
  <c r="E107"/>
  <c r="E104"/>
  <c r="E101"/>
  <c r="E100"/>
  <c r="E97" i="27"/>
  <c r="E96"/>
  <c r="E99" s="1"/>
  <c r="E97" i="28" l="1"/>
  <c r="E110" s="1"/>
  <c r="E94"/>
  <c r="E81"/>
  <c r="E96" s="1"/>
  <c r="E92" i="27" l="1"/>
  <c r="E91"/>
  <c r="E94" s="1"/>
  <c r="E77" i="28"/>
  <c r="E75"/>
  <c r="E73"/>
  <c r="E70"/>
  <c r="E60"/>
  <c r="E57"/>
  <c r="E56"/>
  <c r="E78" s="1"/>
  <c r="E54" l="1"/>
  <c r="E49"/>
  <c r="E55" s="1"/>
  <c r="E47"/>
  <c r="E72" i="27" l="1"/>
  <c r="E70"/>
  <c r="E44" i="28"/>
  <c r="E35"/>
  <c r="E32"/>
  <c r="E45" s="1"/>
  <c r="E24"/>
  <c r="E22"/>
  <c r="E21"/>
  <c r="E18"/>
  <c r="E14"/>
  <c r="E11"/>
  <c r="E9"/>
  <c r="E8"/>
  <c r="E7"/>
  <c r="E60" i="27"/>
  <c r="E67" s="1"/>
  <c r="E43"/>
  <c r="E59" s="1"/>
  <c r="E34"/>
  <c r="E31"/>
  <c r="E41" s="1"/>
  <c r="E29"/>
  <c r="E19"/>
  <c r="E17"/>
  <c r="E14"/>
  <c r="E4"/>
  <c r="E11" s="1"/>
  <c r="E90" l="1"/>
  <c r="E320" s="1"/>
  <c r="E30" i="28"/>
  <c r="E20"/>
  <c r="E27" i="27"/>
  <c r="E286" i="24"/>
  <c r="E339" i="28" l="1"/>
  <c r="J335"/>
  <c r="K337" s="1"/>
  <c r="K339" s="1"/>
  <c r="E326" i="27"/>
  <c r="E279" i="24"/>
  <c r="E273"/>
  <c r="E271"/>
  <c r="E272"/>
  <c r="E282" l="1"/>
  <c r="E263"/>
  <c r="E270" s="1"/>
  <c r="L296" l="1"/>
  <c r="E20" i="26"/>
  <c r="E260" i="24"/>
  <c r="E259"/>
  <c r="E255"/>
  <c r="E252"/>
  <c r="E250"/>
  <c r="E246"/>
  <c r="E241"/>
  <c r="E251" l="1"/>
  <c r="E256"/>
  <c r="E261"/>
  <c r="E239"/>
  <c r="E235"/>
  <c r="E232" l="1"/>
  <c r="E240" s="1"/>
  <c r="E225" l="1"/>
  <c r="E222"/>
  <c r="E231" l="1"/>
  <c r="E217"/>
  <c r="E220" s="1"/>
  <c r="E256" i="25"/>
  <c r="E14" i="26" l="1"/>
  <c r="E207" i="24" l="1"/>
  <c r="E206"/>
  <c r="E199"/>
  <c r="E194"/>
  <c r="E190"/>
  <c r="E189"/>
  <c r="E208" l="1"/>
  <c r="E188"/>
  <c r="E247" i="25"/>
  <c r="E245"/>
  <c r="E250" l="1"/>
  <c r="E238"/>
  <c r="E237"/>
  <c r="E178" i="24"/>
  <c r="E174"/>
  <c r="E171"/>
  <c r="E180" l="1"/>
  <c r="E240" i="25"/>
  <c r="E161" i="24"/>
  <c r="E170" s="1"/>
  <c r="E232" i="25" l="1"/>
  <c r="E228"/>
  <c r="E235" s="1"/>
  <c r="E224"/>
  <c r="E155" i="24"/>
  <c r="E153"/>
  <c r="E160" l="1"/>
  <c r="E223" i="25"/>
  <c r="E152" i="24"/>
  <c r="E198" i="25" l="1"/>
  <c r="E209" s="1"/>
  <c r="E139" i="24"/>
  <c r="E137"/>
  <c r="E145" l="1"/>
  <c r="E189" i="25"/>
  <c r="E187"/>
  <c r="E132" i="24"/>
  <c r="E120"/>
  <c r="E113"/>
  <c r="E109"/>
  <c r="E106"/>
  <c r="E105"/>
  <c r="E99"/>
  <c r="E97"/>
  <c r="E88"/>
  <c r="E78"/>
  <c r="E180" i="25"/>
  <c r="E185" s="1"/>
  <c r="E117" i="24" l="1"/>
  <c r="E196" i="25"/>
  <c r="E134" i="24"/>
  <c r="E103"/>
  <c r="E71"/>
  <c r="E67"/>
  <c r="E64"/>
  <c r="E61"/>
  <c r="E177" i="25"/>
  <c r="E55" i="24"/>
  <c r="E59" s="1"/>
  <c r="E12" i="26"/>
  <c r="E52" i="24"/>
  <c r="E172" i="25"/>
  <c r="E160"/>
  <c r="E44" i="24"/>
  <c r="E45" s="1"/>
  <c r="E76" l="1"/>
  <c r="E42"/>
  <c r="E156" i="25" l="1"/>
  <c r="E151"/>
  <c r="E150"/>
  <c r="E159" s="1"/>
  <c r="E37" i="24" l="1"/>
  <c r="E36"/>
  <c r="E35"/>
  <c r="E142" i="25"/>
  <c r="E143" s="1"/>
  <c r="E34" i="24"/>
  <c r="E39" l="1"/>
  <c r="E27"/>
  <c r="E24"/>
  <c r="E137" i="25"/>
  <c r="E21" i="24"/>
  <c r="E136" i="25"/>
  <c r="E139" l="1"/>
  <c r="E258" s="1"/>
  <c r="J296" i="24" s="1"/>
  <c r="E32"/>
  <c r="E296" s="1"/>
  <c r="E134" i="25"/>
  <c r="E130"/>
  <c r="E125"/>
  <c r="E121"/>
  <c r="E111"/>
  <c r="E106"/>
  <c r="E98"/>
  <c r="E97"/>
  <c r="E85"/>
  <c r="E96" s="1"/>
  <c r="E70"/>
  <c r="E84" s="1"/>
  <c r="E65"/>
  <c r="E42"/>
  <c r="E27"/>
  <c r="E21"/>
  <c r="E13"/>
  <c r="E12"/>
  <c r="E11"/>
  <c r="E3"/>
  <c r="E15" i="24"/>
  <c r="E9"/>
  <c r="E11" s="1"/>
  <c r="E4"/>
  <c r="E6" s="1"/>
  <c r="E3"/>
  <c r="G6" i="23"/>
  <c r="F6"/>
  <c r="E273" i="18"/>
  <c r="E268"/>
  <c r="K298" i="24" l="1"/>
  <c r="K300" s="1"/>
  <c r="E119" i="25"/>
  <c r="E129"/>
  <c r="E135"/>
  <c r="E300" i="24"/>
  <c r="E24" i="25"/>
  <c r="E44"/>
  <c r="E19" i="24"/>
  <c r="E14"/>
  <c r="E275" i="18"/>
  <c r="F9" i="23"/>
  <c r="G9"/>
  <c r="E263" i="18"/>
  <c r="E262"/>
  <c r="E260"/>
  <c r="E264" i="25" l="1"/>
  <c r="E264" i="18"/>
  <c r="E25" i="22" l="1"/>
  <c r="E23" l="1"/>
  <c r="E20"/>
  <c r="E11" i="21"/>
  <c r="E163" i="20"/>
  <c r="E175" s="1"/>
  <c r="E18" i="22" l="1"/>
  <c r="E11"/>
  <c r="E7" i="21"/>
  <c r="E15" s="1"/>
  <c r="E159" i="20"/>
  <c r="E158"/>
  <c r="E32" i="22" l="1"/>
  <c r="E153" i="20"/>
  <c r="E161" s="1"/>
  <c r="K279" i="18" l="1"/>
  <c r="E151" i="20"/>
  <c r="E259" i="18"/>
  <c r="E139" i="20"/>
  <c r="E133"/>
  <c r="E129"/>
  <c r="E127"/>
  <c r="E124"/>
  <c r="L279" i="18"/>
  <c r="E141" i="20" l="1"/>
  <c r="E120"/>
  <c r="E117"/>
  <c r="E112"/>
  <c r="E109"/>
  <c r="E122" l="1"/>
  <c r="E257" i="18" l="1"/>
  <c r="E254"/>
  <c r="E239" l="1"/>
  <c r="E235" l="1"/>
  <c r="E90" i="20"/>
  <c r="E107" s="1"/>
  <c r="E230" i="18" l="1"/>
  <c r="E233" s="1"/>
  <c r="E229" l="1"/>
  <c r="E85" i="20" l="1"/>
  <c r="E72"/>
  <c r="E64"/>
  <c r="E88" l="1"/>
  <c r="E213" i="18"/>
  <c r="E211"/>
  <c r="E56" i="20"/>
  <c r="E206" i="18"/>
  <c r="E54" i="20"/>
  <c r="E50"/>
  <c r="E203" i="18"/>
  <c r="E192"/>
  <c r="E189"/>
  <c r="E60" i="20" l="1"/>
  <c r="E200" i="18"/>
  <c r="E214"/>
  <c r="E177"/>
  <c r="E183" s="1"/>
  <c r="E37" i="20"/>
  <c r="E49" s="1"/>
  <c r="E33" l="1"/>
  <c r="E31"/>
  <c r="E27"/>
  <c r="E26"/>
  <c r="E25"/>
  <c r="E21"/>
  <c r="E36" s="1"/>
  <c r="E172" i="18"/>
  <c r="E170"/>
  <c r="E167"/>
  <c r="E166"/>
  <c r="E162"/>
  <c r="E152"/>
  <c r="E173" l="1"/>
  <c r="E136"/>
  <c r="E107"/>
  <c r="E106"/>
  <c r="E104"/>
  <c r="E102"/>
  <c r="E116" l="1"/>
  <c r="E15" i="20"/>
  <c r="E187" s="1"/>
  <c r="E90" i="18" l="1"/>
  <c r="E88"/>
  <c r="E85"/>
  <c r="E84"/>
  <c r="E81"/>
  <c r="E80"/>
  <c r="E79"/>
  <c r="E13"/>
  <c r="E14" s="1"/>
  <c r="E234" i="16"/>
  <c r="E68" i="18"/>
  <c r="E67"/>
  <c r="E63"/>
  <c r="E62"/>
  <c r="E60"/>
  <c r="E55"/>
  <c r="E50"/>
  <c r="E48"/>
  <c r="E36"/>
  <c r="E40" s="1"/>
  <c r="E32"/>
  <c r="E34" s="1"/>
  <c r="E18"/>
  <c r="E23" s="1"/>
  <c r="E7"/>
  <c r="E6"/>
  <c r="E2"/>
  <c r="E4" s="1"/>
  <c r="E99" l="1"/>
  <c r="E193" i="20"/>
  <c r="J279" i="18"/>
  <c r="E76"/>
  <c r="E66"/>
  <c r="E8"/>
  <c r="E281" l="1"/>
  <c r="E279"/>
  <c r="K281" s="1"/>
  <c r="E283" l="1"/>
  <c r="E232" i="16"/>
  <c r="E228" l="1"/>
  <c r="E230" s="1"/>
  <c r="E224" l="1"/>
  <c r="E227" s="1"/>
  <c r="E161" i="17" l="1"/>
  <c r="E215" i="16"/>
  <c r="E212"/>
  <c r="E211"/>
  <c r="E210"/>
  <c r="E139" i="17"/>
  <c r="E152" s="1"/>
  <c r="E218" i="16" l="1"/>
  <c r="E134" i="17"/>
  <c r="E205" i="16"/>
  <c r="E203"/>
  <c r="E129" i="17"/>
  <c r="E127"/>
  <c r="E136" s="1"/>
  <c r="E207" i="16" l="1"/>
  <c r="E193"/>
  <c r="E192"/>
  <c r="E119" i="17"/>
  <c r="E115"/>
  <c r="E124" s="1"/>
  <c r="E200" i="16" l="1"/>
  <c r="E187"/>
  <c r="E185"/>
  <c r="E112" i="17"/>
  <c r="E114" s="1"/>
  <c r="E183" i="16"/>
  <c r="E188" l="1"/>
  <c r="E178"/>
  <c r="E175"/>
  <c r="E104" i="17"/>
  <c r="E111" s="1"/>
  <c r="E182" i="16" l="1"/>
  <c r="E95" i="17"/>
  <c r="E92"/>
  <c r="E88" l="1"/>
  <c r="E84"/>
  <c r="E101" s="1"/>
  <c r="E172" i="16" l="1"/>
  <c r="E174" s="1"/>
  <c r="E83" i="17" l="1"/>
  <c r="E79"/>
  <c r="E168" i="16"/>
  <c r="E158"/>
  <c r="E156"/>
  <c r="E154"/>
  <c r="E164" l="1"/>
  <c r="E151"/>
  <c r="E147" l="1"/>
  <c r="E153" s="1"/>
  <c r="E140"/>
  <c r="E146" s="1"/>
  <c r="E78" i="17" l="1"/>
  <c r="H181" l="1"/>
  <c r="G181"/>
  <c r="I181" l="1"/>
  <c r="I182" s="1"/>
  <c r="E132" i="16"/>
  <c r="E129"/>
  <c r="E136" l="1"/>
  <c r="E124"/>
  <c r="E122"/>
  <c r="E68" i="17"/>
  <c r="E65"/>
  <c r="E58"/>
  <c r="E56"/>
  <c r="E63" s="1"/>
  <c r="E119" i="16"/>
  <c r="E120" s="1"/>
  <c r="E54" i="17"/>
  <c r="E109" i="16"/>
  <c r="E47" i="17"/>
  <c r="E126" i="16" l="1"/>
  <c r="E104"/>
  <c r="E100"/>
  <c r="E97"/>
  <c r="E105" l="1"/>
  <c r="E90"/>
  <c r="E46" i="17"/>
  <c r="E167" l="1"/>
  <c r="J236" i="16" s="1"/>
  <c r="E80"/>
  <c r="E67" l="1"/>
  <c r="E62"/>
  <c r="E236" l="1"/>
  <c r="K236" s="1"/>
  <c r="E40" i="17"/>
  <c r="E23"/>
  <c r="E22"/>
  <c r="E20"/>
  <c r="E6"/>
  <c r="E3"/>
  <c r="E56" i="16"/>
  <c r="E41"/>
  <c r="E34"/>
  <c r="E31"/>
  <c r="E20"/>
  <c r="E17"/>
  <c r="E13"/>
  <c r="E12"/>
  <c r="E5"/>
  <c r="E11" s="1"/>
  <c r="E36" l="1"/>
  <c r="E13" i="17"/>
  <c r="E5"/>
  <c r="E30"/>
  <c r="E15" i="16"/>
  <c r="E4"/>
  <c r="E27"/>
  <c r="E400" i="11"/>
  <c r="E238" i="16" l="1"/>
  <c r="E240" s="1"/>
  <c r="E169" i="17"/>
  <c r="E173" s="1"/>
  <c r="E389" i="11"/>
  <c r="E394" l="1"/>
  <c r="E385"/>
  <c r="E382"/>
  <c r="E388" l="1"/>
  <c r="E378"/>
  <c r="E381" s="1"/>
  <c r="E374"/>
  <c r="E371"/>
  <c r="E376" l="1"/>
  <c r="E361"/>
  <c r="E360"/>
  <c r="F22" i="13"/>
  <c r="G22"/>
  <c r="I21"/>
  <c r="I20"/>
  <c r="E364" i="11" l="1"/>
  <c r="E46" i="14"/>
  <c r="E51" s="1"/>
  <c r="E357" i="11" l="1"/>
  <c r="E356"/>
  <c r="E8" i="15"/>
  <c r="E350" i="11"/>
  <c r="E38" i="14"/>
  <c r="E348" i="11"/>
  <c r="E33" i="14"/>
  <c r="E32"/>
  <c r="E29"/>
  <c r="E347" i="11"/>
  <c r="E353" s="1"/>
  <c r="G18" i="13"/>
  <c r="F18"/>
  <c r="E358" i="11" l="1"/>
  <c r="E43" i="14"/>
  <c r="E16" i="15"/>
  <c r="E24" i="14"/>
  <c r="E21"/>
  <c r="E343" i="11"/>
  <c r="E336"/>
  <c r="E335"/>
  <c r="E28" i="14" l="1"/>
  <c r="E346" i="11"/>
  <c r="E322"/>
  <c r="E317"/>
  <c r="E332" l="1"/>
  <c r="E18" i="14"/>
  <c r="E20" s="1"/>
  <c r="E313" i="11"/>
  <c r="E305" l="1"/>
  <c r="E300"/>
  <c r="E316" l="1"/>
  <c r="E298" l="1"/>
  <c r="E290"/>
  <c r="E282"/>
  <c r="E281"/>
  <c r="E299" l="1"/>
  <c r="E276"/>
  <c r="E270"/>
  <c r="E266"/>
  <c r="E265"/>
  <c r="E256"/>
  <c r="E257"/>
  <c r="E14" i="14"/>
  <c r="E54" s="1"/>
  <c r="E254" i="11"/>
  <c r="K405" l="1"/>
  <c r="E261"/>
  <c r="E280"/>
  <c r="E253"/>
  <c r="E58" i="14" l="1"/>
  <c r="E242" i="11"/>
  <c r="E240"/>
  <c r="E238"/>
  <c r="E228"/>
  <c r="E217"/>
  <c r="E216"/>
  <c r="E203"/>
  <c r="E202"/>
  <c r="E192"/>
  <c r="E190"/>
  <c r="E239" l="1"/>
  <c r="E245"/>
  <c r="E201"/>
  <c r="E221"/>
  <c r="E175"/>
  <c r="E172"/>
  <c r="E182" l="1"/>
  <c r="E39" i="12"/>
  <c r="E26"/>
  <c r="E171" i="11"/>
  <c r="E153" l="1"/>
  <c r="E152"/>
  <c r="E151"/>
  <c r="E150"/>
  <c r="E143" l="1"/>
  <c r="E142"/>
  <c r="E157" l="1"/>
  <c r="F16" i="13"/>
  <c r="G16"/>
  <c r="E21" i="12" l="1"/>
  <c r="E13"/>
  <c r="E5"/>
  <c r="E125" i="11"/>
  <c r="E138" s="1"/>
  <c r="E47" i="12" l="1"/>
  <c r="J405" i="11" s="1"/>
  <c r="E116"/>
  <c r="E111"/>
  <c r="E107"/>
  <c r="E106"/>
  <c r="E118" l="1"/>
  <c r="F11" i="13"/>
  <c r="G14"/>
  <c r="F14" l="1"/>
  <c r="F24" s="1"/>
  <c r="I10"/>
  <c r="G10"/>
  <c r="I9"/>
  <c r="G9"/>
  <c r="I8"/>
  <c r="G8"/>
  <c r="I7"/>
  <c r="G7"/>
  <c r="I6"/>
  <c r="G6"/>
  <c r="I5"/>
  <c r="G5"/>
  <c r="I4"/>
  <c r="G4"/>
  <c r="E86" i="11"/>
  <c r="E84"/>
  <c r="E82"/>
  <c r="E105" l="1"/>
  <c r="G11" i="13"/>
  <c r="G24" s="1"/>
  <c r="E78" i="11"/>
  <c r="E76"/>
  <c r="E70"/>
  <c r="E66"/>
  <c r="E65"/>
  <c r="E62"/>
  <c r="E61"/>
  <c r="E60"/>
  <c r="E80" l="1"/>
  <c r="E57"/>
  <c r="E55"/>
  <c r="E52"/>
  <c r="E42"/>
  <c r="E41"/>
  <c r="E30"/>
  <c r="E29"/>
  <c r="E28"/>
  <c r="E27"/>
  <c r="E59" l="1"/>
  <c r="E40"/>
  <c r="E19"/>
  <c r="E25" s="1"/>
  <c r="E15"/>
  <c r="E14"/>
  <c r="E13"/>
  <c r="E12"/>
  <c r="E11"/>
  <c r="E10"/>
  <c r="E3"/>
  <c r="E2"/>
  <c r="E405" l="1"/>
  <c r="L405" s="1"/>
  <c r="E9"/>
  <c r="E18"/>
  <c r="E150" i="10"/>
  <c r="E407" i="11" l="1"/>
  <c r="E409"/>
  <c r="E395" i="8"/>
  <c r="E387"/>
  <c r="E396" l="1"/>
  <c r="E382"/>
  <c r="E385" s="1"/>
  <c r="E375" l="1"/>
  <c r="E369"/>
  <c r="E377" l="1"/>
  <c r="E360"/>
  <c r="E359"/>
  <c r="E366" l="1"/>
  <c r="E353"/>
  <c r="E350"/>
  <c r="E345"/>
  <c r="E343"/>
  <c r="E358" l="1"/>
  <c r="E131" i="10"/>
  <c r="E336" i="8"/>
  <c r="E332"/>
  <c r="E341" l="1"/>
  <c r="E121" i="10"/>
  <c r="E326" i="8" l="1"/>
  <c r="E321" l="1"/>
  <c r="E320"/>
  <c r="E319"/>
  <c r="E105" i="10"/>
  <c r="E318" i="8"/>
  <c r="E328" l="1"/>
  <c r="E96" i="10"/>
  <c r="E301" i="8"/>
  <c r="E296" l="1"/>
  <c r="E294"/>
  <c r="E292"/>
  <c r="E286"/>
  <c r="E290" s="1"/>
  <c r="E276"/>
  <c r="E275"/>
  <c r="E272"/>
  <c r="E266"/>
  <c r="E262"/>
  <c r="E277" l="1"/>
  <c r="E303"/>
  <c r="E255"/>
  <c r="E252"/>
  <c r="E265" l="1"/>
  <c r="E243"/>
  <c r="E238"/>
  <c r="E235"/>
  <c r="E251" l="1"/>
  <c r="E219"/>
  <c r="E87" i="10"/>
  <c r="E207" i="8" l="1"/>
  <c r="E233" s="1"/>
  <c r="E203" l="1"/>
  <c r="E195" l="1"/>
  <c r="E206" s="1"/>
  <c r="E185" l="1"/>
  <c r="E191"/>
  <c r="E193"/>
  <c r="E77" i="10"/>
  <c r="E194" i="8" l="1"/>
  <c r="E60" i="10"/>
  <c r="E179" i="8"/>
  <c r="E176"/>
  <c r="E169"/>
  <c r="E167"/>
  <c r="E163"/>
  <c r="E174" l="1"/>
  <c r="E184"/>
  <c r="E161" l="1"/>
  <c r="E159"/>
  <c r="E153"/>
  <c r="E51" i="10"/>
  <c r="E27" i="9"/>
  <c r="E162" i="8" l="1"/>
  <c r="E147"/>
  <c r="E151" s="1"/>
  <c r="E142"/>
  <c r="E137"/>
  <c r="E145" l="1"/>
  <c r="E126"/>
  <c r="E121"/>
  <c r="E116"/>
  <c r="E132" l="1"/>
  <c r="E100"/>
  <c r="E45" i="10"/>
  <c r="E36" l="1"/>
  <c r="E111" i="8" l="1"/>
  <c r="E104"/>
  <c r="E24" i="9"/>
  <c r="E96" i="8"/>
  <c r="E93"/>
  <c r="E86"/>
  <c r="E115" l="1"/>
  <c r="E99"/>
  <c r="E83"/>
  <c r="E79"/>
  <c r="E77"/>
  <c r="E18" i="9"/>
  <c r="E19" s="1"/>
  <c r="E74" i="8"/>
  <c r="E25" i="10"/>
  <c r="E85" i="8" l="1"/>
  <c r="E22" i="10"/>
  <c r="E68" i="8"/>
  <c r="E61"/>
  <c r="E13" i="9"/>
  <c r="E15" s="1"/>
  <c r="E55" i="8" l="1"/>
  <c r="E71" s="1"/>
  <c r="E12" i="10" l="1"/>
  <c r="E166" s="1"/>
  <c r="E9" i="9"/>
  <c r="E39" s="1"/>
  <c r="E50" i="8"/>
  <c r="E38" l="1"/>
  <c r="E52" l="1"/>
  <c r="E400" s="1"/>
  <c r="E7" i="9" l="1"/>
  <c r="E41" s="1"/>
  <c r="E43" s="1"/>
  <c r="E32" i="8"/>
  <c r="E26"/>
  <c r="E20"/>
  <c r="E12"/>
  <c r="E4"/>
  <c r="E9" s="1"/>
  <c r="E5" i="7"/>
  <c r="E35" i="8" l="1"/>
  <c r="E402" s="1"/>
  <c r="E404" s="1"/>
  <c r="E348" i="6"/>
  <c r="E349" s="1"/>
  <c r="E344" l="1"/>
  <c r="E343"/>
  <c r="E335"/>
  <c r="E333"/>
  <c r="E345" l="1"/>
  <c r="E324"/>
  <c r="E331" s="1"/>
  <c r="E317" l="1"/>
  <c r="E309"/>
  <c r="E304"/>
  <c r="E318" l="1"/>
  <c r="E299"/>
  <c r="E293" l="1"/>
  <c r="E285"/>
  <c r="E301" s="1"/>
  <c r="E279" l="1"/>
  <c r="E277"/>
  <c r="E274"/>
  <c r="E269"/>
  <c r="E267"/>
  <c r="E266"/>
  <c r="E258"/>
  <c r="E281" l="1"/>
  <c r="E250"/>
  <c r="E248"/>
  <c r="E246"/>
  <c r="E245"/>
  <c r="E263" s="1"/>
  <c r="E238"/>
  <c r="E242" s="1"/>
  <c r="E229"/>
  <c r="E213"/>
  <c r="E209"/>
  <c r="E231" l="1"/>
  <c r="E207"/>
  <c r="E201" l="1"/>
  <c r="E187"/>
  <c r="E181"/>
  <c r="E178"/>
  <c r="E196" l="1"/>
  <c r="E41" i="5"/>
  <c r="E166" i="6" l="1"/>
  <c r="E160" l="1"/>
  <c r="E159"/>
  <c r="E173" l="1"/>
  <c r="E140"/>
  <c r="E132"/>
  <c r="E152" l="1"/>
  <c r="E124"/>
  <c r="E131" s="1"/>
  <c r="E117" l="1"/>
  <c r="E116"/>
  <c r="E22" i="7"/>
  <c r="E19"/>
  <c r="E14"/>
  <c r="E121" i="6" l="1"/>
  <c r="E23" i="7"/>
  <c r="E11"/>
  <c r="E8"/>
  <c r="E13" l="1"/>
  <c r="E40" s="1"/>
  <c r="E105" i="6"/>
  <c r="E87" l="1"/>
  <c r="E90" s="1"/>
  <c r="E82"/>
  <c r="E68" l="1"/>
  <c r="E61"/>
  <c r="E80" l="1"/>
  <c r="E58"/>
  <c r="E36" l="1"/>
  <c r="E39" s="1"/>
  <c r="E30" l="1"/>
  <c r="E23"/>
  <c r="E32" l="1"/>
  <c r="E352" s="1"/>
  <c r="E356" s="1"/>
  <c r="E368"/>
  <c r="E11"/>
  <c r="E3"/>
  <c r="E14" l="1"/>
  <c r="E122" i="5" l="1"/>
  <c r="E136" s="1"/>
  <c r="E118" l="1"/>
  <c r="E116" l="1"/>
  <c r="E111"/>
  <c r="E110"/>
  <c r="E102"/>
  <c r="E109" s="1"/>
  <c r="E121" l="1"/>
  <c r="E97" l="1"/>
  <c r="E93"/>
  <c r="E101" l="1"/>
  <c r="E90"/>
  <c r="E87"/>
  <c r="E91" s="1"/>
  <c r="E85"/>
  <c r="E72"/>
  <c r="E63" l="1"/>
  <c r="E66" s="1"/>
  <c r="E52" l="1"/>
  <c r="E47"/>
  <c r="E56" s="1"/>
  <c r="E42" l="1"/>
  <c r="E46" s="1"/>
  <c r="E38" l="1"/>
  <c r="E39" s="1"/>
  <c r="E36" l="1"/>
  <c r="E20" l="1"/>
  <c r="E24" s="1"/>
  <c r="E17"/>
  <c r="E12"/>
  <c r="E9"/>
  <c r="E5"/>
  <c r="E7" s="1"/>
  <c r="E155"/>
  <c r="E19" l="1"/>
  <c r="E139" s="1"/>
  <c r="E143" s="1"/>
  <c r="E15"/>
  <c r="E208" i="2"/>
  <c r="E212" s="1"/>
  <c r="E203" l="1"/>
  <c r="E202"/>
  <c r="E191"/>
  <c r="E201" s="1"/>
  <c r="E181"/>
  <c r="E177"/>
  <c r="E184" s="1"/>
  <c r="E206" l="1"/>
  <c r="E166"/>
  <c r="E162"/>
  <c r="E176" l="1"/>
  <c r="E150"/>
  <c r="E161" s="1"/>
  <c r="E147" l="1"/>
  <c r="E54" i="3"/>
  <c r="E136" i="2"/>
  <c r="E130"/>
  <c r="E124"/>
  <c r="E123"/>
  <c r="E138" s="1"/>
  <c r="E118" l="1"/>
  <c r="E115"/>
  <c r="E111"/>
  <c r="E113" s="1"/>
  <c r="E107"/>
  <c r="E49" i="3"/>
  <c r="E47"/>
  <c r="E369" i="6" l="1"/>
  <c r="E156" i="5"/>
  <c r="E122" i="2"/>
  <c r="E234"/>
  <c r="E100"/>
  <c r="E233" s="1"/>
  <c r="E81"/>
  <c r="E85" s="1"/>
  <c r="E79"/>
  <c r="E41" i="3" l="1"/>
  <c r="E38"/>
  <c r="E66" i="2" l="1"/>
  <c r="E63" l="1"/>
  <c r="E74" s="1"/>
  <c r="E60"/>
  <c r="E31" i="3" l="1"/>
  <c r="E55" i="2" l="1"/>
  <c r="E62" s="1"/>
  <c r="E54" l="1"/>
  <c r="E28" i="3" l="1"/>
  <c r="E46" i="2" l="1"/>
  <c r="E22" i="3" l="1"/>
  <c r="E34" i="2"/>
  <c r="E26" l="1"/>
  <c r="E19" i="3"/>
  <c r="E9"/>
  <c r="E7"/>
  <c r="E5"/>
  <c r="E59" l="1"/>
  <c r="E222" i="2" s="1"/>
  <c r="E18"/>
  <c r="E13"/>
  <c r="E8" l="1"/>
  <c r="E4"/>
  <c r="E217" l="1"/>
  <c r="E224" s="1"/>
</calcChain>
</file>

<file path=xl/sharedStrings.xml><?xml version="1.0" encoding="utf-8"?>
<sst xmlns="http://schemas.openxmlformats.org/spreadsheetml/2006/main" count="21971" uniqueCount="4072">
  <si>
    <t>PNAME</t>
  </si>
  <si>
    <t>MS ANGLE  90 * 90 * 6 MM</t>
  </si>
  <si>
    <t>VEHICLE No.</t>
  </si>
  <si>
    <t>Jobwork Challan No.</t>
  </si>
  <si>
    <t>Po. No</t>
  </si>
  <si>
    <t>Invoice No.</t>
  </si>
  <si>
    <t>Invoice Dt</t>
  </si>
  <si>
    <t>Section</t>
  </si>
  <si>
    <t>PO ORDER DATE</t>
  </si>
  <si>
    <t>QTY ISSUED</t>
  </si>
  <si>
    <t>RATE</t>
  </si>
  <si>
    <t>KEC INTERNATIONAL LIMITED,(DUBAI)</t>
  </si>
  <si>
    <t>LOI-1937</t>
  </si>
  <si>
    <t>MS ANGLE  80 * 80 * 6 MM</t>
  </si>
  <si>
    <t xml:space="preserve">April  -23 Total Dispatched </t>
  </si>
  <si>
    <t>VIL/DC/23-24/001</t>
  </si>
  <si>
    <t>MH31FC2568</t>
  </si>
  <si>
    <t>01/315, 02/316</t>
  </si>
  <si>
    <t>VIL/DC/23-24/002</t>
  </si>
  <si>
    <t>MH31FC2213</t>
  </si>
  <si>
    <t>03/316,</t>
  </si>
  <si>
    <t>BB/23-24/001</t>
  </si>
  <si>
    <t>MH40CM3182</t>
  </si>
  <si>
    <t>BB/23-24/002</t>
  </si>
  <si>
    <t>MS ANGLE  90 * 90 * 7 MM</t>
  </si>
  <si>
    <t>VIL/DC/23-24/003</t>
  </si>
  <si>
    <t>MH31FC2610</t>
  </si>
  <si>
    <t>04/317,</t>
  </si>
  <si>
    <t>VIL/DC/23-24/004</t>
  </si>
  <si>
    <t>MH31FC2629</t>
  </si>
  <si>
    <t>05/318,</t>
  </si>
  <si>
    <t>VIL/DC/23-24/005</t>
  </si>
  <si>
    <t>06/316, 07/317</t>
  </si>
  <si>
    <t>VIL/DC/23-24/006</t>
  </si>
  <si>
    <t>08/252, 9/317, 10/318, 11/319</t>
  </si>
  <si>
    <t>VIL/DC/23-24/007</t>
  </si>
  <si>
    <t>MH40CM3181</t>
  </si>
  <si>
    <t>12/319, 13/320</t>
  </si>
  <si>
    <t>BB/23-24/003</t>
  </si>
  <si>
    <t>MH31FC2566</t>
  </si>
  <si>
    <t>VIL/DC/23-24/008</t>
  </si>
  <si>
    <t>VIL/DC/23-24/009</t>
  </si>
  <si>
    <t>MH31FC2623</t>
  </si>
  <si>
    <t>VIL/DC/23-24/010</t>
  </si>
  <si>
    <t>MH361155</t>
  </si>
  <si>
    <t>18/322</t>
  </si>
  <si>
    <t>14/320, 15/321</t>
  </si>
  <si>
    <t>16/321, 17/322</t>
  </si>
  <si>
    <t>VIL/DC/23-24/011</t>
  </si>
  <si>
    <t>19/322, 20/323</t>
  </si>
  <si>
    <t>BB/23-24/004</t>
  </si>
  <si>
    <t>MH31FC2338</t>
  </si>
  <si>
    <t>BB/23-24/005</t>
  </si>
  <si>
    <t>MS ANGLE  100 * 100 * 8 MM</t>
  </si>
  <si>
    <t>MH31FC2620</t>
  </si>
  <si>
    <t>BB/23-24/006</t>
  </si>
  <si>
    <t>MH40N5505</t>
  </si>
  <si>
    <t>BB/23-24/007</t>
  </si>
  <si>
    <t>MS ANGLE  75 * 75 * 6 MM</t>
  </si>
  <si>
    <t>MH34AB1845</t>
  </si>
  <si>
    <t>BB/23-24/008</t>
  </si>
  <si>
    <t>MS ANGLE  100 * 100 * 6 MM</t>
  </si>
  <si>
    <t>MH40AK0269</t>
  </si>
  <si>
    <t>BB/23-24/009</t>
  </si>
  <si>
    <t>MS ANGLE  65 * 65 * 5 MM</t>
  </si>
  <si>
    <t>MS ANGLE  90 * 90 * 5 MM</t>
  </si>
  <si>
    <t>MH46AR8099</t>
  </si>
  <si>
    <t>LOI-2028</t>
  </si>
  <si>
    <t>VIL/DC/23-24/012</t>
  </si>
  <si>
    <t>21/323, 22/324</t>
  </si>
  <si>
    <t>VIL/DC/23-24/013</t>
  </si>
  <si>
    <t>23/325,</t>
  </si>
  <si>
    <t>VIL/DC/23-24/014</t>
  </si>
  <si>
    <t>24/324,</t>
  </si>
  <si>
    <t>VIL/DC/23-24/015</t>
  </si>
  <si>
    <t>VIL/DC/23-24/016</t>
  </si>
  <si>
    <t>25/324, 26/326</t>
  </si>
  <si>
    <t>LOI-2021</t>
  </si>
  <si>
    <t>KEC INTERNATIONAL LIMITED,(BUTIBORI)</t>
  </si>
  <si>
    <t>26/326</t>
  </si>
  <si>
    <t>LOI-2022</t>
  </si>
  <si>
    <t>MS ANGLE  100 * 100 * 7 MM</t>
  </si>
  <si>
    <t>VIL/DC/23-24/017</t>
  </si>
  <si>
    <t>MH40Y2044</t>
  </si>
  <si>
    <t>27/325, 28/326, 29/327</t>
  </si>
  <si>
    <t>VIL/DC/23-24/018</t>
  </si>
  <si>
    <t>MH40Y4044</t>
  </si>
  <si>
    <t xml:space="preserve"> 29/327</t>
  </si>
  <si>
    <t>VIL/DC/23-24/019</t>
  </si>
  <si>
    <t>MH31FC2622</t>
  </si>
  <si>
    <t>VIL/DC/23-24/020</t>
  </si>
  <si>
    <t>31/328, 32/329</t>
  </si>
  <si>
    <t>30/327</t>
  </si>
  <si>
    <t>BB/23-24/010</t>
  </si>
  <si>
    <t>VIL/DC/23-24/021</t>
  </si>
  <si>
    <t>MH31FC5543</t>
  </si>
  <si>
    <t>33/327, 34/329</t>
  </si>
  <si>
    <t>MH40Y3944</t>
  </si>
  <si>
    <t>35/330</t>
  </si>
  <si>
    <t>VIL/DC/23-24/022</t>
  </si>
  <si>
    <t>VIL/DC/23-24/023</t>
  </si>
  <si>
    <t>MH46AR4423</t>
  </si>
  <si>
    <t>36/329, 37/330, 38/331</t>
  </si>
  <si>
    <t>VIL/DC/23-24/024</t>
  </si>
  <si>
    <t>VIL/DC/23-24/025</t>
  </si>
  <si>
    <t>MH31FC2564</t>
  </si>
  <si>
    <t>39/331</t>
  </si>
  <si>
    <t>BB/23-24/012</t>
  </si>
  <si>
    <t>BB/23-24/013</t>
  </si>
  <si>
    <t>MS ANGLE  100 * 100 * 9 MM</t>
  </si>
  <si>
    <t>VIL/DC/23-24/026</t>
  </si>
  <si>
    <t>40/331, 41/332</t>
  </si>
  <si>
    <t>VIL/DC/23-24/027</t>
  </si>
  <si>
    <t>41/332</t>
  </si>
  <si>
    <t>LOI-2019</t>
  </si>
  <si>
    <t>VIL/DC/23-24/028</t>
  </si>
  <si>
    <t>MH46AF3590</t>
  </si>
  <si>
    <t>42/332, 43/333</t>
  </si>
  <si>
    <t>VIL/DC/23-24/029</t>
  </si>
  <si>
    <t xml:space="preserve"> 43/333</t>
  </si>
  <si>
    <t>VIL/DC/23-24/030</t>
  </si>
  <si>
    <t xml:space="preserve"> 44/333, 45/334</t>
  </si>
  <si>
    <t>VIL/DC/23-24/033</t>
  </si>
  <si>
    <t xml:space="preserve"> 48/335</t>
  </si>
  <si>
    <t>BB/23-24/014</t>
  </si>
  <si>
    <t>BB/23-24/016</t>
  </si>
  <si>
    <t>LOI-2020</t>
  </si>
  <si>
    <t>VIL/DC/23-24/032</t>
  </si>
  <si>
    <t>VIL/DC/23-24/031</t>
  </si>
  <si>
    <t xml:space="preserve"> 46/334, 47/335</t>
  </si>
  <si>
    <t>LOI-12</t>
  </si>
  <si>
    <t>VIL/DC/23-24/034</t>
  </si>
  <si>
    <t>49/335, 49/335</t>
  </si>
  <si>
    <t>LOI-21</t>
  </si>
  <si>
    <t>BB/23-24/018</t>
  </si>
  <si>
    <t>MS ANGLE  110 * 110 * 8 MM</t>
  </si>
  <si>
    <t>VIL/DC/23-24/035</t>
  </si>
  <si>
    <t>MH31FC2215</t>
  </si>
  <si>
    <t>50/336</t>
  </si>
  <si>
    <t>51/336, 52/337</t>
  </si>
  <si>
    <t>VIL/DC/23-24/036</t>
  </si>
  <si>
    <t>53/338</t>
  </si>
  <si>
    <t>VIL/DC/23-24/037</t>
  </si>
  <si>
    <t>BB/23-24/019</t>
  </si>
  <si>
    <t>LOI-07</t>
  </si>
  <si>
    <t>BB/23-24/020</t>
  </si>
  <si>
    <t>VIL/DC/23-24/038</t>
  </si>
  <si>
    <t>54/339</t>
  </si>
  <si>
    <t>VIL/DC/23-24/039</t>
  </si>
  <si>
    <t>VIL/DC/23-24/040</t>
  </si>
  <si>
    <t>BB/23-24/021</t>
  </si>
  <si>
    <t>BB/23-24/022</t>
  </si>
  <si>
    <t>BB/23-24/023</t>
  </si>
  <si>
    <t>VIL/DC/23-24/041</t>
  </si>
  <si>
    <t>55/337, 56/338, 57/339, 58/340</t>
  </si>
  <si>
    <t>VIL/DC/23-24/042</t>
  </si>
  <si>
    <t>VIL/DC/23-24/043</t>
  </si>
  <si>
    <t>59/340</t>
  </si>
  <si>
    <t>59/340, 60/341</t>
  </si>
  <si>
    <t>VIL/DC/23-24/044</t>
  </si>
  <si>
    <t>61/341, 62/342</t>
  </si>
  <si>
    <t>VIL/DC/23-24/045</t>
  </si>
  <si>
    <t xml:space="preserve"> 62/342</t>
  </si>
  <si>
    <t>VIL/DC/23-24/046</t>
  </si>
  <si>
    <t>63/342, 64/343</t>
  </si>
  <si>
    <t>BB/23-24/024</t>
  </si>
  <si>
    <t>VIL/DC/23-24/047</t>
  </si>
  <si>
    <t>BB/23-24/025</t>
  </si>
  <si>
    <t>VIL/DC/23-24/048</t>
  </si>
  <si>
    <t>VIL/DC/23-24/049</t>
  </si>
  <si>
    <t>VIL/DC/23-24/050</t>
  </si>
  <si>
    <t>65/343</t>
  </si>
  <si>
    <t>66/344</t>
  </si>
  <si>
    <t>VIL/DC/23-24/051</t>
  </si>
  <si>
    <t>67/346</t>
  </si>
  <si>
    <t>VIL/DC/23-24/052</t>
  </si>
  <si>
    <t>LOI-13</t>
  </si>
  <si>
    <t>VIL/DC/23-24/053</t>
  </si>
  <si>
    <t>VIL/DC/23-24/054</t>
  </si>
  <si>
    <t>BB/23-24/026</t>
  </si>
  <si>
    <t>VIL/DC/23-24/055</t>
  </si>
  <si>
    <t>68/343,69/344,70/346,71/345</t>
  </si>
  <si>
    <t>VIL/DC/23-24/056</t>
  </si>
  <si>
    <t>71/345</t>
  </si>
  <si>
    <t>VIL/DC/23-24/057</t>
  </si>
  <si>
    <t>72/345,73/347</t>
  </si>
  <si>
    <t>BB/23-24/027</t>
  </si>
  <si>
    <t>VIL/DC/23-24/058</t>
  </si>
  <si>
    <t>74/345,75/348</t>
  </si>
  <si>
    <t>VIL/DC/23-24/059</t>
  </si>
  <si>
    <t>75/348</t>
  </si>
  <si>
    <t>VIL/DC/23-24/060</t>
  </si>
  <si>
    <t>75/348,76/349</t>
  </si>
  <si>
    <t>LOI-41</t>
  </si>
  <si>
    <t>VIL/DC/23-24/061</t>
  </si>
  <si>
    <t>HT ANGLE 130X130X9 MM</t>
  </si>
  <si>
    <t>HT ANGLE 130X130X10 MM</t>
  </si>
  <si>
    <t>77/355</t>
  </si>
  <si>
    <t>VIL/DC/23-24/062</t>
  </si>
  <si>
    <t>VIL/DC/23-24/063</t>
  </si>
  <si>
    <t>HT ANGLE 100X100X7 MM</t>
  </si>
  <si>
    <t>78/349, 79/350</t>
  </si>
  <si>
    <t>VIL/DC/23-24/064</t>
  </si>
  <si>
    <t>79/350</t>
  </si>
  <si>
    <t>VIL/DC/23-24/065</t>
  </si>
  <si>
    <t>HT ANGLE 130X130X12 MM</t>
  </si>
  <si>
    <t>80/355, 81/350, 82/351</t>
  </si>
  <si>
    <t>VIL/DC/23-24/066</t>
  </si>
  <si>
    <t>HT ANGLE 110X110X8 MM</t>
  </si>
  <si>
    <t>HT ANGLE 110X110X9 MM</t>
  </si>
  <si>
    <t>83/351, 84/352</t>
  </si>
  <si>
    <t>VIL/DC/23-24/067</t>
  </si>
  <si>
    <t>84/352</t>
  </si>
  <si>
    <t>VIL/DC/23-24/068</t>
  </si>
  <si>
    <t>85/352, 86/354</t>
  </si>
  <si>
    <t>VIL/DC/23-24/069</t>
  </si>
  <si>
    <t>VIL/DC/23-24/070</t>
  </si>
  <si>
    <t>VIL/DC/23-24/071</t>
  </si>
  <si>
    <t>86/354</t>
  </si>
  <si>
    <t>VIL/DC/23-24/072</t>
  </si>
  <si>
    <t xml:space="preserve"> 87/353, 88/354 , 89/356</t>
  </si>
  <si>
    <t>VIL/DC/23-24/073</t>
  </si>
  <si>
    <t xml:space="preserve"> 89/356, 90/357</t>
  </si>
  <si>
    <t>VIL/DC/23-24/074</t>
  </si>
  <si>
    <t>HT ANGLE 150X150X12 MM</t>
  </si>
  <si>
    <t>HT ANGLE 150X150X15 MM</t>
  </si>
  <si>
    <t>HT ANGLE 80X80X6 MM</t>
  </si>
  <si>
    <t>MS ANGLE 90X90X6 MM</t>
  </si>
  <si>
    <t>MH31FC2392</t>
  </si>
  <si>
    <t>91/357</t>
  </si>
  <si>
    <t>HT ANGLE 110X110X10 MM</t>
  </si>
  <si>
    <t>HT ANGLE 110X110X7 MM</t>
  </si>
  <si>
    <t>VIL/DC/23-24/075</t>
  </si>
  <si>
    <t>92/357, 93/358</t>
  </si>
  <si>
    <t>HT ANGLE 110X110X6 MM</t>
  </si>
  <si>
    <t>VIL/DC/23-24/076</t>
  </si>
  <si>
    <t>93/358</t>
  </si>
  <si>
    <t>VIL/DC/23-24/077</t>
  </si>
  <si>
    <t>MH40Y5844</t>
  </si>
  <si>
    <t>94/358, 95/359</t>
  </si>
  <si>
    <t>VIL/DC/23-24/078</t>
  </si>
  <si>
    <t>95/359</t>
  </si>
  <si>
    <t>BB/23-24/029</t>
  </si>
  <si>
    <t>VIL/DC/23-24/079</t>
  </si>
  <si>
    <t>HT ANGLE 130X130X11 MM</t>
  </si>
  <si>
    <t>96/359, 97/361, 98/362</t>
  </si>
  <si>
    <t>VIL/DC/23-24/080</t>
  </si>
  <si>
    <t>99/362, 100/363</t>
  </si>
  <si>
    <t>VIL/DC/23-24/081</t>
  </si>
  <si>
    <t>VIL/DC/23-24/082</t>
  </si>
  <si>
    <t>VIL/DC/23-24/083</t>
  </si>
  <si>
    <t>VIL/DC/23-24/084</t>
  </si>
  <si>
    <t>MS ANGLE 120X120X8 MM</t>
  </si>
  <si>
    <t>101/360</t>
  </si>
  <si>
    <t>HT ANGLE 120X120X10 MM</t>
  </si>
  <si>
    <t>HT ANGLE 100X100X8 MM</t>
  </si>
  <si>
    <t>VIL/DC/23-24/085</t>
  </si>
  <si>
    <t>102/360, 103/363, 104/364</t>
  </si>
  <si>
    <t>105/364, 106/365</t>
  </si>
  <si>
    <t>VIL/DC/23-24/087</t>
  </si>
  <si>
    <t>HT ANGLE 120X120X8 MM</t>
  </si>
  <si>
    <t>107/366</t>
  </si>
  <si>
    <t>VIL/DC/23-24/088</t>
  </si>
  <si>
    <t>HT ANGLE 90X90X7 MM</t>
  </si>
  <si>
    <t>VIL/DC/23-24/089</t>
  </si>
  <si>
    <t>VIL/DC/23-24/090</t>
  </si>
  <si>
    <t>VIL/DC/23-24/091</t>
  </si>
  <si>
    <t>MH40Y4944</t>
  </si>
  <si>
    <t>108/367</t>
  </si>
  <si>
    <t>VIL/DC/23-24/092</t>
  </si>
  <si>
    <t>VIL/DC/23-24/086</t>
  </si>
  <si>
    <t>VIL/DC/23-24/093</t>
  </si>
  <si>
    <t>109/365, 110/366, 111/367,112/368</t>
  </si>
  <si>
    <t>VIL/DC/23-24/094</t>
  </si>
  <si>
    <t>112/368</t>
  </si>
  <si>
    <t>VIL/DC/23-24/095</t>
  </si>
  <si>
    <t>VIL/DC/23-24/096</t>
  </si>
  <si>
    <t>113/368, 114/370</t>
  </si>
  <si>
    <t>VIL/DC/23-24/097</t>
  </si>
  <si>
    <t>114/370</t>
  </si>
  <si>
    <t>VIL/DC/23-24/098</t>
  </si>
  <si>
    <t>VIL/DC/23-24/099</t>
  </si>
  <si>
    <t>HT ANGLE 120X120X9 MM</t>
  </si>
  <si>
    <t>HT ANGLE 100X100X6 MM</t>
  </si>
  <si>
    <t>115/369</t>
  </si>
  <si>
    <t>VIL/DC/23-24/100</t>
  </si>
  <si>
    <t>HT ANGLE 100X100X10 MM</t>
  </si>
  <si>
    <t xml:space="preserve">Trading </t>
  </si>
  <si>
    <t>VIL/DC/23-24/101</t>
  </si>
  <si>
    <t>116/369, 117/370, 118/371</t>
  </si>
  <si>
    <t>VIL/DC/23-24/102</t>
  </si>
  <si>
    <t xml:space="preserve"> 118/371</t>
  </si>
  <si>
    <t>VIL/DC/23-24/103</t>
  </si>
  <si>
    <t>VIL/DC/23-24/104</t>
  </si>
  <si>
    <t>MH40Y9844</t>
  </si>
  <si>
    <t xml:space="preserve"> 119/371</t>
  </si>
  <si>
    <t>VIL/DC/23-24/105</t>
  </si>
  <si>
    <t>119/371, 120/373</t>
  </si>
  <si>
    <t>VIL/DC/23-24/106</t>
  </si>
  <si>
    <t>121/372</t>
  </si>
  <si>
    <t>VIL/DC/23-24/107</t>
  </si>
  <si>
    <t>HT ANGLE 75X75X5 MM</t>
  </si>
  <si>
    <t>VIL/DC/23-24/108</t>
  </si>
  <si>
    <t>HT ANGLE 90X90X5 MM</t>
  </si>
  <si>
    <t>VIL/DC/23-24/109</t>
  </si>
  <si>
    <t>VIL/DC/23-24/110</t>
  </si>
  <si>
    <t>122/ 372, 123/373, 124/374</t>
  </si>
  <si>
    <t>VIL/DC/23-24/111</t>
  </si>
  <si>
    <t>124/374</t>
  </si>
  <si>
    <t>VIL/DC/23-24/112</t>
  </si>
  <si>
    <t>HT ANGLE 80X80X5 MM</t>
  </si>
  <si>
    <t>HT ANGLE 130X130X8 MM</t>
  </si>
  <si>
    <t>125/ 374, 126/375</t>
  </si>
  <si>
    <t>VIL/DC/23-24/113</t>
  </si>
  <si>
    <t>126/375</t>
  </si>
  <si>
    <t>LOI-42</t>
  </si>
  <si>
    <t>VIL/DC/23-24/114</t>
  </si>
  <si>
    <t>VIL/DC/23-24/115</t>
  </si>
  <si>
    <t>VIL/DC/23-24/116</t>
  </si>
  <si>
    <t>HT ANGLE 120X120X7 MM</t>
  </si>
  <si>
    <t>127/375, 128/376</t>
  </si>
  <si>
    <t>VIL/DC/23-24/117</t>
  </si>
  <si>
    <t>129/376, 130/377</t>
  </si>
  <si>
    <t>VIL/DC/23-24/118</t>
  </si>
  <si>
    <t>130/377</t>
  </si>
  <si>
    <t>VIL/DC/23-24/119</t>
  </si>
  <si>
    <t>131/377, 132/ 378</t>
  </si>
  <si>
    <t>VIL/DC/23-24/120</t>
  </si>
  <si>
    <t>132/ 378</t>
  </si>
  <si>
    <t xml:space="preserve">May  -23 Total Dispatched </t>
  </si>
  <si>
    <t>VIL/DC/23-24/121</t>
  </si>
  <si>
    <t>133/378, 134/ 379</t>
  </si>
  <si>
    <t>VIL/DC/23-24/122</t>
  </si>
  <si>
    <t>VIL/DC/23-24/123</t>
  </si>
  <si>
    <t>VIL/DC/23-24/124</t>
  </si>
  <si>
    <t>VIL/DC/23-24/125</t>
  </si>
  <si>
    <t>VIL/DC/23-24/126</t>
  </si>
  <si>
    <t>135/379, 136/380</t>
  </si>
  <si>
    <t xml:space="preserve"> 136/380</t>
  </si>
  <si>
    <t>137/380, 138/381</t>
  </si>
  <si>
    <t>138/381</t>
  </si>
  <si>
    <t>April  -23  Dispatched  shift to may</t>
  </si>
  <si>
    <t>HT ANGLE 100X100X9 MM</t>
  </si>
  <si>
    <t>HT ANGLE 150X150X14 MM</t>
  </si>
  <si>
    <t>HT ANGLE 75X75X6 MM</t>
  </si>
  <si>
    <t>HT ANGLE 90X90X6 MM</t>
  </si>
  <si>
    <t>MS ANGLE 100X100X7 MM</t>
  </si>
  <si>
    <t>VIL/DC/23-24/127</t>
  </si>
  <si>
    <t>HT ANGLE 130X130X13 MM</t>
  </si>
  <si>
    <t>139/381, 140/382</t>
  </si>
  <si>
    <t>VIL/DC/23-24/128</t>
  </si>
  <si>
    <t>140/382</t>
  </si>
  <si>
    <t>VIL/DC/23-24/129</t>
  </si>
  <si>
    <t>VIL/DC/23-24/130</t>
  </si>
  <si>
    <t>April  -23  Dispatched Shift qty</t>
  </si>
  <si>
    <t>VIL/DC/23-24/131</t>
  </si>
  <si>
    <t>MH40CM5134</t>
  </si>
  <si>
    <t>141/382</t>
  </si>
  <si>
    <t>141/382, 142/383</t>
  </si>
  <si>
    <t>LOI-123</t>
  </si>
  <si>
    <t>LOI-124</t>
  </si>
  <si>
    <t>VIL/DC/23-24/132</t>
  </si>
  <si>
    <t>VIL/DC/23-24/133</t>
  </si>
  <si>
    <t>HT ANGLE 150X150X18 MM</t>
  </si>
  <si>
    <t>143/383 , 144/384</t>
  </si>
  <si>
    <t>HT ANGLE 150X150X10 MM</t>
  </si>
  <si>
    <t>VIL/DC/23-24/134</t>
  </si>
  <si>
    <t>VIL/DC/23-24/135</t>
  </si>
  <si>
    <t>MH31FC2567</t>
  </si>
  <si>
    <t>145/384, 146/ 1</t>
  </si>
  <si>
    <t>146/ 1</t>
  </si>
  <si>
    <t>VIL/DC/23-24/136</t>
  </si>
  <si>
    <t xml:space="preserve"> 147/ 1, 148/2</t>
  </si>
  <si>
    <t>VIL/DC/23-24/137</t>
  </si>
  <si>
    <t>148/2</t>
  </si>
  <si>
    <t>VIL/DC/23-24/138</t>
  </si>
  <si>
    <t>VIL/DC/23-24/139</t>
  </si>
  <si>
    <t>HT ANGLE 150X150X16 MM</t>
  </si>
  <si>
    <t>149/2 , 150/3</t>
  </si>
  <si>
    <t>150/3</t>
  </si>
  <si>
    <t>VIL/DC/23-24/140</t>
  </si>
  <si>
    <t>151/3, 152/4</t>
  </si>
  <si>
    <t>VIL/DC/23-24/141</t>
  </si>
  <si>
    <t>152/4</t>
  </si>
  <si>
    <t>HT ANGLE 150X150X20 MM</t>
  </si>
  <si>
    <t>VIL/DC/23-24/142</t>
  </si>
  <si>
    <t>MH40CM3184</t>
  </si>
  <si>
    <t>153/4, 154/5</t>
  </si>
  <si>
    <t>VIL/DC/23-24/143</t>
  </si>
  <si>
    <t>154/5</t>
  </si>
  <si>
    <t>HT ANGLE 150X150X17 MM</t>
  </si>
  <si>
    <t>VIL/DC/23-24/144</t>
  </si>
  <si>
    <t>MH40BG1844</t>
  </si>
  <si>
    <t>155/5</t>
  </si>
  <si>
    <t>LOI-180</t>
  </si>
  <si>
    <t>VIL/DC/23-24/145</t>
  </si>
  <si>
    <t>156/ 6</t>
  </si>
  <si>
    <t>VIL/DC/23-24/146</t>
  </si>
  <si>
    <t>MS ANGLE 130X130X10 MM</t>
  </si>
  <si>
    <t>VIL/DC/23-24/147</t>
  </si>
  <si>
    <t>LOI-173</t>
  </si>
  <si>
    <t>VIL/DC/23-24/148</t>
  </si>
  <si>
    <t>157/ 5</t>
  </si>
  <si>
    <t>LOI-122</t>
  </si>
  <si>
    <t>VIL/DC/23-24/149</t>
  </si>
  <si>
    <t>157/5, 158/6, 159/7</t>
  </si>
  <si>
    <t>LOI-138</t>
  </si>
  <si>
    <t>VIL/DC/23-24/150</t>
  </si>
  <si>
    <t>160/7</t>
  </si>
  <si>
    <t>VIL/DC/23-24/151</t>
  </si>
  <si>
    <t>160/7, 161/8</t>
  </si>
  <si>
    <t>VIL/DC/23-24/152</t>
  </si>
  <si>
    <t>162/ 8, 163/9</t>
  </si>
  <si>
    <t>VIL/DC/23-24/153</t>
  </si>
  <si>
    <t>163/9</t>
  </si>
  <si>
    <t>VIL/DC/23-24/154</t>
  </si>
  <si>
    <t>164/ 9, 165/10</t>
  </si>
  <si>
    <t>VIL/DC/23-24/155</t>
  </si>
  <si>
    <t>165/10</t>
  </si>
  <si>
    <t>VIL/DC/23-24/156</t>
  </si>
  <si>
    <t>VIL/DC/23-24/157</t>
  </si>
  <si>
    <t xml:space="preserve"> 167/11</t>
  </si>
  <si>
    <t>166/ 10, 167/11</t>
  </si>
  <si>
    <t>VIL/DC/23-24/158</t>
  </si>
  <si>
    <t>VIL/DC/23-24/159</t>
  </si>
  <si>
    <t>168/12</t>
  </si>
  <si>
    <t>VIL/DC/23-24/160</t>
  </si>
  <si>
    <t>169/11, 170/12, 171/13</t>
  </si>
  <si>
    <t>VIL/DC/23-24/161</t>
  </si>
  <si>
    <t>171/13</t>
  </si>
  <si>
    <t>VIL/DC/23-24/162</t>
  </si>
  <si>
    <t>172/13</t>
  </si>
  <si>
    <t>VIL/DC/23-24/163</t>
  </si>
  <si>
    <t>172/13, 173/14</t>
  </si>
  <si>
    <t>VIL/DC/23-24/164</t>
  </si>
  <si>
    <t>174/14, 175/15</t>
  </si>
  <si>
    <t>VIL/DC/23-24/165</t>
  </si>
  <si>
    <t>175/15</t>
  </si>
  <si>
    <t>VIL/DC/23-24/166</t>
  </si>
  <si>
    <t>176/15, 177/16</t>
  </si>
  <si>
    <t>LOI-215</t>
  </si>
  <si>
    <t>177/16</t>
  </si>
  <si>
    <t>VIL/DC/23-24/167</t>
  </si>
  <si>
    <t>VIL/DC/23-24/168</t>
  </si>
  <si>
    <t>VIL/DC/23-24/169</t>
  </si>
  <si>
    <t>LOI-214</t>
  </si>
  <si>
    <t>VIL/DC/23-24/170</t>
  </si>
  <si>
    <t>VIL/DC/23-24/171</t>
  </si>
  <si>
    <t>178/16, 179/17</t>
  </si>
  <si>
    <t>VIL/DC/23-24/172</t>
  </si>
  <si>
    <t>179/17</t>
  </si>
  <si>
    <t>LOI-218</t>
  </si>
  <si>
    <t>MS ANGLE 90X90X7 MM</t>
  </si>
  <si>
    <t>VIL/DC/23-24/173</t>
  </si>
  <si>
    <t>VIL/DC/23-24/174</t>
  </si>
  <si>
    <t>VIL/DC/23-24/175</t>
  </si>
  <si>
    <t>179/17, 180/18</t>
  </si>
  <si>
    <t>VIL/DC/23-24/176</t>
  </si>
  <si>
    <t>181/19</t>
  </si>
  <si>
    <t>VIL/DC/23-24/177</t>
  </si>
  <si>
    <t>VIL/DC/23-24/178</t>
  </si>
  <si>
    <t>MAY  -23  Dispatched Shift qty</t>
  </si>
  <si>
    <t xml:space="preserve">JUN  -23 Total Dispatched </t>
  </si>
  <si>
    <t>VIL/DC/23-24/179</t>
  </si>
  <si>
    <t>182/20</t>
  </si>
  <si>
    <t>VIL/DC/23-24/180</t>
  </si>
  <si>
    <t>LOI-174</t>
  </si>
  <si>
    <t>VIL/DC/23-24/181</t>
  </si>
  <si>
    <t>183/21</t>
  </si>
  <si>
    <t>VIL/DC/23-24/182</t>
  </si>
  <si>
    <t>184/18</t>
  </si>
  <si>
    <t>VIL/DC/23-24/183</t>
  </si>
  <si>
    <t>VIL/DC/23-24/184</t>
  </si>
  <si>
    <t>184/18, 185/19, 186/20, 187/21, 188/22</t>
  </si>
  <si>
    <t>VIL/DC/23-24/185</t>
  </si>
  <si>
    <t>HT ANGLE 120X120X12 MM</t>
  </si>
  <si>
    <t>188/22</t>
  </si>
  <si>
    <t>LOI-216</t>
  </si>
  <si>
    <t>VIL/DC/23-24/186</t>
  </si>
  <si>
    <t>VIL/DC/23-24/187</t>
  </si>
  <si>
    <t>VIL/DC/23-24/188</t>
  </si>
  <si>
    <t>189/22</t>
  </si>
  <si>
    <t>VIL/DC/23-24/189</t>
  </si>
  <si>
    <t>189/22, 190/23</t>
  </si>
  <si>
    <t>HT ANGLE 100X100X12 MM</t>
  </si>
  <si>
    <t>VIL/DC/23-24/190</t>
  </si>
  <si>
    <t>190/23</t>
  </si>
  <si>
    <t>VIL/DC/23-24/191</t>
  </si>
  <si>
    <t>191/23</t>
  </si>
  <si>
    <t>VIL/DC/23-24/192</t>
  </si>
  <si>
    <t>191/23 , 192/24</t>
  </si>
  <si>
    <t>VIL/DC/23-24/193</t>
  </si>
  <si>
    <t>192/24</t>
  </si>
  <si>
    <t>LOI-125</t>
  </si>
  <si>
    <t>VIL/DC/23-24/194</t>
  </si>
  <si>
    <t>193/25</t>
  </si>
  <si>
    <t>VIL/DC/23-24/195</t>
  </si>
  <si>
    <t>VIL/DC/23-24/196</t>
  </si>
  <si>
    <t>VIL/DC/23-24/197</t>
  </si>
  <si>
    <t>194/24, 195/25, 196/26</t>
  </si>
  <si>
    <t>MH40CM4419</t>
  </si>
  <si>
    <t>197/27</t>
  </si>
  <si>
    <t>VIL/DC/23-24/198</t>
  </si>
  <si>
    <t>VIL/DC/23-24/199</t>
  </si>
  <si>
    <t>VIL/DC/23-24/200</t>
  </si>
  <si>
    <t>VIL/DC/23-24/201</t>
  </si>
  <si>
    <t>198/26, 199/27</t>
  </si>
  <si>
    <t>VIL/DC/23-24/202</t>
  </si>
  <si>
    <t xml:space="preserve"> 199/27</t>
  </si>
  <si>
    <t>VIL/DC/23-24/203</t>
  </si>
  <si>
    <t>VIL/DC/23-24/204</t>
  </si>
  <si>
    <t>200/27, 201/28, 202/29</t>
  </si>
  <si>
    <t>VIL/DC/23-24/205</t>
  </si>
  <si>
    <t>203/29, 204/30,</t>
  </si>
  <si>
    <t>VIL/DC/23-24/206</t>
  </si>
  <si>
    <t>205/32</t>
  </si>
  <si>
    <t>VIL/DC/23-24/207</t>
  </si>
  <si>
    <t>VIL/DC/23-24/208</t>
  </si>
  <si>
    <t>VIL/DC/23-24/209</t>
  </si>
  <si>
    <t>VIL/DC/23-24/210</t>
  </si>
  <si>
    <t>206/30, 207/32, 208/31</t>
  </si>
  <si>
    <t>VIL/DC/23-24/211</t>
  </si>
  <si>
    <t>MH31FC2216</t>
  </si>
  <si>
    <t>209/30, 207/32, 208/31</t>
  </si>
  <si>
    <t>VIL/DC/23-24/212</t>
  </si>
  <si>
    <t>211/33,</t>
  </si>
  <si>
    <t>VIL/DC/23-24/213</t>
  </si>
  <si>
    <t>VIL/DC/23-24/215</t>
  </si>
  <si>
    <t>VIL/DC/23-24/214</t>
  </si>
  <si>
    <t>211/33, 212/34</t>
  </si>
  <si>
    <t>213/35</t>
  </si>
  <si>
    <t>VIL/DC/23-24/216</t>
  </si>
  <si>
    <t>214/35</t>
  </si>
  <si>
    <t>VIL/DC/23-24/217</t>
  </si>
  <si>
    <t>215/34</t>
  </si>
  <si>
    <t>VIL/DC/23-24/218</t>
  </si>
  <si>
    <t>215/34, 216/35, 217/36</t>
  </si>
  <si>
    <t>VIL/DC/23-24/219</t>
  </si>
  <si>
    <t>218/37</t>
  </si>
  <si>
    <t>VIL/DC/23-24/220</t>
  </si>
  <si>
    <t>VIL/DC/23-24/221</t>
  </si>
  <si>
    <t>VIL/DC/23-24/222</t>
  </si>
  <si>
    <t>VIL/DC/23-24/223</t>
  </si>
  <si>
    <t>MS ANGLE 75X75X8 MM</t>
  </si>
  <si>
    <t>MH40BG0308</t>
  </si>
  <si>
    <t>219/65, 220/66, 221/67</t>
  </si>
  <si>
    <t>LOI-191</t>
  </si>
  <si>
    <t>VIL/DC/23-24/224</t>
  </si>
  <si>
    <t>MH49AT1953</t>
  </si>
  <si>
    <t>222/67, 223/68</t>
  </si>
  <si>
    <t>VIL/DC/23-24/225</t>
  </si>
  <si>
    <t>MH40N7379</t>
  </si>
  <si>
    <t>224/68, 225/69</t>
  </si>
  <si>
    <t>VIL/DC/23-24/226</t>
  </si>
  <si>
    <t>MH49AT0506</t>
  </si>
  <si>
    <t>226/61, 227/69, 228/70</t>
  </si>
  <si>
    <t>VIL/DC/23-24/227</t>
  </si>
  <si>
    <t>MH49AT0503</t>
  </si>
  <si>
    <t>229/70, 230/71</t>
  </si>
  <si>
    <t>MH49AT2926</t>
  </si>
  <si>
    <t>231/71, 232/72</t>
  </si>
  <si>
    <t>VIL/DC/23-24/228</t>
  </si>
  <si>
    <t>VIL/DC/23-24/229</t>
  </si>
  <si>
    <t>232/72</t>
  </si>
  <si>
    <t>LOI-219</t>
  </si>
  <si>
    <t>VIL/DC/23-24/230</t>
  </si>
  <si>
    <t>LOI-213</t>
  </si>
  <si>
    <t>VIL/DC/23-24/231</t>
  </si>
  <si>
    <t>MH40AK6005</t>
  </si>
  <si>
    <t>233/72, 234/73</t>
  </si>
  <si>
    <t>VIL/DC/23-24/232</t>
  </si>
  <si>
    <t xml:space="preserve"> 234/73</t>
  </si>
  <si>
    <t>VIL/DC/23-24/233</t>
  </si>
  <si>
    <t>MH40AK2189</t>
  </si>
  <si>
    <t xml:space="preserve"> 235/73, 236/74</t>
  </si>
  <si>
    <t>VIL/DC/23-24/234</t>
  </si>
  <si>
    <t>236/74</t>
  </si>
  <si>
    <t>VIL/DC/23-24/235</t>
  </si>
  <si>
    <t>MS ANGLE 75X75X6 MM</t>
  </si>
  <si>
    <t>MH49AT2907</t>
  </si>
  <si>
    <t>237/74, 238/ 75</t>
  </si>
  <si>
    <t>VIL/DC/23-24/236</t>
  </si>
  <si>
    <t>VIL/DC/23-24/237</t>
  </si>
  <si>
    <t>238/ 75</t>
  </si>
  <si>
    <t>VIL/DC/23-24/238</t>
  </si>
  <si>
    <t>VIL/DC/23-24/239</t>
  </si>
  <si>
    <t>MH34M6622</t>
  </si>
  <si>
    <t>240/36</t>
  </si>
  <si>
    <t>VIL/DC/23-24/240</t>
  </si>
  <si>
    <t>VIL/DC/23-24/241</t>
  </si>
  <si>
    <t>240/36, 241/37</t>
  </si>
  <si>
    <t>VIL/DC/23-24/242</t>
  </si>
  <si>
    <t>VIL/DC/23-24/243</t>
  </si>
  <si>
    <t>242/37, 243/38</t>
  </si>
  <si>
    <t>243/38</t>
  </si>
  <si>
    <t>VIL/DC/23-24/244</t>
  </si>
  <si>
    <t>LOI-217</t>
  </si>
  <si>
    <t>VIL/DC/23-24/245</t>
  </si>
  <si>
    <t>MH40CM3180</t>
  </si>
  <si>
    <t>244/38, 245/39</t>
  </si>
  <si>
    <t>VIL/DC/23-24/246</t>
  </si>
  <si>
    <t>245/39</t>
  </si>
  <si>
    <t>VIL/DC/23-24/247</t>
  </si>
  <si>
    <t>VIL/DC/23-24/248</t>
  </si>
  <si>
    <t>VIL/DC/23-24/249</t>
  </si>
  <si>
    <t>246/39, 247/40</t>
  </si>
  <si>
    <t>VIL/DC/23-24/250</t>
  </si>
  <si>
    <t>247/40</t>
  </si>
  <si>
    <t>VIL/DC/23-24/251</t>
  </si>
  <si>
    <t>MS ANGLE 80X80X6 MM</t>
  </si>
  <si>
    <t>LOI-267</t>
  </si>
  <si>
    <t>VIL/DC/23-24/252</t>
  </si>
  <si>
    <t>VIL/DC/23-24/253</t>
  </si>
  <si>
    <t>VIL/DC/23-24/254</t>
  </si>
  <si>
    <t>248/40, 249/41</t>
  </si>
  <si>
    <t>VIL/DC/23-24/255</t>
  </si>
  <si>
    <t>249/41</t>
  </si>
  <si>
    <t>VIL/DC/23-24/256</t>
  </si>
  <si>
    <t>VIL/DC/23-24/257</t>
  </si>
  <si>
    <t>MS ANGLE 120X120X9 MM</t>
  </si>
  <si>
    <t>VIL/DC/23-24/258</t>
  </si>
  <si>
    <t>250/ 42</t>
  </si>
  <si>
    <t>LOI-272</t>
  </si>
  <si>
    <t>VIL/DC/23-24/259</t>
  </si>
  <si>
    <t>251/ 43</t>
  </si>
  <si>
    <t>VIL/DC/23-24/260</t>
  </si>
  <si>
    <t>VIL/DC/23-24/261</t>
  </si>
  <si>
    <t>VIL/DC/23-24/262</t>
  </si>
  <si>
    <t>VIL/DC/23-24/263</t>
  </si>
  <si>
    <t>252/ 44, 253/42, 254/43</t>
  </si>
  <si>
    <t>MH40CM3183</t>
  </si>
  <si>
    <t>VIL/DC/23-24/264</t>
  </si>
  <si>
    <t xml:space="preserve"> 254/43, 255/44</t>
  </si>
  <si>
    <t>VIL/DC/23-24/265</t>
  </si>
  <si>
    <t xml:space="preserve"> 255/44</t>
  </si>
  <si>
    <t>VIL/DC/23-24/266</t>
  </si>
  <si>
    <t xml:space="preserve"> 256/44</t>
  </si>
  <si>
    <t>VIL/DC/23-24/267</t>
  </si>
  <si>
    <t>VIL/DC/23-24/268</t>
  </si>
  <si>
    <t>257/44, 258/45</t>
  </si>
  <si>
    <t>VIL/DC/23-24/269</t>
  </si>
  <si>
    <t>258/45</t>
  </si>
  <si>
    <t>VIL/DC/23-24/270</t>
  </si>
  <si>
    <t>VIL/DC/23-24/271</t>
  </si>
  <si>
    <t>PARTY NAME</t>
  </si>
  <si>
    <t>QTY(MT)</t>
  </si>
  <si>
    <t>PO DATE</t>
  </si>
  <si>
    <t>PO. NO.</t>
  </si>
  <si>
    <t xml:space="preserve">KEC BUTIBORI DISPATCHED DETAILS </t>
  </si>
  <si>
    <t>VIL/DC/23-24/272</t>
  </si>
  <si>
    <t>259/46</t>
  </si>
  <si>
    <t>VIL/DC/23-24/273</t>
  </si>
  <si>
    <t>VIL/DC/23-24/274</t>
  </si>
  <si>
    <t>260/45, 261/46, 262/47</t>
  </si>
  <si>
    <t>VIL/DC/23-24/275</t>
  </si>
  <si>
    <t>263/47</t>
  </si>
  <si>
    <t>VIL/DC/23-24/276</t>
  </si>
  <si>
    <t>263/47, 264/48</t>
  </si>
  <si>
    <t>VIL/DC/23-24/277</t>
  </si>
  <si>
    <t>265/48</t>
  </si>
  <si>
    <t>VIL/DC/23-24/278</t>
  </si>
  <si>
    <t>VIL/DC/23-24/279</t>
  </si>
  <si>
    <t>266/48 , 267/49</t>
  </si>
  <si>
    <t>MS ANGLE 65X65X5 MM</t>
  </si>
  <si>
    <t>MS ANGLE 70X70X5 MM</t>
  </si>
  <si>
    <t>VIL/DC/23-24/280</t>
  </si>
  <si>
    <t>267/49</t>
  </si>
  <si>
    <t>VIL/DC/23-24/281</t>
  </si>
  <si>
    <t>VIL/DC/23-24/282</t>
  </si>
  <si>
    <t>VIL/DC/23-24/283</t>
  </si>
  <si>
    <t>VIL/DC/23-24/284</t>
  </si>
  <si>
    <t>268/49</t>
  </si>
  <si>
    <t>VIL/DC/23-24/285</t>
  </si>
  <si>
    <t>269/49, 270/50</t>
  </si>
  <si>
    <t>LOI-192</t>
  </si>
  <si>
    <t>VIL/DC/23-24/286</t>
  </si>
  <si>
    <t>MH31FC2217</t>
  </si>
  <si>
    <t>271/50</t>
  </si>
  <si>
    <t>VIL/DC/23-24/287</t>
  </si>
  <si>
    <t>VIL/DC/23-24/288</t>
  </si>
  <si>
    <t>276/ 53</t>
  </si>
  <si>
    <t>274/51, 275/ 52</t>
  </si>
  <si>
    <t>272/50, 273/ 51</t>
  </si>
  <si>
    <t>VIL/DC/23-24/289</t>
  </si>
  <si>
    <t>VIL/DC/23-24/290</t>
  </si>
  <si>
    <t>MH31FC2621</t>
  </si>
  <si>
    <t>277/ 52</t>
  </si>
  <si>
    <t>LOI-193</t>
  </si>
  <si>
    <t>VIL/DC/23-24/291</t>
  </si>
  <si>
    <t>277/ 52, 278/53, 279/54</t>
  </si>
  <si>
    <t>VIL/DC/23-24/292</t>
  </si>
  <si>
    <t>280/54, 281/55</t>
  </si>
  <si>
    <t>VIL/DC/23-24/293</t>
  </si>
  <si>
    <t>281/55</t>
  </si>
  <si>
    <t>VIL/DC/23-24/294</t>
  </si>
  <si>
    <t>VIL/DC/23-24/295</t>
  </si>
  <si>
    <t>282/55</t>
  </si>
  <si>
    <t>VIL/DC/23-24/296</t>
  </si>
  <si>
    <t>VIL/DC/23-24/297</t>
  </si>
  <si>
    <t>MS ANGLE 75X75X5 MM</t>
  </si>
  <si>
    <t>VIL/DC/23-24/298</t>
  </si>
  <si>
    <t>LOI-338</t>
  </si>
  <si>
    <t>VIL/DC/23-24/299</t>
  </si>
  <si>
    <t>282/55, 283/56</t>
  </si>
  <si>
    <t>LOI-337</t>
  </si>
  <si>
    <t>VIL/DC/23-24/300</t>
  </si>
  <si>
    <t xml:space="preserve"> 283/56</t>
  </si>
  <si>
    <t>VIL/DC/23-24/301</t>
  </si>
  <si>
    <t>284/56</t>
  </si>
  <si>
    <t>VIL/DC/23-24/302</t>
  </si>
  <si>
    <t>VIL/DC/23-24/303</t>
  </si>
  <si>
    <t>VIL/DC/23-24/304</t>
  </si>
  <si>
    <t>284/56 , 285/57</t>
  </si>
  <si>
    <t>VIL/DC/23-24/305</t>
  </si>
  <si>
    <t>286/57 , 287/58</t>
  </si>
  <si>
    <t>VIL/DC/23-24/306</t>
  </si>
  <si>
    <t>KEC INTERNATIONAL LIMITED,(JABALPUR)</t>
  </si>
  <si>
    <t>MH49AT4594</t>
  </si>
  <si>
    <t>288/76</t>
  </si>
  <si>
    <t>VIL/DC/23-24/307</t>
  </si>
  <si>
    <t>MS ANGLE 90X90X8 MM</t>
  </si>
  <si>
    <t>LOI-339</t>
  </si>
  <si>
    <t>VIL/DC/23-24/308</t>
  </si>
  <si>
    <t>LOI-341</t>
  </si>
  <si>
    <t>VIL/DC/23-24/309</t>
  </si>
  <si>
    <t>289/ 58, 290/59</t>
  </si>
  <si>
    <t>VIL/DC/23-24/310</t>
  </si>
  <si>
    <t xml:space="preserve">291/ 59, </t>
  </si>
  <si>
    <t>VIL/DC/23-24/311</t>
  </si>
  <si>
    <t>291/ 59, 292/60</t>
  </si>
  <si>
    <t>LOI-347</t>
  </si>
  <si>
    <t>VIL/DC/23-24/312</t>
  </si>
  <si>
    <t>293/60 294/61</t>
  </si>
  <si>
    <t>VIL/DC/23-24/313</t>
  </si>
  <si>
    <t>294/61</t>
  </si>
  <si>
    <t>VIL/DC/23-24/314</t>
  </si>
  <si>
    <t>295/61, 296/62</t>
  </si>
  <si>
    <t>VIL/DC/23-24/315</t>
  </si>
  <si>
    <t>296/62</t>
  </si>
  <si>
    <t>VIL/DC/23-24/316</t>
  </si>
  <si>
    <t>297/62 , 298/63</t>
  </si>
  <si>
    <t>VIL/DC/23-24/317</t>
  </si>
  <si>
    <t>299/63</t>
  </si>
  <si>
    <t>VIL/DC/23-24/318</t>
  </si>
  <si>
    <t>VIL/DC/23-24/319</t>
  </si>
  <si>
    <t>VIL/DC/23-24/320</t>
  </si>
  <si>
    <t>300/64</t>
  </si>
  <si>
    <t>VIL/DC/23-24/321</t>
  </si>
  <si>
    <t>VIL/DC/23-24/322</t>
  </si>
  <si>
    <t>VIL/DC/23-24/323</t>
  </si>
  <si>
    <t>301/63, 302/64, 303/65</t>
  </si>
  <si>
    <t>VIL/DC/23-24/324</t>
  </si>
  <si>
    <t>303/65</t>
  </si>
  <si>
    <t>VIL/DC/23-24/325</t>
  </si>
  <si>
    <t>VIL/DC/23-24/326</t>
  </si>
  <si>
    <t>304/ 66</t>
  </si>
  <si>
    <t>VIL/DC/23-24/327</t>
  </si>
  <si>
    <t>VIL/DC/23-24/328</t>
  </si>
  <si>
    <t>305/ 65, 306/66</t>
  </si>
  <si>
    <t>VIL/DC/23-24/329</t>
  </si>
  <si>
    <t>306/ 66, 307/67</t>
  </si>
  <si>
    <t>VIL/DC/23-24/330</t>
  </si>
  <si>
    <t>308/ 67, 309/68</t>
  </si>
  <si>
    <t>VIL/DC/23-24/331</t>
  </si>
  <si>
    <t>310/68, 311/69</t>
  </si>
  <si>
    <t>VIL/DC/23-24/332</t>
  </si>
  <si>
    <t>311/69</t>
  </si>
  <si>
    <t>VIL/DC/23-24/333</t>
  </si>
  <si>
    <t>HT ANGLE 70X70X5 MM</t>
  </si>
  <si>
    <t>HT ANGLE 70X70X6 MM</t>
  </si>
  <si>
    <t>VIL/DC/23-24/334</t>
  </si>
  <si>
    <t>312/69, 313/70</t>
  </si>
  <si>
    <t>VIL/DC/23-24/335</t>
  </si>
  <si>
    <t>MS ANGLE 130X130X9 MM</t>
  </si>
  <si>
    <t>314/70</t>
  </si>
  <si>
    <t>VIL/DC/23-24/338</t>
  </si>
  <si>
    <t>314/70, 315/71</t>
  </si>
  <si>
    <t>VIL/DC/23-24/336</t>
  </si>
  <si>
    <t>VIL/DC/23-24/337</t>
  </si>
  <si>
    <t>316/71, 317/72</t>
  </si>
  <si>
    <t>317/72</t>
  </si>
  <si>
    <t>VIL/DC/23-24/339</t>
  </si>
  <si>
    <t>318/72</t>
  </si>
  <si>
    <t>VIL/DC/23-24/340</t>
  </si>
  <si>
    <t>318/72, 319/73</t>
  </si>
  <si>
    <t>VIL/DC/23-24/341</t>
  </si>
  <si>
    <t>319/73</t>
  </si>
  <si>
    <t>LOI-336</t>
  </si>
  <si>
    <t>VIL/DC/23-24/342</t>
  </si>
  <si>
    <t>320/73</t>
  </si>
  <si>
    <t>VIL/DC/23-24/343</t>
  </si>
  <si>
    <t>VIL/DC/23-24/344</t>
  </si>
  <si>
    <t>VIL/DC/23-24/345</t>
  </si>
  <si>
    <t>320/73, 321/74</t>
  </si>
  <si>
    <t>VIL/DC/23-24/346</t>
  </si>
  <si>
    <t>VIL/DC/23-24/347</t>
  </si>
  <si>
    <t>322/74, 323/75</t>
  </si>
  <si>
    <t>VIL/DC/23-24/348</t>
  </si>
  <si>
    <t>324/75</t>
  </si>
  <si>
    <t>VIL/DC/23-24/349</t>
  </si>
  <si>
    <t>324/75, 325/76</t>
  </si>
  <si>
    <t>VIL/DC/23-24/350</t>
  </si>
  <si>
    <t>325/76</t>
  </si>
  <si>
    <t>VIL/DC/23-24/351</t>
  </si>
  <si>
    <t>326/76</t>
  </si>
  <si>
    <t>VIL/DC/23-24/352</t>
  </si>
  <si>
    <t>326/76, 327/ 77</t>
  </si>
  <si>
    <t>VIL/DC/23-24/353</t>
  </si>
  <si>
    <t>328/77, 329/ 78</t>
  </si>
  <si>
    <t>VIL/DC/23-24/354</t>
  </si>
  <si>
    <t>329/78</t>
  </si>
  <si>
    <t>VIL/DC/23-24/355</t>
  </si>
  <si>
    <t>330/78</t>
  </si>
  <si>
    <t>VIL/DC/23-24/356</t>
  </si>
  <si>
    <t>VIL/DC/23-24/357</t>
  </si>
  <si>
    <t>330/78, 331/79</t>
  </si>
  <si>
    <t>VIL/DC/23-24/358</t>
  </si>
  <si>
    <t>332/79, 333/80</t>
  </si>
  <si>
    <t>VIL/DC/23-24/359</t>
  </si>
  <si>
    <t>334/ 80</t>
  </si>
  <si>
    <t>VIL/DC/23-24/360</t>
  </si>
  <si>
    <t>VIL/DC/23-24/361</t>
  </si>
  <si>
    <t>334/ 80, 335/81</t>
  </si>
  <si>
    <t>VIL/DC/23-24/362</t>
  </si>
  <si>
    <t>335/81</t>
  </si>
  <si>
    <t>VIL/DC/23-24/363</t>
  </si>
  <si>
    <t>336/81, 337/83</t>
  </si>
  <si>
    <t>VIL/DC/23-24/364</t>
  </si>
  <si>
    <t>338/82, 339/83</t>
  </si>
  <si>
    <t>VIL/DC/23-24/365</t>
  </si>
  <si>
    <t>339/83</t>
  </si>
  <si>
    <t>VIL/DC/23-24/366</t>
  </si>
  <si>
    <t>340/83, 341/ 84</t>
  </si>
  <si>
    <t>VIL/DC/23-24/367</t>
  </si>
  <si>
    <t>341/ 84</t>
  </si>
  <si>
    <t>VIL/DC/23-24/368</t>
  </si>
  <si>
    <t>MH31FC2613</t>
  </si>
  <si>
    <t>342/ 84</t>
  </si>
  <si>
    <t>VIL/DC/23-24/369</t>
  </si>
  <si>
    <t>VIL/DC/23-24/370</t>
  </si>
  <si>
    <t>VIL/DC/23-24/371</t>
  </si>
  <si>
    <t>343/ 84, 344/85</t>
  </si>
  <si>
    <t>VIL/DC/23-24/372</t>
  </si>
  <si>
    <t>344/ 85, 345/86</t>
  </si>
  <si>
    <t>VIL/DC/23-24/373</t>
  </si>
  <si>
    <t>346/ 86, 347/87</t>
  </si>
  <si>
    <t>VIL/DC/23-24/374</t>
  </si>
  <si>
    <t>348/87 , 349/88</t>
  </si>
  <si>
    <t>VIL/DC/23-24/375</t>
  </si>
  <si>
    <t>349/88</t>
  </si>
  <si>
    <t>VIL/DC/23-24/376</t>
  </si>
  <si>
    <t>MH40AK5044</t>
  </si>
  <si>
    <t>350/88, 351/89</t>
  </si>
  <si>
    <t>VIL/DC/23-24/377</t>
  </si>
  <si>
    <t>351/89</t>
  </si>
  <si>
    <t>VIL/DC/23-24/378</t>
  </si>
  <si>
    <t>352/89, 353/90</t>
  </si>
  <si>
    <t>VIL/DC/23-24/379</t>
  </si>
  <si>
    <t>VIL/DC/23-24/380</t>
  </si>
  <si>
    <t>354/90, 355/91</t>
  </si>
  <si>
    <t>VIL/DC/23-24/381</t>
  </si>
  <si>
    <t>355/91</t>
  </si>
  <si>
    <t>MS ANGLE 100X100X6 MM</t>
  </si>
  <si>
    <t>VIL/DC/23-24/382</t>
  </si>
  <si>
    <t>356/ 91,357/92</t>
  </si>
  <si>
    <t>VIL/DC/23-24/383</t>
  </si>
  <si>
    <t>357/92</t>
  </si>
  <si>
    <t>VIL/DC/23-24/384</t>
  </si>
  <si>
    <t>358/92, 359/93</t>
  </si>
  <si>
    <t>VIL/DC/23-24/385</t>
  </si>
  <si>
    <t>359/93</t>
  </si>
  <si>
    <t>VIL/DC/23-24/386</t>
  </si>
  <si>
    <t>360/93, 361/94</t>
  </si>
  <si>
    <t>QTYISSUED</t>
  </si>
  <si>
    <t>PORDERDATE</t>
  </si>
  <si>
    <t>KEC INTERNATIONAL LTD.,JABALPUR</t>
  </si>
  <si>
    <t>JUN  -23  Dispatched Shift qty</t>
  </si>
  <si>
    <t xml:space="preserve">JULY  -23 Total Dispatched </t>
  </si>
  <si>
    <t>VIL/DC/23-24/387</t>
  </si>
  <si>
    <t>362/94, 363/95</t>
  </si>
  <si>
    <t>VIL/DC/23-24/388</t>
  </si>
  <si>
    <t>363/95</t>
  </si>
  <si>
    <t>VIL/DC/23-24/389</t>
  </si>
  <si>
    <t>364/95</t>
  </si>
  <si>
    <t>VIL/DC/23-24/390</t>
  </si>
  <si>
    <t>VIL/DC/23-24/391</t>
  </si>
  <si>
    <t>364/95, 365/96</t>
  </si>
  <si>
    <t>VIL/DC/23-24/392</t>
  </si>
  <si>
    <t>365/ 96</t>
  </si>
  <si>
    <t>VIL/DC/23-24/393</t>
  </si>
  <si>
    <t>366/96, 337/97</t>
  </si>
  <si>
    <t>MS ANGLE 100X100X8 MM</t>
  </si>
  <si>
    <t>MH04FD6732</t>
  </si>
  <si>
    <t>368/76</t>
  </si>
  <si>
    <t>BB/23-24/0039</t>
  </si>
  <si>
    <t>LOI-389</t>
  </si>
  <si>
    <t>BB/23-24/0040</t>
  </si>
  <si>
    <t>LOI-388</t>
  </si>
  <si>
    <t>BB/23-24/0041</t>
  </si>
  <si>
    <t>VIL/DC/23-24/394</t>
  </si>
  <si>
    <t>VIL/DC/23-24/395</t>
  </si>
  <si>
    <t>369/97, 370/98</t>
  </si>
  <si>
    <t>VIL/DC/23-24/396</t>
  </si>
  <si>
    <t>370/98</t>
  </si>
  <si>
    <t>VIL/DC/23-24/397</t>
  </si>
  <si>
    <t>VIL/DC/23-24/398</t>
  </si>
  <si>
    <t>MH40AK4183</t>
  </si>
  <si>
    <t>371/76</t>
  </si>
  <si>
    <t>VIL/DC/23-24/399</t>
  </si>
  <si>
    <t>371/76, 372/77</t>
  </si>
  <si>
    <t>VIL/DC/23-24/402</t>
  </si>
  <si>
    <t>373/98, 374/99</t>
  </si>
  <si>
    <t>VIL/DC/23-24/403</t>
  </si>
  <si>
    <t>374/99</t>
  </si>
  <si>
    <t>VIL/DC/23-24/404</t>
  </si>
  <si>
    <t>375/99, 376/100</t>
  </si>
  <si>
    <t>VIL/DC/23-24/405</t>
  </si>
  <si>
    <t>376/100</t>
  </si>
  <si>
    <t>VIL/DC/23-24/406</t>
  </si>
  <si>
    <t>MH40AK6075</t>
  </si>
  <si>
    <t>377/76, 372/77</t>
  </si>
  <si>
    <t>BB/23-24/0042</t>
  </si>
  <si>
    <t>BB/23-24/0043</t>
  </si>
  <si>
    <t>BB/23-24/0045</t>
  </si>
  <si>
    <t>TOTAL</t>
  </si>
  <si>
    <t>MS ANGLE 90X90X5 MM</t>
  </si>
  <si>
    <t>MH49AT0403</t>
  </si>
  <si>
    <t>BB/23-24/0046</t>
  </si>
  <si>
    <t>BB/23-24/0047</t>
  </si>
  <si>
    <t>VIL/DC/23-24/400</t>
  </si>
  <si>
    <t>VIL/DC/23-24/401</t>
  </si>
  <si>
    <t>VIL/DC/23-24/407</t>
  </si>
  <si>
    <t>379/ 100</t>
  </si>
  <si>
    <t>HT ANGLE 100X100X7MM</t>
  </si>
  <si>
    <t>VIL/DC/23-24/408</t>
  </si>
  <si>
    <t>379/ 100, 380/101</t>
  </si>
  <si>
    <t>LOI-384</t>
  </si>
  <si>
    <t>VIL/DC/23-24/409</t>
  </si>
  <si>
    <t>381/ 78</t>
  </si>
  <si>
    <t>VIL/DC/23-24/410</t>
  </si>
  <si>
    <t>MS ANGLE 80X80X8 MM</t>
  </si>
  <si>
    <t>381/ 78, 382/79</t>
  </si>
  <si>
    <t>HT ANGLE 100X100X8MM</t>
  </si>
  <si>
    <t>HT ANGLE 100X100X6MM</t>
  </si>
  <si>
    <t>VIL/DC/23-24/411</t>
  </si>
  <si>
    <t>383/ 101, 384/102</t>
  </si>
  <si>
    <t>HT ANGLE 70X70X5MM</t>
  </si>
  <si>
    <t>HT ANGLE 130X130X12MM</t>
  </si>
  <si>
    <t>HT ANGLE 80X80X6MM</t>
  </si>
  <si>
    <t>VIL/DC/23-24/412</t>
  </si>
  <si>
    <t>385/ 102, 386/103</t>
  </si>
  <si>
    <t>VIL/DC/23-24/413</t>
  </si>
  <si>
    <t>HT ANGLE 120X120X9MM</t>
  </si>
  <si>
    <t>387/ 103, 388/104</t>
  </si>
  <si>
    <t>VIL/DC/23-24/414</t>
  </si>
  <si>
    <t>MH46H6074</t>
  </si>
  <si>
    <t>389/104, 390/105</t>
  </si>
  <si>
    <t>VIL/DC/23-24/415</t>
  </si>
  <si>
    <t>HT ANGLE 120X120X12MM</t>
  </si>
  <si>
    <t>390/105</t>
  </si>
  <si>
    <t>VIL/DC/23-24/416</t>
  </si>
  <si>
    <t>MS ANGLE 75X75X6MM</t>
  </si>
  <si>
    <t>MH46H6281</t>
  </si>
  <si>
    <t>391/106</t>
  </si>
  <si>
    <t>HT ANGLE 130X130X10MM</t>
  </si>
  <si>
    <t>VIL/DC/23-24/417</t>
  </si>
  <si>
    <t>392/105</t>
  </si>
  <si>
    <t>VIL/DC/23-24/418</t>
  </si>
  <si>
    <t>VIL/DC/23-24/419</t>
  </si>
  <si>
    <t>HT ANGLE 150X150X13 MM</t>
  </si>
  <si>
    <t>392/105, 393/106, 394/107</t>
  </si>
  <si>
    <t>LOI-416</t>
  </si>
  <si>
    <t>VIL/DC/23-24/420</t>
  </si>
  <si>
    <t>MH40AK1958</t>
  </si>
  <si>
    <t>395/79</t>
  </si>
  <si>
    <t>LOI-340</t>
  </si>
  <si>
    <t>VIL/DC/23-24/421</t>
  </si>
  <si>
    <t>VIL/DC/23-24/422</t>
  </si>
  <si>
    <t>VIL/DC/23-24/423</t>
  </si>
  <si>
    <t>396/ 107, 397/108</t>
  </si>
  <si>
    <t>VIL/DC/23-24/424</t>
  </si>
  <si>
    <t>398/108</t>
  </si>
  <si>
    <t>VIL/DC/23-24/425</t>
  </si>
  <si>
    <t>399/108, 400/109</t>
  </si>
  <si>
    <t>VIL/DC/23-24/426</t>
  </si>
  <si>
    <t>400/109</t>
  </si>
  <si>
    <t>VIL/DC/23-24/427</t>
  </si>
  <si>
    <t>400/109, 401/110</t>
  </si>
  <si>
    <t>BB/23-24/0051</t>
  </si>
  <si>
    <t>BB/23-24/0052</t>
  </si>
  <si>
    <t>VIL/DC/23-24/428</t>
  </si>
  <si>
    <t>402/110</t>
  </si>
  <si>
    <t>BB/23-24/0053</t>
  </si>
  <si>
    <t>MH49AT1947</t>
  </si>
  <si>
    <t>LOI-434</t>
  </si>
  <si>
    <t>BB/23-24/0054</t>
  </si>
  <si>
    <t>LOI-435</t>
  </si>
  <si>
    <t>LOI-441</t>
  </si>
  <si>
    <t>BB/23-24/0058</t>
  </si>
  <si>
    <t>BB/23-24/0056</t>
  </si>
  <si>
    <t>LOI-439</t>
  </si>
  <si>
    <t>BB/23-24/0057</t>
  </si>
  <si>
    <t>VIL/DC/23-24/429</t>
  </si>
  <si>
    <t>403/110, 404/111</t>
  </si>
  <si>
    <t>VIL/DC/23-24/430</t>
  </si>
  <si>
    <t>404/111</t>
  </si>
  <si>
    <t>VIL/DC/23-24/431</t>
  </si>
  <si>
    <t>405/111</t>
  </si>
  <si>
    <t>VIL/DC/23-24/432</t>
  </si>
  <si>
    <t>VIL/DC/23-24/433</t>
  </si>
  <si>
    <t>405/111, 406/ 112</t>
  </si>
  <si>
    <t>VIL/DC/23-24/434</t>
  </si>
  <si>
    <t>407/ 112, 408/113</t>
  </si>
  <si>
    <t>VIL/DC/23-24/435</t>
  </si>
  <si>
    <t>408/113</t>
  </si>
  <si>
    <t>VIL/DC/23-24/436</t>
  </si>
  <si>
    <t>LOI-436</t>
  </si>
  <si>
    <t>VIL/DC/23-24/437</t>
  </si>
  <si>
    <t>409/113</t>
  </si>
  <si>
    <t>VIL/DC/23-24/438</t>
  </si>
  <si>
    <t>409/113, 410/114</t>
  </si>
  <si>
    <t>VIL/DC/23-24/439</t>
  </si>
  <si>
    <t>410/114</t>
  </si>
  <si>
    <t>VIL/DC/23-24/440</t>
  </si>
  <si>
    <t xml:space="preserve">411/114, 412/115 </t>
  </si>
  <si>
    <t>VIL/DC/23-24/441</t>
  </si>
  <si>
    <t xml:space="preserve">412/115 </t>
  </si>
  <si>
    <t>VIL/DC/23-24/442</t>
  </si>
  <si>
    <t>413/115</t>
  </si>
  <si>
    <t>LOI-433</t>
  </si>
  <si>
    <t>VIL/DC/23-24/443</t>
  </si>
  <si>
    <t>VIL/DC/23-24/444</t>
  </si>
  <si>
    <t>VIL/DC/23-24/445</t>
  </si>
  <si>
    <t>VIL/DC/23-24/446</t>
  </si>
  <si>
    <t>413/115, 414/116</t>
  </si>
  <si>
    <t>LOI-430</t>
  </si>
  <si>
    <t xml:space="preserve"> 414/116</t>
  </si>
  <si>
    <t>LOI-438</t>
  </si>
  <si>
    <t>VIL/DC/23-24/454</t>
  </si>
  <si>
    <t>VIL/DC/23-24/455</t>
  </si>
  <si>
    <t>423/79</t>
  </si>
  <si>
    <t>BB/23-24/0062</t>
  </si>
  <si>
    <t>BB/23-24/0063</t>
  </si>
  <si>
    <t>BB/23-24/0064</t>
  </si>
  <si>
    <t>VIL/DC/23-24/447</t>
  </si>
  <si>
    <t>MH31FC2337</t>
  </si>
  <si>
    <t>415/116, 416/ 117</t>
  </si>
  <si>
    <t>VIL/DC/23-24/448</t>
  </si>
  <si>
    <t>417/117, 418/ 118</t>
  </si>
  <si>
    <t>VIL/DC/23-24/449</t>
  </si>
  <si>
    <t>418/ 118</t>
  </si>
  <si>
    <t>VIL/DC/23-24/450</t>
  </si>
  <si>
    <t>VIL/DC/23-24/451</t>
  </si>
  <si>
    <t>419/ 118, 420/119</t>
  </si>
  <si>
    <t>VIL/DC/23-24/452</t>
  </si>
  <si>
    <t>420/119</t>
  </si>
  <si>
    <t>VIL/DC/23-24/453</t>
  </si>
  <si>
    <t>421/ 119, 422/120</t>
  </si>
  <si>
    <t>VIL/DC/23-24/456</t>
  </si>
  <si>
    <t>424/ 120, 425/121</t>
  </si>
  <si>
    <t>VIL/DC/23-24/457</t>
  </si>
  <si>
    <t>426/ 121, 427/122</t>
  </si>
  <si>
    <t>VIL/DC/23-24/458</t>
  </si>
  <si>
    <t>427/122</t>
  </si>
  <si>
    <t>VIL/DC/23-24/459</t>
  </si>
  <si>
    <t>428/122,  429/123</t>
  </si>
  <si>
    <t>VIL/DC/23-24/460</t>
  </si>
  <si>
    <t>429/123</t>
  </si>
  <si>
    <t>LOI-437</t>
  </si>
  <si>
    <t>VIL/DC/23-24/461</t>
  </si>
  <si>
    <t>VIL/DC/23-24/462</t>
  </si>
  <si>
    <t>BB/23-24/0067</t>
  </si>
  <si>
    <t>MH40Y1047</t>
  </si>
  <si>
    <t>BB/23-24/0068</t>
  </si>
  <si>
    <t>BB/23-24/0069</t>
  </si>
  <si>
    <t>BB/23-24/0070</t>
  </si>
  <si>
    <t>VIL/DC/23-24/463</t>
  </si>
  <si>
    <t>430/123</t>
  </si>
  <si>
    <t>VIL/DC/23-24/464</t>
  </si>
  <si>
    <t>430/123, 431/124</t>
  </si>
  <si>
    <t>VIL/DC/23-24/465</t>
  </si>
  <si>
    <t>431/124</t>
  </si>
  <si>
    <t>VIL/DC/23-24/466</t>
  </si>
  <si>
    <t>LOI-444</t>
  </si>
  <si>
    <t>VIL/DC/23-24/467</t>
  </si>
  <si>
    <t>432/124, 433/125</t>
  </si>
  <si>
    <t>VIL/DC/23-24/468</t>
  </si>
  <si>
    <t>433/125</t>
  </si>
  <si>
    <t>VIL/DC/23-24/469</t>
  </si>
  <si>
    <t>HT ANGLE 90X90X8 MM</t>
  </si>
  <si>
    <t>VIL/DC/23-24/470</t>
  </si>
  <si>
    <t>434/125, 435/126</t>
  </si>
  <si>
    <t>VIL/DC/23-24/471</t>
  </si>
  <si>
    <t>436/126, 437/ 127</t>
  </si>
  <si>
    <t>VIL/DC/23-24/472</t>
  </si>
  <si>
    <t>438/127, 439/ 128</t>
  </si>
  <si>
    <t>BB/23-24/0072</t>
  </si>
  <si>
    <t>BB/23-24/0073</t>
  </si>
  <si>
    <t>BB/23-24/0074</t>
  </si>
  <si>
    <t>BB/23-24/0075</t>
  </si>
  <si>
    <t>BB/23-24/0076</t>
  </si>
  <si>
    <t>VIL/DC/23-24/476</t>
  </si>
  <si>
    <t>VIL/DC/23-24/473</t>
  </si>
  <si>
    <t>MS ANGLE 80X80X6.5 MM</t>
  </si>
  <si>
    <t>441/ 129</t>
  </si>
  <si>
    <t>440/128, 441/ 129</t>
  </si>
  <si>
    <t>LOI-432</t>
  </si>
  <si>
    <t>VIL/DC/23-24/474</t>
  </si>
  <si>
    <t>VIL/DC/23-24/475</t>
  </si>
  <si>
    <t>VIL/DC/23-24/477</t>
  </si>
  <si>
    <t>LOI-405</t>
  </si>
  <si>
    <t>VIL/DC/23-24/478</t>
  </si>
  <si>
    <t>LOI-498</t>
  </si>
  <si>
    <t>VIL/DC/23-24/479</t>
  </si>
  <si>
    <t>442/129, 443/130</t>
  </si>
  <si>
    <t>LOI-494</t>
  </si>
  <si>
    <t>VIL/DC/23-24/480</t>
  </si>
  <si>
    <t>443/130</t>
  </si>
  <si>
    <t>VIL/DC/23-24/481</t>
  </si>
  <si>
    <t>VIL/DC/23-24/482</t>
  </si>
  <si>
    <t>444/130, 445/131</t>
  </si>
  <si>
    <t>VIL/DC/23-24/483</t>
  </si>
  <si>
    <t>445/131</t>
  </si>
  <si>
    <t>VIL/DC/23-24/484</t>
  </si>
  <si>
    <t>VIL/DC/23-24/485</t>
  </si>
  <si>
    <t>LOI-517</t>
  </si>
  <si>
    <t>BB/23-24/0077</t>
  </si>
  <si>
    <t>MH40N7423</t>
  </si>
  <si>
    <t>BB/23-24/0078</t>
  </si>
  <si>
    <t>BB/23-24/0079</t>
  </si>
  <si>
    <t>MS ANGLE 80X80X5 MM</t>
  </si>
  <si>
    <t>BB/23-24/0080</t>
  </si>
  <si>
    <t>BB/23-24/0081</t>
  </si>
  <si>
    <t>BB/23-24/0082</t>
  </si>
  <si>
    <t>LOI-423</t>
  </si>
  <si>
    <t>LOI-447</t>
  </si>
  <si>
    <t>VIL/DC/23-24/486</t>
  </si>
  <si>
    <t>446/131, 447/ 132</t>
  </si>
  <si>
    <t>VIL/DC/23-24/487</t>
  </si>
  <si>
    <t>447/ 132</t>
  </si>
  <si>
    <t>VIL/DC/23-24/488</t>
  </si>
  <si>
    <t>VIL/DC/23-24/489</t>
  </si>
  <si>
    <t>VIL/DC/23-24/490</t>
  </si>
  <si>
    <t>448/ 132</t>
  </si>
  <si>
    <t>VIL/DC/23-24/491</t>
  </si>
  <si>
    <t>VIL/DC/23-24/492</t>
  </si>
  <si>
    <t>449/ 133</t>
  </si>
  <si>
    <t>VIL/DC/23-24/494</t>
  </si>
  <si>
    <t>VIL/DC/23-24/493</t>
  </si>
  <si>
    <t>VIL/DC/23-24/495</t>
  </si>
  <si>
    <t>VIL/DC/23-24/496</t>
  </si>
  <si>
    <t>VIL/DC/23-24/497</t>
  </si>
  <si>
    <t>450/133</t>
  </si>
  <si>
    <t>VIL/DC/23-24/498</t>
  </si>
  <si>
    <t>450/133, 451/134</t>
  </si>
  <si>
    <t>VIL/DC/23-24/499</t>
  </si>
  <si>
    <t>MH40AK9944</t>
  </si>
  <si>
    <t>452/134, , 453/ 135</t>
  </si>
  <si>
    <t>VIL/DC/23-24/500</t>
  </si>
  <si>
    <t>453/ 135</t>
  </si>
  <si>
    <t>VIL/DC/23-24/501</t>
  </si>
  <si>
    <t>VIL/DC/23-24/502</t>
  </si>
  <si>
    <t>VIL/DC/23-24/503</t>
  </si>
  <si>
    <t>454/ 135, 455/136</t>
  </si>
  <si>
    <t>VIL/DC/23-24/504</t>
  </si>
  <si>
    <t>455/136</t>
  </si>
  <si>
    <t>VIL/DC/23-24/505</t>
  </si>
  <si>
    <t>VIL/DC/23-24/506</t>
  </si>
  <si>
    <t>VIL/DC/23-24/507</t>
  </si>
  <si>
    <t>456/136</t>
  </si>
  <si>
    <t>LOI-443</t>
  </si>
  <si>
    <t>VIL/DC/23-24/508</t>
  </si>
  <si>
    <t>457/136, 458/137</t>
  </si>
  <si>
    <t>VIL/DC/23-24/509</t>
  </si>
  <si>
    <t>458/137, 459/138</t>
  </si>
  <si>
    <t>VIL/DC/23-24/510</t>
  </si>
  <si>
    <t>459/138</t>
  </si>
  <si>
    <t>VIL/DC/23-24/511</t>
  </si>
  <si>
    <t>460/138</t>
  </si>
  <si>
    <t>LOI-431</t>
  </si>
  <si>
    <t>VIL/DC/23-24/512</t>
  </si>
  <si>
    <t>HT ANGLE 80X80X6.5 MM</t>
  </si>
  <si>
    <t>VIL/DC/23-24/513</t>
  </si>
  <si>
    <t>VIL/DC/23-24/514</t>
  </si>
  <si>
    <t>460/138, 461/139</t>
  </si>
  <si>
    <t>VIL/DC/23-24/515</t>
  </si>
  <si>
    <t>461/ 139</t>
  </si>
  <si>
    <t>LOI-495</t>
  </si>
  <si>
    <t>VIL/DC/23-24/516</t>
  </si>
  <si>
    <t>462/ 138, 463/139</t>
  </si>
  <si>
    <t>LOI-442</t>
  </si>
  <si>
    <t>VIL/DC/23-24/517</t>
  </si>
  <si>
    <t>463/ 139</t>
  </si>
  <si>
    <t>VIL/DC/23-24/518</t>
  </si>
  <si>
    <t>VIL/DC/23-24/519</t>
  </si>
  <si>
    <t>VIL/DC/23-24/520</t>
  </si>
  <si>
    <t>VIL/DC/23-24/521</t>
  </si>
  <si>
    <t>463/ 139, 464/140</t>
  </si>
  <si>
    <t>VIL/DC/23-24/522</t>
  </si>
  <si>
    <t>VIL/DC/23-24/523</t>
  </si>
  <si>
    <t>464/140</t>
  </si>
  <si>
    <t>465/140</t>
  </si>
  <si>
    <t>LOI-501</t>
  </si>
  <si>
    <t>VIL/DC/23-24/524</t>
  </si>
  <si>
    <t>465/140, 466/ 141</t>
  </si>
  <si>
    <t>VIL/DC/23-24/525</t>
  </si>
  <si>
    <t>466/141, 467/ 142</t>
  </si>
  <si>
    <t>VIL/DC/23-24/526</t>
  </si>
  <si>
    <t>MH40Y5644</t>
  </si>
  <si>
    <t>468/142</t>
  </si>
  <si>
    <t>VIL/DC/23-24/527</t>
  </si>
  <si>
    <t>VIL/DC/23-24/528</t>
  </si>
  <si>
    <t>VIL/DC/23-24/529</t>
  </si>
  <si>
    <t>VIL/DC/23-24/530</t>
  </si>
  <si>
    <t>LOI-499</t>
  </si>
  <si>
    <t>VIL/DC/23-24/531</t>
  </si>
  <si>
    <t>468/142, 469/143, 470/144</t>
  </si>
  <si>
    <t>LOI-497</t>
  </si>
  <si>
    <t>VIL/DC/23-24/532</t>
  </si>
  <si>
    <t>470/144</t>
  </si>
  <si>
    <t>VIL/DC/23-24/533</t>
  </si>
  <si>
    <t>VIL/DC/23-24/534</t>
  </si>
  <si>
    <t>VIL/DC/23-24/535</t>
  </si>
  <si>
    <t>HT  ANGLE 110X110X10 MM</t>
  </si>
  <si>
    <t>471/144, 472/147</t>
  </si>
  <si>
    <t>VIL/DC/23-24/536</t>
  </si>
  <si>
    <t>HT  ANGLE 110X110X8 MM</t>
  </si>
  <si>
    <t>HT  ANGLE 110X110X7 MM</t>
  </si>
  <si>
    <t>473/147, 474/148</t>
  </si>
  <si>
    <t>VIL/DC/23-24/537</t>
  </si>
  <si>
    <t xml:space="preserve"> 474/148</t>
  </si>
  <si>
    <t>VIL/DC/23-24/538</t>
  </si>
  <si>
    <t>474/148, 475/149, 476/150, 477/151</t>
  </si>
  <si>
    <t>VIL/DC/23-24/539</t>
  </si>
  <si>
    <t>BB/23-24/0084</t>
  </si>
  <si>
    <t>MH40BG0309</t>
  </si>
  <si>
    <t>LOI-422</t>
  </si>
  <si>
    <t>BB/23-24/0085</t>
  </si>
  <si>
    <t>LOI-446</t>
  </si>
  <si>
    <t>BB/23-24/0086</t>
  </si>
  <si>
    <t>BB/23-24/0087</t>
  </si>
  <si>
    <t>LOI-504</t>
  </si>
  <si>
    <t>HT  ANGLE 110X110X9 MM</t>
  </si>
  <si>
    <t>MH40Y3144</t>
  </si>
  <si>
    <t>478/ 151</t>
  </si>
  <si>
    <t>HT  ANGLE 110X110X6 MM</t>
  </si>
  <si>
    <t>VIL/DC/23-24/540</t>
  </si>
  <si>
    <t>478/ 151, 479/152</t>
  </si>
  <si>
    <t>VIL/DC/23-24/541</t>
  </si>
  <si>
    <t>LOI-496</t>
  </si>
  <si>
    <t>VIL/DC/23-24/542</t>
  </si>
  <si>
    <t>HT  ANGLE 100X100X8 MM</t>
  </si>
  <si>
    <t>480/152, 481/153</t>
  </si>
  <si>
    <t>VIL/DC/23-24/543</t>
  </si>
  <si>
    <t>482/153, 483/155</t>
  </si>
  <si>
    <t>MS  ANGLE 110X110X7 MM</t>
  </si>
  <si>
    <t>MS  ANGLE 110X110X8 MM</t>
  </si>
  <si>
    <t>VIL/DC/23-24/544</t>
  </si>
  <si>
    <t>483/155</t>
  </si>
  <si>
    <t>VIL/DC/23-24/545</t>
  </si>
  <si>
    <t>MS  ANGLE 110X110X10 MM</t>
  </si>
  <si>
    <t>VIL/DC/23-24/546</t>
  </si>
  <si>
    <t>VIL/DC/23-24/547</t>
  </si>
  <si>
    <t>LOI-419</t>
  </si>
  <si>
    <t>VIL/DC/23-24/548</t>
  </si>
  <si>
    <t>BB/23-24/0088</t>
  </si>
  <si>
    <t>BB/23-24/0089</t>
  </si>
  <si>
    <t>LOI-502</t>
  </si>
  <si>
    <t>BB/23-24/0090</t>
  </si>
  <si>
    <t>BB/23-24/0091</t>
  </si>
  <si>
    <t>BB/23-24/0092</t>
  </si>
  <si>
    <t>HT  ANGLE 120X120X10 MM</t>
  </si>
  <si>
    <t>HT  ANGLE 120X120X9 MM</t>
  </si>
  <si>
    <t>VIL/DC/23-24/549</t>
  </si>
  <si>
    <t>484/154, 485/155, 486/156, 487/157, 488/159</t>
  </si>
  <si>
    <t>VIL/DC/23-24/550</t>
  </si>
  <si>
    <t>488/159, 489/158</t>
  </si>
  <si>
    <t>VIL/DC/23-24/551</t>
  </si>
  <si>
    <t>490/158</t>
  </si>
  <si>
    <t>VIL/DC/23-24/552</t>
  </si>
  <si>
    <t>490/158, 491/160</t>
  </si>
  <si>
    <t>VIL/DC/23-24/553</t>
  </si>
  <si>
    <t>491/160</t>
  </si>
  <si>
    <t>BB/23-24/0093</t>
  </si>
  <si>
    <t>MH40Y0987</t>
  </si>
  <si>
    <t>MS ANGLE 110X110X10 MM</t>
  </si>
  <si>
    <t>BB/23-24/0094</t>
  </si>
  <si>
    <t>MS ANGLE 110X110X8 MM</t>
  </si>
  <si>
    <t>BB/23-24/0095</t>
  </si>
  <si>
    <t>LOI-424</t>
  </si>
  <si>
    <t>BB/23-24/0096</t>
  </si>
  <si>
    <t>BB/23-24/0097</t>
  </si>
  <si>
    <t>BB/23-24/0098</t>
  </si>
  <si>
    <t>VIL/DC/23-24/554</t>
  </si>
  <si>
    <t>HT  ANGLE 120X120X8 MM</t>
  </si>
  <si>
    <t>492/145</t>
  </si>
  <si>
    <t>VIL/DC/23-24/555</t>
  </si>
  <si>
    <t>LOI-500</t>
  </si>
  <si>
    <t>VIL/DC/23-24/556</t>
  </si>
  <si>
    <t>493/145, 494/146</t>
  </si>
  <si>
    <t>VIL/DC/23-24/557</t>
  </si>
  <si>
    <t>494/146</t>
  </si>
  <si>
    <t>VIL/DC/23-24/558</t>
  </si>
  <si>
    <t>MS  ANGLE 120X120X10 MM</t>
  </si>
  <si>
    <t>VIL/DC/23-24/559</t>
  </si>
  <si>
    <t>494/146, 495/160</t>
  </si>
  <si>
    <t>VIL/DC/23-24/560</t>
  </si>
  <si>
    <t>495/160</t>
  </si>
  <si>
    <t>VIL/DC/23-24/561</t>
  </si>
  <si>
    <t>MH40AK1960</t>
  </si>
  <si>
    <t>LOI-503</t>
  </si>
  <si>
    <t>MS ANGLE 120X120X10 MM</t>
  </si>
  <si>
    <t>BB/23-24/0100</t>
  </si>
  <si>
    <t>BB/23-24/0101</t>
  </si>
  <si>
    <t>BB/23-24/0102</t>
  </si>
  <si>
    <t>BB/23-24/0103</t>
  </si>
  <si>
    <t>VIL/DC/23-24/562</t>
  </si>
  <si>
    <t>HT  ANGLE 100X100X10 MM</t>
  </si>
  <si>
    <t>496/160, 497/161</t>
  </si>
  <si>
    <t>VIL/DC/23-24/563</t>
  </si>
  <si>
    <t>498/161, 499/162</t>
  </si>
  <si>
    <t>MS  ANGLE 130X130X9 MM</t>
  </si>
  <si>
    <t>VIL/DC/23-24/564</t>
  </si>
  <si>
    <t>499/162</t>
  </si>
  <si>
    <t>VIL/DC/23-24/565</t>
  </si>
  <si>
    <t>MH40BG0544</t>
  </si>
  <si>
    <t>500/162</t>
  </si>
  <si>
    <t>VIL/DC/23-24/566</t>
  </si>
  <si>
    <t>MS  ANGLE 120X120X8 MM</t>
  </si>
  <si>
    <t>VIL/DC/23-24/567</t>
  </si>
  <si>
    <t>500/162, 501/163</t>
  </si>
  <si>
    <t>VIL/DC/23-24/568</t>
  </si>
  <si>
    <t>501/163</t>
  </si>
  <si>
    <t>VIL/DC/23-24/569</t>
  </si>
  <si>
    <t>HT  ANGLE 130X130X12 MM</t>
  </si>
  <si>
    <t>502/163, 503/164</t>
  </si>
  <si>
    <t>VIL/DC/23-24/570</t>
  </si>
  <si>
    <t>503/164</t>
  </si>
  <si>
    <t>VIL/DC/23-24/571</t>
  </si>
  <si>
    <t>VIL/DC/23-24/572</t>
  </si>
  <si>
    <t>504/165</t>
  </si>
  <si>
    <t>HT  ANGLE 100X100X6 MM</t>
  </si>
  <si>
    <t>HT  ANGLE 100X100X7 MM</t>
  </si>
  <si>
    <t>VIL/DC/23-24/573</t>
  </si>
  <si>
    <t>505/164, 506/165, 507/166</t>
  </si>
  <si>
    <t>VIL/DC/23-24/574</t>
  </si>
  <si>
    <t>507/166</t>
  </si>
  <si>
    <t>VIL/DC/23-24/575</t>
  </si>
  <si>
    <t>VIL/DC/23-24/576</t>
  </si>
  <si>
    <t>VIL/DC/23-24/577</t>
  </si>
  <si>
    <t>MS  ANGLE 100X100X6 MM</t>
  </si>
  <si>
    <t>508/166, 509/167</t>
  </si>
  <si>
    <t>MS  ANGLE 100X100X10 MM</t>
  </si>
  <si>
    <t>VIL/DC/23-24/578</t>
  </si>
  <si>
    <t>509/167</t>
  </si>
  <si>
    <t>HT  ANGLE 130X130X9 MM</t>
  </si>
  <si>
    <t>VIL/DC/23-24/579</t>
  </si>
  <si>
    <t>510/168</t>
  </si>
  <si>
    <t>VIL/DC/23-24/580</t>
  </si>
  <si>
    <t>LOI-420(PG)</t>
  </si>
  <si>
    <t>LOI-421(PG)</t>
  </si>
  <si>
    <t>LOI-428(PG)</t>
  </si>
  <si>
    <t>LOI-429(PG)</t>
  </si>
  <si>
    <t>LOI-445(PG)</t>
  </si>
  <si>
    <t>VIL/DC/23-24/581</t>
  </si>
  <si>
    <t>HT  ANGLE 150X150X15 MM</t>
  </si>
  <si>
    <t>HT  ANGLE 150X150X14 MM</t>
  </si>
  <si>
    <t>MS  ANGLE 110X110X6 MM</t>
  </si>
  <si>
    <t>511/168</t>
  </si>
  <si>
    <t>VIL/DC/23-24/582</t>
  </si>
  <si>
    <t>HT  ANGLE 150X150X20 MM</t>
  </si>
  <si>
    <t>LOI-493</t>
  </si>
  <si>
    <t>VIL/DC/23-24/583</t>
  </si>
  <si>
    <t>511/168, 512/169</t>
  </si>
  <si>
    <t>VIL/DC/23-24/584</t>
  </si>
  <si>
    <t>512/169</t>
  </si>
  <si>
    <t>VIL/DC/23-24/585</t>
  </si>
  <si>
    <t>HT  ANGLE 130X130X11 MM</t>
  </si>
  <si>
    <t>VIL/DC/23-24/586</t>
  </si>
  <si>
    <t>HT  ANGLE 110X110X12 MM</t>
  </si>
  <si>
    <t xml:space="preserve">513/169, 514/170 </t>
  </si>
  <si>
    <t>VIL/DC/23-24/587</t>
  </si>
  <si>
    <t>514/170</t>
  </si>
  <si>
    <t>VIL/DC/23-24/588</t>
  </si>
  <si>
    <t>514/170, 515/171</t>
  </si>
  <si>
    <t>LOI-553</t>
  </si>
  <si>
    <t>VIL/DC/23-24/589</t>
  </si>
  <si>
    <t>HT  ANGLE 130X130X10 MM</t>
  </si>
  <si>
    <t>516/171, 517/172</t>
  </si>
  <si>
    <t>VIL/DC/23-24/590</t>
  </si>
  <si>
    <t>517/172, 518/173</t>
  </si>
  <si>
    <t>HT  ANGLE 130X130X8 MM</t>
  </si>
  <si>
    <t>VIL/DC/23-24/591</t>
  </si>
  <si>
    <t>MH40AK5144</t>
  </si>
  <si>
    <t>519/174</t>
  </si>
  <si>
    <t>VIL/DC/23-24/592</t>
  </si>
  <si>
    <t>VIL/DC/23-24/593</t>
  </si>
  <si>
    <t>BB/23-24/0104</t>
  </si>
  <si>
    <t>BB/23-24/0105</t>
  </si>
  <si>
    <t>BB/23-24/0107</t>
  </si>
  <si>
    <t>BB/23-24/0109</t>
  </si>
  <si>
    <t>LOI-537</t>
  </si>
  <si>
    <t>BB/23-24/0108</t>
  </si>
  <si>
    <t>VIL/DC/23-24/594</t>
  </si>
  <si>
    <t>520/173, 521/174</t>
  </si>
  <si>
    <t>VIL/DC/23-24/595</t>
  </si>
  <si>
    <t>521/174, 522/175</t>
  </si>
  <si>
    <t>VIL/DC/23-24/596</t>
  </si>
  <si>
    <t>HT  ANGLE 150X150X18 MM</t>
  </si>
  <si>
    <t>522/175, 523/176, 524/177</t>
  </si>
  <si>
    <t>VIL/DC/23-24/597</t>
  </si>
  <si>
    <t>VIL/DC/23-24/598</t>
  </si>
  <si>
    <t>525/177, 526/178</t>
  </si>
  <si>
    <t>526/178, 527/179</t>
  </si>
  <si>
    <t>VIL/DC/23-24/599</t>
  </si>
  <si>
    <t>528/179, 529/180, 530/181</t>
  </si>
  <si>
    <t>530/181</t>
  </si>
  <si>
    <t>VIL/DC/23-24/600</t>
  </si>
  <si>
    <t>VIL/DC/23-24/601</t>
  </si>
  <si>
    <t>VIL/DC/23-24/602</t>
  </si>
  <si>
    <t>531/181, 532/182, 533/183, 534/184</t>
  </si>
  <si>
    <t>VIL/DC/23-24/603</t>
  </si>
  <si>
    <t>534/184</t>
  </si>
  <si>
    <t>VIL/DC/23-24/604</t>
  </si>
  <si>
    <t>VIL/DC/23-24/605</t>
  </si>
  <si>
    <t>VIL/DC/23-24/606</t>
  </si>
  <si>
    <t>VIL/DC/23-24/607</t>
  </si>
  <si>
    <t>535/184, 536/185, 537/186</t>
  </si>
  <si>
    <t>JULY  -23  Dispatched Shift qty</t>
  </si>
  <si>
    <t>VIL/DC/23-24/608</t>
  </si>
  <si>
    <t>538/186</t>
  </si>
  <si>
    <t>VIL/DC/23-24/609</t>
  </si>
  <si>
    <t>538/186, 539/187</t>
  </si>
  <si>
    <t>VIL/DC/23-24/610</t>
  </si>
  <si>
    <t>539/187, 540/188, 541/189</t>
  </si>
  <si>
    <t>VIL/DC/23-24/611</t>
  </si>
  <si>
    <t>542/189, 543/190, 544/191</t>
  </si>
  <si>
    <t>VIL/DC/23-24/612</t>
  </si>
  <si>
    <t>545/ 200, 546/205</t>
  </si>
  <si>
    <t>VIL/DC/23-24/613</t>
  </si>
  <si>
    <t>546/205</t>
  </si>
  <si>
    <t>VIL/DC/23-24/614</t>
  </si>
  <si>
    <t>VIL/DC/23-24/615</t>
  </si>
  <si>
    <t>547/206</t>
  </si>
  <si>
    <t>VIL/DC/23-24/616</t>
  </si>
  <si>
    <t>VIL/DC/23-24/617</t>
  </si>
  <si>
    <t>548/191</t>
  </si>
  <si>
    <t>VIL/DC/23-24/618</t>
  </si>
  <si>
    <t xml:space="preserve">AUG  -23 Total Dispatched </t>
  </si>
  <si>
    <t>VIL/DC/23-24/619</t>
  </si>
  <si>
    <t>549/193, 550/194, 551/199</t>
  </si>
  <si>
    <t>VIL/DC/23-24/620</t>
  </si>
  <si>
    <t>551/199, 552/204</t>
  </si>
  <si>
    <t>HT  ANGLE 150X150X10 MM</t>
  </si>
  <si>
    <t>VIL/DC/23-24/621</t>
  </si>
  <si>
    <t>552/204</t>
  </si>
  <si>
    <t>VIL/DC/23-24/622</t>
  </si>
  <si>
    <t>553/207</t>
  </si>
  <si>
    <t>VIL/DC/23-24/623</t>
  </si>
  <si>
    <t>MS  ANGLE 100X100X7 MM</t>
  </si>
  <si>
    <t>VIL/DC/23-24/624</t>
  </si>
  <si>
    <t>VIL/DC/23-24/625</t>
  </si>
  <si>
    <t>VIL/DC/23-24/626</t>
  </si>
  <si>
    <t>VIL/DC/23-24/627</t>
  </si>
  <si>
    <t>553/207, 554/208</t>
  </si>
  <si>
    <t>VIL/DC/23-24/628</t>
  </si>
  <si>
    <t>555/208</t>
  </si>
  <si>
    <t>VIL/DC/23-24/629</t>
  </si>
  <si>
    <t xml:space="preserve">555/208, 556/209 </t>
  </si>
  <si>
    <t>VIL/DC/23-24/630</t>
  </si>
  <si>
    <t>HT  ANGLE 150X150X16 MM</t>
  </si>
  <si>
    <t>557/191, 558/292, 559/195, 560/196, 561/210</t>
  </si>
  <si>
    <t>VIL/DC/23-24/631</t>
  </si>
  <si>
    <t>561/210</t>
  </si>
  <si>
    <t>VIL/DC/23-24/632</t>
  </si>
  <si>
    <t>562/197,563/198, 564/201,565/202,566/203,567/206,568/211</t>
  </si>
  <si>
    <t>VIL/DC/23-24/633</t>
  </si>
  <si>
    <t>568/211</t>
  </si>
  <si>
    <t>MS  ANGLE 75X75X6 MM</t>
  </si>
  <si>
    <t>VIL/DC/23-24/634</t>
  </si>
  <si>
    <t>VIL/DC/23-24/635</t>
  </si>
  <si>
    <t>MH40Y9744</t>
  </si>
  <si>
    <t>569/209, 570/210, 571/ 211</t>
  </si>
  <si>
    <t>LOI-421</t>
  </si>
  <si>
    <t>VIL/DC/23-24/636</t>
  </si>
  <si>
    <t>571/ 211</t>
  </si>
  <si>
    <t>LOI-428</t>
  </si>
  <si>
    <t>VIL/DC/23-24/637</t>
  </si>
  <si>
    <t>571/ 211, 572/212</t>
  </si>
  <si>
    <t>LOI-445</t>
  </si>
  <si>
    <t>VIL/DC/23-24/638</t>
  </si>
  <si>
    <t>572/212</t>
  </si>
  <si>
    <t>VIL/DC/23-24/639</t>
  </si>
  <si>
    <t>VIL/DC/23-24/640</t>
  </si>
  <si>
    <t>573/212, 574/ 214</t>
  </si>
  <si>
    <t>LOI-625</t>
  </si>
  <si>
    <t>VIL/DC/23-24/641</t>
  </si>
  <si>
    <t>575/213</t>
  </si>
  <si>
    <t>VIL/DC/23-24/642</t>
  </si>
  <si>
    <t>575/213, 576/215</t>
  </si>
  <si>
    <t>HT  ANGLE 150X150X12 MM</t>
  </si>
  <si>
    <t>VIL/DC/23-24/643</t>
  </si>
  <si>
    <t>577/214,  578/215</t>
  </si>
  <si>
    <t>VIL/DC/23-24/644</t>
  </si>
  <si>
    <t>578/215</t>
  </si>
  <si>
    <t>VIL/DC/23-24/645</t>
  </si>
  <si>
    <t>578/215, 579/ 216</t>
  </si>
  <si>
    <t>HT  ANGLE 150X150X11 MM</t>
  </si>
  <si>
    <t>VIL/DC/23-24/646</t>
  </si>
  <si>
    <t>579/ 216</t>
  </si>
  <si>
    <t>VIL/DC/23-24/647</t>
  </si>
  <si>
    <t>580/216, 581/217</t>
  </si>
  <si>
    <t>VIL/DC/23-24/648</t>
  </si>
  <si>
    <t>582/218</t>
  </si>
  <si>
    <t>VIL/DC/23-24/649</t>
  </si>
  <si>
    <t>VIL/DC/23-24/655</t>
  </si>
  <si>
    <t>594/229</t>
  </si>
  <si>
    <t>VIL/DC/23-24/656</t>
  </si>
  <si>
    <t>VIL/DC/23-24/657</t>
  </si>
  <si>
    <t>595/231</t>
  </si>
  <si>
    <t>VIL/DC/23-24/658</t>
  </si>
  <si>
    <t>MH40AK3944</t>
  </si>
  <si>
    <t>VIL/DC/23-24/659</t>
  </si>
  <si>
    <t>VIL/DC/23-24/660</t>
  </si>
  <si>
    <t>VIL/DC/23-24/661</t>
  </si>
  <si>
    <t>LOI-495(PG)</t>
  </si>
  <si>
    <t>SR NO.</t>
  </si>
  <si>
    <t>Invoice</t>
  </si>
  <si>
    <t>DATE</t>
  </si>
  <si>
    <t xml:space="preserve">Size </t>
  </si>
  <si>
    <t xml:space="preserve">PCS </t>
  </si>
  <si>
    <t>QTY</t>
  </si>
  <si>
    <t xml:space="preserve">VEHICLE </t>
  </si>
  <si>
    <t>TAXABLE VALUE</t>
  </si>
  <si>
    <t>TRANSPORT NAME</t>
  </si>
  <si>
    <t>LR NO</t>
  </si>
  <si>
    <t>VIL Jobwork Challan No.</t>
  </si>
  <si>
    <t>VIL/DC/23-24/650</t>
  </si>
  <si>
    <t xml:space="preserve">BILLETS HT-130X130 </t>
  </si>
  <si>
    <t>MH40Y1355</t>
  </si>
  <si>
    <t>J.K Transport Corporation</t>
  </si>
  <si>
    <t>583/219, 584/220</t>
  </si>
  <si>
    <t>VIL/DC/23-24/651</t>
  </si>
  <si>
    <t>MH40Y1155</t>
  </si>
  <si>
    <t>585/220, 586/221</t>
  </si>
  <si>
    <t>VIL/DC/23-24/652</t>
  </si>
  <si>
    <t>587/221, 588/222</t>
  </si>
  <si>
    <t>VIL/DC/23-24/653</t>
  </si>
  <si>
    <t>MH40AK9355</t>
  </si>
  <si>
    <t>589/222, 590/223, 591,224</t>
  </si>
  <si>
    <t>VIL/DC/23-24/654</t>
  </si>
  <si>
    <t>MH40Y1255</t>
  </si>
  <si>
    <t xml:space="preserve">592/224, 593/225, </t>
  </si>
  <si>
    <t>VIL/DC/23-24/662</t>
  </si>
  <si>
    <t>MH40AK9455</t>
  </si>
  <si>
    <t>596/225, 597/ 226</t>
  </si>
  <si>
    <t>VIL/DC/23-24/663</t>
  </si>
  <si>
    <t>NL02Q8700</t>
  </si>
  <si>
    <t>598/226, 599/ 227</t>
  </si>
  <si>
    <t>BB/23-24/0112</t>
  </si>
  <si>
    <t>MH40BG0307</t>
  </si>
  <si>
    <t>BB/23-24/0113</t>
  </si>
  <si>
    <t>VIL/DC/23-24/665</t>
  </si>
  <si>
    <t>MH40CD8259</t>
  </si>
  <si>
    <t>605/227, 606/228, 607/236</t>
  </si>
  <si>
    <t>VIL/DC/23-24/672</t>
  </si>
  <si>
    <t>611/236, 612/237</t>
  </si>
  <si>
    <t>VIL/DC/23-24/664</t>
  </si>
  <si>
    <t>600/217, 601/218, 602/229, 603/231, 604/230</t>
  </si>
  <si>
    <t>VIL/DC/23-24/666</t>
  </si>
  <si>
    <t>608/ 230</t>
  </si>
  <si>
    <t>VIL/DC/23-24/667</t>
  </si>
  <si>
    <t>VIL/DC/23-24/668</t>
  </si>
  <si>
    <t>608/ 230, 609/232</t>
  </si>
  <si>
    <t>VIL/DC/23-24/669</t>
  </si>
  <si>
    <t>610/232</t>
  </si>
  <si>
    <t>VIL/DC/23-24/670</t>
  </si>
  <si>
    <t>VIL/DC/23-24/671</t>
  </si>
  <si>
    <t>VIL/DC/23-24/673</t>
  </si>
  <si>
    <t>613/ 232, 614/234</t>
  </si>
  <si>
    <t>VIL/DC/23-24/674</t>
  </si>
  <si>
    <t>614/234</t>
  </si>
  <si>
    <t>BB/23-24/0114</t>
  </si>
  <si>
    <t>BB/23-24/0115</t>
  </si>
  <si>
    <t>BB/23-24/0116</t>
  </si>
  <si>
    <t>MS ANGLE 110X110X6 MM</t>
  </si>
  <si>
    <t>LOI-425</t>
  </si>
  <si>
    <t>BB/23-24/0117</t>
  </si>
  <si>
    <t>VIL/DC/23-24/675</t>
  </si>
  <si>
    <t>615/233</t>
  </si>
  <si>
    <t>VIL/DC/23-24/676</t>
  </si>
  <si>
    <t>VIL/DC/23-24/677</t>
  </si>
  <si>
    <t>VIL/DC/23-24/678</t>
  </si>
  <si>
    <t>LOI-619</t>
  </si>
  <si>
    <t>VIL/DC/23-24/679</t>
  </si>
  <si>
    <t>VIL/DC/23-24/680</t>
  </si>
  <si>
    <t>616/ 233, 617/235</t>
  </si>
  <si>
    <t>VIL/DC/23-24/681</t>
  </si>
  <si>
    <t>617/235</t>
  </si>
  <si>
    <t>VIL/DC/23-24/682</t>
  </si>
  <si>
    <t>618/238</t>
  </si>
  <si>
    <t>VIL/DC/23-24/683</t>
  </si>
  <si>
    <t>619/239</t>
  </si>
  <si>
    <t>VIL/DC/23-24/684</t>
  </si>
  <si>
    <t>VIL/DC/23-24/686</t>
  </si>
  <si>
    <t>VIL/DC/23-24/685</t>
  </si>
  <si>
    <t>VIL/DC/23-24/687</t>
  </si>
  <si>
    <t>620/ 240</t>
  </si>
  <si>
    <t>BB/23-24/0119</t>
  </si>
  <si>
    <t>MH40AK6003</t>
  </si>
  <si>
    <t>BB/23-24/0120</t>
  </si>
  <si>
    <t>Total</t>
  </si>
  <si>
    <t>BILLETS RETURN DETAILS MDU</t>
  </si>
  <si>
    <t>VIL/DC/23-24/794</t>
  </si>
  <si>
    <t>690/272</t>
  </si>
  <si>
    <t>VIL/DC/23-24/0688</t>
  </si>
  <si>
    <t>621/ 235</t>
  </si>
  <si>
    <t>VIL/DC/23-24/0689</t>
  </si>
  <si>
    <t>621/ 235, 622/238, 623/239</t>
  </si>
  <si>
    <t>VIL/DC/23-24/0690</t>
  </si>
  <si>
    <t>624/241</t>
  </si>
  <si>
    <t>VIL/DC/23-24/0691</t>
  </si>
  <si>
    <t>VIL/DC/23-24/0692</t>
  </si>
  <si>
    <t>VIL/DC/23-24/0693</t>
  </si>
  <si>
    <t>VIL/DC/23-24/0694</t>
  </si>
  <si>
    <t>625/ 239, 626/240, 627/241, 628/242</t>
  </si>
  <si>
    <t>VIL/DC/23-24/0695</t>
  </si>
  <si>
    <t>629/242, 630/243</t>
  </si>
  <si>
    <t>VIL/DC/23-24/0696</t>
  </si>
  <si>
    <t>630/243</t>
  </si>
  <si>
    <t>VIL/DC/23-24/0697</t>
  </si>
  <si>
    <t>631/243, 632/244</t>
  </si>
  <si>
    <t>VIL/DC/23-24/0698</t>
  </si>
  <si>
    <t xml:space="preserve"> 632/244</t>
  </si>
  <si>
    <t>VIL/DC/23-24/0699</t>
  </si>
  <si>
    <t xml:space="preserve"> 633/244</t>
  </si>
  <si>
    <t>LOI-554</t>
  </si>
  <si>
    <t>VIL/DC/23-24/0700</t>
  </si>
  <si>
    <t>HT  ANGLE 120X120X12 MM</t>
  </si>
  <si>
    <t>VIL/DC/23-24/0701</t>
  </si>
  <si>
    <t>HT  ANGLE 75X75X6 MM</t>
  </si>
  <si>
    <t>LOI-641</t>
  </si>
  <si>
    <t>VIL/DC/23-24/0702</t>
  </si>
  <si>
    <t xml:space="preserve"> 634/245</t>
  </si>
  <si>
    <t>VIL/DC/23-24/0703</t>
  </si>
  <si>
    <t>VIL/DC/23-24/0704</t>
  </si>
  <si>
    <t>VIL/DC/23-24/0705</t>
  </si>
  <si>
    <t>VIL/DC/23-24/0706</t>
  </si>
  <si>
    <t>VIL/DC/23-24/0708</t>
  </si>
  <si>
    <t>635/246</t>
  </si>
  <si>
    <t>VIL/DC/23-24/0709</t>
  </si>
  <si>
    <t>VIL/DC/23-24/0710</t>
  </si>
  <si>
    <t>VIL/DC/23-24/0711</t>
  </si>
  <si>
    <t>636/247</t>
  </si>
  <si>
    <t>BB/23-24/0123</t>
  </si>
  <si>
    <t>BB/23-24/0124</t>
  </si>
  <si>
    <t>LOI-662</t>
  </si>
  <si>
    <t>BB/23-24/0125</t>
  </si>
  <si>
    <t>LOI-570</t>
  </si>
  <si>
    <t>BB/23-24/0126</t>
  </si>
  <si>
    <t>LOI-505</t>
  </si>
  <si>
    <t>BB/23-24/0127</t>
  </si>
  <si>
    <t>BB/23-24/0128</t>
  </si>
  <si>
    <t>MS ANGLE 100X100X10 MM</t>
  </si>
  <si>
    <t>LOI-426</t>
  </si>
  <si>
    <t>BB/23-24/0129</t>
  </si>
  <si>
    <t>LOI-440</t>
  </si>
  <si>
    <t>BB/23-24/0130</t>
  </si>
  <si>
    <t>VIL/DC/23-24/0712</t>
  </si>
  <si>
    <t>637/245, 638/246, 639/ 248</t>
  </si>
  <si>
    <t>VIL/DC/23-24/0713</t>
  </si>
  <si>
    <t>639/ 248</t>
  </si>
  <si>
    <t>VIL/DC/23-24/0714</t>
  </si>
  <si>
    <t>MS  ANGLE 130X130X10 MM</t>
  </si>
  <si>
    <t>VIL/DC/23-24/0715</t>
  </si>
  <si>
    <t>640/ 247, 641/248</t>
  </si>
  <si>
    <t>VIL/DC/23-24/0716</t>
  </si>
  <si>
    <t>642/ 249</t>
  </si>
  <si>
    <t>VIL/DC/23-24/0717</t>
  </si>
  <si>
    <t>VIL/DC/23-24/0718</t>
  </si>
  <si>
    <t>643/ 248, 644/249, 645/250</t>
  </si>
  <si>
    <t>LOI-642</t>
  </si>
  <si>
    <t>VIL/DC/23-24/0719</t>
  </si>
  <si>
    <t>VIL/DC/23-24/0720</t>
  </si>
  <si>
    <t>646/ 252</t>
  </si>
  <si>
    <t>VIL/DC/23-24/0721</t>
  </si>
  <si>
    <t>VIL/DC/23-24/0722</t>
  </si>
  <si>
    <t>647/251</t>
  </si>
  <si>
    <t>VIL/DC/23-24/0723</t>
  </si>
  <si>
    <t>VIL/DC/23-24/0724</t>
  </si>
  <si>
    <t>VIL/DC/23-24/0725</t>
  </si>
  <si>
    <t>647/251, 648/253</t>
  </si>
  <si>
    <t>VIL/DC/23-24/0726</t>
  </si>
  <si>
    <t xml:space="preserve">649/253, </t>
  </si>
  <si>
    <t>VIL/DC/23-24/0727</t>
  </si>
  <si>
    <t>HT  ANGLE 75X75X5 MM</t>
  </si>
  <si>
    <t>649/253, 650/254</t>
  </si>
  <si>
    <t>VIL/DC/23-24/0728</t>
  </si>
  <si>
    <t xml:space="preserve">650/254, </t>
  </si>
  <si>
    <t>VIL/DC/23-24/0729</t>
  </si>
  <si>
    <t>VIL/DC/23-24/0730</t>
  </si>
  <si>
    <t>MS  ANGLE 120X120X9 MM</t>
  </si>
  <si>
    <t xml:space="preserve">651/255, </t>
  </si>
  <si>
    <t>VIL/DC/23-24/0731</t>
  </si>
  <si>
    <t>VIL/DC/23-24/0732</t>
  </si>
  <si>
    <t>HT  ANGLE 80X80X6 MM</t>
  </si>
  <si>
    <t xml:space="preserve">652/250, 653/252, 654/254 </t>
  </si>
  <si>
    <t>VIL/DC/23-24/0733</t>
  </si>
  <si>
    <t xml:space="preserve">654/254, 655/255, 656/257 </t>
  </si>
  <si>
    <t>VIL/DC/23-24/0734</t>
  </si>
  <si>
    <t>656/257,</t>
  </si>
  <si>
    <t>VIL/DC/23-24/0735</t>
  </si>
  <si>
    <t>657/256,</t>
  </si>
  <si>
    <t>VIL/DC/23-24/0736</t>
  </si>
  <si>
    <t>VIL/DC/23-24/0737</t>
  </si>
  <si>
    <t>VIL/DC/23-24/0738</t>
  </si>
  <si>
    <t>VIL/DC/23-24/0739</t>
  </si>
  <si>
    <t>658/257,</t>
  </si>
  <si>
    <t>VIL/DC/23-24/0740</t>
  </si>
  <si>
    <t>VIL/DC/23-24/0741</t>
  </si>
  <si>
    <t>658/257,659/258</t>
  </si>
  <si>
    <t>VIL/DC/23-24/0742</t>
  </si>
  <si>
    <t>660/ 256, 661/ 259</t>
  </si>
  <si>
    <t>VIL/DC/23-24/0743</t>
  </si>
  <si>
    <t>661/ 259</t>
  </si>
  <si>
    <t>VIL/DC/23-24/0744</t>
  </si>
  <si>
    <t>VIL/DC/23-24/0745</t>
  </si>
  <si>
    <t>VIL/DC/23-24/0746</t>
  </si>
  <si>
    <t>662/ 258</t>
  </si>
  <si>
    <t>VIL/DC/23-24/0747</t>
  </si>
  <si>
    <t>HT  ANGLE 150X150X13 MM</t>
  </si>
  <si>
    <t>VIL/DC/23-24/0748</t>
  </si>
  <si>
    <t>662/ 258, 663/259</t>
  </si>
  <si>
    <t>VIL/DC/23-24/0749</t>
  </si>
  <si>
    <t>663/259</t>
  </si>
  <si>
    <t>VIL/DC/23-24/0750</t>
  </si>
  <si>
    <t>664/260</t>
  </si>
  <si>
    <t>VIL/DC/23-24/0751</t>
  </si>
  <si>
    <t>HT  ANGLE 90X90X7 MM</t>
  </si>
  <si>
    <t>VIL/DC/23-24/0752</t>
  </si>
  <si>
    <t>VIL/DC/23-24/0753</t>
  </si>
  <si>
    <t>VIL/DC/23-24/0754</t>
  </si>
  <si>
    <t>VIL/DC/23-24/0755</t>
  </si>
  <si>
    <t>VIL/DC/23-24/0756</t>
  </si>
  <si>
    <t>665/259, 666/260, 667/261</t>
  </si>
  <si>
    <t>VIL/DC/23-24/0757</t>
  </si>
  <si>
    <t>668/ 237, 669/262</t>
  </si>
  <si>
    <t>VIL/DC/23-24/0758</t>
  </si>
  <si>
    <t>669/262</t>
  </si>
  <si>
    <t>VIL/DC/23-24/0759</t>
  </si>
  <si>
    <t>670/ 261, 671/263</t>
  </si>
  <si>
    <t>VIL/DC/23-24/0760</t>
  </si>
  <si>
    <t>671/263</t>
  </si>
  <si>
    <t>MS  ANGLE 75X75X5 MM</t>
  </si>
  <si>
    <t>VIL/DC/23-24/0761</t>
  </si>
  <si>
    <t>VIL/DC/23-24/0762</t>
  </si>
  <si>
    <t>HT  ANGLE 90X90X6 MM</t>
  </si>
  <si>
    <t>672/262, 673/264</t>
  </si>
  <si>
    <t>VIL/DC/23-24/0763</t>
  </si>
  <si>
    <t>673/264</t>
  </si>
  <si>
    <t>VIL/DC/23-24/0764</t>
  </si>
  <si>
    <t>MS  ANGLE 80X80X6 MM</t>
  </si>
  <si>
    <t>VIL/DC/23-24/0765</t>
  </si>
  <si>
    <t>674/264</t>
  </si>
  <si>
    <t>VIL/DC/23-24/0766</t>
  </si>
  <si>
    <t>674/264, 675/265</t>
  </si>
  <si>
    <t>VIL/DC/23-24/0767</t>
  </si>
  <si>
    <t>676/ 263, 677/265, 678/266</t>
  </si>
  <si>
    <t>HT  ANGLE 90X90X8 MM</t>
  </si>
  <si>
    <t>VIL/DC/23-24/0768</t>
  </si>
  <si>
    <t>678/266</t>
  </si>
  <si>
    <t>VIL/DC/23-24/769</t>
  </si>
  <si>
    <t>MS ANGLE 120X120X7 MM</t>
  </si>
  <si>
    <t>679/ 69</t>
  </si>
  <si>
    <t>VIL/DC/23-24/780</t>
  </si>
  <si>
    <t>VIL/DC/23-24/0782</t>
  </si>
  <si>
    <t>682/ 267, 683/ 268</t>
  </si>
  <si>
    <t>VIL/DC/23-24/0783</t>
  </si>
  <si>
    <t>683/ 268</t>
  </si>
  <si>
    <t>VIL/DC/23-24/0781</t>
  </si>
  <si>
    <t>680/ 266, 681/ 267</t>
  </si>
  <si>
    <t>VIL/DC/23-24/0784</t>
  </si>
  <si>
    <t>VIL/DC/23-24/0785</t>
  </si>
  <si>
    <t>684/ 268</t>
  </si>
  <si>
    <t>VIL/DC/23-24/0786</t>
  </si>
  <si>
    <t>LOI-564</t>
  </si>
  <si>
    <t>VIL/DC/23-24/0787</t>
  </si>
  <si>
    <t>684/268, 685/ 269</t>
  </si>
  <si>
    <t>VIL/DC/23-24/0788</t>
  </si>
  <si>
    <t>686/ 269, 687/270</t>
  </si>
  <si>
    <t>VIL/DC/23-24/0789</t>
  </si>
  <si>
    <t>HT  ANGLE 80X80X5 MM</t>
  </si>
  <si>
    <t>687/ 270</t>
  </si>
  <si>
    <t>VIL/DC/23-24/0790</t>
  </si>
  <si>
    <t>688/ 270</t>
  </si>
  <si>
    <t>VIL/DC/23-24/0791</t>
  </si>
  <si>
    <t>MS  ANGLE 80X80X5 MM</t>
  </si>
  <si>
    <t>688/ 270, 689/271</t>
  </si>
  <si>
    <t>VIL/DC/23-24/0792</t>
  </si>
  <si>
    <t>689/ 271</t>
  </si>
  <si>
    <t>VIL/DC/23-24/0793</t>
  </si>
  <si>
    <t>HT  ANGLE 90X90X5 MM</t>
  </si>
  <si>
    <t>VIL/DC/23-24/0796</t>
  </si>
  <si>
    <t>VIL/DC/23-24/0795</t>
  </si>
  <si>
    <t>691/271, 692/273</t>
  </si>
  <si>
    <t>693/273, 694/274</t>
  </si>
  <si>
    <t xml:space="preserve">Aug  -23 Total Dispatched </t>
  </si>
  <si>
    <t>trading</t>
  </si>
  <si>
    <t>jbp</t>
  </si>
  <si>
    <t>job</t>
  </si>
  <si>
    <t>VIL/DC/23-24/0797</t>
  </si>
  <si>
    <t>695/ 272, 696/274, 697/275</t>
  </si>
  <si>
    <t>VIL/DC/23-24/0798</t>
  </si>
  <si>
    <t>VIL/DC/23-24/0799</t>
  </si>
  <si>
    <t>698/275</t>
  </si>
  <si>
    <t>LOI-566</t>
  </si>
  <si>
    <t>VIL/DC/23-24/0800</t>
  </si>
  <si>
    <t>LOI-612</t>
  </si>
  <si>
    <t>VIL/DC/23-24/0801</t>
  </si>
  <si>
    <t>698/275, 699/276</t>
  </si>
  <si>
    <t>VIL/DC/23-24/0802</t>
  </si>
  <si>
    <t>699/276</t>
  </si>
  <si>
    <t>VIL/DC/23-24/0803</t>
  </si>
  <si>
    <t>MS  ANGLE 90X90X6 MM</t>
  </si>
  <si>
    <t>VIL/DC/23-24/0804</t>
  </si>
  <si>
    <t>VIL/DC/23-24/0805</t>
  </si>
  <si>
    <t>700/277</t>
  </si>
  <si>
    <t>LOI-709</t>
  </si>
  <si>
    <t>VIL/DC/23-24/0806</t>
  </si>
  <si>
    <t>VIL/DC/23-24/0807</t>
  </si>
  <si>
    <t>700/277, 701/278</t>
  </si>
  <si>
    <t>VIL/DC/23-24/0808</t>
  </si>
  <si>
    <t>702/276, 703/278</t>
  </si>
  <si>
    <t>VIL/DC/23-24/0809</t>
  </si>
  <si>
    <t>703/278</t>
  </si>
  <si>
    <t>VIL/DC/23-24/0810</t>
  </si>
  <si>
    <t>VIL/DC/23-24/0811</t>
  </si>
  <si>
    <t>703/278, 704/279</t>
  </si>
  <si>
    <t>VIL/DC/23-24/0812</t>
  </si>
  <si>
    <t>MH49AT4596</t>
  </si>
  <si>
    <t>705/ 68</t>
  </si>
  <si>
    <t>VIL/DC/23-24/0813</t>
  </si>
  <si>
    <t>705/ 68, 706/70</t>
  </si>
  <si>
    <t>LOI-721</t>
  </si>
  <si>
    <t>VIL/DC/23-24/0814</t>
  </si>
  <si>
    <t>MH40AK2944</t>
  </si>
  <si>
    <t>707/279</t>
  </si>
  <si>
    <t>VIL/DC/23-24/0815</t>
  </si>
  <si>
    <t>VIL/DC/23-24/0816</t>
  </si>
  <si>
    <t>VIL/DC/23-24/0817</t>
  </si>
  <si>
    <t>707/279, 708/280</t>
  </si>
  <si>
    <t>VIL/DC/23-24/0818</t>
  </si>
  <si>
    <t>708/280</t>
  </si>
  <si>
    <t>VIL/DC/23-24/0819</t>
  </si>
  <si>
    <t>VIL/DC/23-24/0820</t>
  </si>
  <si>
    <t>709/280, 710/281</t>
  </si>
  <si>
    <t>VIL/DC/23-24/0821</t>
  </si>
  <si>
    <t>710/281</t>
  </si>
  <si>
    <t>LOI-713</t>
  </si>
  <si>
    <t>VIL/DC/23-24/0822</t>
  </si>
  <si>
    <t>711/281, 712/283</t>
  </si>
  <si>
    <t>VIL/DC/23-24/0823</t>
  </si>
  <si>
    <t>712/283</t>
  </si>
  <si>
    <t>VIL/DC/23-24/0824</t>
  </si>
  <si>
    <t>VIL/DC/23-24/0825</t>
  </si>
  <si>
    <t>VIL/DC/23-24/0826</t>
  </si>
  <si>
    <t>VIL/DC/23-24/0827</t>
  </si>
  <si>
    <t>VIL/DC/23-24/0828</t>
  </si>
  <si>
    <t>713/282</t>
  </si>
  <si>
    <t>VIL/DC/23-24/0829</t>
  </si>
  <si>
    <t>VIL/DC/23-24/0830</t>
  </si>
  <si>
    <t>713/282, 714/283, 715, 284</t>
  </si>
  <si>
    <t>LOI-710</t>
  </si>
  <si>
    <t>VIL/DC/23-24/0831</t>
  </si>
  <si>
    <t>716/284, 717/285</t>
  </si>
  <si>
    <t>VIL/DC/23-24/0832</t>
  </si>
  <si>
    <t>717/285</t>
  </si>
  <si>
    <t>VIL/DC/23-24/0833</t>
  </si>
  <si>
    <t>718/285</t>
  </si>
  <si>
    <t>VIL/DC/23-24/0834</t>
  </si>
  <si>
    <t>VIL/DC/23-24/0835</t>
  </si>
  <si>
    <t>718/285, 719/286</t>
  </si>
  <si>
    <t>VIL/DC/23-24/0836</t>
  </si>
  <si>
    <t>719/286</t>
  </si>
  <si>
    <t>VIL/DC/23-24/0837</t>
  </si>
  <si>
    <t>720/69, 721/70, 722/71</t>
  </si>
  <si>
    <t>MH49AT1950</t>
  </si>
  <si>
    <t>LOI-571</t>
  </si>
  <si>
    <t>722/71</t>
  </si>
  <si>
    <t>LOI-569</t>
  </si>
  <si>
    <t>VIL/DC/23-24/0838</t>
  </si>
  <si>
    <t>VIL/DC/23-24/0839</t>
  </si>
  <si>
    <t>VIL/DC/23-24/0840</t>
  </si>
  <si>
    <t>MH40N7378</t>
  </si>
  <si>
    <t>723/71, 724/ 72</t>
  </si>
  <si>
    <t>LOI-574</t>
  </si>
  <si>
    <t>VIL/DC/23-24/0841</t>
  </si>
  <si>
    <t>724/ 72</t>
  </si>
  <si>
    <t>VIL/DC/23-24/0842</t>
  </si>
  <si>
    <t>MH40AK6002</t>
  </si>
  <si>
    <t>725/ 72</t>
  </si>
  <si>
    <t>VIL/DC/23-24/0843</t>
  </si>
  <si>
    <t>VIL/DC/23-24/0844</t>
  </si>
  <si>
    <t>VIL/DC/23-24/847</t>
  </si>
  <si>
    <t>730/288</t>
  </si>
  <si>
    <t>726/286, 727/287</t>
  </si>
  <si>
    <t>VIL/DC/23-24/0845</t>
  </si>
  <si>
    <t>728/ 72, 729/ 74</t>
  </si>
  <si>
    <t>VIL/DC/23-24/0846</t>
  </si>
  <si>
    <t>729/ 74</t>
  </si>
  <si>
    <t>VIL/DC/23-24/0847</t>
  </si>
  <si>
    <t>MH40AK6074</t>
  </si>
  <si>
    <t xml:space="preserve">731/ 73, 732/74, </t>
  </si>
  <si>
    <t>VIL/DC/23-24/0849</t>
  </si>
  <si>
    <t>732/74, 733/ 75</t>
  </si>
  <si>
    <t>VIL/DC/23-24/0850</t>
  </si>
  <si>
    <t>734/287, 735/289</t>
  </si>
  <si>
    <t>VIL/DC/23-24/0851</t>
  </si>
  <si>
    <t>MH49AT0509</t>
  </si>
  <si>
    <t>736/75</t>
  </si>
  <si>
    <t>VIL/DC/23-24/0852</t>
  </si>
  <si>
    <t>VIL/DC/23-24/0853</t>
  </si>
  <si>
    <t>LOI-568A</t>
  </si>
  <si>
    <t>VIL/DC/23-24/0854</t>
  </si>
  <si>
    <t>736/75, 737/76</t>
  </si>
  <si>
    <t>VIL/DC/23-24/0855</t>
  </si>
  <si>
    <t>738/76</t>
  </si>
  <si>
    <t>VIL/DC/23-24/0856</t>
  </si>
  <si>
    <t>VIL/DC/23-24/0857</t>
  </si>
  <si>
    <t>LOI-613A</t>
  </si>
  <si>
    <t>VIL/DC/23-24/0858</t>
  </si>
  <si>
    <t>739/389, 740/290</t>
  </si>
  <si>
    <t>VIL/DC/23-24/0859</t>
  </si>
  <si>
    <t>740/290</t>
  </si>
  <si>
    <t>VIL/DC/23-24/0860</t>
  </si>
  <si>
    <t>BB/23-24/0138</t>
  </si>
  <si>
    <t>KEC INTERNATIONAL LTD.,JAIPUR</t>
  </si>
  <si>
    <t>MH49AT3076</t>
  </si>
  <si>
    <t>LOI-427</t>
  </si>
  <si>
    <t>VIL/DC/23-24/0861</t>
  </si>
  <si>
    <t>741/288, 742/290, 743/301</t>
  </si>
  <si>
    <t>MH46BB-0386</t>
  </si>
  <si>
    <t>744/301, 745/302</t>
  </si>
  <si>
    <t>VIL/DC/23-24/0862</t>
  </si>
  <si>
    <t>VIL/DC/23-24/0863</t>
  </si>
  <si>
    <t xml:space="preserve">746/76, 747/77 </t>
  </si>
  <si>
    <t>VIL/DC/23-24/0864</t>
  </si>
  <si>
    <t xml:space="preserve"> 747/77 </t>
  </si>
  <si>
    <t>LOI-568</t>
  </si>
  <si>
    <t>VIL/DC/23-24/0865</t>
  </si>
  <si>
    <t>VIL/DC/23-24/0866</t>
  </si>
  <si>
    <t xml:space="preserve">748/302, </t>
  </si>
  <si>
    <t>VIL/DC/23-24/0867</t>
  </si>
  <si>
    <t>748/302, 749/303</t>
  </si>
  <si>
    <t>VIL/DC/23-24/0868</t>
  </si>
  <si>
    <t>750/303, 751/304</t>
  </si>
  <si>
    <t>VIL/DC/23-24/0869</t>
  </si>
  <si>
    <t>MH49AT4595</t>
  </si>
  <si>
    <t>752/77, 753/109</t>
  </si>
  <si>
    <t>VIL/DC/23-24/0870</t>
  </si>
  <si>
    <t>753/109</t>
  </si>
  <si>
    <t>VIL/DC/23-24/0871</t>
  </si>
  <si>
    <t>VIL/DC/23-24/0872</t>
  </si>
  <si>
    <t>VIL/DC/23-24/0873</t>
  </si>
  <si>
    <t>754/305</t>
  </si>
  <si>
    <t>VIL/DC/23-24/878</t>
  </si>
  <si>
    <t>MH40BG2947</t>
  </si>
  <si>
    <t>758/307</t>
  </si>
  <si>
    <t>VIL/DC/23-24/879</t>
  </si>
  <si>
    <t>759/307, 760/308</t>
  </si>
  <si>
    <t>VIL/DC/23-24/880</t>
  </si>
  <si>
    <t>MH40AK3044</t>
  </si>
  <si>
    <t>761/308, 762/309</t>
  </si>
  <si>
    <t>VIL/DC/23-24/0874</t>
  </si>
  <si>
    <t>755/304</t>
  </si>
  <si>
    <t>VIL/DC/23-24/0875</t>
  </si>
  <si>
    <t>755/304, 756/305, 757/306</t>
  </si>
  <si>
    <t>VIL/DC/23-24/0876</t>
  </si>
  <si>
    <t>757/306</t>
  </si>
  <si>
    <t>VIL/DC/23-24/0877</t>
  </si>
  <si>
    <t>763/306, 764/309</t>
  </si>
  <si>
    <t>VIL/DC/23-24/0881</t>
  </si>
  <si>
    <t>765/309, 766/310</t>
  </si>
  <si>
    <t>VIL/DC/23-24/0882</t>
  </si>
  <si>
    <t>767/310</t>
  </si>
  <si>
    <t>VIL/DC/23-24/0883</t>
  </si>
  <si>
    <t>VIL/DC/23-24/0884</t>
  </si>
  <si>
    <t>LOI-565</t>
  </si>
  <si>
    <t>jaipur</t>
  </si>
  <si>
    <t>VIL/DC/23-24/0885</t>
  </si>
  <si>
    <t>MH40CM6495</t>
  </si>
  <si>
    <t>768/ 311</t>
  </si>
  <si>
    <t>VIL/DC/23-24/0886</t>
  </si>
  <si>
    <t>VIL/DC/23-24/0887</t>
  </si>
  <si>
    <t>VIL/DC/23-24/0888</t>
  </si>
  <si>
    <t>VIL/DC/23-24/0889</t>
  </si>
  <si>
    <t>769/310, 770/311</t>
  </si>
  <si>
    <t>VIL/DC/23-24/0890</t>
  </si>
  <si>
    <t>770/311, 771/312</t>
  </si>
  <si>
    <t>VIL/DC/23-24/0891</t>
  </si>
  <si>
    <t>772/312, 773/313</t>
  </si>
  <si>
    <t>VIL/DC/23-24/0892</t>
  </si>
  <si>
    <t>773/313</t>
  </si>
  <si>
    <t>VIL/DC/23-24/0893</t>
  </si>
  <si>
    <t>774/313</t>
  </si>
  <si>
    <t>VIL/DC/23-24/0894</t>
  </si>
  <si>
    <t>774/313, 775/314</t>
  </si>
  <si>
    <t>VIL/DC/23-24/0895</t>
  </si>
  <si>
    <t>775/314</t>
  </si>
  <si>
    <t>VIL/DC/23-24/0896</t>
  </si>
  <si>
    <t>MH49AT3082</t>
  </si>
  <si>
    <t>776/ 111</t>
  </si>
  <si>
    <t>VIL/DC/23-24/0897</t>
  </si>
  <si>
    <t>VIL/DC/23-24/0898</t>
  </si>
  <si>
    <t>VIL/DC/23-24/0899</t>
  </si>
  <si>
    <t>VIL/DC/23-24/0900</t>
  </si>
  <si>
    <t>777/314, 778/315</t>
  </si>
  <si>
    <t>VIL/DC/23-24/0901</t>
  </si>
  <si>
    <t>MH40CM6395</t>
  </si>
  <si>
    <t>779/315, 780/316</t>
  </si>
  <si>
    <t>VIL/DC/23-24/0902</t>
  </si>
  <si>
    <t>781/316, 782/317</t>
  </si>
  <si>
    <t>VIL/DC/23-24/0903</t>
  </si>
  <si>
    <t>783/ 317</t>
  </si>
  <si>
    <t>VIL/DC/23-24/0904</t>
  </si>
  <si>
    <t>VIL/DC/23-24/0905</t>
  </si>
  <si>
    <t>783/317, 784/318</t>
  </si>
  <si>
    <t>VIL/DC/23-24/0906</t>
  </si>
  <si>
    <t>784/318</t>
  </si>
  <si>
    <t>VIL/DC/23-24/0907</t>
  </si>
  <si>
    <t>LOI-643</t>
  </si>
  <si>
    <t>VIL/DC/23-24/0908</t>
  </si>
  <si>
    <t>VIL/DC/23-24/0909</t>
  </si>
  <si>
    <t>785/318, 786/319</t>
  </si>
  <si>
    <t>VIL/DC/23-24/0910</t>
  </si>
  <si>
    <t>786/319</t>
  </si>
  <si>
    <t>VIL/DC/23-24/0911</t>
  </si>
  <si>
    <t>787/ 109, 788/111</t>
  </si>
  <si>
    <t>VIL/DC/23-24/0912</t>
  </si>
  <si>
    <t>788/ 111, 789/110</t>
  </si>
  <si>
    <t>LOI-719</t>
  </si>
  <si>
    <t>HT ANGLE 75X75X4 MM</t>
  </si>
  <si>
    <t>MS ANGLE 75X75X4 MM</t>
  </si>
  <si>
    <t>VIL/DC/23-24/0913</t>
  </si>
  <si>
    <t>VIL/DC/23-24/0914</t>
  </si>
  <si>
    <t xml:space="preserve">789/ 110, </t>
  </si>
  <si>
    <t>VIL/DC/23-24/0915</t>
  </si>
  <si>
    <t>790/319</t>
  </si>
  <si>
    <t>790/319, 791/320</t>
  </si>
  <si>
    <t>791/320</t>
  </si>
  <si>
    <t>VIL/DC/23-24/0916</t>
  </si>
  <si>
    <t>VIL/DC/23-24/0917</t>
  </si>
  <si>
    <t>VIL/DC/23-24/0918</t>
  </si>
  <si>
    <t>VIL/DC/23-24/0919</t>
  </si>
  <si>
    <t>792/320, 793/321</t>
  </si>
  <si>
    <t>VIL/DC/23-24/0920</t>
  </si>
  <si>
    <t>794/322</t>
  </si>
  <si>
    <t>VIL/DC/23-24/0921</t>
  </si>
  <si>
    <t>VIL/DC/23-24/0922</t>
  </si>
  <si>
    <t>795/323</t>
  </si>
  <si>
    <t>VIL/DC/23-24/0923</t>
  </si>
  <si>
    <t>VIL/DC/23-24/0924</t>
  </si>
  <si>
    <t>796/323</t>
  </si>
  <si>
    <t>VIL/DC/23-24/0925</t>
  </si>
  <si>
    <t>VIL/DC/23-24/0926</t>
  </si>
  <si>
    <t>796/323, 797/324</t>
  </si>
  <si>
    <t>LOI-712</t>
  </si>
  <si>
    <t>VIL/DC/23-24/0927</t>
  </si>
  <si>
    <t>VIL/DC/23-24/0928</t>
  </si>
  <si>
    <t>798/324</t>
  </si>
  <si>
    <t>VIL/DC/23-24/0929</t>
  </si>
  <si>
    <t>798/324, 799/325</t>
  </si>
  <si>
    <t>VIL/DC/23-24/0930</t>
  </si>
  <si>
    <t>799/325</t>
  </si>
  <si>
    <t>VIL/DC/23-24/0931</t>
  </si>
  <si>
    <t>HT  ANGLE 75X75X4 MM</t>
  </si>
  <si>
    <t>800/325, 801/326</t>
  </si>
  <si>
    <t>VIL/DC/23-24/0933</t>
  </si>
  <si>
    <t>801/326</t>
  </si>
  <si>
    <t>VIL/DC/23-24/0932</t>
  </si>
  <si>
    <t>VIL/DC/23-24/0934</t>
  </si>
  <si>
    <t>802/326, 803/327</t>
  </si>
  <si>
    <t>VIL/DC/23-24/0935</t>
  </si>
  <si>
    <t>803/327</t>
  </si>
  <si>
    <t>VIL/DC/23-24/0936</t>
  </si>
  <si>
    <t>VIL/DC/23-24/0937</t>
  </si>
  <si>
    <t>VIL/DC/23-24/0938</t>
  </si>
  <si>
    <t>VIL/DC/23-24/0939</t>
  </si>
  <si>
    <t>804/110, 805/128</t>
  </si>
  <si>
    <t>VIL/DC/23-24/0940</t>
  </si>
  <si>
    <t>805/128,</t>
  </si>
  <si>
    <t>VIL/DC/23-24/0941</t>
  </si>
  <si>
    <t>LOI-750</t>
  </si>
  <si>
    <t>VIL/DC/23-24/0942</t>
  </si>
  <si>
    <t>VIL/DC/23-24/0943</t>
  </si>
  <si>
    <t>806/323, 807/327</t>
  </si>
  <si>
    <t>VIL/DC/23-24/0944</t>
  </si>
  <si>
    <t>807/327, 808/328</t>
  </si>
  <si>
    <t>808/328</t>
  </si>
  <si>
    <t>VIL/DC/23-24/0945</t>
  </si>
  <si>
    <t>VIL/DC/23-24/0946</t>
  </si>
  <si>
    <t>VIL/DC/23-24/0947</t>
  </si>
  <si>
    <t>LOI-714</t>
  </si>
  <si>
    <t>VIL/DC/23-24/0948</t>
  </si>
  <si>
    <t>809/328, 810/329</t>
  </si>
  <si>
    <t>VIL/DC/23-24/0949</t>
  </si>
  <si>
    <t>810/329</t>
  </si>
  <si>
    <t>VIL/DC/23-24/0950</t>
  </si>
  <si>
    <t>MH40CM5395</t>
  </si>
  <si>
    <t>811/329, 812/330</t>
  </si>
  <si>
    <t>VIL/DC/23-24/0951</t>
  </si>
  <si>
    <t>813/330</t>
  </si>
  <si>
    <t>VIL/DC/23-24/0952</t>
  </si>
  <si>
    <t>VIL/DC/23-24/0953</t>
  </si>
  <si>
    <t>813/330, 814/331</t>
  </si>
  <si>
    <t>HT  ANGLE 70X70X5 MM</t>
  </si>
  <si>
    <t>VIL/DC/23-24/0954</t>
  </si>
  <si>
    <t>814/331</t>
  </si>
  <si>
    <t>AUG  -23  Dispatched Shift qty</t>
  </si>
  <si>
    <t xml:space="preserve">SEP  -23 Total Dispatched </t>
  </si>
  <si>
    <t>VIL/DC/23-24/0955</t>
  </si>
  <si>
    <t>DD01P9222</t>
  </si>
  <si>
    <t>815/331, 816/332, 817/333</t>
  </si>
  <si>
    <t>VIL/DC/23-24/0956</t>
  </si>
  <si>
    <t>MH43Y8877</t>
  </si>
  <si>
    <t>818/333, 819/334</t>
  </si>
  <si>
    <t>VIL/DC/23-24/0957</t>
  </si>
  <si>
    <t>RJ06GC1521</t>
  </si>
  <si>
    <t>820/335</t>
  </si>
  <si>
    <t>VIL/DC/23-24/0958</t>
  </si>
  <si>
    <t>821/ 334</t>
  </si>
  <si>
    <t>VIL/DC/23-24/0959</t>
  </si>
  <si>
    <t>LOI-711</t>
  </si>
  <si>
    <t>VIL/DC/23-24/0960</t>
  </si>
  <si>
    <t>VIL/DC/23-24/0961</t>
  </si>
  <si>
    <t>821/ 334, 822/335</t>
  </si>
  <si>
    <t>VIL/DC/23-24/0962</t>
  </si>
  <si>
    <t>822/335</t>
  </si>
  <si>
    <t>HT  ANGLE 100X100X9 MM</t>
  </si>
  <si>
    <t>VIL/DC/23-24/0963</t>
  </si>
  <si>
    <t>VIL/DC/23-24/0964</t>
  </si>
  <si>
    <t>823/335, 824/336</t>
  </si>
  <si>
    <t>MH40CM5195</t>
  </si>
  <si>
    <t>VIL/DC/23-24/0965</t>
  </si>
  <si>
    <t>NL02Q2829</t>
  </si>
  <si>
    <t>825/336, 826/337</t>
  </si>
  <si>
    <t>VIL/DC/23-24/0966</t>
  </si>
  <si>
    <t>NL01AE1488</t>
  </si>
  <si>
    <t>827/337,</t>
  </si>
  <si>
    <t>VIL/DC/23-24/0967</t>
  </si>
  <si>
    <t>828/337, 829/338</t>
  </si>
  <si>
    <t>VIL/DC/23-24/0968</t>
  </si>
  <si>
    <t>829/338</t>
  </si>
  <si>
    <t>LOI-749</t>
  </si>
  <si>
    <t>VIL/DC/23-24/0969</t>
  </si>
  <si>
    <t>VIL/DC/23-24/0970</t>
  </si>
  <si>
    <t>MH46BF4104</t>
  </si>
  <si>
    <t>830/338, 831/339</t>
  </si>
  <si>
    <t>VIL/DC/23-24/0971</t>
  </si>
  <si>
    <t>831/339</t>
  </si>
  <si>
    <t>VIL/DC/23-24/0972</t>
  </si>
  <si>
    <t>832/128,</t>
  </si>
  <si>
    <t>VIL/DC/23-24/0973</t>
  </si>
  <si>
    <t>MS ANGLE 110X110X7 MM</t>
  </si>
  <si>
    <t>VIL/DC/23-24/0974</t>
  </si>
  <si>
    <t>MH49AT6261</t>
  </si>
  <si>
    <t>VIL/DC/23-24/0975</t>
  </si>
  <si>
    <t>833/339</t>
  </si>
  <si>
    <t>834/340</t>
  </si>
  <si>
    <t>VIL/DC/23-24/0976</t>
  </si>
  <si>
    <t>MH46BU7742</t>
  </si>
  <si>
    <t>835/340</t>
  </si>
  <si>
    <t>VIL/DC/23-24/0977</t>
  </si>
  <si>
    <t>VIL/DC/23-24/0978</t>
  </si>
  <si>
    <t>VIL/DC/23-24/0979</t>
  </si>
  <si>
    <t>836/340, 837/341</t>
  </si>
  <si>
    <t>VIL/DC/23-24/0980</t>
  </si>
  <si>
    <t>837/341</t>
  </si>
  <si>
    <t>VIL/DC/23-24/0981</t>
  </si>
  <si>
    <t>VIL/DC/23-24/0982</t>
  </si>
  <si>
    <t>838/341, 839/342</t>
  </si>
  <si>
    <t>VIL/DC/23-24/0983</t>
  </si>
  <si>
    <t>HT  ANGLE 70X70X6 MM</t>
  </si>
  <si>
    <t>839/342</t>
  </si>
  <si>
    <t>VIL/DC/23-24/0984</t>
  </si>
  <si>
    <t>VIL/DC/23-24/0985</t>
  </si>
  <si>
    <t>MH46H3436</t>
  </si>
  <si>
    <t>840/342, 841/343</t>
  </si>
  <si>
    <t>VIL/DC/23-24/0986</t>
  </si>
  <si>
    <t>NL01AC2480</t>
  </si>
  <si>
    <t>842/ 343</t>
  </si>
  <si>
    <t>VIL/DC/23-24/0987</t>
  </si>
  <si>
    <t>VIL/DC/23-24/0988</t>
  </si>
  <si>
    <t>843/ 128, 844/129</t>
  </si>
  <si>
    <t>VIL/DC/23-24/0989</t>
  </si>
  <si>
    <t>844/129</t>
  </si>
  <si>
    <t>VIL/DC/23-24/0990</t>
  </si>
  <si>
    <t>MS  ANGLE 90X90X5 MM</t>
  </si>
  <si>
    <t>LOI-615</t>
  </si>
  <si>
    <t>VIL/DC/23-24/0991</t>
  </si>
  <si>
    <t>MH49AT0397</t>
  </si>
  <si>
    <t>845/130</t>
  </si>
  <si>
    <t>VIL/DC/23-24/0992</t>
  </si>
  <si>
    <t>VIL/DC/23-24/0993</t>
  </si>
  <si>
    <t>MH46BF0155</t>
  </si>
  <si>
    <t>846/ 343, 847/344</t>
  </si>
  <si>
    <t>VIL/DC/23-24/0994</t>
  </si>
  <si>
    <t>848/344</t>
  </si>
  <si>
    <t>LOI-563</t>
  </si>
  <si>
    <t>VIL/DC/23-24/0995</t>
  </si>
  <si>
    <t>VIL/DC/23-24/0996</t>
  </si>
  <si>
    <t>848/344, 849/345</t>
  </si>
  <si>
    <t>VIL/DC/23-24/0997</t>
  </si>
  <si>
    <t>MH40BG0396</t>
  </si>
  <si>
    <t>850/129</t>
  </si>
  <si>
    <t>VIL/DC/23-24/0998</t>
  </si>
  <si>
    <t>850/129, 851/130</t>
  </si>
  <si>
    <t>VIL/DC/23-24/0999</t>
  </si>
  <si>
    <t>851/130, 852/131</t>
  </si>
  <si>
    <t>VIL/DC/23-24/1000</t>
  </si>
  <si>
    <t>852/131</t>
  </si>
  <si>
    <t>VIL/DC/23-24/1001</t>
  </si>
  <si>
    <t>VIL/DC/23-24/1002</t>
  </si>
  <si>
    <t>853/131</t>
  </si>
  <si>
    <t>VIL/DC/23-24/1003</t>
  </si>
  <si>
    <t>853/131, 854/132</t>
  </si>
  <si>
    <t>VIL/DC/23-24/1004</t>
  </si>
  <si>
    <t>854/132</t>
  </si>
  <si>
    <t>VIL/DC/23-24/1005</t>
  </si>
  <si>
    <t>855/345, 856/346</t>
  </si>
  <si>
    <t>856/346</t>
  </si>
  <si>
    <t>VIL/DC/23-24/1006</t>
  </si>
  <si>
    <t>VIL/DC/23-24/1007</t>
  </si>
  <si>
    <t>VIL/DC/23-24/1008</t>
  </si>
  <si>
    <t>857/346, 858/347</t>
  </si>
  <si>
    <t>858/347</t>
  </si>
  <si>
    <t>VIL/DC/23-24/1009</t>
  </si>
  <si>
    <t>MH46CL0553</t>
  </si>
  <si>
    <t>859/347</t>
  </si>
  <si>
    <t>VIL/DC/23-24/1010</t>
  </si>
  <si>
    <t>859/347, 860/348</t>
  </si>
  <si>
    <t>VIL/DC/23-24/1011</t>
  </si>
  <si>
    <t>861/348</t>
  </si>
  <si>
    <t>VIL/DC/23-24/1012</t>
  </si>
  <si>
    <t>LOI-567</t>
  </si>
  <si>
    <t>VIL/DC/23-24/1013</t>
  </si>
  <si>
    <t>861/348 , 862/349</t>
  </si>
  <si>
    <t>VIL/DC/23-24/1014</t>
  </si>
  <si>
    <t>862/349</t>
  </si>
  <si>
    <t>VIL/DC/23-24/1015</t>
  </si>
  <si>
    <t>LOI-764</t>
  </si>
  <si>
    <t>MS BILLETS</t>
  </si>
  <si>
    <t>VIL/DC/23-24/1016</t>
  </si>
  <si>
    <t>MH49AT2913</t>
  </si>
  <si>
    <t>863/132</t>
  </si>
  <si>
    <t>VIL/DC/23-24/1017</t>
  </si>
  <si>
    <t>VIL/DC/23-24/1018</t>
  </si>
  <si>
    <t>VIL/DC/23-24/1019</t>
  </si>
  <si>
    <t>LOI-767</t>
  </si>
  <si>
    <t>VIL/DC/23-24/1020</t>
  </si>
  <si>
    <t>VIL/DC/23-24/1021</t>
  </si>
  <si>
    <t>864/349</t>
  </si>
  <si>
    <t>VIL/DC/23-24/1022</t>
  </si>
  <si>
    <t>VIL/DC/23-24/1023</t>
  </si>
  <si>
    <t>VIL/DC/23-24/1024</t>
  </si>
  <si>
    <t>865/349, 866/350</t>
  </si>
  <si>
    <t>VIL/DC/23-24/1025</t>
  </si>
  <si>
    <t>866/350</t>
  </si>
  <si>
    <t>VIL/DC/23-24/1026</t>
  </si>
  <si>
    <t>VIL/DC/23-24/1027</t>
  </si>
  <si>
    <t>VIL/DC/23-24/1028</t>
  </si>
  <si>
    <t>867/350, 868/351</t>
  </si>
  <si>
    <t>VIL/DC/23-24/1029</t>
  </si>
  <si>
    <t>MS  ANGLE 100X100X8 MM</t>
  </si>
  <si>
    <t>869/351, 870/352</t>
  </si>
  <si>
    <t xml:space="preserve">KEC JBP </t>
  </si>
  <si>
    <t>VIL/DC/23-24/1030</t>
  </si>
  <si>
    <t>871/352, 872/353</t>
  </si>
  <si>
    <t>VIL/DC/23-24/1031</t>
  </si>
  <si>
    <t>MH46AR3342</t>
  </si>
  <si>
    <t>873/353, 874/354</t>
  </si>
  <si>
    <t>LOI-794</t>
  </si>
  <si>
    <t>VIL/DC/23-24/1032</t>
  </si>
  <si>
    <t>MH23AU1166</t>
  </si>
  <si>
    <t>875/354, 876/355</t>
  </si>
  <si>
    <t>VIL/DC/23-24/1033</t>
  </si>
  <si>
    <t>877/355, 878/356</t>
  </si>
  <si>
    <t>VIL/DC/23-24/1034</t>
  </si>
  <si>
    <t>878/356</t>
  </si>
  <si>
    <t>LOI-716</t>
  </si>
  <si>
    <t>VIL/DC/23-24/1035</t>
  </si>
  <si>
    <t>VIL/DC/23-24/1036</t>
  </si>
  <si>
    <t>VIL/DC/23-24/1037</t>
  </si>
  <si>
    <t>DD01H9358</t>
  </si>
  <si>
    <t>879/356, 880/357</t>
  </si>
  <si>
    <t>MH46AF2875</t>
  </si>
  <si>
    <t>MH46AR4835</t>
  </si>
  <si>
    <t>883/358</t>
  </si>
  <si>
    <t>VIL/DC/23-24/1038</t>
  </si>
  <si>
    <t>MS  ANGLE 75X75X8 MM</t>
  </si>
  <si>
    <t>884/132,  885/133</t>
  </si>
  <si>
    <t>LOI-751</t>
  </si>
  <si>
    <t>VIL/DC/23-24/1039</t>
  </si>
  <si>
    <t>885/133</t>
  </si>
  <si>
    <t>LOI-752</t>
  </si>
  <si>
    <t>VIL/DC/23-24/1040</t>
  </si>
  <si>
    <t>MH46BB8956</t>
  </si>
  <si>
    <t>886/321</t>
  </si>
  <si>
    <t>VIL/DC/23-24/1041</t>
  </si>
  <si>
    <t>887/321, 888/358, 889/359</t>
  </si>
  <si>
    <t>VIL/DC/23-24/1042</t>
  </si>
  <si>
    <t>890/359</t>
  </si>
  <si>
    <t>VIL/DC/23-24/1043</t>
  </si>
  <si>
    <t>890/359, 891/360</t>
  </si>
  <si>
    <t>DN09P9897</t>
  </si>
  <si>
    <t>892/360</t>
  </si>
  <si>
    <t>VIL/DC/23-24/1044</t>
  </si>
  <si>
    <t>VIL/DC/23-24/1045</t>
  </si>
  <si>
    <t>MH49AT0406</t>
  </si>
  <si>
    <t>893/133, 894/134</t>
  </si>
  <si>
    <t>VIL/DC/23-24/1046</t>
  </si>
  <si>
    <t>VIL/DC/23-24/1047</t>
  </si>
  <si>
    <t>894/134</t>
  </si>
  <si>
    <t>MH49AT0410</t>
  </si>
  <si>
    <t>895/134, 896/135</t>
  </si>
  <si>
    <t>VIL/DC/23-24/1048</t>
  </si>
  <si>
    <t>897/135, 898/136</t>
  </si>
  <si>
    <t>VIL/DC/23-24/1049</t>
  </si>
  <si>
    <t>898/136</t>
  </si>
  <si>
    <t>LOI-717</t>
  </si>
  <si>
    <t>VIL/DC/23-24/1050</t>
  </si>
  <si>
    <t>MH49AT0399</t>
  </si>
  <si>
    <t>899/136, 900/137</t>
  </si>
  <si>
    <t>VIL/DC/23-24/1051</t>
  </si>
  <si>
    <t>900/137</t>
  </si>
  <si>
    <t>VIL/DC/23-24/1052</t>
  </si>
  <si>
    <t>VIL/DC/23-24/1053</t>
  </si>
  <si>
    <t>MH49AT0510</t>
  </si>
  <si>
    <t>901/137, 902/138</t>
  </si>
  <si>
    <t>VIL/DC/23-24/1054</t>
  </si>
  <si>
    <t>902/138</t>
  </si>
  <si>
    <t>VIL/DC/23-24/1055</t>
  </si>
  <si>
    <t>VIL/DC/23-24/1056</t>
  </si>
  <si>
    <t>VIL/DC/23-24/1057</t>
  </si>
  <si>
    <t>VIL/DC/23-24/1058</t>
  </si>
  <si>
    <t>903/360, 904/361</t>
  </si>
  <si>
    <t>VIL/DC/23-24/1059</t>
  </si>
  <si>
    <t>904/361</t>
  </si>
  <si>
    <t>VIL/DC/23-24/1060</t>
  </si>
  <si>
    <t>MH16CD6667</t>
  </si>
  <si>
    <t>905/361, 906/362</t>
  </si>
  <si>
    <t>VIL/DC/23-24/1061</t>
  </si>
  <si>
    <t>NL01L5654</t>
  </si>
  <si>
    <t>907/362</t>
  </si>
  <si>
    <t>VIL/DC/23-24/1062</t>
  </si>
  <si>
    <t>MH46AR5345</t>
  </si>
  <si>
    <t>908/363</t>
  </si>
  <si>
    <t>VIL/DC/23-24/1063</t>
  </si>
  <si>
    <t>DD01H9169</t>
  </si>
  <si>
    <t>909/362, 910/363</t>
  </si>
  <si>
    <t>VIL/DC/23-24/1064</t>
  </si>
  <si>
    <t>MH23AU9477</t>
  </si>
  <si>
    <t>911/363, 912/364</t>
  </si>
  <si>
    <t>VIL/DC/23-24/1065</t>
  </si>
  <si>
    <t>913/138, 914/139</t>
  </si>
  <si>
    <t>VIL/DC/23-24/1066</t>
  </si>
  <si>
    <t>914/139</t>
  </si>
  <si>
    <t>VIL/DC/23-24/1068</t>
  </si>
  <si>
    <t>915/364, 916/365</t>
  </si>
  <si>
    <t>VIL/DC/23-24/1069</t>
  </si>
  <si>
    <t>917/365, 918/366</t>
  </si>
  <si>
    <t>VIL/DC/23-24/1067</t>
  </si>
  <si>
    <t>MH46BF7799</t>
  </si>
  <si>
    <t>919/366, 920/367</t>
  </si>
  <si>
    <t>VIL/DC/23-24/1070</t>
  </si>
  <si>
    <t>921/139, 922/140</t>
  </si>
  <si>
    <t>VIL/DC/23-24/1071</t>
  </si>
  <si>
    <t>922/140</t>
  </si>
  <si>
    <t>VIL/DC/23-24/1072</t>
  </si>
  <si>
    <t>MH23W5112</t>
  </si>
  <si>
    <t>923/367</t>
  </si>
  <si>
    <t>VIL/DC/23-24/1073</t>
  </si>
  <si>
    <t>MH49AT0501</t>
  </si>
  <si>
    <t>924/140, 925/141</t>
  </si>
  <si>
    <t>VIL/DC/23-24/1074</t>
  </si>
  <si>
    <t>925/141</t>
  </si>
  <si>
    <t>LOI-766</t>
  </si>
  <si>
    <t>VIL/DC/23-24/1075</t>
  </si>
  <si>
    <t>VIL/DC/23-24/1076</t>
  </si>
  <si>
    <t>926/141, 927/142</t>
  </si>
  <si>
    <t>VIL/DC/23-24/1077</t>
  </si>
  <si>
    <t>928/367 , 929/368</t>
  </si>
  <si>
    <t>VIL/DC/23-24/1078</t>
  </si>
  <si>
    <t>MH40AK7728</t>
  </si>
  <si>
    <t>930/368 , 931/369</t>
  </si>
  <si>
    <t>VIL/DC/23-24/1079</t>
  </si>
  <si>
    <t>MH46BB5715</t>
  </si>
  <si>
    <t>932/370</t>
  </si>
  <si>
    <t>VIL/DC/23-24/1080</t>
  </si>
  <si>
    <t>VIL/DC/23-24/1081</t>
  </si>
  <si>
    <t>933/142</t>
  </si>
  <si>
    <t>VIL/DC/23-24/1082</t>
  </si>
  <si>
    <t>933/142, 934/143</t>
  </si>
  <si>
    <t>VIL/DC/23-24/1083</t>
  </si>
  <si>
    <t>934/143</t>
  </si>
  <si>
    <t>VIL/DC/23-24/1084</t>
  </si>
  <si>
    <t>935/143, 936/144</t>
  </si>
  <si>
    <t>VIL/DC/23-24/1085</t>
  </si>
  <si>
    <t>936/144</t>
  </si>
  <si>
    <t>VIL/DC/23-24/1086</t>
  </si>
  <si>
    <t>VIL/DC/23-24/1087</t>
  </si>
  <si>
    <t>937/369, 938/370, 939/371</t>
  </si>
  <si>
    <t>GJ15AV6565</t>
  </si>
  <si>
    <t>VIL/DC/23-24/1088</t>
  </si>
  <si>
    <t>MH49AT3053</t>
  </si>
  <si>
    <t>940/144</t>
  </si>
  <si>
    <t>VIL/DC/23-24/1089</t>
  </si>
  <si>
    <t>940/144, 941/145, 942/146</t>
  </si>
  <si>
    <t>VIL/DC/23-24/1090</t>
  </si>
  <si>
    <t>943/146</t>
  </si>
  <si>
    <t>VIL/DC/23-24/1091</t>
  </si>
  <si>
    <t>LOI-720</t>
  </si>
  <si>
    <t>VIL/DC/23-24/1092</t>
  </si>
  <si>
    <t>943/146, 944/147</t>
  </si>
  <si>
    <t>VIL/DC/23-24/1093</t>
  </si>
  <si>
    <t>944/147</t>
  </si>
  <si>
    <t>VIL/DC/23-24/1094</t>
  </si>
  <si>
    <t>VIL/DC/23-24/1095</t>
  </si>
  <si>
    <t>DD01N9807</t>
  </si>
  <si>
    <t>945/371, 946/372</t>
  </si>
  <si>
    <t>VIL/DC/23-24/1096</t>
  </si>
  <si>
    <t>VIL/DC/23-24/1097</t>
  </si>
  <si>
    <t>948/148</t>
  </si>
  <si>
    <t>VIL/DC/23-24/1098</t>
  </si>
  <si>
    <t>VIL/DC/23-24/1099</t>
  </si>
  <si>
    <t>LOI-723</t>
  </si>
  <si>
    <t>VIL/DC/23-24/1100</t>
  </si>
  <si>
    <t>DD01P9772</t>
  </si>
  <si>
    <t>947/372</t>
  </si>
  <si>
    <t>VIL/DC/23-24/1101</t>
  </si>
  <si>
    <t>949/372, 950/373</t>
  </si>
  <si>
    <t>LOI-765</t>
  </si>
  <si>
    <t>VIL/DC/23-24/1102</t>
  </si>
  <si>
    <t>951/373, 952/374, 953/375</t>
  </si>
  <si>
    <t>VIL/DC/23-24/1103</t>
  </si>
  <si>
    <t>NL01AE2966</t>
  </si>
  <si>
    <t>954/ 375</t>
  </si>
  <si>
    <t>MH04GR9022</t>
  </si>
  <si>
    <t>955/ 375, 956/376</t>
  </si>
  <si>
    <t>VIL/DC/23-24/1104</t>
  </si>
  <si>
    <t>VIL/DC/23-24/1105</t>
  </si>
  <si>
    <t>957/376</t>
  </si>
  <si>
    <t>VIL/DC/23-24/1106</t>
  </si>
  <si>
    <t>VIL/DC/23-24/1107</t>
  </si>
  <si>
    <t>960/147</t>
  </si>
  <si>
    <t>VIL/DC/23-24/1108</t>
  </si>
  <si>
    <t>VIL/DC/23-24/1109</t>
  </si>
  <si>
    <t>VIL/DC/23-24/1110</t>
  </si>
  <si>
    <t>VIL/DC/23-24/1111</t>
  </si>
  <si>
    <t>957/376, 958/377, 959/378</t>
  </si>
  <si>
    <t>961/378</t>
  </si>
  <si>
    <t>961/378, 962/379</t>
  </si>
  <si>
    <t>VIL/DC/23-24/1112</t>
  </si>
  <si>
    <t>VIL/DC/23-24/1113</t>
  </si>
  <si>
    <t>VIL/DC/23-24/1114</t>
  </si>
  <si>
    <t>MH15GV2929</t>
  </si>
  <si>
    <t>963/379, 964/381</t>
  </si>
  <si>
    <t>VIL/DC/23-24/1115</t>
  </si>
  <si>
    <t>964/381</t>
  </si>
  <si>
    <t>VIL/DC/23-24/1116</t>
  </si>
  <si>
    <t>965/ 381</t>
  </si>
  <si>
    <t>VIL/DC/23-24/1117</t>
  </si>
  <si>
    <t>GJ39T0483</t>
  </si>
  <si>
    <t>966/ 381, 967/382</t>
  </si>
  <si>
    <t>VIL/DC/23-24/1118</t>
  </si>
  <si>
    <t>NL01AG8543</t>
  </si>
  <si>
    <t>968/ 382, 969/383</t>
  </si>
  <si>
    <t>MH04JU8939</t>
  </si>
  <si>
    <t>970/ 383, 971/384</t>
  </si>
  <si>
    <t>VIL/DC/23-24/1119</t>
  </si>
  <si>
    <t>VIL/DC/23-24/1120</t>
  </si>
  <si>
    <t xml:space="preserve">972/ 384, </t>
  </si>
  <si>
    <t>VIL/DC/23-24/1121</t>
  </si>
  <si>
    <t>972/ 384, 973/385</t>
  </si>
  <si>
    <t>LOI-715</t>
  </si>
  <si>
    <t>VIL/DC/23-24/1122</t>
  </si>
  <si>
    <t>HT  ANGLE  90X90X6 MM</t>
  </si>
  <si>
    <t>HT  ANGLE  120X120X10 MM</t>
  </si>
  <si>
    <t>HT  ANGLE  120X120X9 MM</t>
  </si>
  <si>
    <t>HT  ANGLE  120X120X8 MM</t>
  </si>
  <si>
    <t>HT  ANGLE  80X80X6 MM</t>
  </si>
  <si>
    <t>974/386</t>
  </si>
  <si>
    <t>VIL/DC/23-24/1123</t>
  </si>
  <si>
    <t>MH46BU7064</t>
  </si>
  <si>
    <t>975/386, 976/385</t>
  </si>
  <si>
    <t>VIL/DC/23-24/1124</t>
  </si>
  <si>
    <t>977/385, 978/387</t>
  </si>
  <si>
    <t>VIL/DC/23-24/1125</t>
  </si>
  <si>
    <t>978/387</t>
  </si>
  <si>
    <t>LOI-613</t>
  </si>
  <si>
    <t>HT  ANGLE 150X150X17 MM</t>
  </si>
  <si>
    <t>VIL/DC/23-24/1126</t>
  </si>
  <si>
    <t>979/387, 980/388, 981/389</t>
  </si>
  <si>
    <t>VIL/DC/23-24/1127</t>
  </si>
  <si>
    <t>982/ 389</t>
  </si>
  <si>
    <t>VIL/DC/23-24/1128</t>
  </si>
  <si>
    <t>VIL/DC/23-24/1129</t>
  </si>
  <si>
    <t>982/ 389, 983/390</t>
  </si>
  <si>
    <t>VIL/DC/23-24/1130</t>
  </si>
  <si>
    <t>NL01AC6497</t>
  </si>
  <si>
    <t>984/ 390, 985/391</t>
  </si>
  <si>
    <t>VIL/DC/23-24/1131</t>
  </si>
  <si>
    <t>986/391</t>
  </si>
  <si>
    <t>VIL/DC/23-24/1132</t>
  </si>
  <si>
    <t>986/391, 987/392</t>
  </si>
  <si>
    <t>VIL/DC/23-24/1133</t>
  </si>
  <si>
    <t>987/392</t>
  </si>
  <si>
    <t>VIL/DC/23-24/1134</t>
  </si>
  <si>
    <t>988/392</t>
  </si>
  <si>
    <t>VIL/DC/23-24/1135</t>
  </si>
  <si>
    <t>MH40CM0656</t>
  </si>
  <si>
    <t>989/392, 990/393, 991/394, 992/395</t>
  </si>
  <si>
    <t>VIL/DC/23-24/1136</t>
  </si>
  <si>
    <t>993/395, 994/396</t>
  </si>
  <si>
    <t>VIL/DC/23-24/1137</t>
  </si>
  <si>
    <t>MH40CM0647</t>
  </si>
  <si>
    <t>995/396, 996/367, 997/398</t>
  </si>
  <si>
    <t>VIL/DC/23-24/1138</t>
  </si>
  <si>
    <t>998/398, 999/399</t>
  </si>
  <si>
    <t>VIL/DC/23-24/1139</t>
  </si>
  <si>
    <t>1000/399, 1001/400</t>
  </si>
  <si>
    <t>VIL/DC/23-24/1140</t>
  </si>
  <si>
    <t>1001/400</t>
  </si>
  <si>
    <t>VIL/DC/23-24/1141</t>
  </si>
  <si>
    <t>1002/401</t>
  </si>
  <si>
    <t>SEP  -23  Dispatched Shift qty</t>
  </si>
  <si>
    <t xml:space="preserve">OCT  -23 Total Dispatched </t>
  </si>
  <si>
    <t>VIL/DC/23-24/1142</t>
  </si>
  <si>
    <t>1003/400, 1004/401</t>
  </si>
  <si>
    <t>VIL/DC/23-24/1143</t>
  </si>
  <si>
    <t>1005/401, 1006/402, 1007/403</t>
  </si>
  <si>
    <t>VIL/DC/23-24/1144</t>
  </si>
  <si>
    <t>KEC INTERNATIONAL LIMITED,(JBP VIA BUTIBORI)</t>
  </si>
  <si>
    <t>1008/403, 1009/404</t>
  </si>
  <si>
    <t>MH49AT 2913</t>
  </si>
  <si>
    <t>LOI-614</t>
  </si>
  <si>
    <t>VIL/DC/23-24/1145</t>
  </si>
  <si>
    <t>1010/404, 1011/405</t>
  </si>
  <si>
    <t>VIL/DC/23-24/1146</t>
  </si>
  <si>
    <t>1012/405, 1013/406</t>
  </si>
  <si>
    <t>VIL/DC/23-24/1147</t>
  </si>
  <si>
    <t>1014/406, 1015/407</t>
  </si>
  <si>
    <t>VIL/DC/23-24/1148</t>
  </si>
  <si>
    <t>1016/409</t>
  </si>
  <si>
    <t>VIL/DC/23-24/1155</t>
  </si>
  <si>
    <t>1025/412, 1026/413</t>
  </si>
  <si>
    <t>VIL/DC/23-24/1156</t>
  </si>
  <si>
    <t>MS  ANGLE 075X075X5 MM</t>
  </si>
  <si>
    <t>MS  ANGLE 075X075X6 MM</t>
  </si>
  <si>
    <t>1027/413, 1028/414</t>
  </si>
  <si>
    <t>VIL/DC/23-24/1157</t>
  </si>
  <si>
    <t>1028/414</t>
  </si>
  <si>
    <t>VIL/DC/23-24/1158</t>
  </si>
  <si>
    <t>LOI-833</t>
  </si>
  <si>
    <t>VIL/DC/23-24/1159</t>
  </si>
  <si>
    <t>VIL/DC/23-24/1161</t>
  </si>
  <si>
    <t>1030/415</t>
  </si>
  <si>
    <t>VIL/DC/23-24/1162</t>
  </si>
  <si>
    <t>VIL/DC/23-24/1163</t>
  </si>
  <si>
    <t>VIL/DC/23-24/1164</t>
  </si>
  <si>
    <t>LOI-896</t>
  </si>
  <si>
    <t>VIL/DC/23-24/1165</t>
  </si>
  <si>
    <t>MH49AT6275</t>
  </si>
  <si>
    <t>1031/416</t>
  </si>
  <si>
    <t>VIL/DC/23-24/1160</t>
  </si>
  <si>
    <t>1029/149</t>
  </si>
  <si>
    <t>LOI-835</t>
  </si>
  <si>
    <t>VIL/DC/23-24/1149</t>
  </si>
  <si>
    <t>1017/407, 1018/408</t>
  </si>
  <si>
    <t>1018/408, 1019/409</t>
  </si>
  <si>
    <t>VIL/DC/23-24/1150</t>
  </si>
  <si>
    <t>VIL/DC/23-24/1151</t>
  </si>
  <si>
    <t>1020/409, 1021/410, 1022/411</t>
  </si>
  <si>
    <t>VIL/DC/23-24/1152</t>
  </si>
  <si>
    <t>1023/411</t>
  </si>
  <si>
    <t>VIL/DC/23-24/1153</t>
  </si>
  <si>
    <t>1024/412</t>
  </si>
  <si>
    <t>VIL/DC/23-24/1154</t>
  </si>
  <si>
    <t>VIL/DC/23-24/1166</t>
  </si>
  <si>
    <t>1032/417</t>
  </si>
  <si>
    <t>VIL/DC/23-24/1167</t>
  </si>
  <si>
    <t>VIL/DC/23-24/1168</t>
  </si>
  <si>
    <t>VIL/DC/23-24/1169</t>
  </si>
  <si>
    <t>VIL/DC/23-24/1170</t>
  </si>
  <si>
    <t>1033/418</t>
  </si>
  <si>
    <t>VIL/DC/23-24/1171</t>
  </si>
  <si>
    <t>VIL/DC/23-24/1172</t>
  </si>
  <si>
    <t>VIL/DC/23-24/1173</t>
  </si>
  <si>
    <t>1034/411, 1035/414</t>
  </si>
  <si>
    <t>VIL/DC/23-24/1174</t>
  </si>
  <si>
    <t>1035/414, 1036/415</t>
  </si>
  <si>
    <t>VIL/DC/23-24/1175</t>
  </si>
  <si>
    <t>1036/415, 1037/416, 1038/417</t>
  </si>
  <si>
    <t>VIL/DC/23-24/1176</t>
  </si>
  <si>
    <t>1038/417</t>
  </si>
  <si>
    <t>VIL/DC/23-24/1177</t>
  </si>
  <si>
    <t>HT  ANGLE 90X90X9 MM</t>
  </si>
  <si>
    <t>VIL/DC/23-24/1178</t>
  </si>
  <si>
    <t>1038/417, 1039,418</t>
  </si>
  <si>
    <t>VIL/DC/23-24/1179</t>
  </si>
  <si>
    <t>1040/418</t>
  </si>
  <si>
    <t>VIL/DC/23-24/1180</t>
  </si>
  <si>
    <t>1040/418, 1041/419</t>
  </si>
  <si>
    <t>VIL/DC/23-24/1181</t>
  </si>
  <si>
    <t>MH49AT1954</t>
  </si>
  <si>
    <t xml:space="preserve">1042/167, </t>
  </si>
  <si>
    <t>MS  ANGLE 80X80X8 MM</t>
  </si>
  <si>
    <t>MS  ANGLE 90X90X8 MM</t>
  </si>
  <si>
    <t>VIL/DC/23-24/1182</t>
  </si>
  <si>
    <t>1042/167, 1043/168</t>
  </si>
  <si>
    <t>LOI-768</t>
  </si>
  <si>
    <t>MS  ANGLE 130X130X8 MM</t>
  </si>
  <si>
    <t>VIL/DC/23-24/1183</t>
  </si>
  <si>
    <t>MH40AK6073</t>
  </si>
  <si>
    <t>1044/147, 1045/148, 1046/149, 1047/150</t>
  </si>
  <si>
    <t>HT  ANGLE 80X8X6 MM</t>
  </si>
  <si>
    <t>VIL/DC/23-24/1184</t>
  </si>
  <si>
    <t>1047/150</t>
  </si>
  <si>
    <t>HT  ANGLE 130X13X10 MM</t>
  </si>
  <si>
    <t>VIL/DC/23-24/1185</t>
  </si>
  <si>
    <t>MH49AT1956</t>
  </si>
  <si>
    <t>1048/150, 1049/ 168</t>
  </si>
  <si>
    <t>VIL/DC/23-24/1186</t>
  </si>
  <si>
    <t>MH40AK6001</t>
  </si>
  <si>
    <t>1050/168, 1051/ 169</t>
  </si>
  <si>
    <t>VIL/DC/23-24/1187</t>
  </si>
  <si>
    <t>1051/ 169</t>
  </si>
  <si>
    <t>VIL/DC/23-24/1188</t>
  </si>
  <si>
    <t>MH49AT1955</t>
  </si>
  <si>
    <t>1052/ 169, 1053/170</t>
  </si>
  <si>
    <t>VIL/DC/23-24/1189</t>
  </si>
  <si>
    <t>1053/170</t>
  </si>
  <si>
    <t>VIL/DC/23-24/1190</t>
  </si>
  <si>
    <t>VIL/DC/23-24/1191</t>
  </si>
  <si>
    <t>1054/419</t>
  </si>
  <si>
    <t>1054/419, 1055/420</t>
  </si>
  <si>
    <t>VIL/DC/23-24/1192</t>
  </si>
  <si>
    <t>VIL/DC/23-24/1193</t>
  </si>
  <si>
    <t>VIL/DC/23-24/1194</t>
  </si>
  <si>
    <t>VIL/DC/23-24/1195</t>
  </si>
  <si>
    <t>1055/420</t>
  </si>
  <si>
    <t>VIL/DC/23-24/1196</t>
  </si>
  <si>
    <t>MH49AT4593</t>
  </si>
  <si>
    <t>1056/420, 1057/421</t>
  </si>
  <si>
    <t>VIL/DC/23-24/1197</t>
  </si>
  <si>
    <t>MH49AT0504</t>
  </si>
  <si>
    <t>1058/421, 1059/422</t>
  </si>
  <si>
    <t>VIL/DC/23-24/1198</t>
  </si>
  <si>
    <t>1060/422,</t>
  </si>
  <si>
    <t>VIL/DC/23-24/1199</t>
  </si>
  <si>
    <t>1060/422, 1061/423</t>
  </si>
  <si>
    <t>VIL/DC/23-24/1200</t>
  </si>
  <si>
    <t>1062/170, 1063/171</t>
  </si>
  <si>
    <t>LOI-836</t>
  </si>
  <si>
    <t>VIL/DC/23-24/1201</t>
  </si>
  <si>
    <t>1063/171</t>
  </si>
  <si>
    <t>VIL/DC/23-24/1202</t>
  </si>
  <si>
    <t>MH49AT3051</t>
  </si>
  <si>
    <t>1064/171, 1065/172</t>
  </si>
  <si>
    <t>VIL/DC/23-24/1203</t>
  </si>
  <si>
    <t>1065/172</t>
  </si>
  <si>
    <t>VIL/DC/23-24/1204</t>
  </si>
  <si>
    <t>1068/423, 1069/424</t>
  </si>
  <si>
    <t>VIL/DC/23-24/1205</t>
  </si>
  <si>
    <t xml:space="preserve"> 1069/424</t>
  </si>
  <si>
    <t>VIL/DC/23-24/1206</t>
  </si>
  <si>
    <t>1066/172, 1067, 173</t>
  </si>
  <si>
    <t>VIL/DC/23-24/1207</t>
  </si>
  <si>
    <t>1067, 173</t>
  </si>
  <si>
    <t>VIL/DC/23-24/1208</t>
  </si>
  <si>
    <t xml:space="preserve"> 1070/424, 1071/425</t>
  </si>
  <si>
    <t>VIL/DC/23-24/1209</t>
  </si>
  <si>
    <t>1071/425</t>
  </si>
  <si>
    <t>HT  ANGLE 110X110X11 MM</t>
  </si>
  <si>
    <t>VIL/DC/23-24/1210</t>
  </si>
  <si>
    <t>MH49AT0401</t>
  </si>
  <si>
    <t>1072/174, 1073/177</t>
  </si>
  <si>
    <t>VIL/DC/23-24/1211</t>
  </si>
  <si>
    <t>1073/177</t>
  </si>
  <si>
    <t>LOI-900</t>
  </si>
  <si>
    <t>VIL/DC/23-24/1213</t>
  </si>
  <si>
    <t>1074/177, 1075/178</t>
  </si>
  <si>
    <t>VIL/DC/23-24/1214</t>
  </si>
  <si>
    <t>VIL/DC/23-24/1212</t>
  </si>
  <si>
    <t>1075/178</t>
  </si>
  <si>
    <t>1076/426</t>
  </si>
  <si>
    <t>VIL/DC/23-24/1215</t>
  </si>
  <si>
    <t>VIL/DC/23-24/1216</t>
  </si>
  <si>
    <t>VIL/DC/23-24/1217</t>
  </si>
  <si>
    <t>VIL/DC/23-24/1218</t>
  </si>
  <si>
    <t>LOI-897</t>
  </si>
  <si>
    <t>VIL/DC/23-24/1219</t>
  </si>
  <si>
    <t>LOI-832</t>
  </si>
  <si>
    <t>VIL/DC/23-24/1220</t>
  </si>
  <si>
    <t>1077/425, 1078/426, 1079/430, 1080/437, 1081/427</t>
  </si>
  <si>
    <t>LOI-965</t>
  </si>
  <si>
    <t>KEC INTERNATIONAL LIMITED,(JAIPUR VIA BUTIBORI)</t>
  </si>
  <si>
    <t>VIL/DC/23-24/1221</t>
  </si>
  <si>
    <t>MH49AT0409</t>
  </si>
  <si>
    <t>1082/ 427</t>
  </si>
  <si>
    <t>VIL/DC/23-24/1222</t>
  </si>
  <si>
    <t>1083/ 427,</t>
  </si>
  <si>
    <t>VIL/DC/23-24/1223</t>
  </si>
  <si>
    <t>1083/ 427, 1084/442</t>
  </si>
  <si>
    <t>VIL/DC/23-24/1224</t>
  </si>
  <si>
    <t>1085/173, 1086/178</t>
  </si>
  <si>
    <t>VIL/DC/23-24/1225</t>
  </si>
  <si>
    <t>1086/178</t>
  </si>
  <si>
    <t>HT  ANGLE 80X80X8 MM</t>
  </si>
  <si>
    <t>VIL/DC/23-24/1226</t>
  </si>
  <si>
    <t>VIL/DC/23-24/1227</t>
  </si>
  <si>
    <t>MS  ANGLE 120X120X7 MM</t>
  </si>
  <si>
    <t>LOI-968</t>
  </si>
  <si>
    <t>VIL/DC/23-24/1228</t>
  </si>
  <si>
    <t>MH49AT6305</t>
  </si>
  <si>
    <t>1087/428</t>
  </si>
  <si>
    <t>VIL/DC/23-24/1229</t>
  </si>
  <si>
    <t>1088/429</t>
  </si>
  <si>
    <t>VIL/DC/23-24/1230</t>
  </si>
  <si>
    <t>MH49AT3081</t>
  </si>
  <si>
    <t>1089/428, 1090/429, 1091/431</t>
  </si>
  <si>
    <t>VIL/DC/23-24/1231</t>
  </si>
  <si>
    <t>MH49AT3052</t>
  </si>
  <si>
    <t>1092/432</t>
  </si>
  <si>
    <t>VIL/DC/23-24/1232</t>
  </si>
  <si>
    <t>1093/432, 1094/433</t>
  </si>
  <si>
    <t>HT  ANGLE  80X80X5 MM</t>
  </si>
  <si>
    <t>VIL/DC/23-24/1233</t>
  </si>
  <si>
    <t>1095/443</t>
  </si>
  <si>
    <t>HT  ANGLE  130X130X10 MM</t>
  </si>
  <si>
    <t>HT  ANGLE  130X130X8 MM</t>
  </si>
  <si>
    <t>HT  ANGLE  130X130X9 MM</t>
  </si>
  <si>
    <t>VIL/DC/23-24/1234</t>
  </si>
  <si>
    <t>RJ09GC6853</t>
  </si>
  <si>
    <t>1096/434</t>
  </si>
  <si>
    <t>LOI-795</t>
  </si>
  <si>
    <t>HT  ANGLE  150X150X12 MM</t>
  </si>
  <si>
    <t>HT  ANGLE  150X150X13 MM</t>
  </si>
  <si>
    <t>VIL/DC/23-24/1235</t>
  </si>
  <si>
    <t>HT  ANGLE  080X080X5 MM</t>
  </si>
  <si>
    <t>VIL/DC/23-24/1236</t>
  </si>
  <si>
    <t>1097/445</t>
  </si>
  <si>
    <t>BB/23-24/0168</t>
  </si>
  <si>
    <t>MH49AT2912</t>
  </si>
  <si>
    <t>T-7300034101</t>
  </si>
  <si>
    <t>BB/23-24/0169</t>
  </si>
  <si>
    <t>T-7300034102</t>
  </si>
  <si>
    <t>BB/23-24/0170</t>
  </si>
  <si>
    <t>BB/23-24/0171</t>
  </si>
  <si>
    <t>VIL/DC/23-24/1237</t>
  </si>
  <si>
    <t>1098/178, 1099/179,/ 1100/180</t>
  </si>
  <si>
    <t>VIL/DC/23-24/1238</t>
  </si>
  <si>
    <t>MH49AT0502</t>
  </si>
  <si>
    <t>1101/180, 1102/181</t>
  </si>
  <si>
    <t>VIL/DC/23-24/1239</t>
  </si>
  <si>
    <t>1102/181</t>
  </si>
  <si>
    <t>VIL/DC/23-24/1240</t>
  </si>
  <si>
    <t>1103/181, 1104/182</t>
  </si>
  <si>
    <t>VIL/DC/23-24/1241</t>
  </si>
  <si>
    <t xml:space="preserve">1105/182, </t>
  </si>
  <si>
    <t>VIL/DC/23-24/1242</t>
  </si>
  <si>
    <t>1105/182, 1106/183</t>
  </si>
  <si>
    <t>VIL/DC/23-24/1243</t>
  </si>
  <si>
    <t>1106/183</t>
  </si>
  <si>
    <t>VIL/DC/23-24/1244</t>
  </si>
  <si>
    <t>MH40AK1956</t>
  </si>
  <si>
    <t>1107/183, 1108/184</t>
  </si>
  <si>
    <t>VIL/DC/23-24/1245</t>
  </si>
  <si>
    <t>1108/184</t>
  </si>
  <si>
    <t>KEC JPR</t>
  </si>
  <si>
    <t>VIL/DC/23-24/1246</t>
  </si>
  <si>
    <t>1109/184, 1110/185</t>
  </si>
  <si>
    <t>VIL/DC/23-24/1247</t>
  </si>
  <si>
    <t>1110/185</t>
  </si>
  <si>
    <t>LOI-834</t>
  </si>
  <si>
    <t>VIL/DC/23-24/1248</t>
  </si>
  <si>
    <t>VIL/DC/23-24/1249</t>
  </si>
  <si>
    <t>MH40BG0311</t>
  </si>
  <si>
    <t>1111/185, 1112/186</t>
  </si>
  <si>
    <t>VIL/DC/23-24/1250</t>
  </si>
  <si>
    <t>1112/186</t>
  </si>
  <si>
    <t>VIL/DC/23-24/1251</t>
  </si>
  <si>
    <t>VIL/DC/23-24/1252</t>
  </si>
  <si>
    <t>1113/186, 1114/187</t>
  </si>
  <si>
    <t>VIL/DC/23-24/1253</t>
  </si>
  <si>
    <t>1114/187</t>
  </si>
  <si>
    <t>VIL/DC/23-24/1254</t>
  </si>
  <si>
    <t>1115/187</t>
  </si>
  <si>
    <t>VIL/DC/23-24/1255</t>
  </si>
  <si>
    <t>1115/187, 1116/188</t>
  </si>
  <si>
    <t>VIL/DC/23-24/1256</t>
  </si>
  <si>
    <t>MH40AK4386</t>
  </si>
  <si>
    <t>1117/188, 1118/191</t>
  </si>
  <si>
    <t>VIL/DC/23-24/1257</t>
  </si>
  <si>
    <t>1118/191</t>
  </si>
  <si>
    <t>VIL/DC/23-24/1258</t>
  </si>
  <si>
    <t>VIL/DC/23-24/1259</t>
  </si>
  <si>
    <t>VIL/DC/23-24/1260</t>
  </si>
  <si>
    <t>1119/191</t>
  </si>
  <si>
    <t>VIL/DC/23-24/1261</t>
  </si>
  <si>
    <t>1120/191, 1121/192</t>
  </si>
  <si>
    <t>VIL/DC/23-24/1262</t>
  </si>
  <si>
    <t>1122/192,</t>
  </si>
  <si>
    <t>VIL/DC/23-24/1263</t>
  </si>
  <si>
    <t>1122/192, 1123/193</t>
  </si>
  <si>
    <t>VIL/DC/23-24/1264</t>
  </si>
  <si>
    <t>1123/193</t>
  </si>
  <si>
    <t>VIL/DC/23-24/1265</t>
  </si>
  <si>
    <t>1124/193</t>
  </si>
  <si>
    <t>VIL/DC/23-24/1266</t>
  </si>
  <si>
    <t>VIL/DC/23-24/1267</t>
  </si>
  <si>
    <t>1124/193, 1125/194</t>
  </si>
  <si>
    <t>VIL/DC/23-24/1268</t>
  </si>
  <si>
    <t>1125/194</t>
  </si>
  <si>
    <t>LOI-904</t>
  </si>
  <si>
    <t>VIL/DC/23-24/1269</t>
  </si>
  <si>
    <t>MH49AT2950</t>
  </si>
  <si>
    <t>1326/194</t>
  </si>
  <si>
    <t>VIL/DC/23-24/1270</t>
  </si>
  <si>
    <t>VIL/DC/23-24/1271</t>
  </si>
  <si>
    <t>VIL/DC/23-24/1272</t>
  </si>
  <si>
    <t>1327/194</t>
  </si>
  <si>
    <t>VIL/DC/23-24/1273</t>
  </si>
  <si>
    <t>1328/194</t>
  </si>
  <si>
    <t>VIL/DC/23-24/1274</t>
  </si>
  <si>
    <t>MH40CD4291</t>
  </si>
  <si>
    <t>1329/194, 1130/195</t>
  </si>
  <si>
    <t>VIL/DC/23-24/1275</t>
  </si>
  <si>
    <t>MH49AT2947</t>
  </si>
  <si>
    <t>1131/195</t>
  </si>
  <si>
    <t>HT  ANGLE  100X100X6 MM</t>
  </si>
  <si>
    <t>VIL/DC/23-24/1276</t>
  </si>
  <si>
    <t>1132/431, 1133/435</t>
  </si>
  <si>
    <t>HT  ANGLE  75X75X6 MM</t>
  </si>
  <si>
    <t>VIL/DC/23-24/1277</t>
  </si>
  <si>
    <t>1133/435</t>
  </si>
  <si>
    <t>HT  ANGLE  120X120X12 MM</t>
  </si>
  <si>
    <t>VIL/DC/23-24/1278</t>
  </si>
  <si>
    <t>VIL/DC/23-24/1279</t>
  </si>
  <si>
    <t>MH49AT2909</t>
  </si>
  <si>
    <t>1134/196</t>
  </si>
  <si>
    <t>VIL/DC/23-24/1280</t>
  </si>
  <si>
    <t>VIL/DC/23-24/1281</t>
  </si>
  <si>
    <t>BB/23-24/0174</t>
  </si>
  <si>
    <t>T-7300034152</t>
  </si>
  <si>
    <t>BB/23-24/0175</t>
  </si>
  <si>
    <t>BB/23-24/0176</t>
  </si>
  <si>
    <t>T-7300034153</t>
  </si>
  <si>
    <t>BB/23-24/0177</t>
  </si>
  <si>
    <t>BB/23-24/0178</t>
  </si>
  <si>
    <t>BB/23-24/0179</t>
  </si>
  <si>
    <t>BB/23-24/0180</t>
  </si>
  <si>
    <t>BB/23-24/0181</t>
  </si>
  <si>
    <t>BB/23-24/0182</t>
  </si>
  <si>
    <t xml:space="preserve">T.KEC JBP </t>
  </si>
  <si>
    <t>VIL/DC/23-24/1282</t>
  </si>
  <si>
    <t>1135/195</t>
  </si>
  <si>
    <t>VIL/DC/23-24/1283</t>
  </si>
  <si>
    <t>1135/195, 1136/196, 1137/197</t>
  </si>
  <si>
    <t>VIL/DC/23-24/1284</t>
  </si>
  <si>
    <t>1137/197</t>
  </si>
  <si>
    <t>VIL/DC/23-24/1285</t>
  </si>
  <si>
    <t>VIL/DC/23-24/1286</t>
  </si>
  <si>
    <t>1138/197, 1139/198</t>
  </si>
  <si>
    <t>VIL/DC/23-24/1287</t>
  </si>
  <si>
    <t>MH49AT1951</t>
  </si>
  <si>
    <t>1140/198</t>
  </si>
  <si>
    <t>VIL/DC/23-24/1288</t>
  </si>
  <si>
    <t>VIL/DC/23-24/1289</t>
  </si>
  <si>
    <t>VIL/DC/23-24/1290</t>
  </si>
  <si>
    <t>1141/199</t>
  </si>
  <si>
    <t>VIL/DC/23-24/1291</t>
  </si>
  <si>
    <t>VIL/DC/23-24/1292</t>
  </si>
  <si>
    <t>VIL/DC/23-24/1293</t>
  </si>
  <si>
    <t>VIL/DC/23-24/1294</t>
  </si>
  <si>
    <t>1142/198, 1143/199</t>
  </si>
  <si>
    <t>VIL/DC/23-24/1295</t>
  </si>
  <si>
    <t>1143/199, 1144/200</t>
  </si>
  <si>
    <t>VIL/DC/23-24/1296</t>
  </si>
  <si>
    <t>1144/200</t>
  </si>
  <si>
    <t>VIL/DC/23-24/1297</t>
  </si>
  <si>
    <t>VIL/DC/23-24/1298</t>
  </si>
  <si>
    <t>1145/200</t>
  </si>
  <si>
    <t>VIL/DC/23-24/1299</t>
  </si>
  <si>
    <t>1145/200, 1146/201</t>
  </si>
  <si>
    <t>LOI-901</t>
  </si>
  <si>
    <t>VIL/DC/23-24/1300</t>
  </si>
  <si>
    <t>1146/201</t>
  </si>
  <si>
    <t>BB/23-24/0183</t>
  </si>
  <si>
    <t>BB/23-24/0184</t>
  </si>
  <si>
    <t>BB/23-24/0185</t>
  </si>
  <si>
    <t>BB/23-24/0186</t>
  </si>
  <si>
    <t>BB/23-24/0187</t>
  </si>
  <si>
    <t>VIL/DC/23-24/1301</t>
  </si>
  <si>
    <t>1147/201</t>
  </si>
  <si>
    <t>VIL/DC/23-24/1302</t>
  </si>
  <si>
    <t>VIL/DC/23-24/1303</t>
  </si>
  <si>
    <t>VIL/DC/23-24/1304</t>
  </si>
  <si>
    <t>1147/201, 1148/202</t>
  </si>
  <si>
    <t>1148/202</t>
  </si>
  <si>
    <t>VIL/DC/23-24/1305</t>
  </si>
  <si>
    <t>VIL/DC/23-24/1306</t>
  </si>
  <si>
    <t>LOI-898</t>
  </si>
  <si>
    <t>VIL/DC/23-24/1307</t>
  </si>
  <si>
    <t>1149/207</t>
  </si>
  <si>
    <t>VIL/DC/23-24/1308</t>
  </si>
  <si>
    <t>VIL/DC/23-24/1309</t>
  </si>
  <si>
    <t>VIL/DC/23-24/1310</t>
  </si>
  <si>
    <t>LOI-903</t>
  </si>
  <si>
    <t>VIL/DC/23-24/1311</t>
  </si>
  <si>
    <t>1150/208</t>
  </si>
  <si>
    <t>VIL/DC/23-24/1312</t>
  </si>
  <si>
    <t>VIL/DC/23-24/1313</t>
  </si>
  <si>
    <t>VIL/DC/23-24/1314</t>
  </si>
  <si>
    <t>VIL/DC/23-24/1315</t>
  </si>
  <si>
    <t>LOI-905</t>
  </si>
  <si>
    <t>BB/23-24/0188</t>
  </si>
  <si>
    <t>BB/23-24/0189</t>
  </si>
  <si>
    <t>RJ01GC0844</t>
  </si>
  <si>
    <t>BB/23-24/0192</t>
  </si>
  <si>
    <t>MH49AT4601</t>
  </si>
  <si>
    <t>BB/23-24/0193</t>
  </si>
  <si>
    <t>VIL/DC/23-24/1316</t>
  </si>
  <si>
    <t>1151/202, 1152/203</t>
  </si>
  <si>
    <t>VIL/DC/23-24/1317</t>
  </si>
  <si>
    <t>1152/203</t>
  </si>
  <si>
    <t>VIL/DC/23-24/1318</t>
  </si>
  <si>
    <t>VIL/DC/23-24/1319</t>
  </si>
  <si>
    <t>VIL/DC/23-24/1320</t>
  </si>
  <si>
    <t>VIL/DC/23-24/1321</t>
  </si>
  <si>
    <t>VIL/DC/23-24/1322</t>
  </si>
  <si>
    <t>LOI-902</t>
  </si>
  <si>
    <t>VIL/DC/23-24/1323</t>
  </si>
  <si>
    <t>VIL/DC/23-24/1324</t>
  </si>
  <si>
    <t>BB/23-24/0194</t>
  </si>
  <si>
    <t>MH40AK6004</t>
  </si>
  <si>
    <t>VIL/DC/23-24/1325</t>
  </si>
  <si>
    <t>1153/203, 1154/204</t>
  </si>
  <si>
    <t>VIL/DC/23-24/1326</t>
  </si>
  <si>
    <t>1154/204</t>
  </si>
  <si>
    <t>VIL/DC/23-24/1327</t>
  </si>
  <si>
    <t>VIL/DC/23-24/1328</t>
  </si>
  <si>
    <t>VIL/DC/23-24/1329</t>
  </si>
  <si>
    <t>VIL/DC/23-24/1330</t>
  </si>
  <si>
    <t>VIL/DC/23-24/1331</t>
  </si>
  <si>
    <t>VIL/DC/23-24/1332</t>
  </si>
  <si>
    <t>VIL/DC/23-24/1333</t>
  </si>
  <si>
    <t>HT  ANGLE  150X150X15 MM</t>
  </si>
  <si>
    <t>VIL/DC/23-24/1334</t>
  </si>
  <si>
    <t>1155/434</t>
  </si>
  <si>
    <t>MS  ANGLE  90X90X6 MM</t>
  </si>
  <si>
    <t>VIL/DC/23-24/1335</t>
  </si>
  <si>
    <t>1155/434, 1156/435, 1157/436</t>
  </si>
  <si>
    <t>LOI-975</t>
  </si>
  <si>
    <t>VIL/DC/23-24/1336</t>
  </si>
  <si>
    <t>1157/436</t>
  </si>
  <si>
    <t>VIL/DC/23-24/1337</t>
  </si>
  <si>
    <t>1158/204, 1159/205, 1160/206</t>
  </si>
  <si>
    <t>LOI-967</t>
  </si>
  <si>
    <t>VIL/DC/23-24/1338</t>
  </si>
  <si>
    <t>MH49AT2928</t>
  </si>
  <si>
    <t>1161/206, 1162/207</t>
  </si>
  <si>
    <t>VIL/DC/23-24/1339</t>
  </si>
  <si>
    <t>1163/207</t>
  </si>
  <si>
    <t>VIL/DC/23-24/1340</t>
  </si>
  <si>
    <t>VIL/DC/23-24/1341</t>
  </si>
  <si>
    <t>VIL/DC/23-24/1342</t>
  </si>
  <si>
    <t>LOI-899</t>
  </si>
  <si>
    <t>MS  ANGLE 100X100X12 MM</t>
  </si>
  <si>
    <t>VIL/DC/23-24/1343</t>
  </si>
  <si>
    <t>1163/207, 1164/208</t>
  </si>
  <si>
    <t>VIL/DC/23-24/1344</t>
  </si>
  <si>
    <t>1164/208, 1165/209</t>
  </si>
  <si>
    <t>VIL/DC/23-24/1345</t>
  </si>
  <si>
    <t>1165/209</t>
  </si>
  <si>
    <t>VIL/DC/23-24/1346</t>
  </si>
  <si>
    <t>VIL/DC/23-24/1347</t>
  </si>
  <si>
    <t>VIL/DC/23-24/1348</t>
  </si>
  <si>
    <t>VIL/DC/23-24/1349</t>
  </si>
  <si>
    <t>1166/209, 1167/210</t>
  </si>
  <si>
    <t>VIL/DC/23-24/1350</t>
  </si>
  <si>
    <t>1168/436, 1169/443, 1170/445, 1171/438</t>
  </si>
  <si>
    <t>VIL/DC/23-24/1351</t>
  </si>
  <si>
    <t>1172/438, 1173/439</t>
  </si>
  <si>
    <t>LOI-966</t>
  </si>
  <si>
    <t>VIL/DC/23-24/1352</t>
  </si>
  <si>
    <t>1173/439</t>
  </si>
  <si>
    <t>LOI-970</t>
  </si>
  <si>
    <t>VIL/DC/23-24/1353</t>
  </si>
  <si>
    <t>1174/439, 1175/440, 1176/441</t>
  </si>
  <si>
    <t>VIL/DC/23-24/1357</t>
  </si>
  <si>
    <t>1179/ 441, 1180/444</t>
  </si>
  <si>
    <t>VIL/DC/23-24/1354</t>
  </si>
  <si>
    <t>1177/210, 1178/211</t>
  </si>
  <si>
    <t>VIL/DC/23-24/1355</t>
  </si>
  <si>
    <t>1178/211</t>
  </si>
  <si>
    <t>VIL/DC/23-24/1356</t>
  </si>
  <si>
    <t>HT  ANGLE  90X90X8 MM</t>
  </si>
  <si>
    <t>HT  ANGLE  90X90X7 MM</t>
  </si>
  <si>
    <t>MS  ANGLE  80X80X6 MM</t>
  </si>
  <si>
    <t>VIL/DC/23-24/1358</t>
  </si>
  <si>
    <t>MH49AT6271</t>
  </si>
  <si>
    <t>1181/444, 1182/446</t>
  </si>
  <si>
    <t>VIL/DC/23-24/1359</t>
  </si>
  <si>
    <t>1182/446</t>
  </si>
  <si>
    <t>VIL/DC/23-24/1360</t>
  </si>
  <si>
    <t>MH49AT2915</t>
  </si>
  <si>
    <t>1183/446 , 1184/447</t>
  </si>
  <si>
    <t>VIL/DC/23-24/1361</t>
  </si>
  <si>
    <t>1184/447</t>
  </si>
  <si>
    <t>HT  ANGLE  90X90X5 MM</t>
  </si>
  <si>
    <t>VIL/DC/23-24/1362</t>
  </si>
  <si>
    <t>1185/447, 1186/448</t>
  </si>
  <si>
    <t>1187/448, 1188/449</t>
  </si>
  <si>
    <t>VIL/DC/23-24/1364</t>
  </si>
  <si>
    <t>1189/451</t>
  </si>
  <si>
    <t>VIL/DC/23-24/1365</t>
  </si>
  <si>
    <t>1190/451</t>
  </si>
  <si>
    <t>VIL/DC/23-24/1366</t>
  </si>
  <si>
    <t>1191/211, 1192/212</t>
  </si>
  <si>
    <t>LOI-1028</t>
  </si>
  <si>
    <t>VIL/DC/23-24/1367</t>
  </si>
  <si>
    <t xml:space="preserve"> 1192/212</t>
  </si>
  <si>
    <t>LOI-906</t>
  </si>
  <si>
    <t>VIL/DC/23-24/1368</t>
  </si>
  <si>
    <t>1193/213</t>
  </si>
  <si>
    <t>VIL/DC/23-24/1369</t>
  </si>
  <si>
    <t>1194/212, 1195/213, 1196/214</t>
  </si>
  <si>
    <t>VIL/DC/23-24/1370</t>
  </si>
  <si>
    <t>1197/214, 1198/215</t>
  </si>
  <si>
    <t>Oct  -23  Dispatched Shift qty</t>
  </si>
  <si>
    <t xml:space="preserve">NOV  -23 Total Dispatched </t>
  </si>
  <si>
    <t xml:space="preserve">Nov  -23 Total Dispatched </t>
  </si>
  <si>
    <t>VIL/DC/23-24/1371</t>
  </si>
  <si>
    <t>1199/215, 1200/216</t>
  </si>
  <si>
    <t>HT  ANGLE  110X110X10 MM</t>
  </si>
  <si>
    <t>VIL/DC/23-24/1372</t>
  </si>
  <si>
    <t>1201/449, 1202/450</t>
  </si>
  <si>
    <t>LOI-645</t>
  </si>
  <si>
    <t>VIL/DC/23-24/1373</t>
  </si>
  <si>
    <t>1203/450, 1204/451, 1205/452</t>
  </si>
  <si>
    <t>VIL/DC/23-24/1374</t>
  </si>
  <si>
    <t>1206/216, 1207/217</t>
  </si>
  <si>
    <t>HT  ANGLE  130X130X12 MM</t>
  </si>
  <si>
    <t>VIL/DC/23-24/1375</t>
  </si>
  <si>
    <t>1208/452, 1209/453</t>
  </si>
  <si>
    <t>MS  ANGLE  90X90X5 MM</t>
  </si>
  <si>
    <t>VIL/DC/23-24/1376</t>
  </si>
  <si>
    <t>MH49AT0507</t>
  </si>
  <si>
    <t>1210/453, 1211/454</t>
  </si>
  <si>
    <t>VIL/DC/23-24/1377</t>
  </si>
  <si>
    <t>1211/454</t>
  </si>
  <si>
    <t>VIL/DC/23-24/1378</t>
  </si>
  <si>
    <t>1212/454, 1213/457</t>
  </si>
  <si>
    <t>VIL/DC/23-24/1379</t>
  </si>
  <si>
    <t>1215/455, 1216/456, 1217/457</t>
  </si>
  <si>
    <t>VIL/DC/23-24/1380</t>
  </si>
  <si>
    <t>MH49AT4597</t>
  </si>
  <si>
    <t>1214/217, 1218/218</t>
  </si>
  <si>
    <t>HT  ANGLE  75X75X5 MM</t>
  </si>
  <si>
    <t>VIL/DC/23-24/1381</t>
  </si>
  <si>
    <t>1219/457, 1220/458</t>
  </si>
  <si>
    <t>LOI-1030</t>
  </si>
  <si>
    <t>VIL/DC/23-24/1382</t>
  </si>
  <si>
    <t>1221/458, 1222/459, 1223/460</t>
  </si>
  <si>
    <t>VIL/DC/23-24/1383</t>
  </si>
  <si>
    <t>1224/ 460</t>
  </si>
  <si>
    <t>VIL/DC/23-24/1384</t>
  </si>
  <si>
    <t>1225/218</t>
  </si>
  <si>
    <t>VIL/DC/23-24/1385</t>
  </si>
  <si>
    <t>1225/218, 1227/243</t>
  </si>
  <si>
    <t>VIL/DC/23-24/1386</t>
  </si>
  <si>
    <t>VIL/DC/23-24/1387</t>
  </si>
  <si>
    <t>1228/243, 1229/244</t>
  </si>
  <si>
    <t>1229/244</t>
  </si>
  <si>
    <t>VIL/DC/23-24/1388</t>
  </si>
  <si>
    <t>VIL/DC/23-24/1389</t>
  </si>
  <si>
    <t>VIL/DC/23-24/1390</t>
  </si>
  <si>
    <t>VIL/DC/23-24/1391</t>
  </si>
  <si>
    <t>1230/244, 1231/245</t>
  </si>
  <si>
    <t>MH49AT2914</t>
  </si>
  <si>
    <t>1232/ 460, 1233/461, 1234/465</t>
  </si>
  <si>
    <t>VIL/DC/23-24/1392</t>
  </si>
  <si>
    <t>1231/245</t>
  </si>
  <si>
    <t>VIL/DC/23-24/1393</t>
  </si>
  <si>
    <t>MH49AT2946</t>
  </si>
  <si>
    <t>1235/ 465, 1236/466</t>
  </si>
  <si>
    <t>VIL/DC/23-24/1394</t>
  </si>
  <si>
    <t>HT  ANGLE  75X75X4 MM</t>
  </si>
  <si>
    <t>VIL/DC/23-24/1395</t>
  </si>
  <si>
    <t>1237/466, 1238/467</t>
  </si>
  <si>
    <t>VIL/DC/23-24/1396</t>
  </si>
  <si>
    <t>MH40AK1961</t>
  </si>
  <si>
    <t>1239/245, 1240/246</t>
  </si>
  <si>
    <t>VIL/DC/23-24/1397</t>
  </si>
  <si>
    <t>1240/246</t>
  </si>
  <si>
    <t>VIL/DC/23-24/1398</t>
  </si>
  <si>
    <t>VIL/DC/23-24/1399</t>
  </si>
  <si>
    <t>VIL/DC/23-24/1400</t>
  </si>
  <si>
    <t>VIL/DC/23-24/1401</t>
  </si>
  <si>
    <t>LOI-1023</t>
  </si>
  <si>
    <t>VIL/DC/23-24/1402</t>
  </si>
  <si>
    <t>1241/247</t>
  </si>
  <si>
    <t>VIL/DC/23-24/1403</t>
  </si>
  <si>
    <t>LOI-1009</t>
  </si>
  <si>
    <t>HT  ANGLE  110X110X8 MM</t>
  </si>
  <si>
    <t>VIL/DC/23-24/1404</t>
  </si>
  <si>
    <t>1242/468</t>
  </si>
  <si>
    <t>LOI-1006</t>
  </si>
  <si>
    <t>VIL/DC/23-24/1405</t>
  </si>
  <si>
    <t>LOI-972</t>
  </si>
  <si>
    <t>VIL/DC/23-24/1406</t>
  </si>
  <si>
    <t>BB/23-24/0197</t>
  </si>
  <si>
    <t>BB/23-24/0198</t>
  </si>
  <si>
    <t>BB/23-24/0199</t>
  </si>
  <si>
    <t>HT ANGLE 80X80X8 MM</t>
  </si>
  <si>
    <t>T-LOI-966</t>
  </si>
  <si>
    <t>VIL/DC/23-24/1407</t>
  </si>
  <si>
    <t>HT  ANGLE  100X100X7 MM</t>
  </si>
  <si>
    <t>1243/467, 1244/468, 1245/469</t>
  </si>
  <si>
    <t>LOI-1048</t>
  </si>
  <si>
    <t>VIL/DC/23-24/1408</t>
  </si>
  <si>
    <t>1246/469</t>
  </si>
  <si>
    <t>VIL/DC/23-24/1409</t>
  </si>
  <si>
    <t>1246/469, 1247/470</t>
  </si>
  <si>
    <t>VIL/DC/23-24/1410</t>
  </si>
  <si>
    <t>1247/ 470</t>
  </si>
  <si>
    <t>LOI-1046</t>
  </si>
  <si>
    <t>VIL/DC/23-24/1411</t>
  </si>
  <si>
    <t>1248/248</t>
  </si>
  <si>
    <t>LOI-974</t>
  </si>
  <si>
    <t>VIL/DC/23-24/1412</t>
  </si>
  <si>
    <t>VIL/DC/23-24/1413</t>
  </si>
  <si>
    <t>LOI-1027</t>
  </si>
  <si>
    <t>HT  ANGLE  150X150X10 MM</t>
  </si>
  <si>
    <t>VIL/DC/23-24/1414</t>
  </si>
  <si>
    <t>MH46BF1550</t>
  </si>
  <si>
    <t>1249/470, 1250/471</t>
  </si>
  <si>
    <t>VIL/DC/23-24/1415</t>
  </si>
  <si>
    <t>HT  ANGLE  150X150X16 MM</t>
  </si>
  <si>
    <t>HT  ANGLE  150X150X11 MM</t>
  </si>
  <si>
    <t>MH46BB4119</t>
  </si>
  <si>
    <t>1251/471, 1252/472</t>
  </si>
  <si>
    <t>VIL/DC/23-24/1416</t>
  </si>
  <si>
    <t>1253/472, 1254/473</t>
  </si>
  <si>
    <t>VIL/DC/23-24/1417</t>
  </si>
  <si>
    <t>1254/473</t>
  </si>
  <si>
    <t>HT  ANGLE  100X100X8 MM</t>
  </si>
  <si>
    <t>VIL/DC/23-24/1418</t>
  </si>
  <si>
    <t>1255/473, 1256/474</t>
  </si>
  <si>
    <t>VIL/DC/23-24/1419</t>
  </si>
  <si>
    <t>1256/474</t>
  </si>
  <si>
    <t>VIL/DC/23-24/1420</t>
  </si>
  <si>
    <t>VIL/DC/23-24/1421</t>
  </si>
  <si>
    <t>1257/474, 1258/475</t>
  </si>
  <si>
    <t>VIL/DC/23-24/1422</t>
  </si>
  <si>
    <t>1258/475</t>
  </si>
  <si>
    <t>VIL/DC/23-24/1423</t>
  </si>
  <si>
    <t>VIL/DC/23-24/1424</t>
  </si>
  <si>
    <t>1259/246, 1260/247, 1261/248, 1262/249, 1263/250</t>
  </si>
  <si>
    <t>LOI-1029</t>
  </si>
  <si>
    <t>VIL/DC/23-24/1425</t>
  </si>
  <si>
    <t>MH40AK1959</t>
  </si>
  <si>
    <t xml:space="preserve">1264/ 250, </t>
  </si>
  <si>
    <t>VIL/DC/23-24/1426</t>
  </si>
  <si>
    <t>VIL/DC/23-24/1427</t>
  </si>
  <si>
    <t xml:space="preserve">1264/250, 1265/ 251 </t>
  </si>
  <si>
    <t>VIL/DC/23-24/1428</t>
  </si>
  <si>
    <t xml:space="preserve">1265/ 251, </t>
  </si>
  <si>
    <t>VIL/DC/23-24/1429</t>
  </si>
  <si>
    <t>MS  ANGLE  80X80X5 MM</t>
  </si>
  <si>
    <t>1266/475, 1267/476</t>
  </si>
  <si>
    <t>VIL/DC/23-24/1430</t>
  </si>
  <si>
    <t>1267/476</t>
  </si>
  <si>
    <t>MS  ANGLE  75X75X6 MM</t>
  </si>
  <si>
    <t>VIL/DC/23-24/1431</t>
  </si>
  <si>
    <t>MS  ANGLE  100X100X6 MM</t>
  </si>
  <si>
    <t>1268/476, 1269/477, 1270/478</t>
  </si>
  <si>
    <t>VIL/DC/23-24/1432</t>
  </si>
  <si>
    <t>VIL/DC/23-24/1433</t>
  </si>
  <si>
    <t>HT  ANGLE  80X80X7 MM</t>
  </si>
  <si>
    <t>HT  ANGLE  120X120X11 MM</t>
  </si>
  <si>
    <t>MS  ANGLE  110X110X8 MM</t>
  </si>
  <si>
    <t>1269/477, 1270/478</t>
  </si>
  <si>
    <t>VIL/DC/23-24/1434</t>
  </si>
  <si>
    <t>1271/478, 1272/479</t>
  </si>
  <si>
    <t>VIL/DC/23-24/1435</t>
  </si>
  <si>
    <t>1272/479</t>
  </si>
  <si>
    <t>VIL/DC/23-24/1436</t>
  </si>
  <si>
    <t>1273/252</t>
  </si>
  <si>
    <t>VIL/DC/23-24/1437</t>
  </si>
  <si>
    <t>VIL/DC/23-24/1438</t>
  </si>
  <si>
    <t>1274/ 479, 1275/480, 1276/ 480</t>
  </si>
  <si>
    <t>MS  ANGLE  100X100X8 MM</t>
  </si>
  <si>
    <t>VIL/DC/23-24/1439</t>
  </si>
  <si>
    <t>1275/480</t>
  </si>
  <si>
    <t>VIL/DC/23-24/1440</t>
  </si>
  <si>
    <t>1277/480, 1278/481</t>
  </si>
  <si>
    <t>VIL/DC/23-24/1441</t>
  </si>
  <si>
    <t>1278/481</t>
  </si>
  <si>
    <t>MS  ANGLE  100X100X7 MM</t>
  </si>
  <si>
    <t>VIL/DC/23-24/1442</t>
  </si>
  <si>
    <t>1279/ 481, 1280/482</t>
  </si>
  <si>
    <t>VIL/DC/23-24/1443</t>
  </si>
  <si>
    <t>1281/ 482, 1282/483</t>
  </si>
  <si>
    <t>HT  ANGLE  100X100X9 MM</t>
  </si>
  <si>
    <t>VIL/DC/23-24/1444</t>
  </si>
  <si>
    <t>1283/483, 1284/484</t>
  </si>
  <si>
    <t>VIL/DC/23-24/1445</t>
  </si>
  <si>
    <t>HT  ANGLE  150X150X14 MM</t>
  </si>
  <si>
    <t>MS  ANGLE  75X75X5 MM</t>
  </si>
  <si>
    <t>MS  ANGLE  90X90X7 MM</t>
  </si>
  <si>
    <t>MS  ANGLE  80X80X8 MM</t>
  </si>
  <si>
    <t>1284/484</t>
  </si>
  <si>
    <t>VIL/DC/23-24/1452</t>
  </si>
  <si>
    <t>1288/484, 1289/485</t>
  </si>
  <si>
    <t>VIL/DC/23-24/1446</t>
  </si>
  <si>
    <t>1285/251</t>
  </si>
  <si>
    <t>LOI-1007</t>
  </si>
  <si>
    <t>1285/251, 1286/252</t>
  </si>
  <si>
    <t>VIL/DC/23-24/1447</t>
  </si>
  <si>
    <t>VIL/DC/23-24/1448</t>
  </si>
  <si>
    <t>1286/252</t>
  </si>
  <si>
    <t>LOI-1010</t>
  </si>
  <si>
    <t>VIL/DC/23-24/1449</t>
  </si>
  <si>
    <t>1286/252, 1287/253</t>
  </si>
  <si>
    <t>VIL/DC/23-24/1450</t>
  </si>
  <si>
    <t>1287/253</t>
  </si>
  <si>
    <t>VIL/DC/23-24/1451</t>
  </si>
  <si>
    <t>VIL/DC/23-24/1453</t>
  </si>
  <si>
    <t>1290/485, 1291/486</t>
  </si>
  <si>
    <t>VIL/DC/23-24/1454</t>
  </si>
  <si>
    <t>1292/486, 1293/487</t>
  </si>
  <si>
    <t>VIL/DC/23-24/1455</t>
  </si>
  <si>
    <t>MH49AT3050</t>
  </si>
  <si>
    <t>1294/253, 1295/256</t>
  </si>
  <si>
    <t>LOI-973</t>
  </si>
  <si>
    <t>VIL/DC/23-24/1456</t>
  </si>
  <si>
    <t>1296/ 254</t>
  </si>
  <si>
    <t>LOI-1008</t>
  </si>
  <si>
    <t>VIL/DC/23-24/1457</t>
  </si>
  <si>
    <t>VIL/DC/23-24/1458</t>
  </si>
  <si>
    <t>1297/ 255</t>
  </si>
  <si>
    <t>VIL/DC/23-24/1459</t>
  </si>
  <si>
    <t>VIL/DC/23-24/1460</t>
  </si>
  <si>
    <t>1298/493</t>
  </si>
  <si>
    <t>LOI-1022</t>
  </si>
  <si>
    <t>HT  ANGLE  110X110X7 MM</t>
  </si>
  <si>
    <t>HT  ANGLE  110X110X6 MM</t>
  </si>
  <si>
    <t>VIL/DC/23-24/1461</t>
  </si>
  <si>
    <t>1299/495</t>
  </si>
  <si>
    <t>VIL/DC/23-24/1462</t>
  </si>
  <si>
    <t>MH49AT0508</t>
  </si>
  <si>
    <t>1300/254, 1301/257</t>
  </si>
  <si>
    <t>VIL/DC/23-24/1463</t>
  </si>
  <si>
    <t>1301/257</t>
  </si>
  <si>
    <t>VIL/DC/23-24/1464</t>
  </si>
  <si>
    <t>1302/259</t>
  </si>
  <si>
    <t>LOI-1024</t>
  </si>
  <si>
    <t>VIL/DC/23-24/1465</t>
  </si>
  <si>
    <t>VIL/DC/23-24/1466</t>
  </si>
  <si>
    <t>LOI-1026</t>
  </si>
  <si>
    <t>VIL/DC/23-24/1467</t>
  </si>
  <si>
    <t>1303/487, 1304/488</t>
  </si>
  <si>
    <t>VIL/DC/23-24/1473</t>
  </si>
  <si>
    <t>1308/488, 1309/492</t>
  </si>
  <si>
    <t>VIL/DC/23-24/1474</t>
  </si>
  <si>
    <t>1309/492</t>
  </si>
  <si>
    <t>VIL/DC/23-24/1468</t>
  </si>
  <si>
    <t>MH40BG0669</t>
  </si>
  <si>
    <t>1305/255, 1306/256</t>
  </si>
  <si>
    <t>VIL/DC/23-24/1469</t>
  </si>
  <si>
    <t>1306/256, 1307/257</t>
  </si>
  <si>
    <t>VIL/DC/23-24/1470</t>
  </si>
  <si>
    <t>1307/257</t>
  </si>
  <si>
    <t>VIL/DC/23-24/1471</t>
  </si>
  <si>
    <t>VIL/DC/23-24/1472</t>
  </si>
  <si>
    <t>HT  ANGLE 120X120X7 MM</t>
  </si>
  <si>
    <t>1310/257, 1311/260</t>
  </si>
  <si>
    <t>1311/260</t>
  </si>
  <si>
    <t>VIL/DC/23-24/1475</t>
  </si>
  <si>
    <t>VIL/DC/23-24/1476</t>
  </si>
  <si>
    <t>VIL/DC/23-24/1477</t>
  </si>
  <si>
    <t>1312/492, 1313/493, 1314/494, 1315/495, 1316/489</t>
  </si>
  <si>
    <t>VIL/DC/23-24/1478</t>
  </si>
  <si>
    <t>MH46BF9229</t>
  </si>
  <si>
    <t>1317/490</t>
  </si>
  <si>
    <t>VIL/DC/23-24/1479</t>
  </si>
  <si>
    <t>1318/489, 1319/490, 1320/491</t>
  </si>
  <si>
    <t>VIL/DC/23-24/1480</t>
  </si>
  <si>
    <t>MH40AK2182</t>
  </si>
  <si>
    <t>1321/ 491</t>
  </si>
  <si>
    <t>VIL/DC/23-24/1481</t>
  </si>
  <si>
    <t>1322/491, 1323/496, 1324/497</t>
  </si>
  <si>
    <t>VIL/DC/23-24/1482</t>
  </si>
  <si>
    <t>MS  ANGLE  120X120X7 MM</t>
  </si>
  <si>
    <t>1325/497, 1326/498</t>
  </si>
  <si>
    <t>LOI-1123</t>
  </si>
  <si>
    <t>VIL/DC/23-24/1486</t>
  </si>
  <si>
    <t>1333/498, 1334/499</t>
  </si>
  <si>
    <t>VIL/DC/23-24/1487</t>
  </si>
  <si>
    <t>1334/499</t>
  </si>
  <si>
    <t>1327/258</t>
  </si>
  <si>
    <t>VIL/DC/23-24/1483</t>
  </si>
  <si>
    <t>VIL/DC/23-24/1484</t>
  </si>
  <si>
    <t>1327/258, 1328/259, 1329/260, 1330/261</t>
  </si>
  <si>
    <t>VIL/DC/23-24/1485</t>
  </si>
  <si>
    <t>1331/261, 1332/262</t>
  </si>
  <si>
    <t>VIL/DC/23-24/1488</t>
  </si>
  <si>
    <t>1335/262</t>
  </si>
  <si>
    <t>VIL/DC/23-24/1489</t>
  </si>
  <si>
    <t>1335/262, 1336/263</t>
  </si>
  <si>
    <t>MH49AT0405</t>
  </si>
  <si>
    <t>1338/263, 1339/264</t>
  </si>
  <si>
    <t>1339/264</t>
  </si>
  <si>
    <t>HT  ANGLE  130X130X11 MM</t>
  </si>
  <si>
    <t>VIL/DC/23-24/1490</t>
  </si>
  <si>
    <t>MH46CL0512</t>
  </si>
  <si>
    <t>1337/500</t>
  </si>
  <si>
    <t>VIL/DC/23-24/1493</t>
  </si>
  <si>
    <t>1340/501</t>
  </si>
  <si>
    <t>VIL/DC/23-24/1494</t>
  </si>
  <si>
    <t>PB05AB2666</t>
  </si>
  <si>
    <t>1341/502</t>
  </si>
  <si>
    <t>VIL/DC/23-24/1495</t>
  </si>
  <si>
    <t>1342/499, 1343/503</t>
  </si>
  <si>
    <t>LOI-1049</t>
  </si>
  <si>
    <t>MS  ANGLE  65X65X5 MM</t>
  </si>
  <si>
    <t>VIL/DC/23-24/1496</t>
  </si>
  <si>
    <t>1344/500, 1345/501</t>
  </si>
  <si>
    <t>LOI-1033</t>
  </si>
  <si>
    <t>VIL/DC/23-24/1497</t>
  </si>
  <si>
    <t>1345/501, 1346/502, 1347/503</t>
  </si>
  <si>
    <t>VIL/DC/23-24/1498</t>
  </si>
  <si>
    <t>1347/503</t>
  </si>
  <si>
    <t>VIL/DC/23-24/1499</t>
  </si>
  <si>
    <t>GJ12AZ5648</t>
  </si>
  <si>
    <t>1348/503, 1349/504</t>
  </si>
  <si>
    <t>VIL/DC/23-24/1500</t>
  </si>
  <si>
    <t>MH43CE0838</t>
  </si>
  <si>
    <t>1350/504, 1351/505</t>
  </si>
  <si>
    <t>VIL/DC/23-24/1501</t>
  </si>
  <si>
    <t>1352/505</t>
  </si>
  <si>
    <t>VIL/DC/23-24/1502</t>
  </si>
  <si>
    <t>BB/23-24/0205</t>
  </si>
  <si>
    <t>VIL/DC/23-24/1503</t>
  </si>
  <si>
    <t>1353/ 264</t>
  </si>
  <si>
    <t>VIL/DC/23-24/1504</t>
  </si>
  <si>
    <t>1353/ 264, 1354/265</t>
  </si>
  <si>
    <t>VIL/DC/23-24/1505</t>
  </si>
  <si>
    <t>1354/265</t>
  </si>
  <si>
    <t>VIL/DC/23-24/1506</t>
  </si>
  <si>
    <t>VIL/DC/23-24/1507</t>
  </si>
  <si>
    <t>1355/506</t>
  </si>
  <si>
    <t>VIL/DC/23-24/1508</t>
  </si>
  <si>
    <t>VIL/DC/23-24/1509</t>
  </si>
  <si>
    <t>1356/507</t>
  </si>
  <si>
    <t>VIL/DC/23-24/1510</t>
  </si>
  <si>
    <t>1357/506, 1358/508</t>
  </si>
  <si>
    <t>VIL/DC/23-24/1511</t>
  </si>
  <si>
    <t>1359/ 273</t>
  </si>
  <si>
    <t>VIL/DC/23-24/1512</t>
  </si>
  <si>
    <t>VIL/DC/23-24/1513</t>
  </si>
  <si>
    <t>VIL/DC/23-24/1514</t>
  </si>
  <si>
    <t>VIL/DC/23-24/1516</t>
  </si>
  <si>
    <t>VIL/DC/23-24/1515</t>
  </si>
  <si>
    <t>1360/507, 1361/509</t>
  </si>
  <si>
    <t>1361/509</t>
  </si>
  <si>
    <t>VIL/DC/23-24/1517</t>
  </si>
  <si>
    <t>1362/505, 1363/508, 1364/509, 1365/510</t>
  </si>
  <si>
    <t>1366/511</t>
  </si>
  <si>
    <t>1367/ 274</t>
  </si>
  <si>
    <t>VIL/DC/23-24/1518</t>
  </si>
  <si>
    <t>VIL/DC/23-24/1519</t>
  </si>
  <si>
    <t>VIL/DC/23-24/1520</t>
  </si>
  <si>
    <t>VIL/DC/23-24/1521</t>
  </si>
  <si>
    <t>MH46H3531</t>
  </si>
  <si>
    <t>1368/510, 1369/511, 1370/512</t>
  </si>
  <si>
    <t>VIL/DC/23-24/1522</t>
  </si>
  <si>
    <t>1371/265</t>
  </si>
  <si>
    <t>VIL/DC/23-24/1523</t>
  </si>
  <si>
    <t>1371/265, 1372/266, 1373/271</t>
  </si>
  <si>
    <t>VIL/DC/23-24/1524</t>
  </si>
  <si>
    <t>1373/271</t>
  </si>
  <si>
    <t>VIL/DC/23-24/1525</t>
  </si>
  <si>
    <t>1373/271, 1374/272</t>
  </si>
  <si>
    <t>VIL/DC/23-24/1526</t>
  </si>
  <si>
    <t>1375/512, 1376/513</t>
  </si>
  <si>
    <t>VIL/DC/23-24/1527</t>
  </si>
  <si>
    <t>1376/513</t>
  </si>
  <si>
    <t>VIL/DC/23-24/1528</t>
  </si>
  <si>
    <t>1377/275,</t>
  </si>
  <si>
    <t>VIL/DC/23-24/1529</t>
  </si>
  <si>
    <t>VIL/DC/23-24/1530</t>
  </si>
  <si>
    <t>VIL/DC/23-24/1531</t>
  </si>
  <si>
    <t>VIL/DC/23-24/1532</t>
  </si>
  <si>
    <t>1378/513, 1379/514</t>
  </si>
  <si>
    <t>VIL/DC/23-24/1533</t>
  </si>
  <si>
    <t>MH43BG4230</t>
  </si>
  <si>
    <t>1380/514, 1381/515</t>
  </si>
  <si>
    <t>HT  ANGLE  150X150X20 MM</t>
  </si>
  <si>
    <t>HT  ANGLE  150X150X18 MM</t>
  </si>
  <si>
    <t>VIL/DC/23-24/1534</t>
  </si>
  <si>
    <t>1382/515, 1383/516</t>
  </si>
  <si>
    <t>VIL/DC/23-24/1535</t>
  </si>
  <si>
    <t>1384/ 272, 1385/273</t>
  </si>
  <si>
    <t>VIL/DC/23-24/1536</t>
  </si>
  <si>
    <t>1385/273, 1386/274,</t>
  </si>
  <si>
    <t>VIL/DC/23-24/1537</t>
  </si>
  <si>
    <t>1386/274, 1387/275, 1388/276</t>
  </si>
  <si>
    <t>VIL/DC/23-24/1538</t>
  </si>
  <si>
    <t>VIL/DC/23-24/1539</t>
  </si>
  <si>
    <t>1388/276</t>
  </si>
  <si>
    <t>VIL/DC/23-24/1540</t>
  </si>
  <si>
    <t>1389/516,</t>
  </si>
  <si>
    <t>VIL/DC/23-24/1541</t>
  </si>
  <si>
    <t>1389/516, 1390/517</t>
  </si>
  <si>
    <t>VIL/DC/23-24/1542</t>
  </si>
  <si>
    <t>1391/277</t>
  </si>
  <si>
    <t>VIL/DC/23-24/1543</t>
  </si>
  <si>
    <t>VIL/DC/23-24/1544</t>
  </si>
  <si>
    <t xml:space="preserve">1392/276, </t>
  </si>
  <si>
    <t>1392/276, , 1393/277</t>
  </si>
  <si>
    <t>MS  ANGLE  80X80X7 MM</t>
  </si>
  <si>
    <t>VIL/DC/23-24/1545</t>
  </si>
  <si>
    <t>1394/517, 1395/518, 1396/519</t>
  </si>
  <si>
    <t>VIL/DC/23-24/1546</t>
  </si>
  <si>
    <t>1397/519, 1398/520</t>
  </si>
  <si>
    <t>VIL/DC/23-24/1547</t>
  </si>
  <si>
    <t>MH49AT6390</t>
  </si>
  <si>
    <t>1399/278</t>
  </si>
  <si>
    <t>VIL/DC/23-24/1548</t>
  </si>
  <si>
    <t>VIL/DC/23-24/1549</t>
  </si>
  <si>
    <t>VIL/DC/23-24/1550</t>
  </si>
  <si>
    <t>VIL/DC/23-24/1551</t>
  </si>
  <si>
    <t>VIL/DC/23-24/1552</t>
  </si>
  <si>
    <t>VIL/DC/23-24/1553</t>
  </si>
  <si>
    <t>VIL/DC/23-24/1554</t>
  </si>
  <si>
    <t>1400/520, 1401/521</t>
  </si>
  <si>
    <t>VIL/DC/23-24/1555</t>
  </si>
  <si>
    <t>1402/521, 1403/522</t>
  </si>
  <si>
    <t>VIL/DC/23-24/1556</t>
  </si>
  <si>
    <t>VIL/DC/23-24/1557</t>
  </si>
  <si>
    <t>1406/523, 1407/524</t>
  </si>
  <si>
    <t>VIL/DC/23-24/1558</t>
  </si>
  <si>
    <t>1408/524, 1409/525</t>
  </si>
  <si>
    <t>VIL/DC/23-24/1559</t>
  </si>
  <si>
    <t>1410/277, 1411/278, 1412/279</t>
  </si>
  <si>
    <t>VIL/DC/23-24/1560</t>
  </si>
  <si>
    <t>1412/279</t>
  </si>
  <si>
    <t>1413/525, 1414/526</t>
  </si>
  <si>
    <t>VIL/DC/23-24/1561</t>
  </si>
  <si>
    <t>VIL/DC/23-24/1562</t>
  </si>
  <si>
    <t>1414/526</t>
  </si>
  <si>
    <t>VIL/DC/23-24/1563</t>
  </si>
  <si>
    <t>1415/527</t>
  </si>
  <si>
    <t>VIL/DC/23-24/1564</t>
  </si>
  <si>
    <t>1416/280</t>
  </si>
  <si>
    <t>VIL/DC/23-24/1565</t>
  </si>
  <si>
    <t>VIL/DC/23-24/1566</t>
  </si>
  <si>
    <t>1417/528</t>
  </si>
  <si>
    <t>VIL/DC/23-24/1567</t>
  </si>
  <si>
    <t>VIL/DC/23-24/1568</t>
  </si>
  <si>
    <t>1418/526, 1419/527, 1420/528, 1421/529</t>
  </si>
  <si>
    <t>VIL/DC/23-24/1569</t>
  </si>
  <si>
    <t>MH43BP8942</t>
  </si>
  <si>
    <t>1422/529, 1423/530</t>
  </si>
  <si>
    <t>VIL/DC/23-24/1570</t>
  </si>
  <si>
    <t>1424/530, 1425/531, 1426/532</t>
  </si>
  <si>
    <t>VIL/DC/23-24/1571</t>
  </si>
  <si>
    <t>1427/532, 1428/533</t>
  </si>
  <si>
    <t>VIL/DC/23-24/1572</t>
  </si>
  <si>
    <t>1429/533, 1430/534, 1431/537</t>
  </si>
  <si>
    <t>VIL/DC/23-24/1573</t>
  </si>
  <si>
    <t>1432/537,1433/538</t>
  </si>
  <si>
    <t>VIL/DC/23-24/1574</t>
  </si>
  <si>
    <t>1434/544</t>
  </si>
  <si>
    <t>VIL/DC/23-24/1575</t>
  </si>
  <si>
    <t>1435/547</t>
  </si>
  <si>
    <t>VIL/DC/23-24/1576</t>
  </si>
  <si>
    <t>VIL/DC/23-24/1491</t>
  </si>
  <si>
    <t>VIL/DC/23-24/1492</t>
  </si>
  <si>
    <t>VIL/DC/23-24/1577</t>
  </si>
  <si>
    <t>1436/538, 1437/539, 1438/540</t>
  </si>
  <si>
    <t>VIL/DC/23-24/1578</t>
  </si>
  <si>
    <t>1439/ 540, 1440/ 541</t>
  </si>
  <si>
    <t>VIL/DC/23-24/1579</t>
  </si>
  <si>
    <t>1440/ 541</t>
  </si>
  <si>
    <t>VIL/DC/23-24/1580</t>
  </si>
  <si>
    <t>1441/541, 1442/542</t>
  </si>
  <si>
    <t>VIL/DC/23-24/1581</t>
  </si>
  <si>
    <t>1443/542, 1444/543</t>
  </si>
  <si>
    <t>VIL/DC/23-24/1582</t>
  </si>
  <si>
    <t>1445/543, 1446/544, 1447/545</t>
  </si>
  <si>
    <t>VIL/DC/23-24/1583</t>
  </si>
  <si>
    <t>1448/545, 1449/547, 1450/548, 1451/546</t>
  </si>
  <si>
    <t>VIL/DC/23-24/1584</t>
  </si>
  <si>
    <t>1452/546, 1453/549</t>
  </si>
  <si>
    <t>VIL/DC/23-24/1585</t>
  </si>
  <si>
    <t>1454/549, 1455/550</t>
  </si>
  <si>
    <t>VIL/DC/23-24/1586</t>
  </si>
  <si>
    <t>1456/550, 1457/551</t>
  </si>
  <si>
    <t xml:space="preserve">DEC  -23 Total Dispatched </t>
  </si>
  <si>
    <t>Nov  -23  Dispatched Shift qty</t>
  </si>
  <si>
    <t>VIL/DC/23-24/1587</t>
  </si>
  <si>
    <t>HT  ANGLE  150X150X17 MM</t>
  </si>
  <si>
    <t>1458/551, 1459/552</t>
  </si>
  <si>
    <t>VIL/DC/23-24/1588</t>
  </si>
  <si>
    <t>1459/552</t>
  </si>
  <si>
    <t>VIL/DC/23-24/1589</t>
  </si>
  <si>
    <t>1460/552, 1461/553</t>
  </si>
  <si>
    <t>VIL/DC/23-24/1590</t>
  </si>
  <si>
    <t>1462/553, 1463/554, 1464/555</t>
  </si>
  <si>
    <t>VIL/DC/23-24/1591</t>
  </si>
  <si>
    <t>1465/555</t>
  </si>
  <si>
    <t>VIL/DC/23-24/1592</t>
  </si>
  <si>
    <t>1466/555, 1467/556, 1468/557</t>
  </si>
  <si>
    <t>VIL/DC/23-24/1593</t>
  </si>
  <si>
    <t>1469/557</t>
  </si>
  <si>
    <t>VIL/DC/23-24/1594</t>
  </si>
  <si>
    <t>1469/557, 1470/558</t>
  </si>
  <si>
    <t>VIL/DC/23-24/1595</t>
  </si>
  <si>
    <t>1471/279</t>
  </si>
  <si>
    <t>VIL/DC/23-24/1596</t>
  </si>
  <si>
    <t>1471/279, 1472/280, 1473/281</t>
  </si>
  <si>
    <t>VIL/DC/23-24/1597</t>
  </si>
  <si>
    <t>1473/281</t>
  </si>
  <si>
    <t>VIL/DC/23-24/1598</t>
  </si>
  <si>
    <t>VIL/DC/23-24/1599</t>
  </si>
  <si>
    <t>VIL/DC/23-24/1600</t>
  </si>
  <si>
    <t>LOI-1136</t>
  </si>
  <si>
    <t>VIL/DC/23-24/1601</t>
  </si>
  <si>
    <t>VIL/DC/23-24/1602</t>
  </si>
  <si>
    <t>VIL/DC/23-24/1603</t>
  </si>
  <si>
    <t>VIL/DC/23-24/1604</t>
  </si>
  <si>
    <t>VIL/DC/23-24/1605</t>
  </si>
  <si>
    <t>VIL/DC/23-24/1606</t>
  </si>
  <si>
    <t>VIL/DC/23-24/1607</t>
  </si>
  <si>
    <t>1474/558, 1475/559</t>
  </si>
  <si>
    <t>1476/559, 1477/560</t>
  </si>
  <si>
    <t>1478/560, 1479/561</t>
  </si>
  <si>
    <t>1480/561, 1481/562</t>
  </si>
  <si>
    <t>1482/562, 1483/563</t>
  </si>
  <si>
    <t>1484/563, 1485/564, 1486/565</t>
  </si>
  <si>
    <t>1487/566, 1488/567</t>
  </si>
  <si>
    <t>VIL/DC/23-24/1608</t>
  </si>
  <si>
    <t>1489/565, 1490/567, 1491/568</t>
  </si>
  <si>
    <t>VIL/DC/23-24/1609</t>
  </si>
  <si>
    <t>MH40Y1455</t>
  </si>
  <si>
    <t>1492/568, 1493/569</t>
  </si>
  <si>
    <t>VIL/DC/23-24/1610</t>
  </si>
  <si>
    <t>1493/569</t>
  </si>
  <si>
    <t>VIL/DC/23-24/1611</t>
  </si>
  <si>
    <t>1494/569, 1495/570</t>
  </si>
  <si>
    <t>VIL/DC/23-24/1612</t>
  </si>
  <si>
    <t>1495/570, 1496/571</t>
  </si>
  <si>
    <t>VIL/DC/23-24/1613</t>
  </si>
  <si>
    <t>1497/571, 1498/572</t>
  </si>
  <si>
    <t>VIL/DC/23-24/1614</t>
  </si>
  <si>
    <t>1499/572, 1500/573</t>
  </si>
  <si>
    <t>VIL/DC/23-24/1615</t>
  </si>
  <si>
    <t>1501/573, 1502/574</t>
  </si>
  <si>
    <t>VIL/DC/23-24/1616</t>
  </si>
  <si>
    <t>1503/574, 1504/575</t>
  </si>
  <si>
    <t>VIL/DC/23-24/1617</t>
  </si>
  <si>
    <t>1505/281, 1506/282, 1507/283</t>
  </si>
  <si>
    <t>VIL/DC/23-24/1618</t>
  </si>
  <si>
    <t>1508/575, 1509/577</t>
  </si>
  <si>
    <t>VIL/DC/23-24/1619</t>
  </si>
  <si>
    <t>1510/576,</t>
  </si>
  <si>
    <t>VIL/DC/23-24/1620</t>
  </si>
  <si>
    <t>1511/576,1512/577, 1513/580</t>
  </si>
  <si>
    <t>VIL/DC/23-24/1621</t>
  </si>
  <si>
    <t>1514/578</t>
  </si>
  <si>
    <t>VIL/DC/23-24/1622</t>
  </si>
  <si>
    <t>1515/579</t>
  </si>
  <si>
    <t>VIL/DC/23-24/1623</t>
  </si>
  <si>
    <t>VIL/DC/23-24/1624</t>
  </si>
  <si>
    <t>VIL/DC/23-24/1625</t>
  </si>
  <si>
    <t>1516/578, 1517/580</t>
  </si>
  <si>
    <t>VIL/DC/23-24/1626</t>
  </si>
  <si>
    <t>1518/579, 1519/581</t>
  </si>
  <si>
    <t>VIL/DC/23-24/1627</t>
  </si>
  <si>
    <t>1520/580, 1521/581, 1522/582</t>
  </si>
  <si>
    <t>VIL/DC/23-24/1628</t>
  </si>
  <si>
    <t>1523/ 583</t>
  </si>
  <si>
    <t>VIL/DC/23-24/1629</t>
  </si>
  <si>
    <t>1524/283, 1525/284</t>
  </si>
  <si>
    <t>VIL/DC/23-24/1630</t>
  </si>
  <si>
    <t>MH49AT2949</t>
  </si>
  <si>
    <t>1526/284, 1527/285</t>
  </si>
  <si>
    <t>VIL/DC/23-24/1631</t>
  </si>
  <si>
    <t>1528/582, 1529/584</t>
  </si>
  <si>
    <t>VIL/DC/23-24/1632</t>
  </si>
  <si>
    <t>1530/584, 1531/585</t>
  </si>
  <si>
    <t>VIL/DC/23-24/1633</t>
  </si>
  <si>
    <t>1532/585, 1533/586</t>
  </si>
  <si>
    <t>VIL/DC/23-24/1634</t>
  </si>
  <si>
    <t>1534/586, 1535/587</t>
  </si>
  <si>
    <t>VIL/DC/23-24/1635</t>
  </si>
  <si>
    <t>1536/587, 1537/588</t>
  </si>
  <si>
    <t>VIL/DC/23-24/1636</t>
  </si>
  <si>
    <t>1538/588, 1539/589, 1540/591, 1541/592</t>
  </si>
  <si>
    <t>VIL/DC/23-24/1637</t>
  </si>
  <si>
    <t>1542/590</t>
  </si>
  <si>
    <t>VIL/DC/23-24/1638</t>
  </si>
  <si>
    <t>1543/590, 1544/592, 1545/593, 1546/594</t>
  </si>
  <si>
    <t>VIL/DC/23-24/1639</t>
  </si>
  <si>
    <t>1547/594, 1548/595, 1549/596</t>
  </si>
  <si>
    <t>VIL/DC/23-24/1640</t>
  </si>
  <si>
    <t>1550/ 596, 1551/597</t>
  </si>
  <si>
    <t>VIL/DC/23-24/1641</t>
  </si>
  <si>
    <t>1552/597, 1553/598</t>
  </si>
  <si>
    <t>VIL/DC/23-24/1642</t>
  </si>
  <si>
    <t>1554/598, 1555/599</t>
  </si>
  <si>
    <t>VIL/DC/23-24/1643</t>
  </si>
  <si>
    <t>MH40AK4384</t>
  </si>
  <si>
    <t>1556/285, 1557/286</t>
  </si>
  <si>
    <t>VIL/DC/23-24/1644</t>
  </si>
  <si>
    <t>1558/286, 1559/287</t>
  </si>
  <si>
    <t>VIL/DC/23-24/1645</t>
  </si>
  <si>
    <t>VIL/DC/23-24/1646</t>
  </si>
  <si>
    <t>1559/287</t>
  </si>
  <si>
    <t>VIL/DC/23-24/1647</t>
  </si>
  <si>
    <t>1559/287, 1560/ 288</t>
  </si>
  <si>
    <t>VIL/DC/23-24/1648</t>
  </si>
  <si>
    <t>1560/ 288</t>
  </si>
  <si>
    <t>VIL/DC/23-24/1649</t>
  </si>
  <si>
    <t>1561/288, 1562/289</t>
  </si>
  <si>
    <t>MH49AT1952</t>
  </si>
  <si>
    <t>VIL/DC/23-24/1650</t>
  </si>
  <si>
    <t>1563/599, 1564/600</t>
  </si>
  <si>
    <t>VIL/DC/23-24/1651</t>
  </si>
  <si>
    <t>1565/289, 1566/290</t>
  </si>
  <si>
    <t>VIL/DC/23-24/1652</t>
  </si>
  <si>
    <t>1566/290</t>
  </si>
  <si>
    <t>VIL/DC/23-24/1653</t>
  </si>
  <si>
    <t>VIL/DC/23-24/1654</t>
  </si>
  <si>
    <t>VIL/DC/23-24/1655</t>
  </si>
  <si>
    <t>1567/601</t>
  </si>
  <si>
    <t>VIL/DC/23-24/1656</t>
  </si>
  <si>
    <t>1568/600, 1569/601, 1570/602, 1571/603</t>
  </si>
  <si>
    <t>VIL/DC/23-24/1658</t>
  </si>
  <si>
    <t>1572/604</t>
  </si>
  <si>
    <t>VIL/DC/23-24/1659</t>
  </si>
  <si>
    <t>1573/603, 1574/604, 1575/606, 1576/607</t>
  </si>
  <si>
    <t>VIL/DC/23-24/1660</t>
  </si>
  <si>
    <t>1577/ 290, 1578/291</t>
  </si>
  <si>
    <t>VIL/DC/23-24/1661</t>
  </si>
  <si>
    <t>1579/607, 1580/608, 1581/609</t>
  </si>
  <si>
    <t>VIL/DC/23-24/1662</t>
  </si>
  <si>
    <t>1582/294</t>
  </si>
  <si>
    <t>LOI-1116</t>
  </si>
  <si>
    <t>MS  ANGLE 130X130X12 MM</t>
  </si>
  <si>
    <t>VIL/DC/23-24/1663</t>
  </si>
  <si>
    <t>VIL/DC/23-24/1664</t>
  </si>
  <si>
    <t>VIL/DC/23-24/1665</t>
  </si>
  <si>
    <t>1583/605</t>
  </si>
  <si>
    <t>VIL/DC/23-24/1666</t>
  </si>
  <si>
    <t>1584/605, 1585/609, 1586/610, 1587/612</t>
  </si>
  <si>
    <t>VIL/DC/23-24/1667</t>
  </si>
  <si>
    <t>1588/611,1589/612, 1590/613</t>
  </si>
  <si>
    <t>VIL/DC/23-24/1668</t>
  </si>
  <si>
    <t>1591/291, 1592/292, 1593/293, 1594/295</t>
  </si>
  <si>
    <t>VIL/DC/23-24/1669</t>
  </si>
  <si>
    <t>1595/613, 1596/614, 1597/615, 1598/618</t>
  </si>
  <si>
    <t>VIL/DC/23-24/1670</t>
  </si>
  <si>
    <t>1599/ 296</t>
  </si>
  <si>
    <t>VIL/DC/23-24/1671</t>
  </si>
  <si>
    <t>VIL/DC/23-24/1672</t>
  </si>
  <si>
    <t>1600/618</t>
  </si>
  <si>
    <t>HT  ANGLE  120X120X7 MM</t>
  </si>
  <si>
    <t>VIL/DC/23-24/1673</t>
  </si>
  <si>
    <t>VIL/DC/23-24/1674</t>
  </si>
  <si>
    <t>VIL/DC/23-24/1675</t>
  </si>
  <si>
    <t>LOI-1138</t>
  </si>
  <si>
    <t>VIL/DC/23-24/1676</t>
  </si>
  <si>
    <t>1601/294, 1602/295, 1603/296, 1604/297</t>
  </si>
  <si>
    <t>VIL/DC/23-24/1677</t>
  </si>
  <si>
    <t>1605/621, 1606/622</t>
  </si>
  <si>
    <t>BB/23-24/0215</t>
  </si>
  <si>
    <t>BB/23-24/0216</t>
  </si>
  <si>
    <t>VIL/DC/23-24/1678</t>
  </si>
  <si>
    <t>1607/297, 1608/298, 1609/299</t>
  </si>
  <si>
    <t>VIL/DC/23-24/1679</t>
  </si>
  <si>
    <t>1610/299, 1611/300</t>
  </si>
  <si>
    <t>VIL/DC/23-24/1680</t>
  </si>
  <si>
    <t>1612/300, 1613/301, 1614/302, 1615/303</t>
  </si>
  <si>
    <t>VIL/DC/23-24/1681</t>
  </si>
  <si>
    <t>1616/303, 1617/324</t>
  </si>
  <si>
    <t>VIL/DC/23-24/1682</t>
  </si>
  <si>
    <t>MH31CQ3544</t>
  </si>
  <si>
    <t xml:space="preserve">1618/622, </t>
  </si>
  <si>
    <t>VIL/DC/23-24/1683</t>
  </si>
  <si>
    <t>1618/622, 1619/628</t>
  </si>
  <si>
    <t>VIL/DC/23-24/1684</t>
  </si>
  <si>
    <t>1620/324, 1621/325</t>
  </si>
  <si>
    <t>VIL/DC/23-24/1685</t>
  </si>
  <si>
    <t>1622/627, 1623/631</t>
  </si>
  <si>
    <t>VIL/DC/23-24/1686</t>
  </si>
  <si>
    <t>1623/631</t>
  </si>
  <si>
    <t>VIL/DC/23-24/1687</t>
  </si>
  <si>
    <t>1624/625</t>
  </si>
  <si>
    <t>VIL/DC/23-24/1688</t>
  </si>
  <si>
    <t>1625/325, 1626/326</t>
  </si>
  <si>
    <t>VIL/DC/23-24/1689</t>
  </si>
  <si>
    <t>1627/326</t>
  </si>
  <si>
    <t>VIL/DC/23-24/1690</t>
  </si>
  <si>
    <t>VIL/DC/23-24/1691</t>
  </si>
  <si>
    <t>VIL/DC/23-24/1692</t>
  </si>
  <si>
    <t>1627/326, 1628/327</t>
  </si>
  <si>
    <t>VIL/DC/23-24/1693</t>
  </si>
  <si>
    <t>1629/327, 1630/328</t>
  </si>
  <si>
    <t>VIL/DC/23-24/1694</t>
  </si>
  <si>
    <t>1631/633, 1632/634</t>
  </si>
  <si>
    <t>VIL/DC/23-24/1695</t>
  </si>
  <si>
    <t>1633/330, 1634/331</t>
  </si>
  <si>
    <t>VIL/DC/23-24/1696</t>
  </si>
  <si>
    <t>1633/330</t>
  </si>
  <si>
    <t>VIL/DC/23-24/1697</t>
  </si>
  <si>
    <t>1635/649</t>
  </si>
  <si>
    <t>1636/650</t>
  </si>
  <si>
    <t>VIL/DC/23-24/1698</t>
  </si>
  <si>
    <t>VIL/DC/23-24/1699</t>
  </si>
  <si>
    <t>1637/655</t>
  </si>
  <si>
    <t>VIL/DC/23-24/1700</t>
  </si>
  <si>
    <t>1638/ 328, 1639/329, 1640/331</t>
  </si>
  <si>
    <t>VIL/DC/23-24/1701</t>
  </si>
  <si>
    <t>1640/331</t>
  </si>
  <si>
    <t>LOI-1137</t>
  </si>
  <si>
    <t>VIL/DC/23-24/1702</t>
  </si>
  <si>
    <t>VIL/DC/23-24/1703</t>
  </si>
  <si>
    <t>VIL/DC/23-24/1704</t>
  </si>
  <si>
    <t>MH40BG0310</t>
  </si>
  <si>
    <t>1643/331, 1644/333</t>
  </si>
  <si>
    <t>VIL/DC/23-24/1705</t>
  </si>
  <si>
    <t>1645/333, 1646/334</t>
  </si>
  <si>
    <t>1647/628, 1648/631, 1649/632, 1650/634</t>
  </si>
  <si>
    <t>VIL/DC/23-24/1706</t>
  </si>
  <si>
    <t>VIL/DC/23-24/1707</t>
  </si>
  <si>
    <t>MH46H5913</t>
  </si>
  <si>
    <t>1651/630, 1652/636, 1653/639</t>
  </si>
  <si>
    <t>LOI-1292</t>
  </si>
  <si>
    <t>VIL/DC/23-24/1708</t>
  </si>
  <si>
    <t>1653/639</t>
  </si>
  <si>
    <t>VIL/DC/23-24/1709</t>
  </si>
  <si>
    <t>1654/626, 1655/638, 1656/643</t>
  </si>
  <si>
    <t>VIL/DC/23-24/1710</t>
  </si>
  <si>
    <t>1657/329, 1658/336</t>
  </si>
  <si>
    <t>VIL/DC/23-24/1711</t>
  </si>
  <si>
    <t>1659/337</t>
  </si>
  <si>
    <t>VIL/DC/23-24/1712</t>
  </si>
  <si>
    <t>1660/334</t>
  </si>
  <si>
    <t>VIL/DC/23-24/1713</t>
  </si>
  <si>
    <t>1661/334, 1662/336, 1663/337, 1664/335</t>
  </si>
  <si>
    <t>VIL/DC/23-24/1714</t>
  </si>
  <si>
    <t>1665/335, 1666/338, 1667/339</t>
  </si>
  <si>
    <t>VIL/DC/23-24/1715</t>
  </si>
  <si>
    <t>1668/339, 1669/344</t>
  </si>
  <si>
    <t>VIL/DC/23-24/1716</t>
  </si>
  <si>
    <t>1670/340, 1671/343</t>
  </si>
  <si>
    <t>1638/ 328, 1639/329, 1640/331, 1674/643</t>
  </si>
  <si>
    <t>VIL/DC/23-24/1722</t>
  </si>
  <si>
    <t>1681/616, 1682/617, 1683/618, 1684/619, 1685/639, 1686/644</t>
  </si>
  <si>
    <t>VIL/DC/23-24/1717</t>
  </si>
  <si>
    <t>1672/344, 1673/343</t>
  </si>
  <si>
    <t>VIL/DC/23-24/1718</t>
  </si>
  <si>
    <t>1675/343, 1676/345</t>
  </si>
  <si>
    <t>VIL/DC/23-24/1719</t>
  </si>
  <si>
    <t>1676/345</t>
  </si>
  <si>
    <t>VIL/DC/23-24/1720</t>
  </si>
  <si>
    <t>1677/345, 1678/346</t>
  </si>
  <si>
    <t>VIL/DC/23-24/1721</t>
  </si>
  <si>
    <t>1679/346, 1680/347</t>
  </si>
  <si>
    <t>VIL/DC/23-24/1723</t>
  </si>
  <si>
    <t>1687/347, 1688/348</t>
  </si>
  <si>
    <t>VIL/DC/23-24/1724</t>
  </si>
  <si>
    <t>1689/645, 1690/647</t>
  </si>
  <si>
    <t>VIL/DC/23-24/1725</t>
  </si>
  <si>
    <t>1690/647</t>
  </si>
  <si>
    <t>LOI-1131</t>
  </si>
  <si>
    <t>VIL/DC/23-24/1726</t>
  </si>
  <si>
    <t>1691/348, 1692/349</t>
  </si>
  <si>
    <t>VIL/DC/23-24/1727</t>
  </si>
  <si>
    <t>1693/349, 1694/350</t>
  </si>
  <si>
    <t>VIL/DC/23-24/1728</t>
  </si>
  <si>
    <t>1695/350, 1696/351</t>
  </si>
  <si>
    <t>VIL/DC/23-24/1729</t>
  </si>
  <si>
    <t>1697/351, 1698/353</t>
  </si>
  <si>
    <t>VIL/DC/23-24/1730</t>
  </si>
  <si>
    <t>1699/646</t>
  </si>
  <si>
    <t>LOI-1047</t>
  </si>
  <si>
    <t>VIL/DC/23-24/1731</t>
  </si>
  <si>
    <t>1699/646, 1700/647, 1701/648</t>
  </si>
  <si>
    <t>VIL/DC/23-24/1732</t>
  </si>
  <si>
    <t>1701/648</t>
  </si>
  <si>
    <t>VIL/DC/23-24/1733</t>
  </si>
  <si>
    <t>VIL/DC/23-24/1734</t>
  </si>
  <si>
    <t>1702/353, 1703/354</t>
  </si>
  <si>
    <t>VIL/DC/23-24/1735</t>
  </si>
  <si>
    <t>1703/354</t>
  </si>
  <si>
    <t>VIL/DC/23-24/1736</t>
  </si>
  <si>
    <t>MS  ANGLE  120X120X10 MM</t>
  </si>
  <si>
    <t>VIL/DC/23-24/1737</t>
  </si>
  <si>
    <t xml:space="preserve">1704/620, 1705/623, </t>
  </si>
  <si>
    <t>HT  ANGLE  100X100X10 MM</t>
  </si>
  <si>
    <t>VIL/DC/23-24/1738</t>
  </si>
  <si>
    <t>1706/624, 1707/625, 1708/629, 1709/635 1710/640, 1711/641, 1712/642,1713/643, 1714/644, 1716/648, 1715/649</t>
  </si>
  <si>
    <t>VIL/DC/23-24/1739</t>
  </si>
  <si>
    <t>1715/649,</t>
  </si>
  <si>
    <t>VIL/DC/23-24/1740</t>
  </si>
  <si>
    <t>1717/648, 1718/649, 1719/650, 1720/655, 1721/651    --   1722/652</t>
  </si>
  <si>
    <t>MH40CD5362</t>
  </si>
  <si>
    <t>LOI-1291</t>
  </si>
  <si>
    <t>VIL/DC/23-24/1741</t>
  </si>
  <si>
    <t>MH40CD4082</t>
  </si>
  <si>
    <t>1723/651, 1724/652, 1725/653-----1726/653</t>
  </si>
  <si>
    <t>VIL/DC/23-24/1742</t>
  </si>
  <si>
    <t>MH40CM0711</t>
  </si>
  <si>
    <t>1727/653, 1728/654</t>
  </si>
  <si>
    <t>VIL/DC/23-24/1743</t>
  </si>
  <si>
    <t>MH40CM0710</t>
  </si>
  <si>
    <t>1729/654, 1730/656</t>
  </si>
  <si>
    <t>MS  ANGLE  120X120X8 MM</t>
  </si>
  <si>
    <t>VIL/DC/23-24/1744</t>
  </si>
  <si>
    <t>MH40BG4442</t>
  </si>
  <si>
    <t>1731/656</t>
  </si>
  <si>
    <t>VIL/DC/23-24/1745</t>
  </si>
  <si>
    <t>VIL/DC/23-24/1746</t>
  </si>
  <si>
    <t>MH40CM0614</t>
  </si>
  <si>
    <t>1732/656, 1733/657</t>
  </si>
  <si>
    <t>VIL/DC/23-24/1747</t>
  </si>
  <si>
    <t>MH40CM0705</t>
  </si>
  <si>
    <t>1734/657, 1735/658</t>
  </si>
  <si>
    <t>VIL/DC/23-24/1748</t>
  </si>
  <si>
    <t>1735/658</t>
  </si>
  <si>
    <t>LOI-1293</t>
  </si>
  <si>
    <t>VIL/DC/23-24/1749</t>
  </si>
  <si>
    <t>MH40CD4087</t>
  </si>
  <si>
    <t>1736/658, 1737/659</t>
  </si>
  <si>
    <t>VIL/DC/23-24/1750</t>
  </si>
  <si>
    <t>1738/354, 1739/355</t>
  </si>
  <si>
    <t>VIL/DC/23-24/1751</t>
  </si>
  <si>
    <t>1739/355</t>
  </si>
  <si>
    <t>LOI-1340</t>
  </si>
  <si>
    <t>VIL/DC/23-24/1752</t>
  </si>
  <si>
    <t>LOI-1231</t>
  </si>
  <si>
    <t>VIL/DC/23-24/1753</t>
  </si>
  <si>
    <t>1740/355</t>
  </si>
  <si>
    <t>VIL/DC/23-24/1754</t>
  </si>
  <si>
    <t>1740/355, 1741/356</t>
  </si>
  <si>
    <t>VIL/DC/23-24/1755</t>
  </si>
  <si>
    <t>1741/356</t>
  </si>
  <si>
    <t>LOI-1134</t>
  </si>
  <si>
    <t>VIL/DC/23-24/1756</t>
  </si>
  <si>
    <t>1741/356, 1742/357</t>
  </si>
  <si>
    <t>LOI-1230</t>
  </si>
  <si>
    <t>VIL/DC/23-24/1757</t>
  </si>
  <si>
    <t>1743/357, 1744/358</t>
  </si>
  <si>
    <t>VIL/DC/23-24/1758</t>
  </si>
  <si>
    <t>1745/358,</t>
  </si>
  <si>
    <t>VIL/DC/23-24/1759</t>
  </si>
  <si>
    <t>VIL/DC/23-24/1760</t>
  </si>
  <si>
    <t>1745/358, 1746/359</t>
  </si>
  <si>
    <t>LOI-1232</t>
  </si>
  <si>
    <t>VIL/DC/23-24/1761</t>
  </si>
  <si>
    <t>1746/359</t>
  </si>
  <si>
    <t>VIL/DC/23-24/1762</t>
  </si>
  <si>
    <t>PB02EP9448</t>
  </si>
  <si>
    <t>1747/659, 1748/660</t>
  </si>
  <si>
    <t>VIL/DC/23-24/1763</t>
  </si>
  <si>
    <t>1748/660</t>
  </si>
  <si>
    <t>VIL/DC/23-24/1764</t>
  </si>
  <si>
    <t>1749/359</t>
  </si>
  <si>
    <t>VIL/DC/23-24/1765</t>
  </si>
  <si>
    <t>VIL/DC/23-24/1766</t>
  </si>
  <si>
    <t>VIL/DC/23-24/1767</t>
  </si>
  <si>
    <t>1749/359, 1750/360</t>
  </si>
  <si>
    <t>VIL/DC/23-24/1768</t>
  </si>
  <si>
    <t>1750/360</t>
  </si>
  <si>
    <t>VIL/DC/23-24/1769</t>
  </si>
  <si>
    <t>LOI-1215</t>
  </si>
  <si>
    <t>VIL/DC/23-24/1770</t>
  </si>
  <si>
    <t>1751/360</t>
  </si>
  <si>
    <t>VIL/DC/23-24/1771</t>
  </si>
  <si>
    <t>VIL/DC/23-24/1772</t>
  </si>
  <si>
    <t>VIL/DC/23-24/1773</t>
  </si>
  <si>
    <t>VIL/DC/23-24/1774</t>
  </si>
  <si>
    <t>VIL/DC/23-24/1775</t>
  </si>
  <si>
    <t>1751/360, 1752/ 361</t>
  </si>
  <si>
    <t>VIL/DC/23-24/1776</t>
  </si>
  <si>
    <t>LOI-1228</t>
  </si>
  <si>
    <t>VIL/DC/23-24/1777</t>
  </si>
  <si>
    <t>LOI-1229</t>
  </si>
  <si>
    <t>VIL/DC/23-24/1784</t>
  </si>
  <si>
    <t>1759/660, 1760/661</t>
  </si>
  <si>
    <t>VIL/DC/23-24/1788</t>
  </si>
  <si>
    <t>VIL/DC/23-24/1785</t>
  </si>
  <si>
    <t>1760/661</t>
  </si>
  <si>
    <t>VIL/DC/23-24/1786</t>
  </si>
  <si>
    <t>VIL/DC/23-24/1787</t>
  </si>
  <si>
    <t>VIL/DC/23-24/1778</t>
  </si>
  <si>
    <t>1753/361, 1754/ 362</t>
  </si>
  <si>
    <t>VIL/DC/23-24/1779</t>
  </si>
  <si>
    <t>1754/ 362</t>
  </si>
  <si>
    <t>VIL/DC/23-24/1780</t>
  </si>
  <si>
    <t>1755/ 362, 1756/363</t>
  </si>
  <si>
    <t>VIL/DC/23-24/1781</t>
  </si>
  <si>
    <t>MH40AK2190</t>
  </si>
  <si>
    <t>1757/ 363, 1758/364</t>
  </si>
  <si>
    <t>VIL/DC/23-24/1782</t>
  </si>
  <si>
    <t>1758/364</t>
  </si>
  <si>
    <t>VIL/DC/23-24/1783</t>
  </si>
  <si>
    <t>MH49AT1949</t>
  </si>
  <si>
    <t>VIL/DC/23-24/1789</t>
  </si>
  <si>
    <t>1762/365</t>
  </si>
  <si>
    <t>VIL/DC/23-24/1790</t>
  </si>
  <si>
    <t>VIL/DC/23-24/1791</t>
  </si>
  <si>
    <t>VIL/DC/23-24/1792</t>
  </si>
  <si>
    <t>1763/365, 1764/366</t>
  </si>
  <si>
    <t>VIL/DC/23-24/1793</t>
  </si>
  <si>
    <t>1764/366</t>
  </si>
  <si>
    <t>VIL/DC/23-24/1794</t>
  </si>
  <si>
    <t>1765/366, 1766/367</t>
  </si>
  <si>
    <t>VIL/DC/23-24/1795</t>
  </si>
  <si>
    <t>1767/367, 1768/368, 1769/369</t>
  </si>
  <si>
    <t>VIL/DC/23-24/1796</t>
  </si>
  <si>
    <t xml:space="preserve">1770/369, </t>
  </si>
  <si>
    <t>VIL/DC/23-24/1797</t>
  </si>
  <si>
    <t>1770/369, 1771/376</t>
  </si>
  <si>
    <t>VIL/DC/23-24/1798</t>
  </si>
  <si>
    <t>1772/376</t>
  </si>
  <si>
    <t>VIL/DC/23-24/1799</t>
  </si>
  <si>
    <t>VIL/DC/23-24/1800</t>
  </si>
  <si>
    <t>VIL/DC/23-24/1801</t>
  </si>
  <si>
    <t>VIL/DC/23-24/1802</t>
  </si>
  <si>
    <t>1772/376, 1773/377</t>
  </si>
  <si>
    <t>MS  ANGLE 90X90X7 MM</t>
  </si>
  <si>
    <t>VIL/DC/23-24/1803</t>
  </si>
  <si>
    <t>1773/377</t>
  </si>
  <si>
    <t xml:space="preserve">1761/364, </t>
  </si>
  <si>
    <t>VIL/DC/23-24/1804</t>
  </si>
  <si>
    <t>Dec  -23  Dispatched Shift qty</t>
  </si>
  <si>
    <t xml:space="preserve">JAN  -24 Total Dispatched </t>
  </si>
  <si>
    <t>VIL/DC/23-24/1805</t>
  </si>
  <si>
    <t>MH49AT3048</t>
  </si>
  <si>
    <t>1774/377, 1775/378</t>
  </si>
  <si>
    <t>VIL/DC/23-24/1806</t>
  </si>
  <si>
    <t>1775/378</t>
  </si>
  <si>
    <t>VIL/DC/23-24/1807</t>
  </si>
  <si>
    <t>VIL/DC/23-24/1808</t>
  </si>
  <si>
    <t>1776/378</t>
  </si>
  <si>
    <t>VIL/DC/23-24/1809</t>
  </si>
  <si>
    <t>VIL/DC/23-24/1810</t>
  </si>
  <si>
    <t>1776/378, 1777/379</t>
  </si>
  <si>
    <t>VIL/DC/23-24/1811</t>
  </si>
  <si>
    <t>1778/379,</t>
  </si>
  <si>
    <t>VIL/DC/23-24/1812</t>
  </si>
  <si>
    <t>1778/379, 1779/380</t>
  </si>
  <si>
    <t>DEC  -23  Dispatched Shift qty</t>
  </si>
  <si>
    <t>VIL/DC/23-24/1813</t>
  </si>
  <si>
    <t>1780/380, 1781/381</t>
  </si>
  <si>
    <t>VIL/DC/23-24/1814</t>
  </si>
  <si>
    <t>MS  ANGLE  130X130X10 MM</t>
  </si>
  <si>
    <t>MS  ANGLE  110X110X7 MM</t>
  </si>
  <si>
    <t>1782/ 662</t>
  </si>
  <si>
    <t>VIL/DC/23-24/1815</t>
  </si>
  <si>
    <t>LOI-1356</t>
  </si>
  <si>
    <t>MS  ANGLE  100X100X12 MM</t>
  </si>
  <si>
    <t>VIL/DC/23-24/1816</t>
  </si>
  <si>
    <t>VIL/DC/23-24/1817</t>
  </si>
  <si>
    <t>VIL/DC/23-24/1821</t>
  </si>
  <si>
    <t>1785/668</t>
  </si>
  <si>
    <t>VIL/DC/23-24/1822</t>
  </si>
  <si>
    <t>MS  ANGLE  130X130X12 MM</t>
  </si>
  <si>
    <t>MS  ANGLE  110X110X10 MM</t>
  </si>
  <si>
    <t>VIL/DC/23-24/1823</t>
  </si>
  <si>
    <t>VIL/DC/23-24/1818</t>
  </si>
  <si>
    <t>1783/381, 1784/382</t>
  </si>
  <si>
    <t>VIL/DC/23-24/1819</t>
  </si>
  <si>
    <t>1784/382</t>
  </si>
  <si>
    <t>VIL/DC/23-24/1820</t>
  </si>
  <si>
    <t>VIL/DC/23-24/1824</t>
  </si>
  <si>
    <t>MH49AT0398</t>
  </si>
  <si>
    <t>1786/382, 1787/ 383</t>
  </si>
  <si>
    <t>VIL/DC/23-24/1825</t>
  </si>
  <si>
    <t>1787/383</t>
  </si>
  <si>
    <t>VIL/DC/23-24/1826</t>
  </si>
  <si>
    <t>LOI-1226</t>
  </si>
  <si>
    <t>VIL/DC/23-24/1827</t>
  </si>
  <si>
    <t>1788/383, 1789/384, 1790/385</t>
  </si>
  <si>
    <t>VIL/DC/23-24/1828</t>
  </si>
  <si>
    <t>1791/385</t>
  </si>
  <si>
    <t>VIL/DC/23-24/1829</t>
  </si>
  <si>
    <t>1791/385, 1792/386</t>
  </si>
  <si>
    <t>VIL/DC/23-24/1830</t>
  </si>
  <si>
    <t>1793/661, 1794/662, 1795, 663</t>
  </si>
  <si>
    <t>VIL/DC/23-24/1831</t>
  </si>
  <si>
    <t>1796/663, 1797/665, 1798/668, 1799/664</t>
  </si>
  <si>
    <t>LOI-1358</t>
  </si>
  <si>
    <t>VIL/DC/23-24/1837</t>
  </si>
  <si>
    <t>1800/386</t>
  </si>
  <si>
    <t>VIL/DC/23-24/1832</t>
  </si>
  <si>
    <t>1800/386, 1801/387</t>
  </si>
  <si>
    <t>VIL/DC/23-24/1833</t>
  </si>
  <si>
    <t xml:space="preserve">1801/387 </t>
  </si>
  <si>
    <t>VIL/DC/23-24/1834</t>
  </si>
  <si>
    <t>1802/664, 1803/666</t>
  </si>
  <si>
    <t>VIL/DC/23-24/1835</t>
  </si>
  <si>
    <t>1803/666</t>
  </si>
  <si>
    <t>VIL/DC/23-24/1836</t>
  </si>
  <si>
    <t>VIL/DC/23-24/1838</t>
  </si>
  <si>
    <t xml:space="preserve">1804/387 </t>
  </si>
  <si>
    <t>VIL/DC/23-24/1839</t>
  </si>
  <si>
    <t xml:space="preserve">1805/387 </t>
  </si>
  <si>
    <t>VIL/DC/23-24/1840</t>
  </si>
  <si>
    <t>1805/387 , 1806/388, 1807/389</t>
  </si>
  <si>
    <t>VIL/DC/23-24/1841</t>
  </si>
  <si>
    <t>1808/666, 1809/667</t>
  </si>
  <si>
    <t>VIL/DC/23-24/1842</t>
  </si>
  <si>
    <t>1809/667, 1810/669</t>
  </si>
  <si>
    <t>LOI-1341</t>
  </si>
  <si>
    <t>HT  ANGLE  70X70X5 MM</t>
  </si>
  <si>
    <t>MS  ANGLE  70X70X5 MM</t>
  </si>
  <si>
    <t>VIL/DC/23-24/1843</t>
  </si>
  <si>
    <t>1810/669</t>
  </si>
  <si>
    <t>LOI-1193</t>
  </si>
  <si>
    <t>VIL/DC/23-24/1844</t>
  </si>
  <si>
    <t xml:space="preserve">1811/669, </t>
  </si>
  <si>
    <t>VIL/DC/23-24/1845</t>
  </si>
  <si>
    <t>1811/669, 1812/670</t>
  </si>
  <si>
    <t>HT  ANGLE  110X110X9 MM</t>
  </si>
  <si>
    <t>VIL/DC/23-24/1846</t>
  </si>
  <si>
    <t xml:space="preserve">1812/670 </t>
  </si>
  <si>
    <t>VIL/DC/23-24/1847</t>
  </si>
  <si>
    <t xml:space="preserve">1812/670, </t>
  </si>
  <si>
    <t>VIL/DC/23-24/1848</t>
  </si>
  <si>
    <t>LOI-1190</t>
  </si>
  <si>
    <t>VIL/DC/23-24/1849</t>
  </si>
  <si>
    <t>1813/670, 1814/672</t>
  </si>
  <si>
    <t>VIL/DC/23-24/1850</t>
  </si>
  <si>
    <t>1815/389, 1816/390</t>
  </si>
  <si>
    <t>VIL/DC/23-24/1851</t>
  </si>
  <si>
    <t>1816/390, 1817/391</t>
  </si>
  <si>
    <t>VIL/DC/23-24/1852</t>
  </si>
  <si>
    <t>1818/391, 1819/392</t>
  </si>
  <si>
    <t>VIL/DC/23-24/1853</t>
  </si>
  <si>
    <t>1820/671</t>
  </si>
  <si>
    <t>HT  ANGLE  70X70X6 MM</t>
  </si>
  <si>
    <t>VIL/DC/23-24/1854</t>
  </si>
  <si>
    <t>VIL/DC/23-24/1855</t>
  </si>
  <si>
    <t>VIL/DC/23-24/1856</t>
  </si>
  <si>
    <t>VIL/DC/23-24/1857</t>
  </si>
  <si>
    <t>1821/392, 1822/393</t>
  </si>
  <si>
    <t>VIL/DC/23-24/1858</t>
  </si>
  <si>
    <t>1822/393</t>
  </si>
  <si>
    <t>VIL/DC/23-24/1859</t>
  </si>
  <si>
    <t>1823/671, 1824/672, 1825/673</t>
  </si>
  <si>
    <t>VIL/DC/23-24/1860</t>
  </si>
  <si>
    <t>1826/673, 1827/674</t>
  </si>
  <si>
    <t>VIL/DC/23-24/1861</t>
  </si>
  <si>
    <t>1828/674, 1829/675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</si>
</sst>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dd/mm/yyyy;@"/>
    <numFmt numFmtId="166" formatCode="[$-409]d\-mmm;@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ourier New"/>
      <family val="3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Courier New"/>
      <family val="3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0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  <xf numFmtId="0" fontId="0" fillId="0" borderId="1" xfId="0" applyFont="1" applyBorder="1"/>
    <xf numFmtId="0" fontId="2" fillId="3" borderId="1" xfId="0" applyFont="1" applyFill="1" applyBorder="1" applyAlignment="1">
      <alignment horizontal="justify" vertical="center" readingOrder="1"/>
    </xf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horizontal="left" readingOrder="1"/>
    </xf>
    <xf numFmtId="165" fontId="0" fillId="2" borderId="1" xfId="0" applyNumberFormat="1" applyFill="1" applyBorder="1"/>
    <xf numFmtId="0" fontId="1" fillId="2" borderId="1" xfId="0" applyFont="1" applyFill="1" applyBorder="1"/>
    <xf numFmtId="164" fontId="4" fillId="0" borderId="1" xfId="0" applyNumberFormat="1" applyFont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5" fillId="0" borderId="1" xfId="0" applyFont="1" applyBorder="1"/>
    <xf numFmtId="15" fontId="5" fillId="0" borderId="1" xfId="0" applyNumberFormat="1" applyFont="1" applyBorder="1"/>
    <xf numFmtId="0" fontId="6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164" fontId="0" fillId="2" borderId="1" xfId="0" applyNumberFormat="1" applyFont="1" applyFill="1" applyBorder="1"/>
    <xf numFmtId="164" fontId="1" fillId="2" borderId="1" xfId="0" applyNumberFormat="1" applyFont="1" applyFill="1" applyBorder="1"/>
    <xf numFmtId="164" fontId="0" fillId="2" borderId="1" xfId="0" applyNumberFormat="1" applyFill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164" fontId="0" fillId="0" borderId="0" xfId="0" applyNumberFormat="1"/>
    <xf numFmtId="0" fontId="0" fillId="0" borderId="1" xfId="0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0" fontId="3" fillId="2" borderId="1" xfId="1" applyFont="1" applyFill="1" applyBorder="1" applyAlignment="1">
      <alignment vertical="center"/>
    </xf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3" fillId="2" borderId="1" xfId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4" fontId="0" fillId="2" borderId="1" xfId="0" applyNumberFormat="1" applyFill="1" applyBorder="1" applyAlignment="1"/>
    <xf numFmtId="0" fontId="0" fillId="2" borderId="0" xfId="0" applyFont="1" applyFill="1" applyBorder="1" applyAlignment="1">
      <alignment horizontal="left"/>
    </xf>
    <xf numFmtId="0" fontId="5" fillId="0" borderId="2" xfId="0" applyFont="1" applyBorder="1"/>
    <xf numFmtId="15" fontId="5" fillId="0" borderId="2" xfId="0" applyNumberFormat="1" applyFont="1" applyBorder="1"/>
    <xf numFmtId="0" fontId="0" fillId="2" borderId="2" xfId="0" applyFill="1" applyBorder="1"/>
    <xf numFmtId="0" fontId="0" fillId="0" borderId="2" xfId="0" applyBorder="1"/>
    <xf numFmtId="164" fontId="0" fillId="2" borderId="2" xfId="0" applyNumberFormat="1" applyFill="1" applyBorder="1" applyAlignment="1"/>
    <xf numFmtId="0" fontId="0" fillId="0" borderId="2" xfId="0" applyBorder="1" applyAlignment="1">
      <alignment horizontal="left"/>
    </xf>
    <xf numFmtId="15" fontId="0" fillId="0" borderId="2" xfId="0" applyNumberFormat="1" applyBorder="1"/>
    <xf numFmtId="164" fontId="1" fillId="0" borderId="1" xfId="0" applyNumberFormat="1" applyFont="1" applyBorder="1" applyAlignment="1">
      <alignment horizontal="right"/>
    </xf>
    <xf numFmtId="0" fontId="1" fillId="4" borderId="1" xfId="0" applyFont="1" applyFill="1" applyBorder="1"/>
    <xf numFmtId="164" fontId="1" fillId="4" borderId="1" xfId="0" applyNumberFormat="1" applyFont="1" applyFill="1" applyBorder="1"/>
    <xf numFmtId="164" fontId="1" fillId="4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/>
    <xf numFmtId="15" fontId="0" fillId="2" borderId="1" xfId="0" applyNumberFormat="1" applyFill="1" applyBorder="1"/>
    <xf numFmtId="0" fontId="0" fillId="2" borderId="0" xfId="0" applyFill="1" applyBorder="1"/>
    <xf numFmtId="164" fontId="0" fillId="0" borderId="1" xfId="0" applyNumberFormat="1" applyFont="1" applyBorder="1" applyAlignment="1"/>
    <xf numFmtId="0" fontId="0" fillId="2" borderId="1" xfId="0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2" borderId="0" xfId="0" applyNumberFormat="1" applyFill="1" applyBorder="1" applyAlignment="1">
      <alignment horizontal="right"/>
    </xf>
    <xf numFmtId="164" fontId="0" fillId="2" borderId="1" xfId="0" applyNumberFormat="1" applyFont="1" applyFill="1" applyBorder="1" applyAlignment="1"/>
    <xf numFmtId="164" fontId="1" fillId="0" borderId="1" xfId="0" applyNumberFormat="1" applyFont="1" applyBorder="1" applyAlignment="1"/>
    <xf numFmtId="164" fontId="1" fillId="0" borderId="1" xfId="0" applyNumberFormat="1" applyFont="1" applyBorder="1"/>
    <xf numFmtId="164" fontId="0" fillId="0" borderId="1" xfId="0" applyNumberFormat="1" applyFont="1" applyBorder="1"/>
    <xf numFmtId="164" fontId="0" fillId="5" borderId="1" xfId="0" applyNumberFormat="1" applyFill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1" xfId="0" applyFont="1" applyBorder="1" applyAlignment="1"/>
    <xf numFmtId="15" fontId="5" fillId="0" borderId="1" xfId="0" applyNumberFormat="1" applyFont="1" applyBorder="1" applyAlignment="1"/>
    <xf numFmtId="0" fontId="0" fillId="2" borderId="1" xfId="0" applyFill="1" applyBorder="1" applyAlignment="1"/>
    <xf numFmtId="0" fontId="0" fillId="0" borderId="1" xfId="0" applyBorder="1" applyAlignment="1"/>
    <xf numFmtId="0" fontId="7" fillId="0" borderId="1" xfId="0" applyFont="1" applyFill="1" applyBorder="1" applyAlignment="1"/>
    <xf numFmtId="164" fontId="1" fillId="2" borderId="1" xfId="0" applyNumberFormat="1" applyFont="1" applyFill="1" applyBorder="1" applyAlignment="1"/>
    <xf numFmtId="0" fontId="5" fillId="2" borderId="1" xfId="0" applyFont="1" applyFill="1" applyBorder="1"/>
    <xf numFmtId="15" fontId="5" fillId="2" borderId="1" xfId="0" applyNumberFormat="1" applyFont="1" applyFill="1" applyBorder="1"/>
    <xf numFmtId="0" fontId="7" fillId="2" borderId="1" xfId="0" applyFont="1" applyFill="1" applyBorder="1" applyAlignment="1">
      <alignment horizontal="left"/>
    </xf>
    <xf numFmtId="0" fontId="5" fillId="5" borderId="1" xfId="0" applyFont="1" applyFill="1" applyBorder="1"/>
    <xf numFmtId="15" fontId="5" fillId="5" borderId="1" xfId="0" applyNumberFormat="1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5" fillId="5" borderId="1" xfId="0" applyFont="1" applyFill="1" applyBorder="1" applyAlignment="1"/>
    <xf numFmtId="15" fontId="5" fillId="5" borderId="1" xfId="0" applyNumberFormat="1" applyFont="1" applyFill="1" applyBorder="1" applyAlignment="1"/>
    <xf numFmtId="0" fontId="0" fillId="5" borderId="1" xfId="0" applyFill="1" applyBorder="1" applyAlignment="1"/>
    <xf numFmtId="0" fontId="7" fillId="5" borderId="1" xfId="0" applyFont="1" applyFill="1" applyBorder="1" applyAlignment="1"/>
    <xf numFmtId="164" fontId="0" fillId="5" borderId="1" xfId="0" applyNumberFormat="1" applyFill="1" applyBorder="1" applyAlignment="1"/>
    <xf numFmtId="164" fontId="1" fillId="5" borderId="1" xfId="0" applyNumberFormat="1" applyFont="1" applyFill="1" applyBorder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justify" vertical="center" readingOrder="1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/>
    <xf numFmtId="15" fontId="11" fillId="0" borderId="1" xfId="0" applyNumberFormat="1" applyFont="1" applyBorder="1" applyAlignment="1"/>
    <xf numFmtId="0" fontId="10" fillId="0" borderId="1" xfId="0" applyFont="1" applyBorder="1" applyAlignment="1"/>
    <xf numFmtId="0" fontId="12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10" fillId="0" borderId="1" xfId="0" applyFont="1" applyBorder="1"/>
    <xf numFmtId="0" fontId="8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0" fillId="0" borderId="3" xfId="0" applyBorder="1"/>
    <xf numFmtId="0" fontId="0" fillId="6" borderId="1" xfId="0" applyFill="1" applyBorder="1"/>
    <xf numFmtId="0" fontId="13" fillId="0" borderId="0" xfId="0" applyFont="1"/>
    <xf numFmtId="0" fontId="1" fillId="0" borderId="1" xfId="0" applyFont="1" applyFill="1" applyBorder="1" applyAlignment="1">
      <alignment horizontal="left"/>
    </xf>
    <xf numFmtId="164" fontId="1" fillId="0" borderId="0" xfId="0" applyNumberFormat="1" applyFont="1"/>
    <xf numFmtId="164" fontId="0" fillId="0" borderId="1" xfId="0" applyNumberFormat="1" applyBorder="1"/>
    <xf numFmtId="0" fontId="0" fillId="0" borderId="0" xfId="0" applyBorder="1"/>
    <xf numFmtId="166" fontId="14" fillId="0" borderId="1" xfId="0" applyNumberFormat="1" applyFont="1" applyBorder="1"/>
    <xf numFmtId="164" fontId="0" fillId="5" borderId="1" xfId="0" applyNumberFormat="1" applyFont="1" applyFill="1" applyBorder="1" applyAlignment="1">
      <alignment horizontal="right"/>
    </xf>
    <xf numFmtId="0" fontId="0" fillId="0" borderId="1" xfId="0" applyFont="1" applyBorder="1" applyAlignment="1">
      <alignment horizontal="left"/>
    </xf>
    <xf numFmtId="15" fontId="5" fillId="2" borderId="1" xfId="0" applyNumberFormat="1" applyFont="1" applyFill="1" applyBorder="1" applyAlignment="1"/>
    <xf numFmtId="164" fontId="0" fillId="2" borderId="1" xfId="0" applyNumberFormat="1" applyFont="1" applyFill="1" applyBorder="1" applyAlignment="1">
      <alignment horizontal="right"/>
    </xf>
    <xf numFmtId="15" fontId="0" fillId="2" borderId="1" xfId="0" applyNumberFormat="1" applyFont="1" applyFill="1" applyBorder="1"/>
    <xf numFmtId="0" fontId="10" fillId="2" borderId="1" xfId="0" applyFont="1" applyFill="1" applyBorder="1"/>
    <xf numFmtId="164" fontId="10" fillId="2" borderId="1" xfId="0" applyNumberFormat="1" applyFont="1" applyFill="1" applyBorder="1" applyAlignment="1">
      <alignment horizontal="right"/>
    </xf>
    <xf numFmtId="164" fontId="0" fillId="2" borderId="0" xfId="0" applyNumberFormat="1" applyFont="1" applyFill="1" applyBorder="1" applyAlignment="1"/>
    <xf numFmtId="15" fontId="0" fillId="0" borderId="1" xfId="0" applyNumberFormat="1" applyFont="1" applyBorder="1"/>
    <xf numFmtId="166" fontId="7" fillId="0" borderId="1" xfId="0" applyNumberFormat="1" applyFont="1" applyBorder="1"/>
    <xf numFmtId="166" fontId="7" fillId="2" borderId="1" xfId="0" applyNumberFormat="1" applyFont="1" applyFill="1" applyBorder="1"/>
    <xf numFmtId="0" fontId="0" fillId="0" borderId="0" xfId="0" applyFont="1"/>
    <xf numFmtId="0" fontId="0" fillId="0" borderId="1" xfId="0" applyFont="1" applyBorder="1" applyAlignment="1"/>
    <xf numFmtId="15" fontId="5" fillId="0" borderId="2" xfId="0" applyNumberFormat="1" applyFont="1" applyBorder="1" applyAlignment="1"/>
    <xf numFmtId="0" fontId="0" fillId="0" borderId="2" xfId="0" applyFont="1" applyBorder="1" applyAlignment="1">
      <alignment horizontal="left"/>
    </xf>
    <xf numFmtId="15" fontId="0" fillId="0" borderId="2" xfId="0" applyNumberFormat="1" applyFont="1" applyBorder="1"/>
    <xf numFmtId="0" fontId="5" fillId="0" borderId="3" xfId="0" applyFont="1" applyBorder="1"/>
    <xf numFmtId="15" fontId="5" fillId="0" borderId="3" xfId="0" applyNumberFormat="1" applyFont="1" applyBorder="1" applyAlignment="1"/>
    <xf numFmtId="0" fontId="0" fillId="2" borderId="3" xfId="0" applyFill="1" applyBorder="1"/>
    <xf numFmtId="164" fontId="1" fillId="0" borderId="3" xfId="0" applyNumberFormat="1" applyFont="1" applyBorder="1"/>
    <xf numFmtId="0" fontId="0" fillId="0" borderId="3" xfId="0" applyFont="1" applyBorder="1" applyAlignment="1">
      <alignment horizontal="left"/>
    </xf>
    <xf numFmtId="15" fontId="0" fillId="0" borderId="3" xfId="0" applyNumberFormat="1" applyFont="1" applyBorder="1"/>
    <xf numFmtId="0" fontId="0" fillId="5" borderId="1" xfId="0" applyFont="1" applyFill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0" fillId="2" borderId="3" xfId="0" applyFont="1" applyFill="1" applyBorder="1"/>
    <xf numFmtId="0" fontId="0" fillId="0" borderId="3" xfId="0" applyFont="1" applyBorder="1"/>
    <xf numFmtId="15" fontId="5" fillId="2" borderId="3" xfId="0" applyNumberFormat="1" applyFont="1" applyFill="1" applyBorder="1" applyAlignment="1"/>
    <xf numFmtId="0" fontId="0" fillId="0" borderId="3" xfId="0" applyFont="1" applyBorder="1" applyAlignment="1"/>
    <xf numFmtId="164" fontId="1" fillId="2" borderId="2" xfId="0" applyNumberFormat="1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5" borderId="1" xfId="0" applyNumberFormat="1" applyFont="1" applyFill="1" applyBorder="1"/>
    <xf numFmtId="0" fontId="1" fillId="5" borderId="1" xfId="0" applyFont="1" applyFill="1" applyBorder="1"/>
    <xf numFmtId="0" fontId="0" fillId="2" borderId="0" xfId="0" applyFont="1" applyFill="1" applyBorder="1"/>
    <xf numFmtId="0" fontId="0" fillId="0" borderId="3" xfId="0" applyBorder="1" applyAlignment="1">
      <alignment horizontal="left"/>
    </xf>
    <xf numFmtId="166" fontId="7" fillId="0" borderId="3" xfId="0" applyNumberFormat="1" applyFont="1" applyBorder="1"/>
    <xf numFmtId="15" fontId="0" fillId="0" borderId="3" xfId="0" applyNumberFormat="1" applyBorder="1"/>
    <xf numFmtId="164" fontId="0" fillId="2" borderId="0" xfId="0" applyNumberFormat="1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5" fillId="2" borderId="3" xfId="0" applyFont="1" applyFill="1" applyBorder="1"/>
    <xf numFmtId="0" fontId="1" fillId="2" borderId="3" xfId="0" applyFont="1" applyFill="1" applyBorder="1"/>
    <xf numFmtId="164" fontId="0" fillId="5" borderId="1" xfId="0" applyNumberFormat="1" applyFont="1" applyFill="1" applyBorder="1" applyAlignment="1"/>
    <xf numFmtId="0" fontId="0" fillId="2" borderId="1" xfId="0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5" borderId="1" xfId="0" applyFont="1" applyFill="1" applyBorder="1"/>
    <xf numFmtId="0" fontId="0" fillId="2" borderId="1" xfId="0" applyFont="1" applyFill="1" applyBorder="1" applyAlignment="1"/>
    <xf numFmtId="0" fontId="5" fillId="2" borderId="2" xfId="0" applyFont="1" applyFill="1" applyBorder="1"/>
    <xf numFmtId="15" fontId="5" fillId="2" borderId="2" xfId="0" applyNumberFormat="1" applyFont="1" applyFill="1" applyBorder="1" applyAlignment="1"/>
    <xf numFmtId="0" fontId="0" fillId="2" borderId="2" xfId="0" applyFont="1" applyFill="1" applyBorder="1"/>
    <xf numFmtId="0" fontId="0" fillId="0" borderId="2" xfId="0" applyFont="1" applyBorder="1" applyAlignment="1"/>
    <xf numFmtId="164" fontId="0" fillId="2" borderId="2" xfId="0" applyNumberFormat="1" applyFont="1" applyFill="1" applyBorder="1" applyAlignment="1">
      <alignment horizontal="right"/>
    </xf>
    <xf numFmtId="166" fontId="7" fillId="0" borderId="2" xfId="0" applyNumberFormat="1" applyFont="1" applyBorder="1"/>
    <xf numFmtId="15" fontId="5" fillId="0" borderId="3" xfId="0" applyNumberFormat="1" applyFont="1" applyBorder="1"/>
    <xf numFmtId="0" fontId="1" fillId="0" borderId="3" xfId="0" applyFont="1" applyBorder="1"/>
    <xf numFmtId="164" fontId="1" fillId="2" borderId="3" xfId="0" applyNumberFormat="1" applyFont="1" applyFill="1" applyBorder="1"/>
    <xf numFmtId="164" fontId="0" fillId="5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4"/>
  <sheetViews>
    <sheetView workbookViewId="0">
      <selection activeCell="D125" sqref="D125"/>
    </sheetView>
  </sheetViews>
  <sheetFormatPr defaultRowHeight="15"/>
  <cols>
    <col min="1" max="1" width="18.28515625" customWidth="1"/>
    <col min="2" max="2" width="10" bestFit="1" customWidth="1"/>
    <col min="3" max="3" width="30.5703125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1" t="s">
        <v>15</v>
      </c>
      <c r="B2" s="3">
        <v>45020</v>
      </c>
      <c r="C2" s="6" t="s">
        <v>227</v>
      </c>
      <c r="D2" s="1" t="s">
        <v>11</v>
      </c>
      <c r="E2" s="4">
        <v>24.507000000000001</v>
      </c>
      <c r="F2" s="24" t="s">
        <v>16</v>
      </c>
      <c r="G2" s="1" t="s">
        <v>17</v>
      </c>
      <c r="H2" s="1" t="s">
        <v>12</v>
      </c>
      <c r="I2" s="3">
        <v>44999</v>
      </c>
    </row>
    <row r="3" spans="1:9">
      <c r="A3" s="1" t="s">
        <v>18</v>
      </c>
      <c r="B3" s="3">
        <v>45020</v>
      </c>
      <c r="C3" s="6" t="s">
        <v>227</v>
      </c>
      <c r="D3" s="1" t="s">
        <v>11</v>
      </c>
      <c r="E3" s="4">
        <v>3.7850000000000001</v>
      </c>
      <c r="F3" s="24" t="s">
        <v>19</v>
      </c>
      <c r="G3" s="1" t="s">
        <v>20</v>
      </c>
      <c r="H3" s="1" t="s">
        <v>12</v>
      </c>
      <c r="I3" s="3">
        <v>44999</v>
      </c>
    </row>
    <row r="4" spans="1:9">
      <c r="A4" s="1"/>
      <c r="B4" s="3"/>
      <c r="C4" s="1"/>
      <c r="D4" s="1"/>
      <c r="E4" s="42">
        <f>SUM(E2:E3)</f>
        <v>28.292000000000002</v>
      </c>
      <c r="F4" s="24"/>
      <c r="G4" s="1"/>
      <c r="H4" s="1"/>
      <c r="I4" s="3"/>
    </row>
    <row r="5" spans="1:9">
      <c r="A5" s="1" t="s">
        <v>25</v>
      </c>
      <c r="B5" s="3">
        <v>45021</v>
      </c>
      <c r="C5" s="6" t="s">
        <v>225</v>
      </c>
      <c r="D5" s="1" t="s">
        <v>11</v>
      </c>
      <c r="E5" s="4">
        <v>24.488</v>
      </c>
      <c r="F5" s="24" t="s">
        <v>26</v>
      </c>
      <c r="G5" s="1" t="s">
        <v>27</v>
      </c>
      <c r="H5" s="1" t="s">
        <v>12</v>
      </c>
      <c r="I5" s="3">
        <v>44999</v>
      </c>
    </row>
    <row r="6" spans="1:9">
      <c r="A6" s="1" t="s">
        <v>28</v>
      </c>
      <c r="B6" s="3">
        <v>45021</v>
      </c>
      <c r="C6" s="6" t="s">
        <v>200</v>
      </c>
      <c r="D6" s="1" t="s">
        <v>11</v>
      </c>
      <c r="E6" s="4">
        <v>14.528</v>
      </c>
      <c r="F6" s="24" t="s">
        <v>29</v>
      </c>
      <c r="G6" s="1" t="s">
        <v>30</v>
      </c>
      <c r="H6" s="1" t="s">
        <v>12</v>
      </c>
      <c r="I6" s="3">
        <v>44999</v>
      </c>
    </row>
    <row r="7" spans="1:9">
      <c r="A7" s="1" t="s">
        <v>28</v>
      </c>
      <c r="B7" s="3">
        <v>45021</v>
      </c>
      <c r="C7" s="6" t="s">
        <v>226</v>
      </c>
      <c r="D7" s="1" t="s">
        <v>11</v>
      </c>
      <c r="E7" s="4">
        <v>9.9429999999999996</v>
      </c>
      <c r="F7" s="24" t="s">
        <v>29</v>
      </c>
      <c r="G7" s="1" t="s">
        <v>30</v>
      </c>
      <c r="H7" s="1" t="s">
        <v>12</v>
      </c>
      <c r="I7" s="3">
        <v>44999</v>
      </c>
    </row>
    <row r="8" spans="1:9">
      <c r="A8" s="1"/>
      <c r="B8" s="3"/>
      <c r="C8" s="1"/>
      <c r="D8" s="1"/>
      <c r="E8" s="42">
        <f>SUM(E5:E7)</f>
        <v>48.958999999999996</v>
      </c>
      <c r="F8" s="24"/>
      <c r="G8" s="1"/>
      <c r="H8" s="1"/>
      <c r="I8" s="3"/>
    </row>
    <row r="9" spans="1:9">
      <c r="A9" s="1" t="s">
        <v>31</v>
      </c>
      <c r="B9" s="3">
        <v>45022</v>
      </c>
      <c r="C9" s="6" t="s">
        <v>225</v>
      </c>
      <c r="D9" s="1" t="s">
        <v>11</v>
      </c>
      <c r="E9" s="4">
        <v>24.876999999999999</v>
      </c>
      <c r="F9" s="24" t="s">
        <v>16</v>
      </c>
      <c r="G9" s="1" t="s">
        <v>32</v>
      </c>
      <c r="H9" s="1" t="s">
        <v>12</v>
      </c>
      <c r="I9" s="3">
        <v>44999</v>
      </c>
    </row>
    <row r="10" spans="1:9">
      <c r="A10" s="1" t="s">
        <v>33</v>
      </c>
      <c r="B10" s="3">
        <v>45022</v>
      </c>
      <c r="C10" s="6" t="s">
        <v>227</v>
      </c>
      <c r="D10" s="1" t="s">
        <v>11</v>
      </c>
      <c r="E10" s="4">
        <v>24.567</v>
      </c>
      <c r="F10" s="24" t="s">
        <v>19</v>
      </c>
      <c r="G10" s="1" t="s">
        <v>34</v>
      </c>
      <c r="H10" s="1" t="s">
        <v>12</v>
      </c>
      <c r="I10" s="3">
        <v>44999</v>
      </c>
    </row>
    <row r="11" spans="1:9">
      <c r="A11" s="1" t="s">
        <v>35</v>
      </c>
      <c r="B11" s="3">
        <v>45022</v>
      </c>
      <c r="C11" s="6" t="s">
        <v>225</v>
      </c>
      <c r="D11" s="1" t="s">
        <v>11</v>
      </c>
      <c r="E11" s="4">
        <v>24.968</v>
      </c>
      <c r="F11" s="24" t="s">
        <v>36</v>
      </c>
      <c r="G11" s="1" t="s">
        <v>37</v>
      </c>
      <c r="H11" s="1" t="s">
        <v>12</v>
      </c>
      <c r="I11" s="3">
        <v>44999</v>
      </c>
    </row>
    <row r="12" spans="1:9">
      <c r="A12" s="1" t="s">
        <v>40</v>
      </c>
      <c r="B12" s="3">
        <v>45022</v>
      </c>
      <c r="C12" s="6" t="s">
        <v>227</v>
      </c>
      <c r="D12" s="1" t="s">
        <v>11</v>
      </c>
      <c r="E12" s="4">
        <v>24.757999999999999</v>
      </c>
      <c r="F12" s="24" t="s">
        <v>22</v>
      </c>
      <c r="G12" s="1" t="s">
        <v>46</v>
      </c>
      <c r="H12" s="1" t="s">
        <v>12</v>
      </c>
      <c r="I12" s="3">
        <v>44999</v>
      </c>
    </row>
    <row r="13" spans="1:9">
      <c r="A13" s="1"/>
      <c r="B13" s="3"/>
      <c r="C13" s="1"/>
      <c r="D13" s="1"/>
      <c r="E13" s="42">
        <f>SUM(E9:E12)</f>
        <v>99.17</v>
      </c>
      <c r="F13" s="24"/>
      <c r="G13" s="1"/>
      <c r="H13" s="1"/>
      <c r="I13" s="3"/>
    </row>
    <row r="14" spans="1:9">
      <c r="A14" s="1" t="s">
        <v>41</v>
      </c>
      <c r="B14" s="3">
        <v>45024</v>
      </c>
      <c r="C14" s="6" t="s">
        <v>225</v>
      </c>
      <c r="D14" s="1" t="s">
        <v>11</v>
      </c>
      <c r="E14" s="4">
        <v>24.488</v>
      </c>
      <c r="F14" s="24" t="s">
        <v>42</v>
      </c>
      <c r="G14" s="1" t="s">
        <v>47</v>
      </c>
      <c r="H14" s="1" t="s">
        <v>12</v>
      </c>
      <c r="I14" s="3">
        <v>44999</v>
      </c>
    </row>
    <row r="15" spans="1:9">
      <c r="A15" s="1" t="s">
        <v>43</v>
      </c>
      <c r="B15" s="3">
        <v>45024</v>
      </c>
      <c r="C15" s="6" t="s">
        <v>225</v>
      </c>
      <c r="D15" s="1" t="s">
        <v>11</v>
      </c>
      <c r="E15" s="4">
        <v>24.62</v>
      </c>
      <c r="F15" s="24" t="s">
        <v>44</v>
      </c>
      <c r="G15" s="1" t="s">
        <v>45</v>
      </c>
      <c r="H15" s="1" t="s">
        <v>12</v>
      </c>
      <c r="I15" s="3">
        <v>44999</v>
      </c>
    </row>
    <row r="16" spans="1:9">
      <c r="A16" s="1" t="s">
        <v>48</v>
      </c>
      <c r="B16" s="3">
        <v>45024</v>
      </c>
      <c r="C16" s="6" t="s">
        <v>224</v>
      </c>
      <c r="D16" s="1" t="s">
        <v>11</v>
      </c>
      <c r="E16" s="4">
        <v>11.291</v>
      </c>
      <c r="F16" s="24" t="s">
        <v>22</v>
      </c>
      <c r="G16" s="1" t="s">
        <v>49</v>
      </c>
      <c r="H16" s="1" t="s">
        <v>12</v>
      </c>
      <c r="I16" s="3">
        <v>44999</v>
      </c>
    </row>
    <row r="17" spans="1:9">
      <c r="A17" s="1" t="s">
        <v>48</v>
      </c>
      <c r="B17" s="3">
        <v>45024</v>
      </c>
      <c r="C17" s="6" t="s">
        <v>225</v>
      </c>
      <c r="D17" s="1" t="s">
        <v>11</v>
      </c>
      <c r="E17" s="4">
        <v>13.106999999999999</v>
      </c>
      <c r="F17" s="24" t="s">
        <v>22</v>
      </c>
      <c r="G17" s="1" t="s">
        <v>49</v>
      </c>
      <c r="H17" s="1" t="s">
        <v>12</v>
      </c>
      <c r="I17" s="3">
        <v>44999</v>
      </c>
    </row>
    <row r="18" spans="1:9">
      <c r="A18" s="1"/>
      <c r="B18" s="3"/>
      <c r="C18" s="1"/>
      <c r="D18" s="1"/>
      <c r="E18" s="42">
        <f>SUM(E14:E17)</f>
        <v>73.506</v>
      </c>
      <c r="F18" s="24"/>
      <c r="G18" s="1"/>
      <c r="H18" s="1"/>
      <c r="I18" s="3"/>
    </row>
    <row r="19" spans="1:9">
      <c r="A19" s="1" t="s">
        <v>68</v>
      </c>
      <c r="B19" s="3">
        <v>45025</v>
      </c>
      <c r="C19" s="6" t="s">
        <v>226</v>
      </c>
      <c r="D19" s="1" t="s">
        <v>11</v>
      </c>
      <c r="E19" s="13">
        <v>12.42</v>
      </c>
      <c r="F19" s="24" t="s">
        <v>54</v>
      </c>
      <c r="G19" s="1" t="s">
        <v>69</v>
      </c>
      <c r="H19" s="1" t="s">
        <v>12</v>
      </c>
      <c r="I19" s="3">
        <v>44999</v>
      </c>
    </row>
    <row r="20" spans="1:9">
      <c r="A20" s="1" t="s">
        <v>68</v>
      </c>
      <c r="B20" s="3">
        <v>45025</v>
      </c>
      <c r="C20" s="6" t="s">
        <v>346</v>
      </c>
      <c r="D20" s="1" t="s">
        <v>11</v>
      </c>
      <c r="E20" s="13">
        <v>7.37</v>
      </c>
      <c r="F20" s="24" t="s">
        <v>54</v>
      </c>
      <c r="G20" s="1" t="s">
        <v>69</v>
      </c>
      <c r="H20" s="1" t="s">
        <v>12</v>
      </c>
      <c r="I20" s="3">
        <v>44999</v>
      </c>
    </row>
    <row r="21" spans="1:9">
      <c r="A21" s="6" t="s">
        <v>70</v>
      </c>
      <c r="B21" s="46">
        <v>45025</v>
      </c>
      <c r="C21" s="6" t="s">
        <v>227</v>
      </c>
      <c r="D21" s="6" t="s">
        <v>11</v>
      </c>
      <c r="E21" s="13">
        <v>18.451000000000001</v>
      </c>
      <c r="F21" s="27" t="s">
        <v>56</v>
      </c>
      <c r="G21" s="6" t="s">
        <v>71</v>
      </c>
      <c r="H21" s="6" t="s">
        <v>12</v>
      </c>
      <c r="I21" s="46">
        <v>44999</v>
      </c>
    </row>
    <row r="22" spans="1:9">
      <c r="A22" s="1" t="s">
        <v>72</v>
      </c>
      <c r="B22" s="3">
        <v>45025</v>
      </c>
      <c r="C22" s="6" t="s">
        <v>344</v>
      </c>
      <c r="D22" s="1" t="s">
        <v>11</v>
      </c>
      <c r="E22" s="13">
        <v>7.2080000000000002</v>
      </c>
      <c r="F22" s="24" t="s">
        <v>59</v>
      </c>
      <c r="G22" s="1" t="s">
        <v>73</v>
      </c>
      <c r="H22" s="1" t="s">
        <v>12</v>
      </c>
      <c r="I22" s="3">
        <v>44999</v>
      </c>
    </row>
    <row r="23" spans="1:9">
      <c r="A23" s="1" t="s">
        <v>74</v>
      </c>
      <c r="B23" s="3">
        <v>45025</v>
      </c>
      <c r="C23" s="6" t="s">
        <v>344</v>
      </c>
      <c r="D23" s="1" t="s">
        <v>78</v>
      </c>
      <c r="E23" s="4">
        <v>11.385999999999999</v>
      </c>
      <c r="F23" s="24" t="s">
        <v>66</v>
      </c>
      <c r="G23" s="1" t="s">
        <v>76</v>
      </c>
      <c r="H23" s="1" t="s">
        <v>77</v>
      </c>
      <c r="I23" s="3">
        <v>45019</v>
      </c>
    </row>
    <row r="24" spans="1:9">
      <c r="A24" s="1" t="s">
        <v>74</v>
      </c>
      <c r="B24" s="3">
        <v>45025</v>
      </c>
      <c r="C24" s="6" t="s">
        <v>301</v>
      </c>
      <c r="D24" s="1" t="s">
        <v>78</v>
      </c>
      <c r="E24" s="4">
        <v>16.146999999999998</v>
      </c>
      <c r="F24" s="24" t="s">
        <v>66</v>
      </c>
      <c r="G24" s="1" t="s">
        <v>76</v>
      </c>
      <c r="H24" s="1" t="s">
        <v>77</v>
      </c>
      <c r="I24" s="3">
        <v>45019</v>
      </c>
    </row>
    <row r="25" spans="1:9">
      <c r="A25" s="1" t="s">
        <v>75</v>
      </c>
      <c r="B25" s="3">
        <v>45025</v>
      </c>
      <c r="C25" s="6" t="s">
        <v>344</v>
      </c>
      <c r="D25" s="1" t="s">
        <v>78</v>
      </c>
      <c r="E25" s="4">
        <v>3.1629999999999998</v>
      </c>
      <c r="F25" s="24" t="s">
        <v>66</v>
      </c>
      <c r="G25" s="1" t="s">
        <v>79</v>
      </c>
      <c r="H25" s="1" t="s">
        <v>80</v>
      </c>
      <c r="I25" s="3">
        <v>45019</v>
      </c>
    </row>
    <row r="26" spans="1:9">
      <c r="A26" s="1"/>
      <c r="B26" s="3"/>
      <c r="C26" s="1"/>
      <c r="D26" s="1"/>
      <c r="E26" s="42">
        <f>SUM(E19:E25)</f>
        <v>76.144999999999996</v>
      </c>
      <c r="F26" s="24"/>
      <c r="G26" s="1"/>
      <c r="H26" s="1"/>
      <c r="I26" s="3"/>
    </row>
    <row r="27" spans="1:9">
      <c r="A27" s="1" t="s">
        <v>82</v>
      </c>
      <c r="B27" s="3">
        <v>45026</v>
      </c>
      <c r="C27" s="6" t="s">
        <v>301</v>
      </c>
      <c r="D27" s="1" t="s">
        <v>78</v>
      </c>
      <c r="E27" s="4">
        <v>10.768000000000001</v>
      </c>
      <c r="F27" s="24" t="s">
        <v>86</v>
      </c>
      <c r="G27" s="14" t="s">
        <v>84</v>
      </c>
      <c r="H27" s="1" t="s">
        <v>77</v>
      </c>
      <c r="I27" s="3">
        <v>45019</v>
      </c>
    </row>
    <row r="28" spans="1:9">
      <c r="A28" s="1" t="s">
        <v>82</v>
      </c>
      <c r="B28" s="3">
        <v>45026</v>
      </c>
      <c r="C28" s="6" t="s">
        <v>344</v>
      </c>
      <c r="D28" s="1" t="s">
        <v>78</v>
      </c>
      <c r="E28" s="4">
        <v>10.423</v>
      </c>
      <c r="F28" s="24" t="s">
        <v>86</v>
      </c>
      <c r="G28" s="14" t="s">
        <v>84</v>
      </c>
      <c r="H28" s="1" t="s">
        <v>77</v>
      </c>
      <c r="I28" s="3">
        <v>45019</v>
      </c>
    </row>
    <row r="29" spans="1:9">
      <c r="A29" s="1" t="s">
        <v>82</v>
      </c>
      <c r="B29" s="3">
        <v>45026</v>
      </c>
      <c r="C29" s="6" t="s">
        <v>345</v>
      </c>
      <c r="D29" s="1" t="s">
        <v>78</v>
      </c>
      <c r="E29" s="4">
        <v>4.3819999999999997</v>
      </c>
      <c r="F29" s="24" t="s">
        <v>86</v>
      </c>
      <c r="G29" s="14" t="s">
        <v>84</v>
      </c>
      <c r="H29" s="1" t="s">
        <v>77</v>
      </c>
      <c r="I29" s="3">
        <v>45019</v>
      </c>
    </row>
    <row r="30" spans="1:9">
      <c r="A30" s="1" t="s">
        <v>85</v>
      </c>
      <c r="B30" s="3">
        <v>45026</v>
      </c>
      <c r="C30" s="6" t="s">
        <v>301</v>
      </c>
      <c r="D30" s="1" t="s">
        <v>78</v>
      </c>
      <c r="E30" s="4">
        <v>4.9020000000000001</v>
      </c>
      <c r="F30" s="24" t="s">
        <v>86</v>
      </c>
      <c r="G30" s="1" t="s">
        <v>87</v>
      </c>
      <c r="H30" s="1" t="s">
        <v>80</v>
      </c>
      <c r="I30" s="3">
        <v>45019</v>
      </c>
    </row>
    <row r="31" spans="1:9">
      <c r="A31" s="1" t="s">
        <v>85</v>
      </c>
      <c r="B31" s="3">
        <v>45026</v>
      </c>
      <c r="C31" s="6" t="s">
        <v>344</v>
      </c>
      <c r="D31" s="1" t="s">
        <v>78</v>
      </c>
      <c r="E31" s="4">
        <v>1.444</v>
      </c>
      <c r="F31" s="24" t="s">
        <v>86</v>
      </c>
      <c r="G31" s="1" t="s">
        <v>87</v>
      </c>
      <c r="H31" s="1" t="s">
        <v>80</v>
      </c>
      <c r="I31" s="3">
        <v>45019</v>
      </c>
    </row>
    <row r="32" spans="1:9">
      <c r="A32" s="1" t="s">
        <v>88</v>
      </c>
      <c r="B32" s="3">
        <v>45026</v>
      </c>
      <c r="C32" s="6" t="s">
        <v>344</v>
      </c>
      <c r="D32" s="1" t="s">
        <v>11</v>
      </c>
      <c r="E32" s="4">
        <v>15.455</v>
      </c>
      <c r="F32" s="24" t="s">
        <v>89</v>
      </c>
      <c r="G32" s="1" t="s">
        <v>92</v>
      </c>
      <c r="H32" s="1" t="s">
        <v>12</v>
      </c>
      <c r="I32" s="3">
        <v>44999</v>
      </c>
    </row>
    <row r="33" spans="1:9">
      <c r="A33" s="1" t="s">
        <v>90</v>
      </c>
      <c r="B33" s="3">
        <v>45026</v>
      </c>
      <c r="C33" s="6" t="s">
        <v>345</v>
      </c>
      <c r="D33" s="1" t="s">
        <v>78</v>
      </c>
      <c r="E33" s="4">
        <v>31.497</v>
      </c>
      <c r="F33" s="24" t="s">
        <v>83</v>
      </c>
      <c r="G33" s="1" t="s">
        <v>91</v>
      </c>
      <c r="H33" s="1" t="s">
        <v>77</v>
      </c>
      <c r="I33" s="3">
        <v>45019</v>
      </c>
    </row>
    <row r="34" spans="1:9">
      <c r="A34" s="1"/>
      <c r="B34" s="3"/>
      <c r="C34" s="1"/>
      <c r="D34" s="1"/>
      <c r="E34" s="42">
        <f>SUM(E27:E33)</f>
        <v>78.871000000000009</v>
      </c>
      <c r="F34" s="24"/>
      <c r="G34" s="1"/>
      <c r="H34" s="1"/>
      <c r="I34" s="3"/>
    </row>
    <row r="35" spans="1:9">
      <c r="A35" s="1" t="s">
        <v>94</v>
      </c>
      <c r="B35" s="3">
        <v>45027</v>
      </c>
      <c r="C35" s="6" t="s">
        <v>200</v>
      </c>
      <c r="D35" s="1" t="s">
        <v>11</v>
      </c>
      <c r="E35" s="4">
        <v>6.5549999999999997</v>
      </c>
      <c r="F35" s="24" t="s">
        <v>95</v>
      </c>
      <c r="G35" s="1" t="s">
        <v>96</v>
      </c>
      <c r="H35" s="1" t="s">
        <v>12</v>
      </c>
      <c r="I35" s="3">
        <v>44999</v>
      </c>
    </row>
    <row r="36" spans="1:9">
      <c r="A36" s="1" t="s">
        <v>94</v>
      </c>
      <c r="B36" s="3">
        <v>45027</v>
      </c>
      <c r="C36" s="6" t="s">
        <v>224</v>
      </c>
      <c r="D36" s="1" t="s">
        <v>11</v>
      </c>
      <c r="E36" s="4">
        <v>12.885</v>
      </c>
      <c r="F36" s="24" t="s">
        <v>95</v>
      </c>
      <c r="G36" s="1" t="s">
        <v>96</v>
      </c>
      <c r="H36" s="1" t="s">
        <v>12</v>
      </c>
      <c r="I36" s="3">
        <v>44999</v>
      </c>
    </row>
    <row r="37" spans="1:9">
      <c r="A37" s="1" t="s">
        <v>99</v>
      </c>
      <c r="B37" s="3">
        <v>45027</v>
      </c>
      <c r="C37" s="6" t="s">
        <v>345</v>
      </c>
      <c r="D37" s="1" t="s">
        <v>78</v>
      </c>
      <c r="E37" s="4">
        <v>11.554</v>
      </c>
      <c r="F37" s="24" t="s">
        <v>97</v>
      </c>
      <c r="G37" s="1" t="s">
        <v>98</v>
      </c>
      <c r="H37" s="1" t="s">
        <v>77</v>
      </c>
      <c r="I37" s="3">
        <v>45019</v>
      </c>
    </row>
    <row r="38" spans="1:9">
      <c r="A38" s="1" t="s">
        <v>99</v>
      </c>
      <c r="B38" s="3">
        <v>45027</v>
      </c>
      <c r="C38" s="6" t="s">
        <v>303</v>
      </c>
      <c r="D38" s="1" t="s">
        <v>78</v>
      </c>
      <c r="E38" s="4">
        <v>10.423999999999999</v>
      </c>
      <c r="F38" s="24" t="s">
        <v>97</v>
      </c>
      <c r="G38" s="1" t="s">
        <v>98</v>
      </c>
      <c r="H38" s="1" t="s">
        <v>77</v>
      </c>
      <c r="I38" s="3">
        <v>45019</v>
      </c>
    </row>
    <row r="39" spans="1:9">
      <c r="A39" s="1" t="s">
        <v>99</v>
      </c>
      <c r="B39" s="3">
        <v>45027</v>
      </c>
      <c r="C39" s="6" t="s">
        <v>263</v>
      </c>
      <c r="D39" s="1" t="s">
        <v>78</v>
      </c>
      <c r="E39" s="4">
        <v>9.9529999999999994</v>
      </c>
      <c r="F39" s="24" t="s">
        <v>97</v>
      </c>
      <c r="G39" s="1" t="s">
        <v>98</v>
      </c>
      <c r="H39" s="1" t="s">
        <v>77</v>
      </c>
      <c r="I39" s="3">
        <v>45019</v>
      </c>
    </row>
    <row r="40" spans="1:9">
      <c r="A40" s="1" t="s">
        <v>100</v>
      </c>
      <c r="B40" s="3">
        <v>45027</v>
      </c>
      <c r="C40" s="6" t="s">
        <v>345</v>
      </c>
      <c r="D40" s="1" t="s">
        <v>78</v>
      </c>
      <c r="E40" s="4">
        <v>29.469000000000001</v>
      </c>
      <c r="F40" s="24" t="s">
        <v>101</v>
      </c>
      <c r="G40" s="1" t="s">
        <v>102</v>
      </c>
      <c r="H40" s="1" t="s">
        <v>77</v>
      </c>
      <c r="I40" s="3">
        <v>45019</v>
      </c>
    </row>
    <row r="41" spans="1:9">
      <c r="A41" s="1" t="s">
        <v>103</v>
      </c>
      <c r="B41" s="3">
        <v>45027</v>
      </c>
      <c r="C41" s="6" t="s">
        <v>345</v>
      </c>
      <c r="D41" s="1" t="s">
        <v>78</v>
      </c>
      <c r="E41" s="4">
        <v>1.552</v>
      </c>
      <c r="F41" s="24" t="s">
        <v>101</v>
      </c>
      <c r="G41" s="1" t="s">
        <v>102</v>
      </c>
      <c r="H41" s="1" t="s">
        <v>80</v>
      </c>
      <c r="I41" s="3">
        <v>45019</v>
      </c>
    </row>
    <row r="42" spans="1:9">
      <c r="A42" s="1" t="s">
        <v>104</v>
      </c>
      <c r="B42" s="3">
        <v>45027</v>
      </c>
      <c r="C42" s="6" t="s">
        <v>255</v>
      </c>
      <c r="D42" s="1" t="s">
        <v>11</v>
      </c>
      <c r="E42" s="4">
        <v>3.1739999999999999</v>
      </c>
      <c r="F42" s="24" t="s">
        <v>105</v>
      </c>
      <c r="G42" s="1" t="s">
        <v>106</v>
      </c>
      <c r="H42" s="1" t="s">
        <v>12</v>
      </c>
      <c r="I42" s="3">
        <v>44999</v>
      </c>
    </row>
    <row r="43" spans="1:9">
      <c r="A43" s="1" t="s">
        <v>104</v>
      </c>
      <c r="B43" s="3">
        <v>45027</v>
      </c>
      <c r="C43" s="6" t="s">
        <v>225</v>
      </c>
      <c r="D43" s="1" t="s">
        <v>11</v>
      </c>
      <c r="E43" s="4">
        <v>3.11</v>
      </c>
      <c r="F43" s="24" t="s">
        <v>105</v>
      </c>
      <c r="G43" s="1" t="s">
        <v>106</v>
      </c>
      <c r="H43" s="1" t="s">
        <v>12</v>
      </c>
      <c r="I43" s="3">
        <v>44999</v>
      </c>
    </row>
    <row r="44" spans="1:9">
      <c r="A44" s="1" t="s">
        <v>104</v>
      </c>
      <c r="B44" s="3">
        <v>45027</v>
      </c>
      <c r="C44" s="6" t="s">
        <v>224</v>
      </c>
      <c r="D44" s="1" t="s">
        <v>11</v>
      </c>
      <c r="E44" s="4">
        <v>1.9490000000000001</v>
      </c>
      <c r="F44" s="24" t="s">
        <v>105</v>
      </c>
      <c r="G44" s="1" t="s">
        <v>106</v>
      </c>
      <c r="H44" s="1" t="s">
        <v>12</v>
      </c>
      <c r="I44" s="3">
        <v>44999</v>
      </c>
    </row>
    <row r="45" spans="1:9">
      <c r="A45" s="1" t="s">
        <v>104</v>
      </c>
      <c r="B45" s="3">
        <v>45027</v>
      </c>
      <c r="C45" s="6" t="s">
        <v>200</v>
      </c>
      <c r="D45" s="1" t="s">
        <v>11</v>
      </c>
      <c r="E45" s="4">
        <v>0.96499999999999997</v>
      </c>
      <c r="F45" s="24" t="s">
        <v>105</v>
      </c>
      <c r="G45" s="1" t="s">
        <v>106</v>
      </c>
      <c r="H45" s="1" t="s">
        <v>12</v>
      </c>
      <c r="I45" s="3">
        <v>44999</v>
      </c>
    </row>
    <row r="46" spans="1:9">
      <c r="A46" s="1"/>
      <c r="B46" s="3"/>
      <c r="C46" s="1"/>
      <c r="D46" s="1"/>
      <c r="E46" s="42">
        <f>SUM(E35:E45)</f>
        <v>91.590000000000018</v>
      </c>
      <c r="F46" s="24"/>
      <c r="G46" s="1"/>
      <c r="H46" s="1"/>
      <c r="I46" s="3"/>
    </row>
    <row r="47" spans="1:9">
      <c r="A47" s="1" t="s">
        <v>110</v>
      </c>
      <c r="B47" s="3">
        <v>45028</v>
      </c>
      <c r="C47" s="6" t="s">
        <v>303</v>
      </c>
      <c r="D47" s="1" t="s">
        <v>78</v>
      </c>
      <c r="E47" s="4">
        <v>19.751999999999999</v>
      </c>
      <c r="F47" s="24" t="s">
        <v>101</v>
      </c>
      <c r="G47" s="1" t="s">
        <v>111</v>
      </c>
      <c r="H47" s="1" t="s">
        <v>77</v>
      </c>
      <c r="I47" s="3">
        <v>45019</v>
      </c>
    </row>
    <row r="48" spans="1:9">
      <c r="A48" s="1" t="s">
        <v>110</v>
      </c>
      <c r="B48" s="3">
        <v>45028</v>
      </c>
      <c r="C48" s="6" t="s">
        <v>263</v>
      </c>
      <c r="D48" s="1" t="s">
        <v>78</v>
      </c>
      <c r="E48" s="4">
        <v>10.361000000000001</v>
      </c>
      <c r="F48" s="24" t="s">
        <v>101</v>
      </c>
      <c r="G48" s="1" t="s">
        <v>111</v>
      </c>
      <c r="H48" s="1" t="s">
        <v>77</v>
      </c>
      <c r="I48" s="3">
        <v>45019</v>
      </c>
    </row>
    <row r="49" spans="1:9">
      <c r="A49" s="1" t="s">
        <v>112</v>
      </c>
      <c r="B49" s="3">
        <v>45028</v>
      </c>
      <c r="C49" s="6" t="s">
        <v>230</v>
      </c>
      <c r="D49" s="1" t="s">
        <v>78</v>
      </c>
      <c r="E49" s="4">
        <v>2.407</v>
      </c>
      <c r="F49" s="24" t="s">
        <v>101</v>
      </c>
      <c r="G49" s="1" t="s">
        <v>113</v>
      </c>
      <c r="H49" s="1" t="s">
        <v>114</v>
      </c>
      <c r="I49" s="3">
        <v>45019</v>
      </c>
    </row>
    <row r="50" spans="1:9">
      <c r="A50" s="1" t="s">
        <v>115</v>
      </c>
      <c r="B50" s="3">
        <v>45028</v>
      </c>
      <c r="C50" s="6" t="s">
        <v>345</v>
      </c>
      <c r="D50" s="1" t="s">
        <v>78</v>
      </c>
      <c r="E50" s="4">
        <v>12.288</v>
      </c>
      <c r="F50" s="24" t="s">
        <v>116</v>
      </c>
      <c r="G50" s="1" t="s">
        <v>117</v>
      </c>
      <c r="H50" s="1" t="s">
        <v>77</v>
      </c>
      <c r="I50" s="3">
        <v>45019</v>
      </c>
    </row>
    <row r="51" spans="1:9">
      <c r="A51" s="1" t="s">
        <v>115</v>
      </c>
      <c r="B51" s="3">
        <v>45028</v>
      </c>
      <c r="C51" s="6" t="s">
        <v>263</v>
      </c>
      <c r="D51" s="1" t="s">
        <v>78</v>
      </c>
      <c r="E51" s="4">
        <v>8.173</v>
      </c>
      <c r="F51" s="24" t="s">
        <v>116</v>
      </c>
      <c r="G51" s="1" t="s">
        <v>117</v>
      </c>
      <c r="H51" s="1" t="s">
        <v>77</v>
      </c>
      <c r="I51" s="3">
        <v>45019</v>
      </c>
    </row>
    <row r="52" spans="1:9">
      <c r="A52" s="1" t="s">
        <v>118</v>
      </c>
      <c r="B52" s="3">
        <v>45028</v>
      </c>
      <c r="C52" s="6" t="s">
        <v>345</v>
      </c>
      <c r="D52" s="1" t="s">
        <v>78</v>
      </c>
      <c r="E52" s="4">
        <v>6.899</v>
      </c>
      <c r="F52" s="24" t="s">
        <v>116</v>
      </c>
      <c r="G52" s="1" t="s">
        <v>119</v>
      </c>
      <c r="H52" s="1" t="s">
        <v>80</v>
      </c>
      <c r="I52" s="3">
        <v>45019</v>
      </c>
    </row>
    <row r="53" spans="1:9">
      <c r="A53" s="1" t="s">
        <v>118</v>
      </c>
      <c r="B53" s="3">
        <v>45028</v>
      </c>
      <c r="C53" s="6" t="s">
        <v>263</v>
      </c>
      <c r="D53" s="1" t="s">
        <v>78</v>
      </c>
      <c r="E53" s="4">
        <v>5.5890000000000004</v>
      </c>
      <c r="F53" s="24" t="s">
        <v>116</v>
      </c>
      <c r="G53" s="1" t="s">
        <v>119</v>
      </c>
      <c r="H53" s="1" t="s">
        <v>80</v>
      </c>
      <c r="I53" s="3">
        <v>45019</v>
      </c>
    </row>
    <row r="54" spans="1:9">
      <c r="A54" s="1"/>
      <c r="B54" s="3"/>
      <c r="C54" s="1"/>
      <c r="D54" s="1"/>
      <c r="E54" s="42">
        <f>SUM(E47:E53)</f>
        <v>65.468999999999994</v>
      </c>
      <c r="F54" s="24"/>
      <c r="G54" s="1"/>
      <c r="H54" s="1"/>
      <c r="I54" s="3"/>
    </row>
    <row r="55" spans="1:9">
      <c r="A55" s="1" t="s">
        <v>120</v>
      </c>
      <c r="B55" s="3">
        <v>45029</v>
      </c>
      <c r="C55" s="6" t="s">
        <v>344</v>
      </c>
      <c r="D55" s="1" t="s">
        <v>11</v>
      </c>
      <c r="E55" s="4">
        <f>2.114+12.696</f>
        <v>14.809999999999999</v>
      </c>
      <c r="F55" s="24" t="s">
        <v>16</v>
      </c>
      <c r="G55" s="1" t="s">
        <v>121</v>
      </c>
      <c r="H55" s="1" t="s">
        <v>12</v>
      </c>
      <c r="I55" s="3">
        <v>44999</v>
      </c>
    </row>
    <row r="56" spans="1:9">
      <c r="A56" s="1" t="s">
        <v>120</v>
      </c>
      <c r="B56" s="3">
        <v>45029</v>
      </c>
      <c r="C56" s="6" t="s">
        <v>344</v>
      </c>
      <c r="D56" s="1" t="s">
        <v>11</v>
      </c>
      <c r="E56" s="4">
        <v>2.81</v>
      </c>
      <c r="F56" s="24" t="s">
        <v>16</v>
      </c>
      <c r="G56" s="1" t="s">
        <v>121</v>
      </c>
      <c r="H56" s="1" t="s">
        <v>12</v>
      </c>
      <c r="I56" s="3">
        <v>44999</v>
      </c>
    </row>
    <row r="57" spans="1:9">
      <c r="A57" s="1" t="s">
        <v>120</v>
      </c>
      <c r="B57" s="3">
        <v>45029</v>
      </c>
      <c r="C57" s="6" t="s">
        <v>224</v>
      </c>
      <c r="D57" s="1" t="s">
        <v>11</v>
      </c>
      <c r="E57" s="4">
        <v>2.5339999999999998</v>
      </c>
      <c r="F57" s="24" t="s">
        <v>16</v>
      </c>
      <c r="G57" s="1" t="s">
        <v>121</v>
      </c>
      <c r="H57" s="1" t="s">
        <v>12</v>
      </c>
      <c r="I57" s="3">
        <v>44999</v>
      </c>
    </row>
    <row r="58" spans="1:9">
      <c r="A58" s="1" t="s">
        <v>120</v>
      </c>
      <c r="B58" s="3">
        <v>45029</v>
      </c>
      <c r="C58" s="6" t="s">
        <v>225</v>
      </c>
      <c r="D58" s="1" t="s">
        <v>11</v>
      </c>
      <c r="E58" s="4">
        <v>1.69</v>
      </c>
      <c r="F58" s="24" t="s">
        <v>16</v>
      </c>
      <c r="G58" s="1" t="s">
        <v>121</v>
      </c>
      <c r="H58" s="1" t="s">
        <v>12</v>
      </c>
      <c r="I58" s="3">
        <v>44999</v>
      </c>
    </row>
    <row r="59" spans="1:9">
      <c r="A59" s="1" t="s">
        <v>127</v>
      </c>
      <c r="B59" s="3">
        <v>45029</v>
      </c>
      <c r="C59" s="6" t="s">
        <v>224</v>
      </c>
      <c r="D59" s="1" t="s">
        <v>11</v>
      </c>
      <c r="E59" s="4">
        <v>0.30599999999999999</v>
      </c>
      <c r="F59" s="24" t="s">
        <v>16</v>
      </c>
      <c r="G59" s="1" t="s">
        <v>123</v>
      </c>
      <c r="H59" s="1" t="s">
        <v>12</v>
      </c>
      <c r="I59" s="3">
        <v>44999</v>
      </c>
    </row>
    <row r="60" spans="1:9">
      <c r="A60" s="1" t="s">
        <v>128</v>
      </c>
      <c r="B60" s="3">
        <v>45029</v>
      </c>
      <c r="C60" s="6" t="s">
        <v>234</v>
      </c>
      <c r="D60" s="1" t="s">
        <v>78</v>
      </c>
      <c r="E60" s="4">
        <f>9.563+13.428</f>
        <v>22.991</v>
      </c>
      <c r="F60" s="24" t="s">
        <v>116</v>
      </c>
      <c r="G60" s="1" t="s">
        <v>129</v>
      </c>
      <c r="H60" s="1" t="s">
        <v>77</v>
      </c>
      <c r="I60" s="3">
        <v>45019</v>
      </c>
    </row>
    <row r="61" spans="1:9">
      <c r="A61" s="1" t="s">
        <v>128</v>
      </c>
      <c r="B61" s="3">
        <v>45029</v>
      </c>
      <c r="C61" s="6" t="s">
        <v>208</v>
      </c>
      <c r="D61" s="1" t="s">
        <v>78</v>
      </c>
      <c r="E61" s="4">
        <v>7.359</v>
      </c>
      <c r="F61" s="24" t="s">
        <v>116</v>
      </c>
      <c r="G61" s="1" t="s">
        <v>129</v>
      </c>
      <c r="H61" s="1" t="s">
        <v>77</v>
      </c>
      <c r="I61" s="3">
        <v>45019</v>
      </c>
    </row>
    <row r="62" spans="1:9">
      <c r="A62" s="1"/>
      <c r="B62" s="3"/>
      <c r="C62" s="1"/>
      <c r="D62" s="1"/>
      <c r="E62" s="42">
        <f>SUM(E55:E61)</f>
        <v>52.5</v>
      </c>
      <c r="F62" s="24"/>
      <c r="G62" s="1"/>
      <c r="H62" s="1"/>
      <c r="I62" s="3"/>
    </row>
    <row r="63" spans="1:9">
      <c r="A63" s="1" t="s">
        <v>122</v>
      </c>
      <c r="B63" s="3">
        <v>45030</v>
      </c>
      <c r="C63" s="6" t="s">
        <v>283</v>
      </c>
      <c r="D63" s="1" t="s">
        <v>78</v>
      </c>
      <c r="E63" s="13">
        <f>8.108+8.744</f>
        <v>16.852</v>
      </c>
      <c r="F63" s="24" t="s">
        <v>66</v>
      </c>
      <c r="G63" s="1" t="s">
        <v>132</v>
      </c>
      <c r="H63" s="1" t="s">
        <v>130</v>
      </c>
      <c r="I63" s="3">
        <v>45023</v>
      </c>
    </row>
    <row r="64" spans="1:9">
      <c r="A64" s="1" t="s">
        <v>131</v>
      </c>
      <c r="B64" s="3">
        <v>45030</v>
      </c>
      <c r="C64" s="6" t="s">
        <v>234</v>
      </c>
      <c r="D64" s="1" t="s">
        <v>78</v>
      </c>
      <c r="E64" s="13">
        <v>13.863</v>
      </c>
      <c r="F64" s="24" t="s">
        <v>66</v>
      </c>
      <c r="G64" s="1" t="s">
        <v>138</v>
      </c>
      <c r="H64" s="1" t="s">
        <v>133</v>
      </c>
      <c r="I64" s="3">
        <v>45019</v>
      </c>
    </row>
    <row r="65" spans="1:9">
      <c r="A65" s="1" t="s">
        <v>136</v>
      </c>
      <c r="B65" s="3">
        <v>45030</v>
      </c>
      <c r="C65" s="6" t="s">
        <v>346</v>
      </c>
      <c r="D65" s="1" t="s">
        <v>11</v>
      </c>
      <c r="E65" s="13">
        <v>8.0350000000000001</v>
      </c>
      <c r="F65" s="24" t="s">
        <v>137</v>
      </c>
      <c r="G65" s="1" t="s">
        <v>139</v>
      </c>
      <c r="H65" s="1" t="s">
        <v>12</v>
      </c>
      <c r="I65" s="3">
        <v>44999</v>
      </c>
    </row>
    <row r="66" spans="1:9">
      <c r="A66" s="1" t="s">
        <v>136</v>
      </c>
      <c r="B66" s="3">
        <v>45030</v>
      </c>
      <c r="C66" s="6" t="s">
        <v>226</v>
      </c>
      <c r="D66" s="1" t="s">
        <v>11</v>
      </c>
      <c r="E66" s="13">
        <f>0.712+8.65</f>
        <v>9.3620000000000001</v>
      </c>
      <c r="F66" s="24" t="s">
        <v>137</v>
      </c>
      <c r="G66" s="1" t="s">
        <v>139</v>
      </c>
      <c r="H66" s="1" t="s">
        <v>12</v>
      </c>
      <c r="I66" s="3">
        <v>44999</v>
      </c>
    </row>
    <row r="67" spans="1:9">
      <c r="A67" s="1" t="s">
        <v>136</v>
      </c>
      <c r="B67" s="3">
        <v>45030</v>
      </c>
      <c r="C67" s="6" t="s">
        <v>226</v>
      </c>
      <c r="D67" s="1" t="s">
        <v>11</v>
      </c>
      <c r="E67" s="13">
        <v>2.9750000000000001</v>
      </c>
      <c r="F67" s="24" t="s">
        <v>137</v>
      </c>
      <c r="G67" s="1" t="s">
        <v>139</v>
      </c>
      <c r="H67" s="1" t="s">
        <v>12</v>
      </c>
      <c r="I67" s="3">
        <v>44999</v>
      </c>
    </row>
    <row r="68" spans="1:9">
      <c r="A68" s="1" t="s">
        <v>136</v>
      </c>
      <c r="B68" s="3">
        <v>45030</v>
      </c>
      <c r="C68" s="6" t="s">
        <v>224</v>
      </c>
      <c r="D68" s="1" t="s">
        <v>11</v>
      </c>
      <c r="E68" s="13">
        <v>4.2300000000000004</v>
      </c>
      <c r="F68" s="24" t="s">
        <v>137</v>
      </c>
      <c r="G68" s="1" t="s">
        <v>139</v>
      </c>
      <c r="H68" s="1" t="s">
        <v>12</v>
      </c>
      <c r="I68" s="3">
        <v>44999</v>
      </c>
    </row>
    <row r="69" spans="1:9">
      <c r="A69" s="1" t="s">
        <v>140</v>
      </c>
      <c r="B69" s="3">
        <v>45030</v>
      </c>
      <c r="C69" s="6" t="s">
        <v>283</v>
      </c>
      <c r="D69" s="1" t="s">
        <v>78</v>
      </c>
      <c r="E69" s="13">
        <v>23.300999999999998</v>
      </c>
      <c r="F69" s="24" t="s">
        <v>97</v>
      </c>
      <c r="G69" s="1" t="s">
        <v>141</v>
      </c>
      <c r="H69" s="1" t="s">
        <v>130</v>
      </c>
      <c r="I69" s="3">
        <v>45023</v>
      </c>
    </row>
    <row r="70" spans="1:9">
      <c r="A70" s="1" t="s">
        <v>142</v>
      </c>
      <c r="B70" s="3">
        <v>45030</v>
      </c>
      <c r="C70" s="6" t="s">
        <v>196</v>
      </c>
      <c r="D70" s="1" t="s">
        <v>78</v>
      </c>
      <c r="E70" s="13">
        <v>1.4259999999999999</v>
      </c>
      <c r="F70" s="24" t="s">
        <v>97</v>
      </c>
      <c r="G70" s="1" t="s">
        <v>141</v>
      </c>
      <c r="H70" s="1" t="s">
        <v>144</v>
      </c>
      <c r="I70" s="3">
        <v>45019</v>
      </c>
    </row>
    <row r="71" spans="1:9">
      <c r="A71" s="1" t="s">
        <v>146</v>
      </c>
      <c r="B71" s="3">
        <v>45030</v>
      </c>
      <c r="C71" s="6" t="s">
        <v>343</v>
      </c>
      <c r="D71" s="1" t="s">
        <v>78</v>
      </c>
      <c r="E71" s="13">
        <v>1.071</v>
      </c>
      <c r="F71" s="24" t="s">
        <v>86</v>
      </c>
      <c r="G71" s="1" t="s">
        <v>147</v>
      </c>
      <c r="H71" s="1" t="s">
        <v>144</v>
      </c>
      <c r="I71" s="3">
        <v>45019</v>
      </c>
    </row>
    <row r="72" spans="1:9">
      <c r="A72" s="1" t="s">
        <v>148</v>
      </c>
      <c r="B72" s="3">
        <v>45030</v>
      </c>
      <c r="C72" s="6" t="s">
        <v>208</v>
      </c>
      <c r="D72" s="1" t="s">
        <v>78</v>
      </c>
      <c r="E72" s="13">
        <v>23.616</v>
      </c>
      <c r="F72" s="24" t="s">
        <v>86</v>
      </c>
      <c r="G72" s="1" t="s">
        <v>147</v>
      </c>
      <c r="H72" s="1" t="s">
        <v>77</v>
      </c>
      <c r="I72" s="3">
        <v>45019</v>
      </c>
    </row>
    <row r="73" spans="1:9">
      <c r="A73" s="1" t="s">
        <v>149</v>
      </c>
      <c r="B73" s="3">
        <v>45030</v>
      </c>
      <c r="C73" s="6" t="s">
        <v>208</v>
      </c>
      <c r="D73" s="1" t="s">
        <v>78</v>
      </c>
      <c r="E73" s="13">
        <v>1.986</v>
      </c>
      <c r="F73" s="24" t="s">
        <v>86</v>
      </c>
      <c r="G73" s="1" t="s">
        <v>147</v>
      </c>
      <c r="H73" s="1" t="s">
        <v>80</v>
      </c>
      <c r="I73" s="3">
        <v>45019</v>
      </c>
    </row>
    <row r="74" spans="1:9">
      <c r="A74" s="1"/>
      <c r="B74" s="3"/>
      <c r="C74" s="1"/>
      <c r="D74" s="1"/>
      <c r="E74" s="42">
        <f>SUM(E63:E73)</f>
        <v>106.71700000000001</v>
      </c>
      <c r="F74" s="24"/>
      <c r="G74" s="1"/>
      <c r="H74" s="1"/>
      <c r="I74" s="3"/>
    </row>
    <row r="75" spans="1:9">
      <c r="A75" s="1" t="s">
        <v>153</v>
      </c>
      <c r="B75" s="3">
        <v>45031</v>
      </c>
      <c r="C75" s="6" t="s">
        <v>208</v>
      </c>
      <c r="D75" s="1" t="s">
        <v>78</v>
      </c>
      <c r="E75" s="4">
        <v>31.039000000000001</v>
      </c>
      <c r="F75" s="24" t="s">
        <v>97</v>
      </c>
      <c r="G75" s="1" t="s">
        <v>154</v>
      </c>
      <c r="H75" s="1" t="s">
        <v>77</v>
      </c>
      <c r="I75" s="3">
        <v>45019</v>
      </c>
    </row>
    <row r="76" spans="1:9">
      <c r="A76" s="1" t="s">
        <v>155</v>
      </c>
      <c r="B76" s="3">
        <v>45031</v>
      </c>
      <c r="C76" s="6" t="s">
        <v>209</v>
      </c>
      <c r="D76" s="1" t="s">
        <v>78</v>
      </c>
      <c r="E76" s="4">
        <v>6.3719999999999999</v>
      </c>
      <c r="F76" s="24" t="s">
        <v>116</v>
      </c>
      <c r="G76" s="1" t="s">
        <v>157</v>
      </c>
      <c r="H76" s="1" t="s">
        <v>77</v>
      </c>
      <c r="I76" s="3">
        <v>45019</v>
      </c>
    </row>
    <row r="77" spans="1:9">
      <c r="A77" s="1" t="s">
        <v>155</v>
      </c>
      <c r="B77" s="3">
        <v>45031</v>
      </c>
      <c r="C77" s="6" t="s">
        <v>231</v>
      </c>
      <c r="D77" s="1" t="s">
        <v>78</v>
      </c>
      <c r="E77" s="4">
        <v>5.5919999999999996</v>
      </c>
      <c r="F77" s="24" t="s">
        <v>116</v>
      </c>
      <c r="G77" s="1" t="s">
        <v>157</v>
      </c>
      <c r="H77" s="1" t="s">
        <v>77</v>
      </c>
      <c r="I77" s="3">
        <v>45019</v>
      </c>
    </row>
    <row r="78" spans="1:9">
      <c r="A78" s="1" t="s">
        <v>156</v>
      </c>
      <c r="B78" s="3">
        <v>45031</v>
      </c>
      <c r="C78" s="6" t="s">
        <v>283</v>
      </c>
      <c r="D78" s="1" t="s">
        <v>78</v>
      </c>
      <c r="E78" s="4">
        <v>20.338999999999999</v>
      </c>
      <c r="F78" s="24" t="s">
        <v>116</v>
      </c>
      <c r="G78" s="1" t="s">
        <v>158</v>
      </c>
      <c r="H78" s="1" t="s">
        <v>130</v>
      </c>
      <c r="I78" s="3">
        <v>45023</v>
      </c>
    </row>
    <row r="79" spans="1:9">
      <c r="A79" s="1"/>
      <c r="B79" s="3"/>
      <c r="C79" s="1"/>
      <c r="D79" s="1"/>
      <c r="E79" s="42">
        <f>SUM(E75:E78)</f>
        <v>63.341999999999999</v>
      </c>
      <c r="F79" s="24"/>
      <c r="G79" s="1"/>
      <c r="H79" s="1"/>
      <c r="I79" s="3"/>
    </row>
    <row r="80" spans="1:9">
      <c r="A80" s="1" t="s">
        <v>159</v>
      </c>
      <c r="B80" s="3">
        <v>45032</v>
      </c>
      <c r="C80" s="6" t="s">
        <v>208</v>
      </c>
      <c r="D80" s="1" t="s">
        <v>78</v>
      </c>
      <c r="E80" s="4">
        <v>22.986999999999998</v>
      </c>
      <c r="F80" s="24" t="s">
        <v>101</v>
      </c>
      <c r="G80" s="1" t="s">
        <v>160</v>
      </c>
      <c r="H80" s="1" t="s">
        <v>77</v>
      </c>
      <c r="I80" s="3">
        <v>45019</v>
      </c>
    </row>
    <row r="81" spans="1:9">
      <c r="A81" s="1" t="s">
        <v>159</v>
      </c>
      <c r="B81" s="3">
        <v>45032</v>
      </c>
      <c r="C81" s="6" t="s">
        <v>344</v>
      </c>
      <c r="D81" s="1" t="s">
        <v>78</v>
      </c>
      <c r="E81" s="4">
        <f>4.157+1.081</f>
        <v>5.2379999999999995</v>
      </c>
      <c r="F81" s="24" t="s">
        <v>101</v>
      </c>
      <c r="G81" s="1" t="s">
        <v>160</v>
      </c>
      <c r="H81" s="1" t="s">
        <v>77</v>
      </c>
      <c r="I81" s="3">
        <v>45019</v>
      </c>
    </row>
    <row r="82" spans="1:9">
      <c r="A82" s="1" t="s">
        <v>161</v>
      </c>
      <c r="B82" s="3">
        <v>45032</v>
      </c>
      <c r="C82" s="6" t="s">
        <v>344</v>
      </c>
      <c r="D82" s="1" t="s">
        <v>78</v>
      </c>
      <c r="E82" s="4">
        <v>2.077</v>
      </c>
      <c r="F82" s="24" t="s">
        <v>101</v>
      </c>
      <c r="G82" s="1" t="s">
        <v>162</v>
      </c>
      <c r="H82" s="1" t="s">
        <v>80</v>
      </c>
      <c r="I82" s="3">
        <v>45019</v>
      </c>
    </row>
    <row r="83" spans="1:9">
      <c r="A83" s="1" t="s">
        <v>161</v>
      </c>
      <c r="B83" s="3">
        <v>45032</v>
      </c>
      <c r="C83" s="6" t="s">
        <v>301</v>
      </c>
      <c r="D83" s="1" t="s">
        <v>78</v>
      </c>
      <c r="E83" s="4">
        <v>2.2000000000000002</v>
      </c>
      <c r="F83" s="24" t="s">
        <v>101</v>
      </c>
      <c r="G83" s="1" t="s">
        <v>162</v>
      </c>
      <c r="H83" s="1" t="s">
        <v>80</v>
      </c>
      <c r="I83" s="3">
        <v>45019</v>
      </c>
    </row>
    <row r="84" spans="1:9">
      <c r="A84" s="1" t="s">
        <v>163</v>
      </c>
      <c r="B84" s="3">
        <v>45032</v>
      </c>
      <c r="C84" s="6" t="s">
        <v>205</v>
      </c>
      <c r="D84" s="1" t="s">
        <v>78</v>
      </c>
      <c r="E84" s="4">
        <v>32.286999999999999</v>
      </c>
      <c r="F84" s="24" t="s">
        <v>86</v>
      </c>
      <c r="G84" s="1" t="s">
        <v>164</v>
      </c>
      <c r="H84" s="1" t="s">
        <v>130</v>
      </c>
      <c r="I84" s="3">
        <v>45023</v>
      </c>
    </row>
    <row r="85" spans="1:9">
      <c r="A85" s="1"/>
      <c r="B85" s="3"/>
      <c r="C85" s="1"/>
      <c r="D85" s="1"/>
      <c r="E85" s="42">
        <f>SUM(E80:E84)</f>
        <v>64.789000000000001</v>
      </c>
      <c r="F85" s="24"/>
      <c r="G85" s="1"/>
      <c r="H85" s="1"/>
      <c r="I85" s="3"/>
    </row>
    <row r="86" spans="1:9">
      <c r="A86" s="1" t="s">
        <v>166</v>
      </c>
      <c r="B86" s="3">
        <v>45033</v>
      </c>
      <c r="C86" s="6" t="s">
        <v>342</v>
      </c>
      <c r="D86" s="1" t="s">
        <v>11</v>
      </c>
      <c r="E86" s="4">
        <v>4.335</v>
      </c>
      <c r="F86" s="24" t="s">
        <v>89</v>
      </c>
      <c r="G86" s="1" t="s">
        <v>171</v>
      </c>
      <c r="H86" s="1" t="s">
        <v>12</v>
      </c>
      <c r="I86" s="3">
        <v>44999</v>
      </c>
    </row>
    <row r="87" spans="1:9">
      <c r="A87" s="1" t="s">
        <v>166</v>
      </c>
      <c r="B87" s="3">
        <v>45033</v>
      </c>
      <c r="C87" s="6" t="s">
        <v>224</v>
      </c>
      <c r="D87" s="1" t="s">
        <v>11</v>
      </c>
      <c r="E87" s="4">
        <v>7.3010000000000002</v>
      </c>
      <c r="F87" s="24" t="s">
        <v>89</v>
      </c>
      <c r="G87" s="1" t="s">
        <v>171</v>
      </c>
      <c r="H87" s="1" t="s">
        <v>12</v>
      </c>
      <c r="I87" s="3">
        <v>44999</v>
      </c>
    </row>
    <row r="88" spans="1:9">
      <c r="A88" s="1" t="s">
        <v>166</v>
      </c>
      <c r="B88" s="3">
        <v>45033</v>
      </c>
      <c r="C88" s="6" t="s">
        <v>200</v>
      </c>
      <c r="D88" s="1" t="s">
        <v>11</v>
      </c>
      <c r="E88" s="4">
        <v>0.78600000000000003</v>
      </c>
      <c r="F88" s="24" t="s">
        <v>89</v>
      </c>
      <c r="G88" s="1" t="s">
        <v>171</v>
      </c>
      <c r="H88" s="1" t="s">
        <v>12</v>
      </c>
      <c r="I88" s="3">
        <v>44999</v>
      </c>
    </row>
    <row r="89" spans="1:9">
      <c r="A89" s="1" t="s">
        <v>166</v>
      </c>
      <c r="B89" s="3">
        <v>45033</v>
      </c>
      <c r="C89" s="6" t="s">
        <v>344</v>
      </c>
      <c r="D89" s="1" t="s">
        <v>11</v>
      </c>
      <c r="E89" s="4">
        <v>0.94</v>
      </c>
      <c r="F89" s="24" t="s">
        <v>89</v>
      </c>
      <c r="G89" s="1" t="s">
        <v>171</v>
      </c>
      <c r="H89" s="1" t="s">
        <v>12</v>
      </c>
      <c r="I89" s="3">
        <v>44999</v>
      </c>
    </row>
    <row r="90" spans="1:9">
      <c r="A90" s="1" t="s">
        <v>166</v>
      </c>
      <c r="B90" s="3">
        <v>45033</v>
      </c>
      <c r="C90" s="6" t="s">
        <v>344</v>
      </c>
      <c r="D90" s="1" t="s">
        <v>11</v>
      </c>
      <c r="E90" s="4">
        <v>1.6519999999999999</v>
      </c>
      <c r="F90" s="24" t="s">
        <v>89</v>
      </c>
      <c r="G90" s="1" t="s">
        <v>171</v>
      </c>
      <c r="H90" s="1" t="s">
        <v>12</v>
      </c>
      <c r="I90" s="3">
        <v>44999</v>
      </c>
    </row>
    <row r="91" spans="1:9">
      <c r="A91" s="1" t="s">
        <v>168</v>
      </c>
      <c r="B91" s="3">
        <v>45033</v>
      </c>
      <c r="C91" s="6" t="s">
        <v>283</v>
      </c>
      <c r="D91" s="1" t="s">
        <v>78</v>
      </c>
      <c r="E91" s="4">
        <v>28.963999999999999</v>
      </c>
      <c r="F91" s="24" t="s">
        <v>101</v>
      </c>
      <c r="G91" s="1" t="s">
        <v>172</v>
      </c>
      <c r="H91" s="1" t="s">
        <v>130</v>
      </c>
      <c r="I91" s="3">
        <v>45023</v>
      </c>
    </row>
    <row r="92" spans="1:9">
      <c r="A92" s="1" t="s">
        <v>169</v>
      </c>
      <c r="B92" s="3">
        <v>45033</v>
      </c>
      <c r="C92" s="6" t="s">
        <v>263</v>
      </c>
      <c r="D92" s="1" t="s">
        <v>78</v>
      </c>
      <c r="E92" s="4">
        <v>1.641</v>
      </c>
      <c r="F92" s="24" t="s">
        <v>101</v>
      </c>
      <c r="G92" s="1" t="s">
        <v>172</v>
      </c>
      <c r="H92" s="1" t="s">
        <v>77</v>
      </c>
      <c r="I92" s="3">
        <v>45019</v>
      </c>
    </row>
    <row r="93" spans="1:9">
      <c r="A93" s="1" t="s">
        <v>170</v>
      </c>
      <c r="B93" s="3">
        <v>45033</v>
      </c>
      <c r="C93" s="6" t="s">
        <v>345</v>
      </c>
      <c r="D93" s="1" t="s">
        <v>78</v>
      </c>
      <c r="E93" s="4">
        <v>1.4379999999999999</v>
      </c>
      <c r="F93" s="24" t="s">
        <v>101</v>
      </c>
      <c r="G93" s="1" t="s">
        <v>172</v>
      </c>
      <c r="H93" s="1" t="s">
        <v>80</v>
      </c>
      <c r="I93" s="3">
        <v>45019</v>
      </c>
    </row>
    <row r="94" spans="1:9">
      <c r="A94" s="1" t="s">
        <v>173</v>
      </c>
      <c r="B94" s="3">
        <v>45033</v>
      </c>
      <c r="C94" s="6" t="s">
        <v>205</v>
      </c>
      <c r="D94" s="1" t="s">
        <v>78</v>
      </c>
      <c r="E94" s="4">
        <v>21.390999999999998</v>
      </c>
      <c r="F94" s="24" t="s">
        <v>83</v>
      </c>
      <c r="G94" s="1" t="s">
        <v>174</v>
      </c>
      <c r="H94" s="1" t="s">
        <v>130</v>
      </c>
      <c r="I94" s="3">
        <v>45023</v>
      </c>
    </row>
    <row r="95" spans="1:9">
      <c r="A95" s="1" t="s">
        <v>175</v>
      </c>
      <c r="B95" s="3">
        <v>45033</v>
      </c>
      <c r="C95" s="6" t="s">
        <v>205</v>
      </c>
      <c r="D95" s="1" t="s">
        <v>78</v>
      </c>
      <c r="E95" s="4">
        <v>4.1440000000000001</v>
      </c>
      <c r="F95" s="24" t="s">
        <v>83</v>
      </c>
      <c r="G95" s="1" t="s">
        <v>174</v>
      </c>
      <c r="H95" s="1" t="s">
        <v>176</v>
      </c>
      <c r="I95" s="3">
        <v>45023</v>
      </c>
    </row>
    <row r="96" spans="1:9">
      <c r="A96" s="1" t="s">
        <v>177</v>
      </c>
      <c r="B96" s="3">
        <v>45033</v>
      </c>
      <c r="C96" s="6" t="s">
        <v>303</v>
      </c>
      <c r="D96" s="1" t="s">
        <v>78</v>
      </c>
      <c r="E96" s="4">
        <v>0.753</v>
      </c>
      <c r="F96" s="24" t="s">
        <v>83</v>
      </c>
      <c r="G96" s="1" t="s">
        <v>174</v>
      </c>
      <c r="H96" s="1" t="s">
        <v>77</v>
      </c>
      <c r="I96" s="3">
        <v>45019</v>
      </c>
    </row>
    <row r="97" spans="1:9">
      <c r="A97" s="1" t="s">
        <v>177</v>
      </c>
      <c r="B97" s="3">
        <v>45033</v>
      </c>
      <c r="C97" s="6" t="s">
        <v>263</v>
      </c>
      <c r="D97" s="1" t="s">
        <v>78</v>
      </c>
      <c r="E97" s="4">
        <v>0.83799999999999997</v>
      </c>
      <c r="F97" s="24" t="s">
        <v>83</v>
      </c>
      <c r="G97" s="1" t="s">
        <v>174</v>
      </c>
      <c r="H97" s="1" t="s">
        <v>77</v>
      </c>
      <c r="I97" s="3">
        <v>45019</v>
      </c>
    </row>
    <row r="98" spans="1:9">
      <c r="A98" s="1" t="s">
        <v>178</v>
      </c>
      <c r="B98" s="3">
        <v>45033</v>
      </c>
      <c r="C98" s="6" t="s">
        <v>263</v>
      </c>
      <c r="D98" s="1" t="s">
        <v>78</v>
      </c>
      <c r="E98" s="4">
        <v>0.77400000000000002</v>
      </c>
      <c r="F98" s="24" t="s">
        <v>83</v>
      </c>
      <c r="G98" s="1" t="s">
        <v>174</v>
      </c>
      <c r="H98" s="1" t="s">
        <v>80</v>
      </c>
      <c r="I98" s="3">
        <v>45019</v>
      </c>
    </row>
    <row r="99" spans="1:9">
      <c r="A99" s="1" t="s">
        <v>178</v>
      </c>
      <c r="B99" s="3">
        <v>45033</v>
      </c>
      <c r="C99" s="6" t="s">
        <v>345</v>
      </c>
      <c r="D99" s="1" t="s">
        <v>78</v>
      </c>
      <c r="E99" s="4">
        <v>3.7269999999999999</v>
      </c>
      <c r="F99" s="24" t="s">
        <v>83</v>
      </c>
      <c r="G99" s="1" t="s">
        <v>174</v>
      </c>
      <c r="H99" s="1" t="s">
        <v>80</v>
      </c>
      <c r="I99" s="3">
        <v>45019</v>
      </c>
    </row>
    <row r="100" spans="1:9">
      <c r="A100" s="1"/>
      <c r="B100" s="3"/>
      <c r="C100" s="1"/>
      <c r="D100" s="1"/>
      <c r="E100" s="42">
        <f>SUM(E86:E99)</f>
        <v>78.683999999999997</v>
      </c>
      <c r="F100" s="24"/>
      <c r="G100" s="1"/>
      <c r="H100" s="1"/>
      <c r="I100" s="3"/>
    </row>
    <row r="101" spans="1:9">
      <c r="A101" s="15" t="s">
        <v>180</v>
      </c>
      <c r="B101" s="16">
        <v>45034</v>
      </c>
      <c r="C101" s="6" t="s">
        <v>231</v>
      </c>
      <c r="D101" s="1" t="s">
        <v>78</v>
      </c>
      <c r="E101" s="15">
        <v>18.831</v>
      </c>
      <c r="F101" s="29" t="s">
        <v>101</v>
      </c>
      <c r="G101" s="15" t="s">
        <v>181</v>
      </c>
      <c r="H101" s="18" t="s">
        <v>77</v>
      </c>
      <c r="I101" s="16">
        <v>45019</v>
      </c>
    </row>
    <row r="102" spans="1:9" ht="15" customHeight="1">
      <c r="A102" s="15" t="s">
        <v>182</v>
      </c>
      <c r="B102" s="16">
        <v>45034</v>
      </c>
      <c r="C102" s="6" t="s">
        <v>255</v>
      </c>
      <c r="D102" s="1" t="s">
        <v>78</v>
      </c>
      <c r="E102" s="4">
        <v>13.856</v>
      </c>
      <c r="F102" s="29" t="s">
        <v>101</v>
      </c>
      <c r="G102" s="1" t="s">
        <v>183</v>
      </c>
      <c r="H102" s="1" t="s">
        <v>176</v>
      </c>
      <c r="I102" s="3">
        <v>45023</v>
      </c>
    </row>
    <row r="103" spans="1:9">
      <c r="A103" s="15" t="s">
        <v>184</v>
      </c>
      <c r="B103" s="16">
        <v>45034</v>
      </c>
      <c r="C103" s="6" t="s">
        <v>231</v>
      </c>
      <c r="D103" s="1" t="s">
        <v>78</v>
      </c>
      <c r="E103" s="4">
        <v>31.722999999999999</v>
      </c>
      <c r="F103" s="29" t="s">
        <v>97</v>
      </c>
      <c r="G103" s="1" t="s">
        <v>185</v>
      </c>
      <c r="H103" s="18" t="s">
        <v>77</v>
      </c>
      <c r="I103" s="16">
        <v>45019</v>
      </c>
    </row>
    <row r="104" spans="1:9">
      <c r="A104" s="15" t="s">
        <v>187</v>
      </c>
      <c r="B104" s="16">
        <v>45034</v>
      </c>
      <c r="C104" s="6" t="s">
        <v>200</v>
      </c>
      <c r="D104" s="1" t="s">
        <v>78</v>
      </c>
      <c r="E104" s="4">
        <v>25.091000000000001</v>
      </c>
      <c r="F104" s="29" t="s">
        <v>86</v>
      </c>
      <c r="G104" s="1" t="s">
        <v>188</v>
      </c>
      <c r="H104" s="1" t="s">
        <v>130</v>
      </c>
      <c r="I104" s="3">
        <v>45023</v>
      </c>
    </row>
    <row r="105" spans="1:9">
      <c r="A105" s="15" t="s">
        <v>189</v>
      </c>
      <c r="B105" s="16">
        <v>45034</v>
      </c>
      <c r="C105" s="6" t="s">
        <v>200</v>
      </c>
      <c r="D105" s="1" t="s">
        <v>78</v>
      </c>
      <c r="E105" s="4">
        <v>4.7789999999999999</v>
      </c>
      <c r="F105" s="29" t="s">
        <v>86</v>
      </c>
      <c r="G105" s="1" t="s">
        <v>190</v>
      </c>
      <c r="H105" s="1" t="s">
        <v>176</v>
      </c>
      <c r="I105" s="3">
        <v>45023</v>
      </c>
    </row>
    <row r="106" spans="1:9">
      <c r="A106" s="15" t="s">
        <v>191</v>
      </c>
      <c r="B106" s="16">
        <v>45034</v>
      </c>
      <c r="C106" s="6" t="s">
        <v>200</v>
      </c>
      <c r="D106" s="1" t="s">
        <v>78</v>
      </c>
      <c r="E106" s="4">
        <v>2.7389999999999999</v>
      </c>
      <c r="F106" s="29" t="s">
        <v>86</v>
      </c>
      <c r="G106" s="1" t="s">
        <v>192</v>
      </c>
      <c r="H106" s="1" t="s">
        <v>193</v>
      </c>
      <c r="I106" s="3">
        <v>45026</v>
      </c>
    </row>
    <row r="107" spans="1:9">
      <c r="A107" s="1"/>
      <c r="B107" s="3"/>
      <c r="C107" s="1"/>
      <c r="D107" s="1"/>
      <c r="E107" s="43">
        <f>SUM(E101:E106)</f>
        <v>97.019000000000005</v>
      </c>
      <c r="F107" s="24"/>
      <c r="G107" s="1"/>
      <c r="H107" s="1"/>
      <c r="I107" s="3"/>
    </row>
    <row r="108" spans="1:9">
      <c r="A108" s="15" t="s">
        <v>194</v>
      </c>
      <c r="B108" s="16">
        <v>45035</v>
      </c>
      <c r="C108" s="6" t="s">
        <v>195</v>
      </c>
      <c r="D108" s="1" t="s">
        <v>78</v>
      </c>
      <c r="E108" s="21">
        <v>18.221</v>
      </c>
      <c r="F108" s="24" t="s">
        <v>83</v>
      </c>
      <c r="G108" s="1" t="s">
        <v>197</v>
      </c>
      <c r="H108" s="1" t="s">
        <v>130</v>
      </c>
      <c r="I108" s="3">
        <v>45023</v>
      </c>
    </row>
    <row r="109" spans="1:9">
      <c r="A109" s="15" t="s">
        <v>194</v>
      </c>
      <c r="B109" s="16">
        <v>45035</v>
      </c>
      <c r="C109" s="6" t="s">
        <v>196</v>
      </c>
      <c r="D109" s="1" t="s">
        <v>78</v>
      </c>
      <c r="E109" s="21">
        <v>12.217000000000001</v>
      </c>
      <c r="F109" s="24" t="s">
        <v>83</v>
      </c>
      <c r="G109" s="1" t="s">
        <v>197</v>
      </c>
      <c r="H109" s="1" t="s">
        <v>130</v>
      </c>
      <c r="I109" s="3">
        <v>45023</v>
      </c>
    </row>
    <row r="110" spans="1:9">
      <c r="A110" s="15" t="s">
        <v>198</v>
      </c>
      <c r="B110" s="16">
        <v>45035</v>
      </c>
      <c r="C110" s="6" t="s">
        <v>196</v>
      </c>
      <c r="D110" s="1" t="s">
        <v>78</v>
      </c>
      <c r="E110" s="21">
        <v>2.1880000000000002</v>
      </c>
      <c r="F110" s="24" t="s">
        <v>83</v>
      </c>
      <c r="G110" s="1" t="s">
        <v>197</v>
      </c>
      <c r="H110" s="1" t="s">
        <v>176</v>
      </c>
      <c r="I110" s="3">
        <v>45023</v>
      </c>
    </row>
    <row r="111" spans="1:9">
      <c r="A111" s="15" t="s">
        <v>199</v>
      </c>
      <c r="B111" s="16">
        <v>45035</v>
      </c>
      <c r="C111" s="6" t="s">
        <v>200</v>
      </c>
      <c r="D111" s="1" t="s">
        <v>78</v>
      </c>
      <c r="E111" s="21">
        <f>22.964+5.883</f>
        <v>28.846999999999998</v>
      </c>
      <c r="F111" s="24" t="s">
        <v>116</v>
      </c>
      <c r="G111" s="1" t="s">
        <v>201</v>
      </c>
      <c r="H111" s="1" t="s">
        <v>130</v>
      </c>
      <c r="I111" s="3">
        <v>45023</v>
      </c>
    </row>
    <row r="112" spans="1:9">
      <c r="A112" s="15" t="s">
        <v>202</v>
      </c>
      <c r="B112" s="16">
        <v>45035</v>
      </c>
      <c r="C112" s="6" t="s">
        <v>200</v>
      </c>
      <c r="D112" s="1" t="s">
        <v>78</v>
      </c>
      <c r="E112" s="22">
        <v>3.415</v>
      </c>
      <c r="F112" s="24" t="s">
        <v>116</v>
      </c>
      <c r="G112" s="1" t="s">
        <v>203</v>
      </c>
      <c r="H112" s="1" t="s">
        <v>176</v>
      </c>
      <c r="I112" s="3">
        <v>45023</v>
      </c>
    </row>
    <row r="113" spans="1:9">
      <c r="A113" s="1"/>
      <c r="B113" s="3"/>
      <c r="C113" s="1"/>
      <c r="D113" s="1"/>
      <c r="E113" s="43">
        <f>SUM(E108:E112)</f>
        <v>64.888000000000005</v>
      </c>
      <c r="F113" s="24"/>
      <c r="G113" s="1"/>
      <c r="H113" s="1"/>
      <c r="I113" s="3"/>
    </row>
    <row r="114" spans="1:9">
      <c r="A114" s="15" t="s">
        <v>204</v>
      </c>
      <c r="B114" s="16">
        <v>45036</v>
      </c>
      <c r="C114" s="6" t="s">
        <v>205</v>
      </c>
      <c r="D114" s="1" t="s">
        <v>78</v>
      </c>
      <c r="E114" s="21">
        <v>31.760999999999999</v>
      </c>
      <c r="F114" s="24" t="s">
        <v>116</v>
      </c>
      <c r="G114" s="1" t="s">
        <v>206</v>
      </c>
      <c r="H114" s="1" t="s">
        <v>130</v>
      </c>
      <c r="I114" s="3">
        <v>45023</v>
      </c>
    </row>
    <row r="115" spans="1:9">
      <c r="A115" s="15" t="s">
        <v>207</v>
      </c>
      <c r="B115" s="16">
        <v>45036</v>
      </c>
      <c r="C115" s="6" t="s">
        <v>208</v>
      </c>
      <c r="D115" s="1" t="s">
        <v>78</v>
      </c>
      <c r="E115" s="21">
        <f>12.997+8.592</f>
        <v>21.588999999999999</v>
      </c>
      <c r="F115" s="29" t="s">
        <v>97</v>
      </c>
      <c r="G115" s="1" t="s">
        <v>210</v>
      </c>
      <c r="H115" s="18" t="s">
        <v>77</v>
      </c>
      <c r="I115" s="16">
        <v>45019</v>
      </c>
    </row>
    <row r="116" spans="1:9">
      <c r="A116" s="15" t="s">
        <v>207</v>
      </c>
      <c r="B116" s="16">
        <v>45036</v>
      </c>
      <c r="C116" s="6" t="s">
        <v>209</v>
      </c>
      <c r="D116" s="1" t="s">
        <v>78</v>
      </c>
      <c r="E116" s="21">
        <v>3.84</v>
      </c>
      <c r="F116" s="29" t="s">
        <v>97</v>
      </c>
      <c r="G116" s="1" t="s">
        <v>210</v>
      </c>
      <c r="H116" s="18" t="s">
        <v>77</v>
      </c>
      <c r="I116" s="16">
        <v>45019</v>
      </c>
    </row>
    <row r="117" spans="1:9">
      <c r="A117" s="15" t="s">
        <v>211</v>
      </c>
      <c r="B117" s="16">
        <v>45036</v>
      </c>
      <c r="C117" s="6" t="s">
        <v>208</v>
      </c>
      <c r="D117" s="1" t="s">
        <v>78</v>
      </c>
      <c r="E117" s="21">
        <v>6.9960000000000004</v>
      </c>
      <c r="F117" s="29" t="s">
        <v>97</v>
      </c>
      <c r="G117" s="1" t="s">
        <v>212</v>
      </c>
      <c r="H117" s="18" t="s">
        <v>80</v>
      </c>
      <c r="I117" s="16">
        <v>45019</v>
      </c>
    </row>
    <row r="118" spans="1:9">
      <c r="A118" s="15" t="s">
        <v>213</v>
      </c>
      <c r="B118" s="16">
        <v>45036</v>
      </c>
      <c r="C118" s="6" t="s">
        <v>205</v>
      </c>
      <c r="D118" s="1" t="s">
        <v>78</v>
      </c>
      <c r="E118" s="21">
        <f>6.295+18.615</f>
        <v>24.909999999999997</v>
      </c>
      <c r="F118" s="29" t="s">
        <v>83</v>
      </c>
      <c r="G118" s="14" t="s">
        <v>214</v>
      </c>
      <c r="H118" s="1" t="s">
        <v>130</v>
      </c>
      <c r="I118" s="3">
        <v>45023</v>
      </c>
    </row>
    <row r="119" spans="1:9">
      <c r="A119" s="15" t="s">
        <v>215</v>
      </c>
      <c r="B119" s="16">
        <v>45036</v>
      </c>
      <c r="C119" s="6" t="s">
        <v>205</v>
      </c>
      <c r="D119" s="1" t="s">
        <v>78</v>
      </c>
      <c r="E119" s="21">
        <v>1.6779999999999999</v>
      </c>
      <c r="F119" s="29" t="s">
        <v>83</v>
      </c>
      <c r="G119" s="27" t="s">
        <v>218</v>
      </c>
      <c r="H119" s="1" t="s">
        <v>176</v>
      </c>
      <c r="I119" s="3">
        <v>45023</v>
      </c>
    </row>
    <row r="120" spans="1:9">
      <c r="A120" s="15" t="s">
        <v>216</v>
      </c>
      <c r="B120" s="16">
        <v>45036</v>
      </c>
      <c r="C120" s="6" t="s">
        <v>208</v>
      </c>
      <c r="D120" s="1" t="s">
        <v>78</v>
      </c>
      <c r="E120" s="21">
        <v>3.6419999999999999</v>
      </c>
      <c r="F120" s="29" t="s">
        <v>83</v>
      </c>
      <c r="G120" s="27" t="s">
        <v>218</v>
      </c>
      <c r="H120" s="18" t="s">
        <v>80</v>
      </c>
      <c r="I120" s="16">
        <v>45019</v>
      </c>
    </row>
    <row r="121" spans="1:9">
      <c r="A121" s="15" t="s">
        <v>217</v>
      </c>
      <c r="B121" s="16">
        <v>45036</v>
      </c>
      <c r="C121" s="6" t="s">
        <v>208</v>
      </c>
      <c r="D121" s="1" t="s">
        <v>78</v>
      </c>
      <c r="E121" s="22">
        <v>2.673</v>
      </c>
      <c r="F121" s="29" t="s">
        <v>83</v>
      </c>
      <c r="G121" s="27" t="s">
        <v>218</v>
      </c>
      <c r="H121" s="18" t="s">
        <v>77</v>
      </c>
      <c r="I121" s="16">
        <v>45019</v>
      </c>
    </row>
    <row r="122" spans="1:9">
      <c r="A122" s="1"/>
      <c r="B122" s="3"/>
      <c r="C122" s="1"/>
      <c r="D122" s="1"/>
      <c r="E122" s="43">
        <f>SUM(E114:E121)</f>
        <v>97.088999999999984</v>
      </c>
      <c r="F122" s="24"/>
      <c r="G122" s="1"/>
      <c r="H122" s="1"/>
      <c r="I122" s="3"/>
    </row>
    <row r="123" spans="1:9">
      <c r="A123" s="15" t="s">
        <v>219</v>
      </c>
      <c r="B123" s="16">
        <v>45037</v>
      </c>
      <c r="C123" s="6" t="s">
        <v>205</v>
      </c>
      <c r="D123" s="1" t="s">
        <v>78</v>
      </c>
      <c r="E123" s="21">
        <f>3.058+1.121+2.23</f>
        <v>6.4090000000000007</v>
      </c>
      <c r="F123" s="24" t="s">
        <v>116</v>
      </c>
      <c r="G123" s="24" t="s">
        <v>220</v>
      </c>
      <c r="H123" s="1" t="s">
        <v>176</v>
      </c>
      <c r="I123" s="3">
        <v>45023</v>
      </c>
    </row>
    <row r="124" spans="1:9">
      <c r="A124" s="15" t="s">
        <v>221</v>
      </c>
      <c r="B124" s="16">
        <v>45037</v>
      </c>
      <c r="C124" s="6" t="s">
        <v>205</v>
      </c>
      <c r="D124" s="1" t="s">
        <v>78</v>
      </c>
      <c r="E124" s="21">
        <f>22.187+3.689</f>
        <v>25.876000000000001</v>
      </c>
      <c r="F124" s="24" t="s">
        <v>116</v>
      </c>
      <c r="G124" s="24" t="s">
        <v>222</v>
      </c>
      <c r="H124" s="1" t="s">
        <v>130</v>
      </c>
      <c r="I124" s="3">
        <v>45023</v>
      </c>
    </row>
    <row r="125" spans="1:9">
      <c r="A125" s="15" t="s">
        <v>223</v>
      </c>
      <c r="B125" s="16">
        <v>45037</v>
      </c>
      <c r="C125" s="6" t="s">
        <v>224</v>
      </c>
      <c r="D125" s="1" t="s">
        <v>11</v>
      </c>
      <c r="E125" s="21">
        <v>0.93400000000000005</v>
      </c>
      <c r="F125" s="24" t="s">
        <v>228</v>
      </c>
      <c r="G125" s="24" t="s">
        <v>229</v>
      </c>
      <c r="H125" s="1" t="s">
        <v>12</v>
      </c>
      <c r="I125" s="3">
        <v>44999</v>
      </c>
    </row>
    <row r="126" spans="1:9">
      <c r="A126" s="15" t="s">
        <v>223</v>
      </c>
      <c r="B126" s="16">
        <v>45037</v>
      </c>
      <c r="C126" s="6" t="s">
        <v>225</v>
      </c>
      <c r="D126" s="1" t="s">
        <v>11</v>
      </c>
      <c r="E126" s="21">
        <v>8.9809999999999999</v>
      </c>
      <c r="F126" s="24" t="s">
        <v>228</v>
      </c>
      <c r="G126" s="24" t="s">
        <v>229</v>
      </c>
      <c r="H126" s="1" t="s">
        <v>12</v>
      </c>
      <c r="I126" s="3">
        <v>44999</v>
      </c>
    </row>
    <row r="127" spans="1:9">
      <c r="A127" s="15" t="s">
        <v>223</v>
      </c>
      <c r="B127" s="16">
        <v>45037</v>
      </c>
      <c r="C127" s="6" t="s">
        <v>226</v>
      </c>
      <c r="D127" s="1" t="s">
        <v>11</v>
      </c>
      <c r="E127" s="21">
        <v>2.5640000000000001</v>
      </c>
      <c r="F127" s="24" t="s">
        <v>228</v>
      </c>
      <c r="G127" s="24" t="s">
        <v>229</v>
      </c>
      <c r="H127" s="1" t="s">
        <v>12</v>
      </c>
      <c r="I127" s="3">
        <v>44999</v>
      </c>
    </row>
    <row r="128" spans="1:9">
      <c r="A128" s="15" t="s">
        <v>223</v>
      </c>
      <c r="B128" s="16">
        <v>45037</v>
      </c>
      <c r="C128" s="6" t="s">
        <v>227</v>
      </c>
      <c r="D128" s="1" t="s">
        <v>11</v>
      </c>
      <c r="E128" s="21">
        <v>0.78700000000000003</v>
      </c>
      <c r="F128" s="24" t="s">
        <v>228</v>
      </c>
      <c r="G128" s="24" t="s">
        <v>229</v>
      </c>
      <c r="H128" s="1" t="s">
        <v>12</v>
      </c>
      <c r="I128" s="3">
        <v>44999</v>
      </c>
    </row>
    <row r="129" spans="1:9">
      <c r="A129" s="15" t="s">
        <v>232</v>
      </c>
      <c r="B129" s="16">
        <v>45037</v>
      </c>
      <c r="C129" s="6" t="s">
        <v>208</v>
      </c>
      <c r="D129" s="1" t="s">
        <v>78</v>
      </c>
      <c r="E129" s="21">
        <v>5.415</v>
      </c>
      <c r="F129" s="24" t="s">
        <v>101</v>
      </c>
      <c r="G129" s="25" t="s">
        <v>233</v>
      </c>
      <c r="H129" s="18" t="s">
        <v>80</v>
      </c>
      <c r="I129" s="16">
        <v>45019</v>
      </c>
    </row>
    <row r="130" spans="1:9">
      <c r="A130" s="15" t="s">
        <v>232</v>
      </c>
      <c r="B130" s="16">
        <v>45037</v>
      </c>
      <c r="C130" s="6" t="s">
        <v>230</v>
      </c>
      <c r="D130" s="1" t="s">
        <v>78</v>
      </c>
      <c r="E130" s="21">
        <f>1.881+1.675</f>
        <v>3.556</v>
      </c>
      <c r="F130" s="24" t="s">
        <v>101</v>
      </c>
      <c r="G130" s="25" t="s">
        <v>233</v>
      </c>
      <c r="H130" s="18" t="s">
        <v>80</v>
      </c>
      <c r="I130" s="16">
        <v>45019</v>
      </c>
    </row>
    <row r="131" spans="1:9">
      <c r="A131" s="15" t="s">
        <v>232</v>
      </c>
      <c r="B131" s="16">
        <v>45037</v>
      </c>
      <c r="C131" s="6" t="s">
        <v>231</v>
      </c>
      <c r="D131" s="1" t="s">
        <v>78</v>
      </c>
      <c r="E131" s="21">
        <v>0.51</v>
      </c>
      <c r="F131" s="24" t="s">
        <v>101</v>
      </c>
      <c r="G131" s="25" t="s">
        <v>233</v>
      </c>
      <c r="H131" s="18" t="s">
        <v>80</v>
      </c>
      <c r="I131" s="16">
        <v>45019</v>
      </c>
    </row>
    <row r="132" spans="1:9">
      <c r="A132" s="15" t="s">
        <v>235</v>
      </c>
      <c r="B132" s="16">
        <v>45037</v>
      </c>
      <c r="C132" s="6" t="s">
        <v>208</v>
      </c>
      <c r="D132" s="1" t="s">
        <v>78</v>
      </c>
      <c r="E132" s="21">
        <v>7.4290000000000003</v>
      </c>
      <c r="F132" s="24" t="s">
        <v>101</v>
      </c>
      <c r="G132" s="24" t="s">
        <v>236</v>
      </c>
      <c r="H132" s="18" t="s">
        <v>77</v>
      </c>
      <c r="I132" s="16">
        <v>45019</v>
      </c>
    </row>
    <row r="133" spans="1:9">
      <c r="A133" s="15" t="s">
        <v>235</v>
      </c>
      <c r="B133" s="16">
        <v>45037</v>
      </c>
      <c r="C133" s="6" t="s">
        <v>234</v>
      </c>
      <c r="D133" s="1" t="s">
        <v>78</v>
      </c>
      <c r="E133" s="21">
        <v>1.68</v>
      </c>
      <c r="F133" s="24" t="s">
        <v>101</v>
      </c>
      <c r="G133" s="24" t="s">
        <v>236</v>
      </c>
      <c r="H133" s="18" t="s">
        <v>77</v>
      </c>
      <c r="I133" s="16">
        <v>45019</v>
      </c>
    </row>
    <row r="134" spans="1:9">
      <c r="A134" s="15" t="s">
        <v>235</v>
      </c>
      <c r="B134" s="16">
        <v>45037</v>
      </c>
      <c r="C134" s="6" t="s">
        <v>231</v>
      </c>
      <c r="D134" s="1" t="s">
        <v>78</v>
      </c>
      <c r="E134" s="21">
        <v>8.3409999999999993</v>
      </c>
      <c r="F134" s="24" t="s">
        <v>101</v>
      </c>
      <c r="G134" s="24" t="s">
        <v>236</v>
      </c>
      <c r="H134" s="18" t="s">
        <v>77</v>
      </c>
      <c r="I134" s="16">
        <v>45019</v>
      </c>
    </row>
    <row r="135" spans="1:9">
      <c r="A135" s="15" t="s">
        <v>235</v>
      </c>
      <c r="B135" s="16">
        <v>45037</v>
      </c>
      <c r="C135" s="6" t="s">
        <v>209</v>
      </c>
      <c r="D135" s="1" t="s">
        <v>78</v>
      </c>
      <c r="E135" s="21">
        <v>5.85</v>
      </c>
      <c r="F135" s="24" t="s">
        <v>101</v>
      </c>
      <c r="G135" s="24" t="s">
        <v>236</v>
      </c>
      <c r="H135" s="18" t="s">
        <v>77</v>
      </c>
      <c r="I135" s="16">
        <v>45019</v>
      </c>
    </row>
    <row r="136" spans="1:9">
      <c r="A136" s="15" t="s">
        <v>237</v>
      </c>
      <c r="B136" s="16">
        <v>45037</v>
      </c>
      <c r="C136" s="6" t="s">
        <v>196</v>
      </c>
      <c r="D136" s="1" t="s">
        <v>78</v>
      </c>
      <c r="E136" s="21">
        <f>5.905+22.742</f>
        <v>28.647000000000002</v>
      </c>
      <c r="F136" s="24" t="s">
        <v>238</v>
      </c>
      <c r="G136" s="24" t="s">
        <v>239</v>
      </c>
      <c r="H136" s="1" t="s">
        <v>130</v>
      </c>
      <c r="I136" s="3">
        <v>45023</v>
      </c>
    </row>
    <row r="137" spans="1:9">
      <c r="A137" s="15" t="s">
        <v>240</v>
      </c>
      <c r="B137" s="16">
        <v>45037</v>
      </c>
      <c r="C137" s="6" t="s">
        <v>196</v>
      </c>
      <c r="D137" s="1" t="s">
        <v>78</v>
      </c>
      <c r="E137" s="21">
        <v>3.5339999999999998</v>
      </c>
      <c r="F137" s="24" t="s">
        <v>238</v>
      </c>
      <c r="G137" s="24" t="s">
        <v>241</v>
      </c>
      <c r="H137" s="1" t="s">
        <v>176</v>
      </c>
      <c r="I137" s="3">
        <v>45023</v>
      </c>
    </row>
    <row r="138" spans="1:9">
      <c r="A138" s="1"/>
      <c r="B138" s="3"/>
      <c r="C138" s="6"/>
      <c r="D138" s="1"/>
      <c r="E138" s="43">
        <f>SUM(E123:E137)</f>
        <v>110.51300000000001</v>
      </c>
      <c r="F138" s="24"/>
      <c r="G138" s="1"/>
      <c r="H138" s="1"/>
      <c r="I138" s="3"/>
    </row>
    <row r="139" spans="1:9">
      <c r="A139" s="15" t="s">
        <v>243</v>
      </c>
      <c r="B139" s="16">
        <v>45038</v>
      </c>
      <c r="C139" s="6" t="s">
        <v>244</v>
      </c>
      <c r="D139" s="1" t="s">
        <v>78</v>
      </c>
      <c r="E139" s="21">
        <v>33.628</v>
      </c>
      <c r="F139" s="24" t="s">
        <v>83</v>
      </c>
      <c r="G139" s="1" t="s">
        <v>245</v>
      </c>
      <c r="H139" s="1" t="s">
        <v>130</v>
      </c>
      <c r="I139" s="3">
        <v>45023</v>
      </c>
    </row>
    <row r="140" spans="1:9">
      <c r="A140" s="15" t="s">
        <v>246</v>
      </c>
      <c r="B140" s="16">
        <v>45038</v>
      </c>
      <c r="C140" s="6" t="s">
        <v>244</v>
      </c>
      <c r="D140" s="1" t="s">
        <v>78</v>
      </c>
      <c r="E140" s="21">
        <v>32.658000000000001</v>
      </c>
      <c r="F140" s="24" t="s">
        <v>97</v>
      </c>
      <c r="G140" s="1" t="s">
        <v>247</v>
      </c>
      <c r="H140" s="1" t="s">
        <v>130</v>
      </c>
      <c r="I140" s="3">
        <v>45023</v>
      </c>
    </row>
    <row r="141" spans="1:9">
      <c r="A141" s="15" t="s">
        <v>248</v>
      </c>
      <c r="B141" s="16">
        <v>45038</v>
      </c>
      <c r="C141" s="6" t="s">
        <v>252</v>
      </c>
      <c r="D141" s="1" t="s">
        <v>78</v>
      </c>
      <c r="E141" s="21">
        <v>2.41</v>
      </c>
      <c r="F141" s="30" t="s">
        <v>116</v>
      </c>
      <c r="G141" s="26" t="s">
        <v>253</v>
      </c>
      <c r="H141" s="18" t="s">
        <v>80</v>
      </c>
      <c r="I141" s="16">
        <v>45019</v>
      </c>
    </row>
    <row r="142" spans="1:9">
      <c r="A142" s="15" t="s">
        <v>249</v>
      </c>
      <c r="B142" s="16">
        <v>45038</v>
      </c>
      <c r="C142" s="6" t="s">
        <v>231</v>
      </c>
      <c r="D142" s="1" t="s">
        <v>78</v>
      </c>
      <c r="E142" s="21">
        <v>4.7850000000000001</v>
      </c>
      <c r="F142" s="30" t="s">
        <v>116</v>
      </c>
      <c r="G142" s="26" t="s">
        <v>253</v>
      </c>
      <c r="H142" s="18" t="s">
        <v>77</v>
      </c>
      <c r="I142" s="16">
        <v>45019</v>
      </c>
    </row>
    <row r="143" spans="1:9">
      <c r="A143" s="15" t="s">
        <v>249</v>
      </c>
      <c r="B143" s="16">
        <v>45038</v>
      </c>
      <c r="C143" s="6" t="s">
        <v>234</v>
      </c>
      <c r="D143" s="1" t="s">
        <v>78</v>
      </c>
      <c r="E143" s="21">
        <v>4.4930000000000003</v>
      </c>
      <c r="F143" s="30" t="s">
        <v>116</v>
      </c>
      <c r="G143" s="26" t="s">
        <v>253</v>
      </c>
      <c r="H143" s="18" t="s">
        <v>77</v>
      </c>
      <c r="I143" s="16">
        <v>45019</v>
      </c>
    </row>
    <row r="144" spans="1:9">
      <c r="A144" s="15" t="s">
        <v>249</v>
      </c>
      <c r="B144" s="16">
        <v>45038</v>
      </c>
      <c r="C144" s="6" t="s">
        <v>209</v>
      </c>
      <c r="D144" s="1" t="s">
        <v>78</v>
      </c>
      <c r="E144" s="21">
        <v>4.7240000000000002</v>
      </c>
      <c r="F144" s="30" t="s">
        <v>116</v>
      </c>
      <c r="G144" s="26" t="s">
        <v>253</v>
      </c>
      <c r="H144" s="18" t="s">
        <v>77</v>
      </c>
      <c r="I144" s="16">
        <v>45019</v>
      </c>
    </row>
    <row r="145" spans="1:9">
      <c r="A145" s="15" t="s">
        <v>250</v>
      </c>
      <c r="B145" s="16">
        <v>45038</v>
      </c>
      <c r="C145" s="6" t="s">
        <v>254</v>
      </c>
      <c r="D145" s="1" t="s">
        <v>78</v>
      </c>
      <c r="E145" s="21">
        <v>10.337</v>
      </c>
      <c r="F145" s="30" t="s">
        <v>116</v>
      </c>
      <c r="G145" s="26" t="s">
        <v>253</v>
      </c>
      <c r="H145" s="1" t="s">
        <v>130</v>
      </c>
      <c r="I145" s="3">
        <v>45023</v>
      </c>
    </row>
    <row r="146" spans="1:9">
      <c r="A146" s="15" t="s">
        <v>251</v>
      </c>
      <c r="B146" s="16">
        <v>45038</v>
      </c>
      <c r="C146" s="6" t="s">
        <v>255</v>
      </c>
      <c r="D146" s="1" t="s">
        <v>78</v>
      </c>
      <c r="E146" s="21">
        <v>5.1829999999999998</v>
      </c>
      <c r="F146" s="30" t="s">
        <v>116</v>
      </c>
      <c r="G146" s="26" t="s">
        <v>253</v>
      </c>
      <c r="H146" s="1" t="s">
        <v>176</v>
      </c>
      <c r="I146" s="3">
        <v>45023</v>
      </c>
    </row>
    <row r="147" spans="1:9">
      <c r="A147" s="1"/>
      <c r="B147" s="3"/>
      <c r="C147" s="6"/>
      <c r="D147" s="1"/>
      <c r="E147" s="43">
        <f>SUM(E139:E146)</f>
        <v>98.217999999999989</v>
      </c>
      <c r="F147" s="24"/>
      <c r="G147" s="1"/>
      <c r="H147" s="1"/>
      <c r="I147" s="3"/>
    </row>
    <row r="148" spans="1:9">
      <c r="A148" s="15" t="s">
        <v>256</v>
      </c>
      <c r="B148" s="16">
        <v>45039</v>
      </c>
      <c r="C148" s="6" t="s">
        <v>244</v>
      </c>
      <c r="D148" s="1" t="s">
        <v>78</v>
      </c>
      <c r="E148" s="22">
        <v>32.155000000000001</v>
      </c>
      <c r="F148" s="30" t="s">
        <v>116</v>
      </c>
      <c r="G148" s="1" t="s">
        <v>257</v>
      </c>
      <c r="H148" s="1" t="s">
        <v>130</v>
      </c>
      <c r="I148" s="3">
        <v>45023</v>
      </c>
    </row>
    <row r="149" spans="1:9">
      <c r="A149" s="15" t="s">
        <v>270</v>
      </c>
      <c r="B149" s="16">
        <v>45039</v>
      </c>
      <c r="C149" s="6" t="s">
        <v>244</v>
      </c>
      <c r="D149" s="1" t="s">
        <v>78</v>
      </c>
      <c r="E149" s="22">
        <v>3.6179999999999999</v>
      </c>
      <c r="F149" s="24" t="s">
        <v>97</v>
      </c>
      <c r="G149" s="1" t="s">
        <v>258</v>
      </c>
      <c r="H149" s="1" t="s">
        <v>130</v>
      </c>
      <c r="I149" s="3">
        <v>45023</v>
      </c>
    </row>
    <row r="150" spans="1:9">
      <c r="A150" s="15" t="s">
        <v>270</v>
      </c>
      <c r="B150" s="16">
        <v>45039</v>
      </c>
      <c r="C150" s="6" t="s">
        <v>195</v>
      </c>
      <c r="D150" s="1" t="s">
        <v>78</v>
      </c>
      <c r="E150" s="22">
        <f>9.97+20.201</f>
        <v>30.170999999999999</v>
      </c>
      <c r="F150" s="24" t="s">
        <v>97</v>
      </c>
      <c r="G150" s="1" t="s">
        <v>258</v>
      </c>
      <c r="H150" s="1" t="s">
        <v>130</v>
      </c>
      <c r="I150" s="3">
        <v>45023</v>
      </c>
    </row>
    <row r="151" spans="1:9">
      <c r="A151" s="15" t="s">
        <v>259</v>
      </c>
      <c r="B151" s="16">
        <v>45039</v>
      </c>
      <c r="C151" s="6" t="s">
        <v>254</v>
      </c>
      <c r="D151" s="1" t="s">
        <v>78</v>
      </c>
      <c r="E151" s="21">
        <v>3.8149999999999999</v>
      </c>
      <c r="F151" s="24" t="s">
        <v>83</v>
      </c>
      <c r="G151" s="1" t="s">
        <v>261</v>
      </c>
      <c r="H151" s="1" t="s">
        <v>130</v>
      </c>
      <c r="I151" s="3">
        <v>45023</v>
      </c>
    </row>
    <row r="152" spans="1:9">
      <c r="A152" s="15" t="s">
        <v>259</v>
      </c>
      <c r="B152" s="16">
        <v>45039</v>
      </c>
      <c r="C152" s="6" t="s">
        <v>260</v>
      </c>
      <c r="D152" s="1" t="s">
        <v>78</v>
      </c>
      <c r="E152" s="21">
        <v>5.4509999999999996</v>
      </c>
      <c r="F152" s="24" t="s">
        <v>83</v>
      </c>
      <c r="G152" s="1" t="s">
        <v>261</v>
      </c>
      <c r="H152" s="1" t="s">
        <v>130</v>
      </c>
      <c r="I152" s="3">
        <v>45023</v>
      </c>
    </row>
    <row r="153" spans="1:9">
      <c r="A153" s="15" t="s">
        <v>262</v>
      </c>
      <c r="B153" s="16">
        <v>45039</v>
      </c>
      <c r="C153" s="6" t="s">
        <v>254</v>
      </c>
      <c r="D153" s="1" t="s">
        <v>78</v>
      </c>
      <c r="E153" s="21">
        <v>11.510999999999999</v>
      </c>
      <c r="F153" s="24" t="s">
        <v>83</v>
      </c>
      <c r="G153" s="1" t="s">
        <v>261</v>
      </c>
      <c r="H153" s="1" t="s">
        <v>176</v>
      </c>
      <c r="I153" s="3">
        <v>45023</v>
      </c>
    </row>
    <row r="154" spans="1:9">
      <c r="A154" s="15" t="s">
        <v>264</v>
      </c>
      <c r="B154" s="16">
        <v>45039</v>
      </c>
      <c r="C154" s="6" t="s">
        <v>263</v>
      </c>
      <c r="D154" s="1" t="s">
        <v>78</v>
      </c>
      <c r="E154" s="21">
        <v>2.1840000000000002</v>
      </c>
      <c r="F154" s="24" t="s">
        <v>83</v>
      </c>
      <c r="G154" s="1" t="s">
        <v>261</v>
      </c>
      <c r="H154" s="18" t="s">
        <v>80</v>
      </c>
      <c r="I154" s="16">
        <v>45019</v>
      </c>
    </row>
    <row r="155" spans="1:9">
      <c r="A155" s="15" t="s">
        <v>264</v>
      </c>
      <c r="B155" s="16">
        <v>45039</v>
      </c>
      <c r="C155" s="6" t="s">
        <v>230</v>
      </c>
      <c r="D155" s="1" t="s">
        <v>78</v>
      </c>
      <c r="E155" s="21">
        <v>0.98799999999999999</v>
      </c>
      <c r="F155" s="24" t="s">
        <v>83</v>
      </c>
      <c r="G155" s="1" t="s">
        <v>261</v>
      </c>
      <c r="H155" s="18" t="s">
        <v>80</v>
      </c>
      <c r="I155" s="16">
        <v>45019</v>
      </c>
    </row>
    <row r="156" spans="1:9">
      <c r="A156" s="15" t="s">
        <v>264</v>
      </c>
      <c r="B156" s="16">
        <v>45039</v>
      </c>
      <c r="C156" s="6" t="s">
        <v>209</v>
      </c>
      <c r="D156" s="1" t="s">
        <v>78</v>
      </c>
      <c r="E156" s="21">
        <v>1.379</v>
      </c>
      <c r="F156" s="24" t="s">
        <v>83</v>
      </c>
      <c r="G156" s="1" t="s">
        <v>261</v>
      </c>
      <c r="H156" s="18" t="s">
        <v>80</v>
      </c>
      <c r="I156" s="16">
        <v>45019</v>
      </c>
    </row>
    <row r="157" spans="1:9">
      <c r="A157" s="15" t="s">
        <v>265</v>
      </c>
      <c r="B157" s="16">
        <v>45039</v>
      </c>
      <c r="C157" s="6" t="s">
        <v>209</v>
      </c>
      <c r="D157" s="1" t="s">
        <v>78</v>
      </c>
      <c r="E157" s="21">
        <v>1.7090000000000001</v>
      </c>
      <c r="F157" s="24" t="s">
        <v>83</v>
      </c>
      <c r="G157" s="1" t="s">
        <v>261</v>
      </c>
      <c r="H157" s="18" t="s">
        <v>77</v>
      </c>
      <c r="I157" s="16">
        <v>45019</v>
      </c>
    </row>
    <row r="158" spans="1:9">
      <c r="A158" s="15" t="s">
        <v>265</v>
      </c>
      <c r="B158" s="16">
        <v>45039</v>
      </c>
      <c r="C158" s="6" t="s">
        <v>208</v>
      </c>
      <c r="D158" s="1" t="s">
        <v>78</v>
      </c>
      <c r="E158" s="21">
        <v>5.0780000000000003</v>
      </c>
      <c r="F158" s="24" t="s">
        <v>83</v>
      </c>
      <c r="G158" s="1" t="s">
        <v>261</v>
      </c>
      <c r="H158" s="18" t="s">
        <v>77</v>
      </c>
      <c r="I158" s="16">
        <v>45019</v>
      </c>
    </row>
    <row r="159" spans="1:9">
      <c r="A159" s="15" t="s">
        <v>266</v>
      </c>
      <c r="B159" s="16">
        <v>45039</v>
      </c>
      <c r="C159" s="6" t="s">
        <v>205</v>
      </c>
      <c r="D159" s="1" t="s">
        <v>78</v>
      </c>
      <c r="E159" s="21">
        <v>29.45</v>
      </c>
      <c r="F159" s="24" t="s">
        <v>267</v>
      </c>
      <c r="G159" s="1" t="s">
        <v>268</v>
      </c>
      <c r="H159" s="1" t="s">
        <v>130</v>
      </c>
      <c r="I159" s="3">
        <v>45023</v>
      </c>
    </row>
    <row r="160" spans="1:9">
      <c r="A160" s="15" t="s">
        <v>269</v>
      </c>
      <c r="B160" s="16">
        <v>45039</v>
      </c>
      <c r="C160" s="6" t="s">
        <v>205</v>
      </c>
      <c r="D160" s="1" t="s">
        <v>78</v>
      </c>
      <c r="E160" s="21">
        <v>3.1629999999999998</v>
      </c>
      <c r="F160" s="24" t="s">
        <v>267</v>
      </c>
      <c r="G160" s="1" t="s">
        <v>268</v>
      </c>
      <c r="H160" s="1" t="s">
        <v>176</v>
      </c>
      <c r="I160" s="3">
        <v>45023</v>
      </c>
    </row>
    <row r="161" spans="1:9">
      <c r="A161" s="15"/>
      <c r="B161" s="16"/>
      <c r="C161" s="6"/>
      <c r="D161" s="1"/>
      <c r="E161" s="44">
        <f>SUM(E148:E160)</f>
        <v>130.672</v>
      </c>
      <c r="F161" s="24"/>
      <c r="G161" s="1"/>
      <c r="H161" s="1"/>
      <c r="I161" s="3"/>
    </row>
    <row r="162" spans="1:9">
      <c r="A162" s="15" t="s">
        <v>271</v>
      </c>
      <c r="B162" s="16">
        <v>45040</v>
      </c>
      <c r="C162" s="6" t="s">
        <v>254</v>
      </c>
      <c r="D162" s="1" t="s">
        <v>78</v>
      </c>
      <c r="E162" s="21">
        <f>11.134+2.716+5.641+7.093</f>
        <v>26.584</v>
      </c>
      <c r="F162" s="30" t="s">
        <v>116</v>
      </c>
      <c r="G162" s="14" t="s">
        <v>272</v>
      </c>
      <c r="H162" s="1" t="s">
        <v>130</v>
      </c>
      <c r="I162" s="3">
        <v>45023</v>
      </c>
    </row>
    <row r="163" spans="1:9">
      <c r="A163" s="15" t="s">
        <v>273</v>
      </c>
      <c r="B163" s="16">
        <v>45040</v>
      </c>
      <c r="C163" s="6" t="s">
        <v>254</v>
      </c>
      <c r="D163" s="1" t="s">
        <v>78</v>
      </c>
      <c r="E163" s="21">
        <v>4.3639999999999999</v>
      </c>
      <c r="F163" s="30" t="s">
        <v>116</v>
      </c>
      <c r="G163" s="27" t="s">
        <v>274</v>
      </c>
      <c r="H163" s="1" t="s">
        <v>176</v>
      </c>
      <c r="I163" s="3">
        <v>45023</v>
      </c>
    </row>
    <row r="164" spans="1:9">
      <c r="A164" s="15" t="s">
        <v>275</v>
      </c>
      <c r="B164" s="16">
        <v>45040</v>
      </c>
      <c r="C164" s="6" t="s">
        <v>209</v>
      </c>
      <c r="D164" s="1" t="s">
        <v>78</v>
      </c>
      <c r="E164" s="21">
        <v>1.347</v>
      </c>
      <c r="F164" s="30" t="s">
        <v>116</v>
      </c>
      <c r="G164" s="27" t="s">
        <v>274</v>
      </c>
      <c r="H164" s="18" t="s">
        <v>77</v>
      </c>
      <c r="I164" s="16">
        <v>45019</v>
      </c>
    </row>
    <row r="165" spans="1:9">
      <c r="A165" s="15" t="s">
        <v>276</v>
      </c>
      <c r="B165" s="16">
        <v>45040</v>
      </c>
      <c r="C165" s="6" t="s">
        <v>195</v>
      </c>
      <c r="D165" s="1" t="s">
        <v>78</v>
      </c>
      <c r="E165" s="21">
        <v>13.541</v>
      </c>
      <c r="F165" s="24" t="s">
        <v>97</v>
      </c>
      <c r="G165" s="1" t="s">
        <v>277</v>
      </c>
      <c r="H165" s="1" t="s">
        <v>130</v>
      </c>
      <c r="I165" s="3">
        <v>45023</v>
      </c>
    </row>
    <row r="166" spans="1:9">
      <c r="A166" s="15" t="s">
        <v>276</v>
      </c>
      <c r="B166" s="16">
        <v>45040</v>
      </c>
      <c r="C166" s="6" t="s">
        <v>205</v>
      </c>
      <c r="D166" s="1" t="s">
        <v>78</v>
      </c>
      <c r="E166" s="21">
        <f>1.494+4.059</f>
        <v>5.5529999999999999</v>
      </c>
      <c r="F166" s="24" t="s">
        <v>97</v>
      </c>
      <c r="G166" s="1" t="s">
        <v>277</v>
      </c>
      <c r="H166" s="1" t="s">
        <v>130</v>
      </c>
      <c r="I166" s="3">
        <v>45023</v>
      </c>
    </row>
    <row r="167" spans="1:9">
      <c r="A167" s="15" t="s">
        <v>278</v>
      </c>
      <c r="B167" s="16">
        <v>45040</v>
      </c>
      <c r="C167" s="6" t="s">
        <v>195</v>
      </c>
      <c r="D167" s="1" t="s">
        <v>78</v>
      </c>
      <c r="E167" s="21">
        <v>2.0840000000000001</v>
      </c>
      <c r="F167" s="24" t="s">
        <v>97</v>
      </c>
      <c r="G167" s="1" t="s">
        <v>279</v>
      </c>
      <c r="H167" s="1" t="s">
        <v>176</v>
      </c>
      <c r="I167" s="3">
        <v>45023</v>
      </c>
    </row>
    <row r="168" spans="1:9">
      <c r="A168" s="15" t="s">
        <v>280</v>
      </c>
      <c r="B168" s="16">
        <v>45040</v>
      </c>
      <c r="C168" s="6" t="s">
        <v>234</v>
      </c>
      <c r="D168" s="1" t="s">
        <v>78</v>
      </c>
      <c r="E168" s="21">
        <v>10.88</v>
      </c>
      <c r="F168" s="24" t="s">
        <v>97</v>
      </c>
      <c r="G168" s="1" t="s">
        <v>279</v>
      </c>
      <c r="H168" s="18" t="s">
        <v>77</v>
      </c>
      <c r="I168" s="16">
        <v>45019</v>
      </c>
    </row>
    <row r="169" spans="1:9">
      <c r="A169" s="15" t="s">
        <v>281</v>
      </c>
      <c r="B169" s="16">
        <v>45040</v>
      </c>
      <c r="C169" s="6" t="s">
        <v>205</v>
      </c>
      <c r="D169" s="1" t="s">
        <v>78</v>
      </c>
      <c r="E169" s="21">
        <v>3.274</v>
      </c>
      <c r="F169" s="24" t="s">
        <v>83</v>
      </c>
      <c r="G169" s="1" t="s">
        <v>284</v>
      </c>
      <c r="H169" s="1" t="s">
        <v>130</v>
      </c>
      <c r="I169" s="3">
        <v>45023</v>
      </c>
    </row>
    <row r="170" spans="1:9">
      <c r="A170" s="15" t="s">
        <v>281</v>
      </c>
      <c r="B170" s="16">
        <v>45040</v>
      </c>
      <c r="C170" s="6" t="s">
        <v>282</v>
      </c>
      <c r="D170" s="1" t="s">
        <v>78</v>
      </c>
      <c r="E170" s="21">
        <v>11.336</v>
      </c>
      <c r="F170" s="24" t="s">
        <v>83</v>
      </c>
      <c r="G170" s="1" t="s">
        <v>284</v>
      </c>
      <c r="H170" s="1" t="s">
        <v>130</v>
      </c>
      <c r="I170" s="3">
        <v>45023</v>
      </c>
    </row>
    <row r="171" spans="1:9">
      <c r="A171" s="15" t="s">
        <v>281</v>
      </c>
      <c r="B171" s="16">
        <v>45040</v>
      </c>
      <c r="C171" s="6" t="s">
        <v>260</v>
      </c>
      <c r="D171" s="1" t="s">
        <v>78</v>
      </c>
      <c r="E171" s="21">
        <v>9.1289999999999996</v>
      </c>
      <c r="F171" s="24" t="s">
        <v>83</v>
      </c>
      <c r="G171" s="1" t="s">
        <v>284</v>
      </c>
      <c r="H171" s="1" t="s">
        <v>130</v>
      </c>
      <c r="I171" s="3">
        <v>45023</v>
      </c>
    </row>
    <row r="172" spans="1:9">
      <c r="A172" s="15" t="s">
        <v>281</v>
      </c>
      <c r="B172" s="16">
        <v>45040</v>
      </c>
      <c r="C172" s="6" t="s">
        <v>283</v>
      </c>
      <c r="D172" s="1" t="s">
        <v>78</v>
      </c>
      <c r="E172" s="21">
        <v>2.4940000000000002</v>
      </c>
      <c r="F172" s="24" t="s">
        <v>83</v>
      </c>
      <c r="G172" s="1" t="s">
        <v>284</v>
      </c>
      <c r="H172" s="1" t="s">
        <v>130</v>
      </c>
      <c r="I172" s="3">
        <v>45023</v>
      </c>
    </row>
    <row r="173" spans="1:9">
      <c r="A173" s="15" t="s">
        <v>285</v>
      </c>
      <c r="B173" s="16">
        <v>45040</v>
      </c>
      <c r="C173" s="6" t="s">
        <v>282</v>
      </c>
      <c r="D173" s="1" t="s">
        <v>78</v>
      </c>
      <c r="E173" s="21">
        <v>2.3359999999999999</v>
      </c>
      <c r="F173" s="24" t="s">
        <v>83</v>
      </c>
      <c r="G173" s="1" t="s">
        <v>284</v>
      </c>
      <c r="H173" s="1" t="s">
        <v>176</v>
      </c>
      <c r="I173" s="3">
        <v>45023</v>
      </c>
    </row>
    <row r="174" spans="1:9">
      <c r="A174" s="15" t="s">
        <v>285</v>
      </c>
      <c r="B174" s="16">
        <v>45040</v>
      </c>
      <c r="C174" s="6" t="s">
        <v>200</v>
      </c>
      <c r="D174" s="1" t="s">
        <v>78</v>
      </c>
      <c r="E174" s="21">
        <v>1.3360000000000001</v>
      </c>
      <c r="F174" s="24" t="s">
        <v>83</v>
      </c>
      <c r="G174" s="1" t="s">
        <v>284</v>
      </c>
      <c r="H174" s="1" t="s">
        <v>176</v>
      </c>
      <c r="I174" s="3">
        <v>45023</v>
      </c>
    </row>
    <row r="175" spans="1:9">
      <c r="A175" s="15" t="s">
        <v>285</v>
      </c>
      <c r="B175" s="16">
        <v>45040</v>
      </c>
      <c r="C175" s="6" t="s">
        <v>286</v>
      </c>
      <c r="D175" s="1" t="s">
        <v>78</v>
      </c>
      <c r="E175" s="21">
        <v>2.145</v>
      </c>
      <c r="F175" s="24" t="s">
        <v>83</v>
      </c>
      <c r="G175" s="1" t="s">
        <v>284</v>
      </c>
      <c r="H175" s="1" t="s">
        <v>176</v>
      </c>
      <c r="I175" s="3">
        <v>45023</v>
      </c>
    </row>
    <row r="176" spans="1:9">
      <c r="A176" s="15"/>
      <c r="B176" s="16"/>
      <c r="C176" s="6"/>
      <c r="D176" s="1"/>
      <c r="E176" s="44">
        <f>SUM(E162:E175)</f>
        <v>96.402999999999992</v>
      </c>
      <c r="F176" s="24"/>
      <c r="G176" s="1"/>
      <c r="H176" s="1"/>
      <c r="I176" s="3"/>
    </row>
    <row r="177" spans="1:9">
      <c r="A177" s="15" t="s">
        <v>288</v>
      </c>
      <c r="B177" s="16">
        <v>45041</v>
      </c>
      <c r="C177" s="6" t="s">
        <v>254</v>
      </c>
      <c r="D177" s="1" t="s">
        <v>78</v>
      </c>
      <c r="E177" s="21">
        <f>6.13+10.724+2.503</f>
        <v>19.356999999999999</v>
      </c>
      <c r="F177" s="24" t="s">
        <v>101</v>
      </c>
      <c r="G177" s="1" t="s">
        <v>289</v>
      </c>
      <c r="H177" s="1" t="s">
        <v>130</v>
      </c>
      <c r="I177" s="3">
        <v>45023</v>
      </c>
    </row>
    <row r="178" spans="1:9">
      <c r="A178" s="15" t="s">
        <v>288</v>
      </c>
      <c r="B178" s="16">
        <v>45041</v>
      </c>
      <c r="C178" s="6" t="s">
        <v>196</v>
      </c>
      <c r="D178" s="1" t="s">
        <v>78</v>
      </c>
      <c r="E178" s="21">
        <v>4.7679999999999998</v>
      </c>
      <c r="F178" s="24" t="s">
        <v>101</v>
      </c>
      <c r="G178" s="1" t="s">
        <v>289</v>
      </c>
      <c r="H178" s="1" t="s">
        <v>130</v>
      </c>
      <c r="I178" s="3">
        <v>45023</v>
      </c>
    </row>
    <row r="179" spans="1:9">
      <c r="A179" s="15" t="s">
        <v>290</v>
      </c>
      <c r="B179" s="16">
        <v>45041</v>
      </c>
      <c r="C179" s="6" t="s">
        <v>196</v>
      </c>
      <c r="D179" s="1" t="s">
        <v>78</v>
      </c>
      <c r="E179" s="21">
        <v>2.7559999999999998</v>
      </c>
      <c r="F179" s="24" t="s">
        <v>101</v>
      </c>
      <c r="G179" s="1" t="s">
        <v>291</v>
      </c>
      <c r="H179" s="1" t="s">
        <v>176</v>
      </c>
      <c r="I179" s="3">
        <v>45023</v>
      </c>
    </row>
    <row r="180" spans="1:9">
      <c r="A180" s="15" t="s">
        <v>290</v>
      </c>
      <c r="B180" s="16">
        <v>45041</v>
      </c>
      <c r="C180" s="6" t="s">
        <v>286</v>
      </c>
      <c r="D180" s="1" t="s">
        <v>78</v>
      </c>
      <c r="E180" s="21">
        <v>1.2130000000000001</v>
      </c>
      <c r="F180" s="24" t="s">
        <v>101</v>
      </c>
      <c r="G180" s="1" t="s">
        <v>291</v>
      </c>
      <c r="H180" s="1" t="s">
        <v>176</v>
      </c>
      <c r="I180" s="3">
        <v>45023</v>
      </c>
    </row>
    <row r="181" spans="1:9">
      <c r="A181" s="15" t="s">
        <v>290</v>
      </c>
      <c r="B181" s="16">
        <v>45041</v>
      </c>
      <c r="C181" s="6" t="s">
        <v>254</v>
      </c>
      <c r="D181" s="1" t="s">
        <v>78</v>
      </c>
      <c r="E181" s="21">
        <f>3.322+0.092</f>
        <v>3.4140000000000001</v>
      </c>
      <c r="F181" s="24" t="s">
        <v>101</v>
      </c>
      <c r="G181" s="1" t="s">
        <v>291</v>
      </c>
      <c r="H181" s="1" t="s">
        <v>176</v>
      </c>
      <c r="I181" s="3">
        <v>45023</v>
      </c>
    </row>
    <row r="182" spans="1:9">
      <c r="A182" s="15" t="s">
        <v>292</v>
      </c>
      <c r="B182" s="16">
        <v>45041</v>
      </c>
      <c r="C182" s="6" t="s">
        <v>196</v>
      </c>
      <c r="D182" s="1" t="s">
        <v>78</v>
      </c>
      <c r="E182" s="21">
        <v>1.758</v>
      </c>
      <c r="F182" s="24" t="s">
        <v>101</v>
      </c>
      <c r="G182" s="1" t="s">
        <v>291</v>
      </c>
      <c r="H182" s="1" t="s">
        <v>315</v>
      </c>
      <c r="I182" s="3">
        <v>45026</v>
      </c>
    </row>
    <row r="183" spans="1:9">
      <c r="A183" s="15" t="s">
        <v>292</v>
      </c>
      <c r="B183" s="16">
        <v>45041</v>
      </c>
      <c r="C183" s="6" t="s">
        <v>286</v>
      </c>
      <c r="D183" s="1" t="s">
        <v>78</v>
      </c>
      <c r="E183" s="21">
        <v>0.17299999999999999</v>
      </c>
      <c r="F183" s="24" t="s">
        <v>101</v>
      </c>
      <c r="G183" s="1" t="s">
        <v>291</v>
      </c>
      <c r="H183" s="1" t="s">
        <v>315</v>
      </c>
      <c r="I183" s="3">
        <v>45026</v>
      </c>
    </row>
    <row r="184" spans="1:9">
      <c r="A184" s="15"/>
      <c r="B184" s="16"/>
      <c r="C184" s="6"/>
      <c r="D184" s="1"/>
      <c r="E184" s="44">
        <f>SUM(E177:E183)</f>
        <v>33.439000000000007</v>
      </c>
      <c r="F184" s="24"/>
      <c r="G184" s="1"/>
      <c r="H184" s="1"/>
      <c r="I184" s="3"/>
    </row>
    <row r="185" spans="1:9">
      <c r="A185" s="15" t="s">
        <v>293</v>
      </c>
      <c r="B185" s="16">
        <v>45042</v>
      </c>
      <c r="C185" s="6" t="s">
        <v>196</v>
      </c>
      <c r="D185" s="1" t="s">
        <v>78</v>
      </c>
      <c r="E185" s="21">
        <v>4.4000000000000004</v>
      </c>
      <c r="F185" s="24" t="s">
        <v>294</v>
      </c>
      <c r="G185" s="1" t="s">
        <v>295</v>
      </c>
      <c r="H185" s="1" t="s">
        <v>130</v>
      </c>
      <c r="I185" s="3">
        <v>45023</v>
      </c>
    </row>
    <row r="186" spans="1:9">
      <c r="A186" s="15" t="s">
        <v>293</v>
      </c>
      <c r="B186" s="16">
        <v>45042</v>
      </c>
      <c r="C186" s="6" t="s">
        <v>254</v>
      </c>
      <c r="D186" s="1" t="s">
        <v>78</v>
      </c>
      <c r="E186" s="21">
        <v>1.165</v>
      </c>
      <c r="F186" s="24" t="s">
        <v>294</v>
      </c>
      <c r="G186" s="1" t="s">
        <v>295</v>
      </c>
      <c r="H186" s="1" t="s">
        <v>130</v>
      </c>
      <c r="I186" s="3">
        <v>45023</v>
      </c>
    </row>
    <row r="187" spans="1:9">
      <c r="A187" s="15" t="s">
        <v>293</v>
      </c>
      <c r="B187" s="16">
        <v>45042</v>
      </c>
      <c r="C187" s="6" t="s">
        <v>282</v>
      </c>
      <c r="D187" s="1" t="s">
        <v>78</v>
      </c>
      <c r="E187" s="21">
        <v>11.807</v>
      </c>
      <c r="F187" s="24" t="s">
        <v>294</v>
      </c>
      <c r="G187" s="1" t="s">
        <v>295</v>
      </c>
      <c r="H187" s="1" t="s">
        <v>130</v>
      </c>
      <c r="I187" s="3">
        <v>45023</v>
      </c>
    </row>
    <row r="188" spans="1:9">
      <c r="A188" s="15" t="s">
        <v>293</v>
      </c>
      <c r="B188" s="16">
        <v>45042</v>
      </c>
      <c r="C188" s="6" t="s">
        <v>283</v>
      </c>
      <c r="D188" s="1" t="s">
        <v>78</v>
      </c>
      <c r="E188" s="21">
        <v>1.5189999999999999</v>
      </c>
      <c r="F188" s="24" t="s">
        <v>294</v>
      </c>
      <c r="G188" s="1" t="s">
        <v>295</v>
      </c>
      <c r="H188" s="1" t="s">
        <v>130</v>
      </c>
      <c r="I188" s="3">
        <v>45023</v>
      </c>
    </row>
    <row r="189" spans="1:9">
      <c r="A189" s="15" t="s">
        <v>293</v>
      </c>
      <c r="B189" s="16">
        <v>45042</v>
      </c>
      <c r="C189" s="6" t="s">
        <v>200</v>
      </c>
      <c r="D189" s="1" t="s">
        <v>78</v>
      </c>
      <c r="E189" s="21">
        <v>0.73799999999999999</v>
      </c>
      <c r="F189" s="24" t="s">
        <v>294</v>
      </c>
      <c r="G189" s="1" t="s">
        <v>295</v>
      </c>
      <c r="H189" s="1" t="s">
        <v>130</v>
      </c>
      <c r="I189" s="3">
        <v>45023</v>
      </c>
    </row>
    <row r="190" spans="1:9">
      <c r="A190" s="15" t="s">
        <v>293</v>
      </c>
      <c r="B190" s="16">
        <v>45042</v>
      </c>
      <c r="C190" s="6" t="s">
        <v>195</v>
      </c>
      <c r="D190" s="1" t="s">
        <v>78</v>
      </c>
      <c r="E190" s="32">
        <v>1.69</v>
      </c>
      <c r="F190" s="24" t="s">
        <v>294</v>
      </c>
      <c r="G190" s="1" t="s">
        <v>295</v>
      </c>
      <c r="H190" s="1" t="s">
        <v>130</v>
      </c>
      <c r="I190" s="3">
        <v>45023</v>
      </c>
    </row>
    <row r="191" spans="1:9">
      <c r="A191" s="15" t="s">
        <v>296</v>
      </c>
      <c r="B191" s="16">
        <v>45042</v>
      </c>
      <c r="C191" s="6" t="s">
        <v>195</v>
      </c>
      <c r="D191" s="1" t="s">
        <v>78</v>
      </c>
      <c r="E191" s="32">
        <f>0.166+3.704</f>
        <v>3.87</v>
      </c>
      <c r="F191" s="24" t="s">
        <v>294</v>
      </c>
      <c r="G191" s="33" t="s">
        <v>297</v>
      </c>
      <c r="H191" s="1" t="s">
        <v>176</v>
      </c>
      <c r="I191" s="3">
        <v>45023</v>
      </c>
    </row>
    <row r="192" spans="1:9">
      <c r="A192" s="15" t="s">
        <v>296</v>
      </c>
      <c r="B192" s="16">
        <v>45042</v>
      </c>
      <c r="C192" s="6" t="s">
        <v>283</v>
      </c>
      <c r="D192" s="1" t="s">
        <v>78</v>
      </c>
      <c r="E192" s="32">
        <v>2.181</v>
      </c>
      <c r="F192" s="24" t="s">
        <v>294</v>
      </c>
      <c r="G192" s="33" t="s">
        <v>297</v>
      </c>
      <c r="H192" s="1" t="s">
        <v>176</v>
      </c>
      <c r="I192" s="3">
        <v>45023</v>
      </c>
    </row>
    <row r="193" spans="1:9">
      <c r="A193" s="34" t="s">
        <v>296</v>
      </c>
      <c r="B193" s="35">
        <v>45042</v>
      </c>
      <c r="C193" s="36" t="s">
        <v>200</v>
      </c>
      <c r="D193" s="37" t="s">
        <v>78</v>
      </c>
      <c r="E193" s="38">
        <v>3.9489999999999998</v>
      </c>
      <c r="F193" s="39" t="s">
        <v>294</v>
      </c>
      <c r="G193" s="33" t="s">
        <v>297</v>
      </c>
      <c r="H193" s="37" t="s">
        <v>176</v>
      </c>
      <c r="I193" s="40">
        <v>45023</v>
      </c>
    </row>
    <row r="194" spans="1:9">
      <c r="A194" s="15" t="s">
        <v>296</v>
      </c>
      <c r="B194" s="16">
        <v>45042</v>
      </c>
      <c r="C194" s="6" t="s">
        <v>282</v>
      </c>
      <c r="D194" s="1" t="s">
        <v>78</v>
      </c>
      <c r="E194" s="32">
        <v>1.4359999999999999</v>
      </c>
      <c r="F194" s="24" t="s">
        <v>294</v>
      </c>
      <c r="G194" s="14" t="s">
        <v>297</v>
      </c>
      <c r="H194" s="1" t="s">
        <v>176</v>
      </c>
      <c r="I194" s="3">
        <v>45023</v>
      </c>
    </row>
    <row r="195" spans="1:9">
      <c r="A195" s="15" t="s">
        <v>298</v>
      </c>
      <c r="B195" s="16">
        <v>45042</v>
      </c>
      <c r="C195" s="6" t="s">
        <v>254</v>
      </c>
      <c r="D195" s="1" t="s">
        <v>78</v>
      </c>
      <c r="E195" s="21">
        <v>5.8810000000000002</v>
      </c>
      <c r="F195" s="24" t="s">
        <v>116</v>
      </c>
      <c r="G195" s="27" t="s">
        <v>299</v>
      </c>
      <c r="H195" s="1" t="s">
        <v>130</v>
      </c>
      <c r="I195" s="3">
        <v>45023</v>
      </c>
    </row>
    <row r="196" spans="1:9">
      <c r="A196" s="15" t="s">
        <v>298</v>
      </c>
      <c r="B196" s="16">
        <v>45042</v>
      </c>
      <c r="C196" s="6" t="s">
        <v>282</v>
      </c>
      <c r="D196" s="1" t="s">
        <v>78</v>
      </c>
      <c r="E196" s="21">
        <v>20.623999999999999</v>
      </c>
      <c r="F196" s="24" t="s">
        <v>116</v>
      </c>
      <c r="G196" s="27" t="s">
        <v>299</v>
      </c>
      <c r="H196" s="1" t="s">
        <v>130</v>
      </c>
      <c r="I196" s="3">
        <v>45023</v>
      </c>
    </row>
    <row r="197" spans="1:9">
      <c r="A197" s="15" t="s">
        <v>300</v>
      </c>
      <c r="B197" s="16">
        <v>45042</v>
      </c>
      <c r="C197" s="6" t="s">
        <v>282</v>
      </c>
      <c r="D197" s="1" t="s">
        <v>78</v>
      </c>
      <c r="E197" s="21">
        <v>2.806</v>
      </c>
      <c r="F197" s="24" t="s">
        <v>116</v>
      </c>
      <c r="G197" s="27" t="s">
        <v>299</v>
      </c>
      <c r="H197" s="1" t="s">
        <v>176</v>
      </c>
      <c r="I197" s="3">
        <v>45023</v>
      </c>
    </row>
    <row r="198" spans="1:9">
      <c r="A198" s="15" t="s">
        <v>300</v>
      </c>
      <c r="B198" s="16">
        <v>45042</v>
      </c>
      <c r="C198" s="6" t="s">
        <v>255</v>
      </c>
      <c r="D198" s="1" t="s">
        <v>78</v>
      </c>
      <c r="E198" s="21">
        <v>1.5269999999999999</v>
      </c>
      <c r="F198" s="24" t="s">
        <v>116</v>
      </c>
      <c r="G198" s="27" t="s">
        <v>299</v>
      </c>
      <c r="H198" s="1" t="s">
        <v>176</v>
      </c>
      <c r="I198" s="3">
        <v>45023</v>
      </c>
    </row>
    <row r="199" spans="1:9">
      <c r="A199" s="15" t="s">
        <v>302</v>
      </c>
      <c r="B199" s="16">
        <v>45042</v>
      </c>
      <c r="C199" s="6" t="s">
        <v>301</v>
      </c>
      <c r="D199" s="1" t="s">
        <v>78</v>
      </c>
      <c r="E199" s="21">
        <v>0.13800000000000001</v>
      </c>
      <c r="F199" s="24" t="s">
        <v>116</v>
      </c>
      <c r="G199" s="27" t="s">
        <v>299</v>
      </c>
      <c r="H199" s="1" t="s">
        <v>193</v>
      </c>
      <c r="I199" s="3">
        <v>45026</v>
      </c>
    </row>
    <row r="200" spans="1:9">
      <c r="A200" s="15" t="s">
        <v>304</v>
      </c>
      <c r="B200" s="16">
        <v>45042</v>
      </c>
      <c r="C200" s="6" t="s">
        <v>303</v>
      </c>
      <c r="D200" s="1" t="s">
        <v>78</v>
      </c>
      <c r="E200" s="21">
        <v>1.659</v>
      </c>
      <c r="F200" s="24" t="s">
        <v>116</v>
      </c>
      <c r="G200" s="27" t="s">
        <v>299</v>
      </c>
      <c r="H200" s="18" t="s">
        <v>77</v>
      </c>
      <c r="I200" s="16">
        <v>45019</v>
      </c>
    </row>
    <row r="201" spans="1:9">
      <c r="A201" s="1"/>
      <c r="B201" s="3"/>
      <c r="C201" s="6"/>
      <c r="D201" s="1"/>
      <c r="E201" s="45">
        <f>SUM(E185:E200)</f>
        <v>65.39</v>
      </c>
      <c r="F201" s="24"/>
      <c r="G201" s="1"/>
      <c r="H201" s="1"/>
      <c r="I201" s="3"/>
    </row>
    <row r="202" spans="1:9">
      <c r="A202" s="15" t="s">
        <v>305</v>
      </c>
      <c r="B202" s="16">
        <v>45043</v>
      </c>
      <c r="C202" s="6" t="s">
        <v>260</v>
      </c>
      <c r="D202" s="1" t="s">
        <v>78</v>
      </c>
      <c r="E202" s="21">
        <f>5.508+13.989</f>
        <v>19.497</v>
      </c>
      <c r="F202" s="24" t="s">
        <v>83</v>
      </c>
      <c r="G202" s="1" t="s">
        <v>306</v>
      </c>
      <c r="H202" s="1" t="s">
        <v>130</v>
      </c>
      <c r="I202" s="3">
        <v>45023</v>
      </c>
    </row>
    <row r="203" spans="1:9">
      <c r="A203" s="15" t="s">
        <v>305</v>
      </c>
      <c r="B203" s="16">
        <v>45043</v>
      </c>
      <c r="C203" s="6" t="s">
        <v>282</v>
      </c>
      <c r="D203" s="1" t="s">
        <v>78</v>
      </c>
      <c r="E203" s="21">
        <f>2.562+3.932</f>
        <v>6.4939999999999998</v>
      </c>
      <c r="F203" s="24" t="s">
        <v>83</v>
      </c>
      <c r="G203" s="1" t="s">
        <v>306</v>
      </c>
      <c r="H203" s="1" t="s">
        <v>130</v>
      </c>
      <c r="I203" s="3">
        <v>45023</v>
      </c>
    </row>
    <row r="204" spans="1:9">
      <c r="A204" s="15" t="s">
        <v>307</v>
      </c>
      <c r="B204" s="16">
        <v>45043</v>
      </c>
      <c r="C204" s="6" t="s">
        <v>260</v>
      </c>
      <c r="D204" s="1" t="s">
        <v>78</v>
      </c>
      <c r="E204" s="21">
        <v>5.0540000000000003</v>
      </c>
      <c r="F204" s="24" t="s">
        <v>83</v>
      </c>
      <c r="G204" s="1" t="s">
        <v>308</v>
      </c>
      <c r="H204" s="1" t="s">
        <v>176</v>
      </c>
      <c r="I204" s="3">
        <v>45023</v>
      </c>
    </row>
    <row r="205" spans="1:9">
      <c r="A205" s="15" t="s">
        <v>307</v>
      </c>
      <c r="B205" s="16">
        <v>45043</v>
      </c>
      <c r="C205" s="6" t="s">
        <v>282</v>
      </c>
      <c r="D205" s="1" t="s">
        <v>78</v>
      </c>
      <c r="E205" s="21">
        <v>0.92300000000000004</v>
      </c>
      <c r="F205" s="24" t="s">
        <v>83</v>
      </c>
      <c r="G205" s="1" t="s">
        <v>308</v>
      </c>
      <c r="H205" s="1" t="s">
        <v>176</v>
      </c>
      <c r="I205" s="3">
        <v>45023</v>
      </c>
    </row>
    <row r="206" spans="1:9">
      <c r="A206" s="1"/>
      <c r="B206" s="3"/>
      <c r="C206" s="6"/>
      <c r="D206" s="1"/>
      <c r="E206" s="43">
        <f>SUM(E202:E205)</f>
        <v>31.968000000000004</v>
      </c>
      <c r="F206" s="24"/>
      <c r="G206" s="1"/>
      <c r="H206" s="1"/>
      <c r="I206" s="3"/>
    </row>
    <row r="207" spans="1:9">
      <c r="A207" s="15" t="s">
        <v>309</v>
      </c>
      <c r="B207" s="16">
        <v>45044</v>
      </c>
      <c r="C207" s="6" t="s">
        <v>310</v>
      </c>
      <c r="D207" s="1" t="s">
        <v>78</v>
      </c>
      <c r="E207" s="21">
        <v>22.370999999999999</v>
      </c>
      <c r="F207" s="24" t="s">
        <v>83</v>
      </c>
      <c r="G207" s="1" t="s">
        <v>312</v>
      </c>
      <c r="H207" s="1" t="s">
        <v>130</v>
      </c>
      <c r="I207" s="3">
        <v>45023</v>
      </c>
    </row>
    <row r="208" spans="1:9">
      <c r="A208" s="15" t="s">
        <v>309</v>
      </c>
      <c r="B208" s="16">
        <v>45044</v>
      </c>
      <c r="C208" s="6" t="s">
        <v>311</v>
      </c>
      <c r="D208" s="1" t="s">
        <v>78</v>
      </c>
      <c r="E208" s="21">
        <f>5.9+4.563</f>
        <v>10.463000000000001</v>
      </c>
      <c r="F208" s="24" t="s">
        <v>83</v>
      </c>
      <c r="G208" s="1" t="s">
        <v>312</v>
      </c>
      <c r="H208" s="1" t="s">
        <v>130</v>
      </c>
      <c r="I208" s="3">
        <v>45023</v>
      </c>
    </row>
    <row r="209" spans="1:11">
      <c r="A209" s="15" t="s">
        <v>313</v>
      </c>
      <c r="B209" s="16">
        <v>45044</v>
      </c>
      <c r="C209" s="6" t="s">
        <v>311</v>
      </c>
      <c r="D209" s="1" t="s">
        <v>78</v>
      </c>
      <c r="E209" s="21">
        <v>0.16</v>
      </c>
      <c r="F209" s="24" t="s">
        <v>83</v>
      </c>
      <c r="G209" s="1" t="s">
        <v>314</v>
      </c>
      <c r="H209" s="1" t="s">
        <v>176</v>
      </c>
      <c r="I209" s="3">
        <v>45023</v>
      </c>
    </row>
    <row r="210" spans="1:11">
      <c r="A210" s="15" t="s">
        <v>316</v>
      </c>
      <c r="B210" s="16">
        <v>45044</v>
      </c>
      <c r="C210" s="6" t="s">
        <v>311</v>
      </c>
      <c r="D210" s="1" t="s">
        <v>78</v>
      </c>
      <c r="E210" s="21">
        <v>0.114</v>
      </c>
      <c r="F210" s="24" t="s">
        <v>83</v>
      </c>
      <c r="G210" s="1" t="s">
        <v>314</v>
      </c>
      <c r="H210" s="1" t="s">
        <v>315</v>
      </c>
      <c r="I210" s="3">
        <v>45026</v>
      </c>
    </row>
    <row r="211" spans="1:11">
      <c r="A211" s="15" t="s">
        <v>317</v>
      </c>
      <c r="B211" s="16">
        <v>45044</v>
      </c>
      <c r="C211" s="6" t="s">
        <v>310</v>
      </c>
      <c r="D211" s="1" t="s">
        <v>78</v>
      </c>
      <c r="E211" s="21">
        <v>0.32400000000000001</v>
      </c>
      <c r="F211" s="24" t="s">
        <v>83</v>
      </c>
      <c r="G211" s="1" t="s">
        <v>314</v>
      </c>
      <c r="H211" s="1" t="s">
        <v>193</v>
      </c>
      <c r="I211" s="3">
        <v>45026</v>
      </c>
    </row>
    <row r="212" spans="1:11">
      <c r="A212" s="1"/>
      <c r="B212" s="16"/>
      <c r="C212" s="6"/>
      <c r="D212" s="1"/>
      <c r="E212" s="43">
        <f>SUM(E207:E211)</f>
        <v>33.431999999999995</v>
      </c>
      <c r="F212" s="24"/>
      <c r="G212" s="1"/>
      <c r="H212" s="1"/>
      <c r="I212" s="3"/>
    </row>
    <row r="213" spans="1:11">
      <c r="A213" s="1"/>
      <c r="B213" s="3"/>
      <c r="C213" s="6"/>
      <c r="D213" s="1"/>
      <c r="E213" s="41"/>
      <c r="F213" s="24"/>
      <c r="G213" s="1"/>
      <c r="H213" s="1"/>
      <c r="I213" s="3"/>
    </row>
    <row r="214" spans="1:11">
      <c r="A214" s="1"/>
      <c r="B214" s="3"/>
      <c r="C214" s="6"/>
      <c r="D214" s="1"/>
      <c r="E214" s="41"/>
      <c r="F214" s="24"/>
      <c r="G214" s="1"/>
      <c r="H214" s="1"/>
      <c r="I214" s="3"/>
    </row>
    <row r="215" spans="1:11">
      <c r="A215" s="1"/>
      <c r="B215" s="3"/>
      <c r="C215" s="6"/>
      <c r="D215" s="1"/>
      <c r="E215" s="41"/>
      <c r="F215" s="24"/>
      <c r="G215" s="1"/>
      <c r="H215" s="1"/>
      <c r="I215" s="3"/>
    </row>
    <row r="216" spans="1:11">
      <c r="A216" s="1"/>
      <c r="B216" s="3"/>
      <c r="C216" s="1"/>
      <c r="D216" s="1"/>
      <c r="E216" s="2"/>
      <c r="F216" s="24"/>
      <c r="G216" s="1"/>
      <c r="H216" s="1"/>
      <c r="I216" s="3"/>
    </row>
    <row r="217" spans="1:11">
      <c r="A217" s="1"/>
      <c r="B217" s="3"/>
      <c r="C217" s="1"/>
      <c r="D217" s="2" t="s">
        <v>14</v>
      </c>
      <c r="E217" s="11">
        <f>SUM(E2:E216)/2</f>
        <v>1787.0649999999987</v>
      </c>
      <c r="F217" s="24"/>
      <c r="G217" s="1"/>
      <c r="H217" s="1"/>
      <c r="I217" s="3"/>
    </row>
    <row r="218" spans="1:11">
      <c r="A218" s="1"/>
      <c r="B218" s="3"/>
      <c r="C218" s="1"/>
      <c r="D218" s="1"/>
      <c r="E218" s="2"/>
      <c r="F218" s="24"/>
      <c r="G218" s="1"/>
      <c r="H218" s="1"/>
      <c r="I218" s="3"/>
    </row>
    <row r="219" spans="1:11">
      <c r="A219" s="1"/>
      <c r="B219" s="3"/>
      <c r="C219" s="1"/>
      <c r="D219" s="2" t="s">
        <v>341</v>
      </c>
      <c r="E219" s="11">
        <v>96.8</v>
      </c>
      <c r="F219" s="24"/>
      <c r="G219" s="1"/>
      <c r="H219" s="1"/>
      <c r="I219" s="3"/>
    </row>
    <row r="220" spans="1:11">
      <c r="A220" s="1"/>
      <c r="B220" s="3"/>
      <c r="C220" s="1"/>
      <c r="D220" s="1"/>
      <c r="E220" s="4"/>
      <c r="F220" s="24"/>
      <c r="G220" s="1"/>
      <c r="H220" s="1"/>
      <c r="I220" s="3"/>
    </row>
    <row r="221" spans="1:11">
      <c r="A221" s="1"/>
      <c r="B221" s="3"/>
      <c r="C221" s="1"/>
      <c r="D221" s="1"/>
      <c r="E221" s="2"/>
      <c r="F221" s="24"/>
      <c r="G221" s="1"/>
      <c r="H221" s="1"/>
      <c r="I221" s="3"/>
      <c r="K221">
        <v>5</v>
      </c>
    </row>
    <row r="222" spans="1:11">
      <c r="A222" s="1"/>
      <c r="B222" s="3"/>
      <c r="C222" s="1"/>
      <c r="D222" s="2" t="s">
        <v>287</v>
      </c>
      <c r="E222" s="2">
        <f>+'KEC BB DISP. TRADING APRIL'!E59</f>
        <v>216.70699999999994</v>
      </c>
      <c r="F222" s="24"/>
      <c r="G222" s="1"/>
      <c r="H222" s="1"/>
      <c r="I222" s="3"/>
    </row>
    <row r="223" spans="1:11">
      <c r="A223" s="1"/>
      <c r="B223" s="3"/>
      <c r="C223" s="1"/>
      <c r="D223" s="1"/>
      <c r="E223" s="2"/>
      <c r="F223" s="24"/>
      <c r="G223" s="1"/>
      <c r="H223" s="1"/>
      <c r="I223" s="3"/>
    </row>
    <row r="224" spans="1:11">
      <c r="A224" s="1"/>
      <c r="B224" s="3"/>
      <c r="C224" s="1"/>
      <c r="D224" s="1"/>
      <c r="E224" s="2">
        <f>+E222+E217+E219</f>
        <v>2100.5719999999988</v>
      </c>
      <c r="F224" s="24"/>
      <c r="G224" s="1"/>
      <c r="H224" s="1"/>
      <c r="I224" s="3"/>
    </row>
    <row r="225" spans="1:9">
      <c r="A225" s="1"/>
      <c r="B225" s="3"/>
      <c r="C225" s="1"/>
      <c r="D225" s="1"/>
      <c r="E225" s="2"/>
      <c r="F225" s="24"/>
      <c r="G225" s="1"/>
      <c r="H225" s="1"/>
      <c r="I225" s="3"/>
    </row>
    <row r="226" spans="1:9">
      <c r="A226" s="1"/>
      <c r="B226" s="3"/>
      <c r="C226" s="1"/>
      <c r="D226" s="1"/>
      <c r="E226" s="2"/>
      <c r="F226" s="24"/>
      <c r="G226" s="1"/>
      <c r="H226" s="1"/>
      <c r="I226" s="3"/>
    </row>
    <row r="227" spans="1:9">
      <c r="A227" s="1"/>
      <c r="B227" s="3"/>
      <c r="C227" s="1"/>
      <c r="D227" s="1"/>
      <c r="E227" s="2"/>
      <c r="F227" s="24"/>
      <c r="G227" s="1"/>
      <c r="H227" s="1"/>
      <c r="I227" s="3"/>
    </row>
    <row r="228" spans="1:9">
      <c r="A228" s="1"/>
      <c r="B228" s="1"/>
      <c r="C228" s="1"/>
      <c r="D228" s="1"/>
      <c r="E228" s="2"/>
      <c r="F228" s="24"/>
      <c r="G228" s="1"/>
      <c r="H228" s="1"/>
      <c r="I228" s="1"/>
    </row>
    <row r="233" spans="1:9">
      <c r="E233" s="23">
        <f>+E100+E107+E113</f>
        <v>240.59100000000001</v>
      </c>
    </row>
    <row r="234" spans="1:9">
      <c r="E234">
        <f>+'KEC BB DISP. TRADING APRIL'!E47+'KEC BB DISP. TRADING APRIL'!E49</f>
        <v>9.0389999999999979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9"/>
  <sheetViews>
    <sheetView topLeftCell="A37" workbookViewId="0">
      <selection activeCell="D61" sqref="D61"/>
    </sheetView>
  </sheetViews>
  <sheetFormatPr defaultRowHeight="15"/>
  <cols>
    <col min="1" max="1" width="17.28515625" customWidth="1"/>
    <col min="2" max="2" width="10.7109375" bestFit="1" customWidth="1"/>
    <col min="3" max="3" width="26.5703125" bestFit="1" customWidth="1"/>
    <col min="4" max="4" width="37.28515625" bestFit="1" customWidth="1"/>
    <col min="5" max="5" width="15" bestFit="1" customWidth="1"/>
    <col min="6" max="6" width="15" customWidth="1"/>
    <col min="7" max="7" width="11.85546875" customWidth="1"/>
    <col min="8" max="8" width="10.7109375" bestFit="1" customWidth="1"/>
    <col min="9" max="9" width="23.5703125" customWidth="1"/>
  </cols>
  <sheetData>
    <row r="1" spans="1:9">
      <c r="A1" s="8" t="s">
        <v>648</v>
      </c>
    </row>
    <row r="2" spans="1:9">
      <c r="A2" s="2" t="s">
        <v>5</v>
      </c>
      <c r="B2" s="2" t="s">
        <v>6</v>
      </c>
      <c r="C2" s="2" t="s">
        <v>7</v>
      </c>
      <c r="D2" s="2" t="s">
        <v>644</v>
      </c>
      <c r="E2" s="2" t="s">
        <v>645</v>
      </c>
      <c r="F2" s="2" t="s">
        <v>2</v>
      </c>
      <c r="G2" s="2" t="s">
        <v>647</v>
      </c>
      <c r="H2" s="2" t="s">
        <v>646</v>
      </c>
      <c r="I2" s="5" t="s">
        <v>10</v>
      </c>
    </row>
    <row r="3" spans="1:9">
      <c r="A3" s="1" t="s">
        <v>21</v>
      </c>
      <c r="B3" s="3">
        <v>45020</v>
      </c>
      <c r="C3" s="1" t="s">
        <v>13</v>
      </c>
      <c r="D3" s="1" t="s">
        <v>11</v>
      </c>
      <c r="E3" s="6">
        <v>25.228999999999999</v>
      </c>
      <c r="F3" s="1" t="s">
        <v>22</v>
      </c>
      <c r="G3" s="6">
        <v>7300030324</v>
      </c>
      <c r="H3" s="10">
        <v>44999</v>
      </c>
      <c r="I3" s="9">
        <v>72230</v>
      </c>
    </row>
    <row r="4" spans="1:9">
      <c r="A4" s="1" t="s">
        <v>23</v>
      </c>
      <c r="B4" s="3">
        <v>45020</v>
      </c>
      <c r="C4" s="1" t="s">
        <v>24</v>
      </c>
      <c r="D4" s="1" t="s">
        <v>11</v>
      </c>
      <c r="E4" s="6">
        <v>20.652000000000001</v>
      </c>
      <c r="F4" s="1" t="s">
        <v>19</v>
      </c>
      <c r="G4" s="6">
        <v>7300030324</v>
      </c>
      <c r="H4" s="10">
        <v>44999</v>
      </c>
      <c r="I4" s="9">
        <v>72230</v>
      </c>
    </row>
    <row r="5" spans="1:9">
      <c r="A5" s="1"/>
      <c r="B5" s="3"/>
      <c r="C5" s="1"/>
      <c r="D5" s="1"/>
      <c r="E5" s="11">
        <f>SUM(E3:E4)</f>
        <v>45.881</v>
      </c>
      <c r="F5" s="1"/>
      <c r="G5" s="6"/>
      <c r="H5" s="10"/>
      <c r="I5" s="9"/>
    </row>
    <row r="6" spans="1:9">
      <c r="A6" s="1" t="s">
        <v>38</v>
      </c>
      <c r="B6" s="3">
        <v>45022</v>
      </c>
      <c r="C6" s="1" t="s">
        <v>24</v>
      </c>
      <c r="D6" s="1" t="s">
        <v>11</v>
      </c>
      <c r="E6" s="6">
        <v>24.858000000000001</v>
      </c>
      <c r="F6" s="1" t="s">
        <v>39</v>
      </c>
      <c r="G6" s="6">
        <v>7300030324</v>
      </c>
      <c r="H6" s="10">
        <v>44999</v>
      </c>
      <c r="I6" s="9">
        <v>72230</v>
      </c>
    </row>
    <row r="7" spans="1:9">
      <c r="A7" s="1"/>
      <c r="B7" s="3"/>
      <c r="C7" s="1"/>
      <c r="D7" s="1"/>
      <c r="E7" s="11">
        <f>SUM(E6)</f>
        <v>24.858000000000001</v>
      </c>
      <c r="F7" s="1"/>
      <c r="G7" s="6"/>
      <c r="H7" s="10"/>
      <c r="I7" s="9"/>
    </row>
    <row r="8" spans="1:9">
      <c r="A8" s="1" t="s">
        <v>50</v>
      </c>
      <c r="B8" s="3">
        <v>45024</v>
      </c>
      <c r="C8" s="1" t="s">
        <v>13</v>
      </c>
      <c r="D8" s="1" t="s">
        <v>11</v>
      </c>
      <c r="E8" s="6">
        <v>24.51</v>
      </c>
      <c r="F8" s="1" t="s">
        <v>51</v>
      </c>
      <c r="G8" s="6">
        <v>7300030324</v>
      </c>
      <c r="H8" s="10">
        <v>44999</v>
      </c>
      <c r="I8" s="9">
        <v>72230</v>
      </c>
    </row>
    <row r="9" spans="1:9">
      <c r="A9" s="1"/>
      <c r="B9" s="3"/>
      <c r="C9" s="1"/>
      <c r="D9" s="1"/>
      <c r="E9" s="11">
        <f>SUM(E8)</f>
        <v>24.51</v>
      </c>
      <c r="F9" s="1"/>
      <c r="G9" s="6"/>
      <c r="H9" s="10"/>
      <c r="I9" s="9"/>
    </row>
    <row r="10" spans="1:9">
      <c r="A10" s="1" t="s">
        <v>52</v>
      </c>
      <c r="B10" s="3">
        <v>45025</v>
      </c>
      <c r="C10" s="1" t="s">
        <v>53</v>
      </c>
      <c r="D10" s="1" t="s">
        <v>11</v>
      </c>
      <c r="E10" s="6">
        <v>1.3160000000000001</v>
      </c>
      <c r="F10" s="1" t="s">
        <v>54</v>
      </c>
      <c r="G10" s="6">
        <v>7300030324</v>
      </c>
      <c r="H10" s="10">
        <v>44999</v>
      </c>
      <c r="I10" s="9">
        <v>59920</v>
      </c>
    </row>
    <row r="11" spans="1:9">
      <c r="A11" s="1" t="s">
        <v>52</v>
      </c>
      <c r="B11" s="3">
        <v>45025</v>
      </c>
      <c r="C11" s="1" t="s">
        <v>13</v>
      </c>
      <c r="D11" s="1" t="s">
        <v>11</v>
      </c>
      <c r="E11" s="6">
        <v>4.1840000000000002</v>
      </c>
      <c r="F11" s="1" t="s">
        <v>54</v>
      </c>
      <c r="G11" s="6">
        <v>7300030324</v>
      </c>
      <c r="H11" s="10">
        <v>44999</v>
      </c>
      <c r="I11" s="9">
        <v>72230</v>
      </c>
    </row>
    <row r="12" spans="1:9">
      <c r="A12" s="1" t="s">
        <v>55</v>
      </c>
      <c r="B12" s="3">
        <v>45025</v>
      </c>
      <c r="C12" s="1" t="s">
        <v>13</v>
      </c>
      <c r="D12" s="1" t="s">
        <v>11</v>
      </c>
      <c r="E12" s="6">
        <v>6.2450000000000001</v>
      </c>
      <c r="F12" s="1" t="s">
        <v>56</v>
      </c>
      <c r="G12" s="6">
        <v>7300030324</v>
      </c>
      <c r="H12" s="10">
        <v>44999</v>
      </c>
      <c r="I12" s="9">
        <v>72230</v>
      </c>
    </row>
    <row r="13" spans="1:9">
      <c r="A13" s="1" t="s">
        <v>57</v>
      </c>
      <c r="B13" s="3">
        <v>45025</v>
      </c>
      <c r="C13" s="1" t="s">
        <v>53</v>
      </c>
      <c r="D13" s="1" t="s">
        <v>11</v>
      </c>
      <c r="E13" s="6">
        <v>8.0150000000000006</v>
      </c>
      <c r="F13" s="1" t="s">
        <v>59</v>
      </c>
      <c r="G13" s="6">
        <v>7300030324</v>
      </c>
      <c r="H13" s="10">
        <v>44999</v>
      </c>
      <c r="I13" s="9">
        <v>59920</v>
      </c>
    </row>
    <row r="14" spans="1:9">
      <c r="A14" s="1" t="s">
        <v>57</v>
      </c>
      <c r="B14" s="3">
        <v>45025</v>
      </c>
      <c r="C14" s="1" t="s">
        <v>58</v>
      </c>
      <c r="D14" s="1" t="s">
        <v>11</v>
      </c>
      <c r="E14" s="6">
        <v>5.617</v>
      </c>
      <c r="F14" s="1" t="s">
        <v>59</v>
      </c>
      <c r="G14" s="6">
        <v>7300030324</v>
      </c>
      <c r="H14" s="10">
        <v>44999</v>
      </c>
      <c r="I14" s="9">
        <v>59920</v>
      </c>
    </row>
    <row r="15" spans="1:9">
      <c r="A15" s="1" t="s">
        <v>57</v>
      </c>
      <c r="B15" s="3">
        <v>45025</v>
      </c>
      <c r="C15" s="1" t="s">
        <v>58</v>
      </c>
      <c r="D15" s="1" t="s">
        <v>11</v>
      </c>
      <c r="E15" s="6">
        <v>4.51</v>
      </c>
      <c r="F15" s="1" t="s">
        <v>59</v>
      </c>
      <c r="G15" s="6">
        <v>7300030324</v>
      </c>
      <c r="H15" s="10">
        <v>44999</v>
      </c>
      <c r="I15" s="9">
        <v>59920</v>
      </c>
    </row>
    <row r="16" spans="1:9">
      <c r="A16" s="1" t="s">
        <v>60</v>
      </c>
      <c r="B16" s="3">
        <v>45025</v>
      </c>
      <c r="C16" s="1" t="s">
        <v>61</v>
      </c>
      <c r="D16" s="1" t="s">
        <v>11</v>
      </c>
      <c r="E16" s="6">
        <v>24.308</v>
      </c>
      <c r="F16" s="1" t="s">
        <v>62</v>
      </c>
      <c r="G16" s="6">
        <v>7300030324</v>
      </c>
      <c r="H16" s="10">
        <v>44999</v>
      </c>
      <c r="I16" s="9">
        <v>59920</v>
      </c>
    </row>
    <row r="17" spans="1:9">
      <c r="A17" s="1" t="s">
        <v>63</v>
      </c>
      <c r="B17" s="3">
        <v>45025</v>
      </c>
      <c r="C17" s="1" t="s">
        <v>64</v>
      </c>
      <c r="D17" s="1" t="s">
        <v>78</v>
      </c>
      <c r="E17" s="6">
        <v>0.39300000000000002</v>
      </c>
      <c r="F17" s="1" t="s">
        <v>66</v>
      </c>
      <c r="G17" s="6" t="s">
        <v>67</v>
      </c>
      <c r="H17" s="10">
        <v>45020</v>
      </c>
      <c r="I17" s="9">
        <v>59670</v>
      </c>
    </row>
    <row r="18" spans="1:9">
      <c r="A18" s="1" t="s">
        <v>63</v>
      </c>
      <c r="B18" s="3">
        <v>45025</v>
      </c>
      <c r="C18" s="1" t="s">
        <v>65</v>
      </c>
      <c r="D18" s="1" t="s">
        <v>78</v>
      </c>
      <c r="E18" s="6">
        <v>0.21199999999999999</v>
      </c>
      <c r="F18" s="1" t="s">
        <v>66</v>
      </c>
      <c r="G18" s="6" t="s">
        <v>67</v>
      </c>
      <c r="H18" s="10">
        <v>45020</v>
      </c>
      <c r="I18" s="9">
        <v>59920</v>
      </c>
    </row>
    <row r="19" spans="1:9">
      <c r="A19" s="1"/>
      <c r="B19" s="3"/>
      <c r="C19" s="1"/>
      <c r="D19" s="1"/>
      <c r="E19" s="11">
        <f>SUM(E10:E18)</f>
        <v>54.800000000000004</v>
      </c>
      <c r="F19" s="1"/>
      <c r="G19" s="6"/>
      <c r="H19" s="10"/>
      <c r="I19" s="9"/>
    </row>
    <row r="20" spans="1:9">
      <c r="A20" s="1" t="s">
        <v>93</v>
      </c>
      <c r="B20" s="3">
        <v>45026</v>
      </c>
      <c r="C20" s="1" t="s">
        <v>58</v>
      </c>
      <c r="D20" s="1" t="s">
        <v>11</v>
      </c>
      <c r="E20" s="13">
        <v>4.6230000000000002</v>
      </c>
      <c r="F20" s="1" t="s">
        <v>89</v>
      </c>
      <c r="G20" s="6">
        <v>7300030324</v>
      </c>
      <c r="H20" s="10">
        <v>44999</v>
      </c>
      <c r="I20" s="9">
        <v>59920</v>
      </c>
    </row>
    <row r="21" spans="1:9">
      <c r="A21" s="1" t="s">
        <v>93</v>
      </c>
      <c r="B21" s="3">
        <v>45026</v>
      </c>
      <c r="C21" s="1" t="s">
        <v>58</v>
      </c>
      <c r="D21" s="1" t="s">
        <v>11</v>
      </c>
      <c r="E21" s="13">
        <v>4.9939999999999998</v>
      </c>
      <c r="F21" s="1" t="s">
        <v>89</v>
      </c>
      <c r="G21" s="6">
        <v>7300030324</v>
      </c>
      <c r="H21" s="10">
        <v>44999</v>
      </c>
      <c r="I21" s="9">
        <v>59920</v>
      </c>
    </row>
    <row r="22" spans="1:9">
      <c r="A22" s="1"/>
      <c r="B22" s="3"/>
      <c r="C22" s="1"/>
      <c r="D22" s="1"/>
      <c r="E22" s="11">
        <f>SUM(E20:E21)</f>
        <v>9.6170000000000009</v>
      </c>
      <c r="F22" s="1"/>
      <c r="G22" s="6"/>
      <c r="H22" s="10"/>
      <c r="I22" s="9"/>
    </row>
    <row r="23" spans="1:9">
      <c r="A23" s="1" t="s">
        <v>107</v>
      </c>
      <c r="B23" s="3">
        <v>45027</v>
      </c>
      <c r="C23" s="1" t="s">
        <v>61</v>
      </c>
      <c r="D23" s="1" t="s">
        <v>11</v>
      </c>
      <c r="E23" s="13">
        <v>5.5389999999999997</v>
      </c>
      <c r="F23" s="1" t="s">
        <v>95</v>
      </c>
      <c r="G23" s="6">
        <v>7300030324</v>
      </c>
      <c r="H23" s="10">
        <v>44999</v>
      </c>
      <c r="I23" s="9">
        <v>59920</v>
      </c>
    </row>
    <row r="24" spans="1:9">
      <c r="A24" s="1" t="s">
        <v>108</v>
      </c>
      <c r="B24" s="3">
        <v>45027</v>
      </c>
      <c r="C24" s="1" t="s">
        <v>61</v>
      </c>
      <c r="D24" s="1" t="s">
        <v>11</v>
      </c>
      <c r="E24" s="13">
        <v>1.653</v>
      </c>
      <c r="F24" s="1" t="s">
        <v>105</v>
      </c>
      <c r="G24" s="6">
        <v>7300030324</v>
      </c>
      <c r="H24" s="10">
        <v>44999</v>
      </c>
      <c r="I24" s="9">
        <v>59920</v>
      </c>
    </row>
    <row r="25" spans="1:9">
      <c r="A25" s="1" t="s">
        <v>108</v>
      </c>
      <c r="B25" s="3">
        <v>45027</v>
      </c>
      <c r="C25" s="1" t="s">
        <v>53</v>
      </c>
      <c r="D25" s="1" t="s">
        <v>11</v>
      </c>
      <c r="E25" s="13">
        <v>6.9429999999999996</v>
      </c>
      <c r="F25" s="1" t="s">
        <v>105</v>
      </c>
      <c r="G25" s="6">
        <v>7300030324</v>
      </c>
      <c r="H25" s="10">
        <v>44999</v>
      </c>
      <c r="I25" s="9">
        <v>59920</v>
      </c>
    </row>
    <row r="26" spans="1:9">
      <c r="A26" s="1" t="s">
        <v>108</v>
      </c>
      <c r="B26" s="3">
        <v>45027</v>
      </c>
      <c r="C26" s="1" t="s">
        <v>109</v>
      </c>
      <c r="D26" s="1" t="s">
        <v>11</v>
      </c>
      <c r="E26" s="13">
        <v>5.2220000000000004</v>
      </c>
      <c r="F26" s="1" t="s">
        <v>105</v>
      </c>
      <c r="G26" s="6">
        <v>7300030324</v>
      </c>
      <c r="H26" s="10">
        <v>44999</v>
      </c>
      <c r="I26" s="9">
        <v>59920</v>
      </c>
    </row>
    <row r="27" spans="1:9">
      <c r="A27" s="1" t="s">
        <v>108</v>
      </c>
      <c r="B27" s="3">
        <v>45027</v>
      </c>
      <c r="C27" s="1" t="s">
        <v>13</v>
      </c>
      <c r="D27" s="1" t="s">
        <v>11</v>
      </c>
      <c r="E27" s="13">
        <v>1.927</v>
      </c>
      <c r="F27" s="1" t="s">
        <v>105</v>
      </c>
      <c r="G27" s="6">
        <v>7300030324</v>
      </c>
      <c r="H27" s="10">
        <v>44999</v>
      </c>
      <c r="I27" s="9">
        <v>72230</v>
      </c>
    </row>
    <row r="28" spans="1:9">
      <c r="A28" s="1"/>
      <c r="B28" s="3"/>
      <c r="C28" s="1"/>
      <c r="D28" s="1"/>
      <c r="E28" s="11">
        <f>SUM(E23:E27)</f>
        <v>21.283999999999999</v>
      </c>
      <c r="F28" s="1"/>
      <c r="G28" s="6"/>
      <c r="H28" s="10"/>
      <c r="I28" s="9"/>
    </row>
    <row r="29" spans="1:9">
      <c r="A29" s="1" t="s">
        <v>124</v>
      </c>
      <c r="B29" s="3">
        <v>45029</v>
      </c>
      <c r="C29" s="1" t="s">
        <v>13</v>
      </c>
      <c r="D29" s="1" t="s">
        <v>11</v>
      </c>
      <c r="E29" s="13">
        <v>2.9950000000000001</v>
      </c>
      <c r="F29" s="1" t="s">
        <v>16</v>
      </c>
      <c r="G29" s="6">
        <v>7300030324</v>
      </c>
      <c r="H29" s="10">
        <v>44999</v>
      </c>
      <c r="I29" s="9">
        <v>72230</v>
      </c>
    </row>
    <row r="30" spans="1:9">
      <c r="A30" s="1" t="s">
        <v>125</v>
      </c>
      <c r="B30" s="3">
        <v>45029</v>
      </c>
      <c r="C30" s="1" t="s">
        <v>1</v>
      </c>
      <c r="D30" s="1" t="s">
        <v>78</v>
      </c>
      <c r="E30" s="13">
        <v>1.9410000000000001</v>
      </c>
      <c r="F30" s="1" t="s">
        <v>116</v>
      </c>
      <c r="G30" s="6" t="s">
        <v>126</v>
      </c>
      <c r="H30" s="10">
        <v>45019</v>
      </c>
      <c r="I30" s="9">
        <v>59920</v>
      </c>
    </row>
    <row r="31" spans="1:9">
      <c r="A31" s="1"/>
      <c r="B31" s="3"/>
      <c r="C31" s="1"/>
      <c r="D31" s="1"/>
      <c r="E31" s="11">
        <f>SUM(E29:E30)</f>
        <v>4.9359999999999999</v>
      </c>
      <c r="F31" s="1"/>
      <c r="G31" s="6"/>
      <c r="H31" s="10"/>
      <c r="I31" s="9"/>
    </row>
    <row r="32" spans="1:9">
      <c r="A32" s="1" t="s">
        <v>134</v>
      </c>
      <c r="B32" s="3">
        <v>45030</v>
      </c>
      <c r="C32" s="1" t="s">
        <v>135</v>
      </c>
      <c r="D32" s="1" t="s">
        <v>78</v>
      </c>
      <c r="E32" s="13">
        <v>0.314</v>
      </c>
      <c r="F32" s="1" t="s">
        <v>66</v>
      </c>
      <c r="G32" s="6" t="s">
        <v>126</v>
      </c>
      <c r="H32" s="10">
        <v>45019</v>
      </c>
      <c r="I32" s="9">
        <v>54030</v>
      </c>
    </row>
    <row r="33" spans="1:9">
      <c r="A33" s="1" t="s">
        <v>143</v>
      </c>
      <c r="B33" s="3">
        <v>45030</v>
      </c>
      <c r="C33" s="1" t="s">
        <v>1</v>
      </c>
      <c r="D33" s="1" t="s">
        <v>78</v>
      </c>
      <c r="E33" s="13">
        <v>1.135</v>
      </c>
      <c r="F33" s="1" t="s">
        <v>97</v>
      </c>
      <c r="G33" s="6">
        <v>7300030625</v>
      </c>
      <c r="H33" s="10">
        <v>45019</v>
      </c>
      <c r="I33" s="9">
        <v>59920</v>
      </c>
    </row>
    <row r="34" spans="1:9">
      <c r="A34" s="1" t="s">
        <v>145</v>
      </c>
      <c r="B34" s="3">
        <v>45030</v>
      </c>
      <c r="C34" s="1" t="s">
        <v>81</v>
      </c>
      <c r="D34" s="1" t="s">
        <v>78</v>
      </c>
      <c r="E34" s="13">
        <v>5.7489999999999997</v>
      </c>
      <c r="F34" s="1" t="s">
        <v>97</v>
      </c>
      <c r="G34" s="6">
        <v>7300030632</v>
      </c>
      <c r="H34" s="10">
        <v>45019</v>
      </c>
      <c r="I34" s="9">
        <v>59920</v>
      </c>
    </row>
    <row r="35" spans="1:9">
      <c r="A35" s="1" t="s">
        <v>145</v>
      </c>
      <c r="B35" s="3">
        <v>45030</v>
      </c>
      <c r="C35" s="1" t="s">
        <v>13</v>
      </c>
      <c r="D35" s="1" t="s">
        <v>78</v>
      </c>
      <c r="E35" s="13">
        <v>0.438</v>
      </c>
      <c r="F35" s="1" t="s">
        <v>97</v>
      </c>
      <c r="G35" s="6">
        <v>7300030632</v>
      </c>
      <c r="H35" s="10">
        <v>45019</v>
      </c>
      <c r="I35" s="9">
        <v>59920</v>
      </c>
    </row>
    <row r="36" spans="1:9">
      <c r="A36" s="1" t="s">
        <v>150</v>
      </c>
      <c r="B36" s="3">
        <v>45030</v>
      </c>
      <c r="C36" s="1" t="s">
        <v>1</v>
      </c>
      <c r="D36" s="1" t="s">
        <v>78</v>
      </c>
      <c r="E36" s="13">
        <v>2.0750000000000002</v>
      </c>
      <c r="F36" s="1" t="s">
        <v>86</v>
      </c>
      <c r="G36" s="6">
        <v>7300030628</v>
      </c>
      <c r="H36" s="10">
        <v>45019</v>
      </c>
      <c r="I36" s="9">
        <v>59920</v>
      </c>
    </row>
    <row r="37" spans="1:9">
      <c r="A37" s="1" t="s">
        <v>151</v>
      </c>
      <c r="B37" s="3">
        <v>45030</v>
      </c>
      <c r="C37" s="1" t="s">
        <v>13</v>
      </c>
      <c r="D37" s="1" t="s">
        <v>78</v>
      </c>
      <c r="E37" s="13">
        <v>2.706</v>
      </c>
      <c r="F37" s="1" t="s">
        <v>86</v>
      </c>
      <c r="G37" s="6">
        <v>7300030632</v>
      </c>
      <c r="H37" s="10">
        <v>45019</v>
      </c>
      <c r="I37" s="9">
        <v>59920</v>
      </c>
    </row>
    <row r="38" spans="1:9">
      <c r="A38" s="1"/>
      <c r="B38" s="3"/>
      <c r="C38" s="1"/>
      <c r="D38" s="1"/>
      <c r="E38" s="11">
        <f>SUM(E32:E37)</f>
        <v>12.416999999999998</v>
      </c>
      <c r="F38" s="1"/>
      <c r="G38" s="6"/>
      <c r="H38" s="10"/>
      <c r="I38" s="9"/>
    </row>
    <row r="39" spans="1:9">
      <c r="A39" s="1" t="s">
        <v>152</v>
      </c>
      <c r="B39" s="3">
        <v>45031</v>
      </c>
      <c r="C39" s="1" t="s">
        <v>61</v>
      </c>
      <c r="D39" s="1" t="s">
        <v>78</v>
      </c>
      <c r="E39" s="13">
        <v>0.85399999999999998</v>
      </c>
      <c r="F39" s="1" t="s">
        <v>97</v>
      </c>
      <c r="G39" s="6">
        <v>7300030632</v>
      </c>
      <c r="H39" s="10">
        <v>45019</v>
      </c>
      <c r="I39" s="9">
        <v>59920</v>
      </c>
    </row>
    <row r="40" spans="1:9">
      <c r="A40" s="1" t="s">
        <v>152</v>
      </c>
      <c r="B40" s="3">
        <v>45031</v>
      </c>
      <c r="C40" s="1" t="s">
        <v>61</v>
      </c>
      <c r="D40" s="1" t="s">
        <v>78</v>
      </c>
      <c r="E40" s="13">
        <v>0.189</v>
      </c>
      <c r="F40" s="1" t="s">
        <v>97</v>
      </c>
      <c r="G40" s="6">
        <v>7300030632</v>
      </c>
      <c r="H40" s="10">
        <v>45019</v>
      </c>
      <c r="I40" s="9">
        <v>59920</v>
      </c>
    </row>
    <row r="41" spans="1:9">
      <c r="A41" s="1"/>
      <c r="B41" s="3"/>
      <c r="C41" s="1"/>
      <c r="D41" s="1"/>
      <c r="E41" s="11">
        <f>SUM(E39:E40)</f>
        <v>1.0429999999999999</v>
      </c>
      <c r="F41" s="1"/>
      <c r="G41" s="6"/>
      <c r="H41" s="10"/>
      <c r="I41" s="9"/>
    </row>
    <row r="42" spans="1:9">
      <c r="A42" s="1" t="s">
        <v>165</v>
      </c>
      <c r="B42" s="3">
        <v>45033</v>
      </c>
      <c r="C42" s="1" t="s">
        <v>24</v>
      </c>
      <c r="D42" s="1" t="s">
        <v>11</v>
      </c>
      <c r="E42" s="13">
        <v>3.7010000000000001</v>
      </c>
      <c r="F42" s="1" t="s">
        <v>89</v>
      </c>
      <c r="G42" s="6">
        <v>7300030324</v>
      </c>
      <c r="H42" s="10">
        <v>44999</v>
      </c>
      <c r="I42" s="9">
        <v>72230</v>
      </c>
    </row>
    <row r="43" spans="1:9">
      <c r="A43" s="1" t="s">
        <v>165</v>
      </c>
      <c r="B43" s="3">
        <v>45033</v>
      </c>
      <c r="C43" s="1" t="s">
        <v>58</v>
      </c>
      <c r="D43" s="1" t="s">
        <v>11</v>
      </c>
      <c r="E43" s="13">
        <v>0.83199999999999996</v>
      </c>
      <c r="F43" s="1" t="s">
        <v>89</v>
      </c>
      <c r="G43" s="6">
        <v>7300030324</v>
      </c>
      <c r="H43" s="10">
        <v>44999</v>
      </c>
      <c r="I43" s="9">
        <v>59920</v>
      </c>
    </row>
    <row r="44" spans="1:9">
      <c r="A44" s="1" t="s">
        <v>165</v>
      </c>
      <c r="B44" s="3">
        <v>45033</v>
      </c>
      <c r="C44" s="1" t="s">
        <v>58</v>
      </c>
      <c r="D44" s="1" t="s">
        <v>11</v>
      </c>
      <c r="E44" s="13">
        <v>2.512</v>
      </c>
      <c r="F44" s="1" t="s">
        <v>89</v>
      </c>
      <c r="G44" s="6">
        <v>7300030324</v>
      </c>
      <c r="H44" s="10">
        <v>44999</v>
      </c>
      <c r="I44" s="9">
        <v>59920</v>
      </c>
    </row>
    <row r="45" spans="1:9">
      <c r="A45" s="1" t="s">
        <v>167</v>
      </c>
      <c r="B45" s="3">
        <v>45033</v>
      </c>
      <c r="C45" s="1" t="s">
        <v>24</v>
      </c>
      <c r="D45" s="1" t="s">
        <v>78</v>
      </c>
      <c r="E45" s="13">
        <v>1.1200000000000001</v>
      </c>
      <c r="F45" s="1" t="s">
        <v>101</v>
      </c>
      <c r="G45" s="6">
        <v>7300030628</v>
      </c>
      <c r="H45" s="10">
        <v>45019</v>
      </c>
      <c r="I45" s="9">
        <v>59920</v>
      </c>
    </row>
    <row r="46" spans="1:9">
      <c r="A46" s="1" t="s">
        <v>179</v>
      </c>
      <c r="B46" s="3">
        <v>45033</v>
      </c>
      <c r="C46" s="1" t="s">
        <v>135</v>
      </c>
      <c r="D46" s="1" t="s">
        <v>78</v>
      </c>
      <c r="E46" s="13">
        <v>0.504</v>
      </c>
      <c r="F46" s="1" t="s">
        <v>83</v>
      </c>
      <c r="G46" s="6">
        <v>7300030628</v>
      </c>
      <c r="H46" s="10">
        <v>45019</v>
      </c>
      <c r="I46" s="9">
        <v>54030</v>
      </c>
    </row>
    <row r="47" spans="1:9">
      <c r="A47" s="1"/>
      <c r="B47" s="3"/>
      <c r="C47" s="1"/>
      <c r="D47" s="1"/>
      <c r="E47" s="11">
        <f>SUM(E42:E46)</f>
        <v>8.6689999999999987</v>
      </c>
      <c r="F47" s="1"/>
      <c r="G47" s="6"/>
      <c r="H47" s="10"/>
      <c r="I47" s="9"/>
    </row>
    <row r="48" spans="1:9">
      <c r="A48" s="1" t="s">
        <v>186</v>
      </c>
      <c r="B48" s="3">
        <v>45034</v>
      </c>
      <c r="C48" s="1" t="s">
        <v>61</v>
      </c>
      <c r="D48" s="1" t="s">
        <v>78</v>
      </c>
      <c r="E48" s="19">
        <v>0.37</v>
      </c>
      <c r="F48" s="17" t="s">
        <v>97</v>
      </c>
      <c r="G48" s="6">
        <v>7300030632</v>
      </c>
      <c r="H48" s="10">
        <v>45019</v>
      </c>
      <c r="I48" s="9">
        <v>59920</v>
      </c>
    </row>
    <row r="49" spans="1:9">
      <c r="A49" s="1"/>
      <c r="B49" s="3"/>
      <c r="C49" s="1"/>
      <c r="D49" s="1"/>
      <c r="E49" s="20">
        <f>SUM(E48)</f>
        <v>0.37</v>
      </c>
      <c r="F49" s="1"/>
      <c r="G49" s="6"/>
      <c r="H49" s="10"/>
      <c r="I49" s="9"/>
    </row>
    <row r="50" spans="1:9">
      <c r="A50" s="1" t="s">
        <v>242</v>
      </c>
      <c r="B50" s="3">
        <v>45037</v>
      </c>
      <c r="C50" s="1" t="s">
        <v>13</v>
      </c>
      <c r="D50" s="1" t="s">
        <v>11</v>
      </c>
      <c r="E50" s="19">
        <v>2.7360000000000002</v>
      </c>
      <c r="F50" s="1" t="s">
        <v>228</v>
      </c>
      <c r="G50" s="6">
        <v>7300030324</v>
      </c>
      <c r="H50" s="10">
        <v>44999</v>
      </c>
      <c r="I50" s="9">
        <v>72230</v>
      </c>
    </row>
    <row r="51" spans="1:9">
      <c r="A51" s="1" t="s">
        <v>242</v>
      </c>
      <c r="B51" s="3">
        <v>45037</v>
      </c>
      <c r="C51" s="1" t="s">
        <v>58</v>
      </c>
      <c r="D51" s="1" t="s">
        <v>11</v>
      </c>
      <c r="E51" s="19">
        <v>0.54400000000000004</v>
      </c>
      <c r="F51" s="1" t="s">
        <v>228</v>
      </c>
      <c r="G51" s="6">
        <v>7300030324</v>
      </c>
      <c r="H51" s="10">
        <v>44999</v>
      </c>
      <c r="I51" s="9">
        <v>59920</v>
      </c>
    </row>
    <row r="52" spans="1:9">
      <c r="A52" s="1" t="s">
        <v>242</v>
      </c>
      <c r="B52" s="3">
        <v>45037</v>
      </c>
      <c r="C52" s="1" t="s">
        <v>61</v>
      </c>
      <c r="D52" s="1" t="s">
        <v>11</v>
      </c>
      <c r="E52" s="19">
        <v>4.3849999999999998</v>
      </c>
      <c r="F52" s="1" t="s">
        <v>228</v>
      </c>
      <c r="G52" s="6">
        <v>7300030324</v>
      </c>
      <c r="H52" s="10">
        <v>44999</v>
      </c>
      <c r="I52" s="9">
        <v>59920</v>
      </c>
    </row>
    <row r="53" spans="1:9">
      <c r="A53" s="1" t="s">
        <v>242</v>
      </c>
      <c r="B53" s="3">
        <v>45037</v>
      </c>
      <c r="C53" s="1" t="s">
        <v>58</v>
      </c>
      <c r="D53" s="1" t="s">
        <v>11</v>
      </c>
      <c r="E53" s="19">
        <v>0.65700000000000003</v>
      </c>
      <c r="F53" s="1" t="s">
        <v>228</v>
      </c>
      <c r="G53" s="6">
        <v>7300030324</v>
      </c>
      <c r="H53" s="10">
        <v>44999</v>
      </c>
      <c r="I53" s="9">
        <v>59920</v>
      </c>
    </row>
    <row r="54" spans="1:9">
      <c r="A54" s="1"/>
      <c r="B54" s="3"/>
      <c r="C54" s="1"/>
      <c r="D54" s="1"/>
      <c r="E54" s="20">
        <f>SUM(E50:E53)</f>
        <v>8.3219999999999992</v>
      </c>
      <c r="F54" s="1"/>
      <c r="G54" s="6"/>
      <c r="H54" s="10"/>
      <c r="I54" s="9"/>
    </row>
    <row r="55" spans="1:9">
      <c r="A55" s="1"/>
      <c r="B55" s="3"/>
      <c r="C55" s="1"/>
      <c r="D55" s="1"/>
      <c r="E55" s="20"/>
      <c r="F55" s="1"/>
      <c r="G55" s="6"/>
      <c r="H55" s="10"/>
      <c r="I55" s="9"/>
    </row>
    <row r="56" spans="1:9">
      <c r="A56" s="1"/>
      <c r="B56" s="3"/>
      <c r="C56" s="1"/>
      <c r="D56" s="1"/>
      <c r="E56" s="20"/>
      <c r="F56" s="1"/>
      <c r="G56" s="6"/>
      <c r="H56" s="10"/>
      <c r="I56" s="9"/>
    </row>
    <row r="57" spans="1:9">
      <c r="A57" s="1"/>
      <c r="B57" s="3"/>
      <c r="C57" s="1"/>
      <c r="D57" s="1"/>
      <c r="E57" s="11"/>
      <c r="F57" s="1"/>
      <c r="G57" s="6"/>
      <c r="H57" s="10"/>
      <c r="I57" s="9"/>
    </row>
    <row r="58" spans="1:9">
      <c r="A58" s="1"/>
      <c r="B58" s="3"/>
      <c r="C58" s="1"/>
      <c r="D58" s="1"/>
      <c r="E58" s="6"/>
      <c r="F58" s="1"/>
      <c r="G58" s="6"/>
      <c r="H58" s="10"/>
      <c r="I58" s="9"/>
    </row>
    <row r="59" spans="1:9">
      <c r="A59" s="6"/>
      <c r="B59" s="10"/>
      <c r="C59" s="6"/>
      <c r="D59" s="2" t="s">
        <v>14</v>
      </c>
      <c r="E59" s="11">
        <f>SUM(E3:E58)/2</f>
        <v>216.70699999999994</v>
      </c>
      <c r="F59" s="6"/>
      <c r="G59" s="1"/>
      <c r="H59" s="12"/>
      <c r="I59" s="9"/>
    </row>
  </sheetData>
  <pageMargins left="0.7" right="0.7" top="0.75" bottom="0.75" header="0.3" footer="0.3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6"/>
  <sheetViews>
    <sheetView topLeftCell="A46" workbookViewId="0">
      <selection activeCell="E56" sqref="E56"/>
    </sheetView>
  </sheetViews>
  <sheetFormatPr defaultRowHeight="15"/>
  <cols>
    <col min="1" max="1" width="18.28515625" customWidth="1"/>
    <col min="2" max="2" width="10.28515625" bestFit="1" customWidth="1"/>
    <col min="3" max="3" width="30.5703125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>
      <c r="A1" s="8" t="s">
        <v>648</v>
      </c>
      <c r="F1"/>
    </row>
    <row r="2" spans="1:9" s="8" customFormat="1" ht="26.25" customHeight="1">
      <c r="A2" s="2" t="s">
        <v>5</v>
      </c>
      <c r="B2" s="2" t="s">
        <v>6</v>
      </c>
      <c r="C2" s="2" t="s">
        <v>7</v>
      </c>
      <c r="D2" s="2" t="s">
        <v>0</v>
      </c>
      <c r="E2" s="2" t="s">
        <v>9</v>
      </c>
      <c r="F2" s="28" t="s">
        <v>2</v>
      </c>
      <c r="G2" s="5" t="s">
        <v>3</v>
      </c>
      <c r="H2" s="2" t="s">
        <v>4</v>
      </c>
      <c r="I2" s="7" t="s">
        <v>8</v>
      </c>
    </row>
    <row r="3" spans="1:9">
      <c r="A3" s="15" t="s">
        <v>318</v>
      </c>
      <c r="B3" s="16">
        <v>45045</v>
      </c>
      <c r="C3" s="6" t="s">
        <v>282</v>
      </c>
      <c r="D3" s="1" t="s">
        <v>78</v>
      </c>
      <c r="E3" s="21">
        <v>2.097</v>
      </c>
      <c r="F3" s="24" t="s">
        <v>116</v>
      </c>
      <c r="G3" s="1" t="s">
        <v>320</v>
      </c>
      <c r="H3" s="1" t="s">
        <v>130</v>
      </c>
      <c r="I3" s="3">
        <v>45023</v>
      </c>
    </row>
    <row r="4" spans="1:9">
      <c r="A4" s="15" t="s">
        <v>318</v>
      </c>
      <c r="B4" s="16">
        <v>45045</v>
      </c>
      <c r="C4" s="6" t="s">
        <v>319</v>
      </c>
      <c r="D4" s="1" t="s">
        <v>78</v>
      </c>
      <c r="E4" s="21">
        <v>6.0839999999999996</v>
      </c>
      <c r="F4" s="24" t="s">
        <v>116</v>
      </c>
      <c r="G4" s="1" t="s">
        <v>320</v>
      </c>
      <c r="H4" s="1" t="s">
        <v>130</v>
      </c>
      <c r="I4" s="3">
        <v>45023</v>
      </c>
    </row>
    <row r="5" spans="1:9">
      <c r="A5" s="15" t="s">
        <v>318</v>
      </c>
      <c r="B5" s="16">
        <v>45045</v>
      </c>
      <c r="C5" s="6" t="s">
        <v>226</v>
      </c>
      <c r="D5" s="1" t="s">
        <v>78</v>
      </c>
      <c r="E5" s="21">
        <f>14.313+3.58</f>
        <v>17.893000000000001</v>
      </c>
      <c r="F5" s="24" t="s">
        <v>116</v>
      </c>
      <c r="G5" s="1" t="s">
        <v>320</v>
      </c>
      <c r="H5" s="1" t="s">
        <v>130</v>
      </c>
      <c r="I5" s="3">
        <v>45023</v>
      </c>
    </row>
    <row r="6" spans="1:9">
      <c r="A6" s="15" t="s">
        <v>318</v>
      </c>
      <c r="B6" s="16">
        <v>45045</v>
      </c>
      <c r="C6" s="6" t="s">
        <v>200</v>
      </c>
      <c r="D6" s="1" t="s">
        <v>78</v>
      </c>
      <c r="E6" s="21">
        <v>5.8140000000000001</v>
      </c>
      <c r="F6" s="24" t="s">
        <v>116</v>
      </c>
      <c r="G6" s="1" t="s">
        <v>320</v>
      </c>
      <c r="H6" s="1" t="s">
        <v>130</v>
      </c>
      <c r="I6" s="3">
        <v>45023</v>
      </c>
    </row>
    <row r="7" spans="1:9">
      <c r="A7" s="1"/>
      <c r="B7" s="3"/>
      <c r="C7" s="6"/>
      <c r="D7" s="1"/>
      <c r="E7" s="41">
        <f>SUM(E3:E6)</f>
        <v>31.887999999999998</v>
      </c>
      <c r="F7" s="24"/>
      <c r="G7" s="1"/>
      <c r="H7" s="1"/>
      <c r="I7" s="3"/>
    </row>
    <row r="8" spans="1:9">
      <c r="A8" s="15" t="s">
        <v>321</v>
      </c>
      <c r="B8" s="16">
        <v>45046</v>
      </c>
      <c r="C8" s="6" t="s">
        <v>319</v>
      </c>
      <c r="D8" s="1" t="s">
        <v>78</v>
      </c>
      <c r="E8" s="21">
        <v>4.4000000000000004</v>
      </c>
      <c r="F8" s="24" t="s">
        <v>294</v>
      </c>
      <c r="G8" s="1" t="s">
        <v>322</v>
      </c>
      <c r="H8" s="1" t="s">
        <v>130</v>
      </c>
      <c r="I8" s="3">
        <v>45023</v>
      </c>
    </row>
    <row r="9" spans="1:9">
      <c r="A9" s="15" t="s">
        <v>321</v>
      </c>
      <c r="B9" s="16">
        <v>45046</v>
      </c>
      <c r="C9" s="6" t="s">
        <v>195</v>
      </c>
      <c r="D9" s="1" t="s">
        <v>78</v>
      </c>
      <c r="E9" s="21">
        <f>17.468+8.893</f>
        <v>26.361000000000001</v>
      </c>
      <c r="F9" s="24" t="s">
        <v>294</v>
      </c>
      <c r="G9" s="1" t="s">
        <v>322</v>
      </c>
      <c r="H9" s="1" t="s">
        <v>130</v>
      </c>
      <c r="I9" s="3">
        <v>45023</v>
      </c>
    </row>
    <row r="10" spans="1:9">
      <c r="A10" s="15" t="s">
        <v>323</v>
      </c>
      <c r="B10" s="16">
        <v>45046</v>
      </c>
      <c r="C10" s="6" t="s">
        <v>195</v>
      </c>
      <c r="D10" s="1" t="s">
        <v>78</v>
      </c>
      <c r="E10" s="32">
        <v>1.319</v>
      </c>
      <c r="F10" s="24" t="s">
        <v>294</v>
      </c>
      <c r="G10" s="1" t="s">
        <v>324</v>
      </c>
      <c r="H10" s="1" t="s">
        <v>176</v>
      </c>
      <c r="I10" s="3">
        <v>45023</v>
      </c>
    </row>
    <row r="11" spans="1:9">
      <c r="A11" s="15" t="s">
        <v>325</v>
      </c>
      <c r="B11" s="16">
        <v>45046</v>
      </c>
      <c r="C11" s="6" t="s">
        <v>226</v>
      </c>
      <c r="D11" s="1" t="s">
        <v>78</v>
      </c>
      <c r="E11" s="32">
        <v>10.577</v>
      </c>
      <c r="F11" s="24" t="s">
        <v>238</v>
      </c>
      <c r="G11" s="1" t="s">
        <v>326</v>
      </c>
      <c r="H11" s="1" t="s">
        <v>130</v>
      </c>
      <c r="I11" s="3">
        <v>45023</v>
      </c>
    </row>
    <row r="12" spans="1:9">
      <c r="A12" s="15" t="s">
        <v>325</v>
      </c>
      <c r="B12" s="16">
        <v>45046</v>
      </c>
      <c r="C12" s="6" t="s">
        <v>310</v>
      </c>
      <c r="D12" s="1" t="s">
        <v>78</v>
      </c>
      <c r="E12" s="32">
        <f>7.216+3.757</f>
        <v>10.973000000000001</v>
      </c>
      <c r="F12" s="24" t="s">
        <v>238</v>
      </c>
      <c r="G12" s="1" t="s">
        <v>326</v>
      </c>
      <c r="H12" s="1" t="s">
        <v>130</v>
      </c>
      <c r="I12" s="3">
        <v>45023</v>
      </c>
    </row>
    <row r="13" spans="1:9">
      <c r="A13" s="15" t="s">
        <v>325</v>
      </c>
      <c r="B13" s="16">
        <v>45046</v>
      </c>
      <c r="C13" s="6" t="s">
        <v>260</v>
      </c>
      <c r="D13" s="1" t="s">
        <v>78</v>
      </c>
      <c r="E13" s="32">
        <v>4.58</v>
      </c>
      <c r="F13" s="24" t="s">
        <v>238</v>
      </c>
      <c r="G13" s="1" t="s">
        <v>326</v>
      </c>
      <c r="H13" s="1" t="s">
        <v>130</v>
      </c>
      <c r="I13" s="3">
        <v>45023</v>
      </c>
    </row>
    <row r="14" spans="1:9">
      <c r="A14" s="15" t="s">
        <v>327</v>
      </c>
      <c r="B14" s="16">
        <v>45046</v>
      </c>
      <c r="C14" s="6" t="s">
        <v>226</v>
      </c>
      <c r="D14" s="1" t="s">
        <v>78</v>
      </c>
      <c r="E14" s="21">
        <v>6.702</v>
      </c>
      <c r="F14" s="24" t="s">
        <v>238</v>
      </c>
      <c r="G14" s="1" t="s">
        <v>328</v>
      </c>
      <c r="H14" s="1" t="s">
        <v>176</v>
      </c>
      <c r="I14" s="3">
        <v>45023</v>
      </c>
    </row>
    <row r="15" spans="1:9">
      <c r="A15" s="1"/>
      <c r="B15" s="3"/>
      <c r="C15" s="6"/>
      <c r="D15" s="1"/>
      <c r="E15" s="41">
        <f>SUM(E8:E14)</f>
        <v>64.912000000000006</v>
      </c>
      <c r="F15" s="24"/>
      <c r="G15" s="1"/>
      <c r="H15" s="1"/>
      <c r="I15" s="3"/>
    </row>
    <row r="16" spans="1:9">
      <c r="A16" s="15" t="s">
        <v>330</v>
      </c>
      <c r="B16" s="16">
        <v>45048</v>
      </c>
      <c r="C16" s="6" t="s">
        <v>310</v>
      </c>
      <c r="D16" s="1" t="s">
        <v>78</v>
      </c>
      <c r="E16" s="21">
        <v>1.3879999999999999</v>
      </c>
      <c r="F16" s="24" t="s">
        <v>116</v>
      </c>
      <c r="G16" s="1" t="s">
        <v>331</v>
      </c>
      <c r="H16" s="1" t="s">
        <v>130</v>
      </c>
      <c r="I16" s="3">
        <v>45023</v>
      </c>
    </row>
    <row r="17" spans="1:9">
      <c r="A17" s="15" t="s">
        <v>330</v>
      </c>
      <c r="B17" s="16">
        <v>45048</v>
      </c>
      <c r="C17" s="6" t="s">
        <v>260</v>
      </c>
      <c r="D17" s="1" t="s">
        <v>78</v>
      </c>
      <c r="E17" s="21">
        <f>11.467+10.107</f>
        <v>21.573999999999998</v>
      </c>
      <c r="F17" s="24" t="s">
        <v>116</v>
      </c>
      <c r="G17" s="1" t="s">
        <v>331</v>
      </c>
      <c r="H17" s="1" t="s">
        <v>130</v>
      </c>
      <c r="I17" s="3">
        <v>45023</v>
      </c>
    </row>
    <row r="18" spans="1:9">
      <c r="A18" s="15" t="s">
        <v>332</v>
      </c>
      <c r="B18" s="16">
        <v>45048</v>
      </c>
      <c r="C18" s="6" t="s">
        <v>260</v>
      </c>
      <c r="D18" s="1" t="s">
        <v>78</v>
      </c>
      <c r="E18" s="21">
        <v>8.2669999999999995</v>
      </c>
      <c r="F18" s="24" t="s">
        <v>116</v>
      </c>
      <c r="G18" s="1" t="s">
        <v>320</v>
      </c>
      <c r="H18" s="1" t="s">
        <v>176</v>
      </c>
      <c r="I18" s="3">
        <v>45023</v>
      </c>
    </row>
    <row r="19" spans="1:9">
      <c r="A19" s="1"/>
      <c r="B19" s="3"/>
      <c r="C19" s="6"/>
      <c r="D19" s="1"/>
      <c r="E19" s="41">
        <f>SUM(E16:E18)</f>
        <v>31.228999999999996</v>
      </c>
      <c r="F19" s="24"/>
      <c r="G19" s="1"/>
      <c r="H19" s="1"/>
      <c r="I19" s="3"/>
    </row>
    <row r="20" spans="1:9">
      <c r="A20" s="15" t="s">
        <v>333</v>
      </c>
      <c r="B20" s="16">
        <v>45050</v>
      </c>
      <c r="C20" s="6" t="s">
        <v>196</v>
      </c>
      <c r="D20" s="1" t="s">
        <v>78</v>
      </c>
      <c r="E20" s="21">
        <f>9.612+15.683</f>
        <v>25.295000000000002</v>
      </c>
      <c r="F20" s="24" t="s">
        <v>267</v>
      </c>
      <c r="G20" s="14" t="s">
        <v>337</v>
      </c>
      <c r="H20" s="1" t="s">
        <v>130</v>
      </c>
      <c r="I20" s="3">
        <v>45023</v>
      </c>
    </row>
    <row r="21" spans="1:9">
      <c r="A21" s="15" t="s">
        <v>334</v>
      </c>
      <c r="B21" s="16">
        <v>45050</v>
      </c>
      <c r="C21" s="6" t="s">
        <v>196</v>
      </c>
      <c r="D21" s="1" t="s">
        <v>78</v>
      </c>
      <c r="E21" s="21">
        <v>7.8920000000000003</v>
      </c>
      <c r="F21" s="24" t="s">
        <v>267</v>
      </c>
      <c r="G21" s="14" t="s">
        <v>338</v>
      </c>
      <c r="H21" s="1" t="s">
        <v>176</v>
      </c>
      <c r="I21" s="3">
        <v>45023</v>
      </c>
    </row>
    <row r="22" spans="1:9">
      <c r="A22" s="15" t="s">
        <v>335</v>
      </c>
      <c r="B22" s="16">
        <v>45050</v>
      </c>
      <c r="C22" s="6" t="s">
        <v>196</v>
      </c>
      <c r="D22" s="1" t="s">
        <v>78</v>
      </c>
      <c r="E22" s="21">
        <v>25.186</v>
      </c>
      <c r="F22" s="24" t="s">
        <v>86</v>
      </c>
      <c r="G22" s="14" t="s">
        <v>339</v>
      </c>
      <c r="H22" s="1" t="s">
        <v>130</v>
      </c>
      <c r="I22" s="3">
        <v>45023</v>
      </c>
    </row>
    <row r="23" spans="1:9">
      <c r="A23" s="15" t="s">
        <v>336</v>
      </c>
      <c r="B23" s="16">
        <v>45050</v>
      </c>
      <c r="C23" s="6" t="s">
        <v>196</v>
      </c>
      <c r="D23" s="1" t="s">
        <v>78</v>
      </c>
      <c r="E23" s="21">
        <v>8.2260000000000009</v>
      </c>
      <c r="F23" s="24" t="s">
        <v>86</v>
      </c>
      <c r="G23" s="14" t="s">
        <v>340</v>
      </c>
      <c r="H23" s="1" t="s">
        <v>176</v>
      </c>
      <c r="I23" s="3">
        <v>45023</v>
      </c>
    </row>
    <row r="24" spans="1:9">
      <c r="A24" s="1"/>
      <c r="B24" s="3"/>
      <c r="C24" s="6"/>
      <c r="D24" s="1"/>
      <c r="E24" s="41">
        <f>SUM(E20:E23)</f>
        <v>66.599000000000004</v>
      </c>
      <c r="F24" s="24"/>
      <c r="G24" s="4"/>
      <c r="H24" s="1"/>
      <c r="I24" s="3"/>
    </row>
    <row r="25" spans="1:9">
      <c r="A25" s="15" t="s">
        <v>347</v>
      </c>
      <c r="B25" s="16">
        <v>45052</v>
      </c>
      <c r="C25" s="6" t="s">
        <v>283</v>
      </c>
      <c r="D25" s="1" t="s">
        <v>78</v>
      </c>
      <c r="E25" s="21">
        <v>5.774</v>
      </c>
      <c r="F25" s="24" t="s">
        <v>83</v>
      </c>
      <c r="G25" s="1" t="s">
        <v>349</v>
      </c>
      <c r="H25" s="1" t="s">
        <v>130</v>
      </c>
      <c r="I25" s="3">
        <v>45023</v>
      </c>
    </row>
    <row r="26" spans="1:9">
      <c r="A26" s="15" t="s">
        <v>347</v>
      </c>
      <c r="B26" s="16">
        <v>45052</v>
      </c>
      <c r="C26" s="6" t="s">
        <v>195</v>
      </c>
      <c r="D26" s="1" t="s">
        <v>78</v>
      </c>
      <c r="E26" s="21">
        <v>3.3079999999999998</v>
      </c>
      <c r="F26" s="24" t="s">
        <v>83</v>
      </c>
      <c r="G26" s="1" t="s">
        <v>349</v>
      </c>
      <c r="H26" s="1" t="s">
        <v>130</v>
      </c>
      <c r="I26" s="3">
        <v>45023</v>
      </c>
    </row>
    <row r="27" spans="1:9">
      <c r="A27" s="15" t="s">
        <v>347</v>
      </c>
      <c r="B27" s="16">
        <v>45052</v>
      </c>
      <c r="C27" s="6" t="s">
        <v>254</v>
      </c>
      <c r="D27" s="1" t="s">
        <v>78</v>
      </c>
      <c r="E27" s="21">
        <v>2.786</v>
      </c>
      <c r="F27" s="24" t="s">
        <v>83</v>
      </c>
      <c r="G27" s="1" t="s">
        <v>349</v>
      </c>
      <c r="H27" s="1" t="s">
        <v>130</v>
      </c>
      <c r="I27" s="3">
        <v>45023</v>
      </c>
    </row>
    <row r="28" spans="1:9">
      <c r="A28" s="15" t="s">
        <v>347</v>
      </c>
      <c r="B28" s="16">
        <v>45052</v>
      </c>
      <c r="C28" s="6" t="s">
        <v>311</v>
      </c>
      <c r="D28" s="1" t="s">
        <v>78</v>
      </c>
      <c r="E28" s="21">
        <v>3.78</v>
      </c>
      <c r="F28" s="24" t="s">
        <v>83</v>
      </c>
      <c r="G28" s="1" t="s">
        <v>349</v>
      </c>
      <c r="H28" s="1" t="s">
        <v>130</v>
      </c>
      <c r="I28" s="3">
        <v>45023</v>
      </c>
    </row>
    <row r="29" spans="1:9">
      <c r="A29" s="15" t="s">
        <v>347</v>
      </c>
      <c r="B29" s="16">
        <v>45052</v>
      </c>
      <c r="C29" s="6" t="s">
        <v>348</v>
      </c>
      <c r="D29" s="1" t="s">
        <v>78</v>
      </c>
      <c r="E29" s="21">
        <v>1.4430000000000001</v>
      </c>
      <c r="F29" s="24" t="s">
        <v>83</v>
      </c>
      <c r="G29" s="1" t="s">
        <v>349</v>
      </c>
      <c r="H29" s="1" t="s">
        <v>130</v>
      </c>
      <c r="I29" s="3">
        <v>45023</v>
      </c>
    </row>
    <row r="30" spans="1:9">
      <c r="A30" s="15" t="s">
        <v>347</v>
      </c>
      <c r="B30" s="16">
        <v>45052</v>
      </c>
      <c r="C30" s="6" t="s">
        <v>196</v>
      </c>
      <c r="D30" s="1" t="s">
        <v>78</v>
      </c>
      <c r="E30" s="21">
        <v>3.05</v>
      </c>
      <c r="F30" s="24" t="s">
        <v>83</v>
      </c>
      <c r="G30" s="1" t="s">
        <v>349</v>
      </c>
      <c r="H30" s="1" t="s">
        <v>130</v>
      </c>
      <c r="I30" s="3">
        <v>45023</v>
      </c>
    </row>
    <row r="31" spans="1:9">
      <c r="A31" s="15" t="s">
        <v>347</v>
      </c>
      <c r="B31" s="16">
        <v>45052</v>
      </c>
      <c r="C31" s="6" t="s">
        <v>226</v>
      </c>
      <c r="D31" s="1" t="s">
        <v>78</v>
      </c>
      <c r="E31" s="21">
        <v>2.61</v>
      </c>
      <c r="F31" s="24" t="s">
        <v>83</v>
      </c>
      <c r="G31" s="1" t="s">
        <v>349</v>
      </c>
      <c r="H31" s="1" t="s">
        <v>130</v>
      </c>
      <c r="I31" s="3">
        <v>45023</v>
      </c>
    </row>
    <row r="32" spans="1:9">
      <c r="A32" s="15" t="s">
        <v>350</v>
      </c>
      <c r="B32" s="16">
        <v>45052</v>
      </c>
      <c r="C32" s="6" t="s">
        <v>226</v>
      </c>
      <c r="D32" s="1" t="s">
        <v>78</v>
      </c>
      <c r="E32" s="21">
        <v>2.0710000000000002</v>
      </c>
      <c r="F32" s="24" t="s">
        <v>83</v>
      </c>
      <c r="G32" s="1" t="s">
        <v>351</v>
      </c>
      <c r="H32" s="1" t="s">
        <v>176</v>
      </c>
      <c r="I32" s="3">
        <v>45023</v>
      </c>
    </row>
    <row r="33" spans="1:9">
      <c r="A33" s="15" t="s">
        <v>352</v>
      </c>
      <c r="B33" s="16">
        <v>45052</v>
      </c>
      <c r="C33" s="6" t="s">
        <v>283</v>
      </c>
      <c r="D33" s="1" t="s">
        <v>78</v>
      </c>
      <c r="E33" s="21">
        <v>0.873</v>
      </c>
      <c r="F33" s="24" t="s">
        <v>83</v>
      </c>
      <c r="G33" s="1" t="s">
        <v>351</v>
      </c>
      <c r="H33" s="1" t="s">
        <v>193</v>
      </c>
      <c r="I33" s="3">
        <v>45026</v>
      </c>
    </row>
    <row r="34" spans="1:9">
      <c r="A34" s="15" t="s">
        <v>353</v>
      </c>
      <c r="B34" s="16">
        <v>45052</v>
      </c>
      <c r="C34" s="6" t="s">
        <v>234</v>
      </c>
      <c r="D34" s="1" t="s">
        <v>78</v>
      </c>
      <c r="E34" s="21">
        <v>0.36699999999999999</v>
      </c>
      <c r="F34" s="24" t="s">
        <v>83</v>
      </c>
      <c r="G34" s="14" t="s">
        <v>351</v>
      </c>
      <c r="H34" s="18" t="s">
        <v>77</v>
      </c>
      <c r="I34" s="16">
        <v>45019</v>
      </c>
    </row>
    <row r="35" spans="1:9">
      <c r="A35" s="15" t="s">
        <v>353</v>
      </c>
      <c r="B35" s="16">
        <v>45052</v>
      </c>
      <c r="C35" s="6" t="s">
        <v>231</v>
      </c>
      <c r="D35" s="1" t="s">
        <v>78</v>
      </c>
      <c r="E35" s="21">
        <v>0.14199999999999999</v>
      </c>
      <c r="F35" s="24" t="s">
        <v>83</v>
      </c>
      <c r="G35" s="14" t="s">
        <v>351</v>
      </c>
      <c r="H35" s="18" t="s">
        <v>77</v>
      </c>
      <c r="I35" s="16">
        <v>45019</v>
      </c>
    </row>
    <row r="36" spans="1:9">
      <c r="A36" s="1"/>
      <c r="B36" s="3"/>
      <c r="C36" s="6"/>
      <c r="D36" s="1"/>
      <c r="E36" s="41">
        <f>SUM(E25:E35)</f>
        <v>26.204000000000004</v>
      </c>
      <c r="F36" s="24"/>
      <c r="G36" s="1"/>
      <c r="H36" s="1"/>
      <c r="I36" s="3"/>
    </row>
    <row r="37" spans="1:9">
      <c r="A37" s="15" t="s">
        <v>355</v>
      </c>
      <c r="B37" s="16">
        <v>45058</v>
      </c>
      <c r="C37" s="6" t="s">
        <v>224</v>
      </c>
      <c r="D37" s="1" t="s">
        <v>11</v>
      </c>
      <c r="E37" s="21">
        <v>3.145</v>
      </c>
      <c r="F37" s="24" t="s">
        <v>356</v>
      </c>
      <c r="G37" s="27" t="s">
        <v>357</v>
      </c>
      <c r="H37" s="18" t="s">
        <v>359</v>
      </c>
      <c r="I37" s="16">
        <v>45043</v>
      </c>
    </row>
    <row r="38" spans="1:9">
      <c r="A38" s="15" t="s">
        <v>361</v>
      </c>
      <c r="B38" s="16">
        <v>45058</v>
      </c>
      <c r="C38" s="6" t="s">
        <v>224</v>
      </c>
      <c r="D38" s="1" t="s">
        <v>11</v>
      </c>
      <c r="E38" s="21">
        <f>7.008+14.668</f>
        <v>21.675999999999998</v>
      </c>
      <c r="F38" s="24" t="s">
        <v>356</v>
      </c>
      <c r="G38" s="27" t="s">
        <v>358</v>
      </c>
      <c r="H38" s="18" t="s">
        <v>360</v>
      </c>
      <c r="I38" s="16">
        <v>45043</v>
      </c>
    </row>
    <row r="39" spans="1:9">
      <c r="A39" s="1"/>
      <c r="B39" s="3"/>
      <c r="C39" s="6"/>
      <c r="D39" s="1"/>
      <c r="E39" s="41">
        <f>SUM(E37:E38)</f>
        <v>24.820999999999998</v>
      </c>
      <c r="F39" s="24"/>
      <c r="G39" s="1"/>
      <c r="H39" s="1"/>
      <c r="I39" s="3"/>
    </row>
    <row r="40" spans="1:9">
      <c r="A40" s="15" t="s">
        <v>362</v>
      </c>
      <c r="B40" s="16">
        <v>45059</v>
      </c>
      <c r="C40" s="6" t="s">
        <v>363</v>
      </c>
      <c r="D40" s="1" t="s">
        <v>11</v>
      </c>
      <c r="E40" s="22">
        <v>24.687000000000001</v>
      </c>
      <c r="F40" s="24" t="s">
        <v>137</v>
      </c>
      <c r="G40" s="1" t="s">
        <v>364</v>
      </c>
      <c r="H40" s="18" t="s">
        <v>359</v>
      </c>
      <c r="I40" s="16">
        <v>45043</v>
      </c>
    </row>
    <row r="41" spans="1:9">
      <c r="A41" s="15"/>
      <c r="B41" s="16"/>
      <c r="C41" s="6"/>
      <c r="D41" s="1"/>
      <c r="E41" s="41">
        <f>SUM(E40)</f>
        <v>24.687000000000001</v>
      </c>
      <c r="F41" s="24"/>
      <c r="G41" s="1"/>
      <c r="H41" s="18"/>
      <c r="I41" s="16"/>
    </row>
    <row r="42" spans="1:9">
      <c r="A42" s="15" t="s">
        <v>366</v>
      </c>
      <c r="B42" s="16">
        <v>45059</v>
      </c>
      <c r="C42" s="6" t="s">
        <v>365</v>
      </c>
      <c r="D42" s="1" t="s">
        <v>11</v>
      </c>
      <c r="E42" s="21">
        <f>0.321+5.682</f>
        <v>6.0030000000000001</v>
      </c>
      <c r="F42" s="24" t="s">
        <v>368</v>
      </c>
      <c r="G42" s="1" t="s">
        <v>369</v>
      </c>
      <c r="H42" s="18" t="s">
        <v>359</v>
      </c>
      <c r="I42" s="16">
        <v>45043</v>
      </c>
    </row>
    <row r="43" spans="1:9">
      <c r="A43" s="15" t="s">
        <v>366</v>
      </c>
      <c r="B43" s="16">
        <v>45059</v>
      </c>
      <c r="C43" s="6" t="s">
        <v>343</v>
      </c>
      <c r="D43" s="1" t="s">
        <v>11</v>
      </c>
      <c r="E43" s="21">
        <v>5.1319999999999997</v>
      </c>
      <c r="F43" s="24" t="s">
        <v>368</v>
      </c>
      <c r="G43" s="1" t="s">
        <v>369</v>
      </c>
      <c r="H43" s="18" t="s">
        <v>359</v>
      </c>
      <c r="I43" s="16">
        <v>45043</v>
      </c>
    </row>
    <row r="44" spans="1:9">
      <c r="A44" s="15" t="s">
        <v>367</v>
      </c>
      <c r="B44" s="16">
        <v>45059</v>
      </c>
      <c r="C44" s="6" t="s">
        <v>365</v>
      </c>
      <c r="D44" s="1" t="s">
        <v>11</v>
      </c>
      <c r="E44" s="21">
        <v>2.4630000000000001</v>
      </c>
      <c r="F44" s="24" t="s">
        <v>368</v>
      </c>
      <c r="G44" s="1" t="s">
        <v>370</v>
      </c>
      <c r="H44" s="18" t="s">
        <v>360</v>
      </c>
      <c r="I44" s="16">
        <v>45043</v>
      </c>
    </row>
    <row r="45" spans="1:9">
      <c r="A45" s="15" t="s">
        <v>367</v>
      </c>
      <c r="B45" s="16">
        <v>45059</v>
      </c>
      <c r="C45" s="6" t="s">
        <v>365</v>
      </c>
      <c r="D45" s="1" t="s">
        <v>11</v>
      </c>
      <c r="E45" s="21">
        <v>10.757</v>
      </c>
      <c r="F45" s="24" t="s">
        <v>368</v>
      </c>
      <c r="G45" s="1" t="s">
        <v>370</v>
      </c>
      <c r="H45" s="18" t="s">
        <v>360</v>
      </c>
      <c r="I45" s="16">
        <v>45043</v>
      </c>
    </row>
    <row r="46" spans="1:9">
      <c r="A46" s="1"/>
      <c r="B46" s="3"/>
      <c r="C46" s="6"/>
      <c r="D46" s="1"/>
      <c r="E46" s="41">
        <f>SUM(E42:E45)</f>
        <v>24.354999999999997</v>
      </c>
      <c r="F46" s="24"/>
      <c r="G46" s="1"/>
      <c r="H46" s="1"/>
      <c r="I46" s="3"/>
    </row>
    <row r="47" spans="1:9">
      <c r="A47" s="15" t="s">
        <v>371</v>
      </c>
      <c r="B47" s="16">
        <v>45060</v>
      </c>
      <c r="C47" s="6" t="s">
        <v>224</v>
      </c>
      <c r="D47" s="1" t="s">
        <v>11</v>
      </c>
      <c r="E47" s="21">
        <f>13.189+2.76</f>
        <v>15.949</v>
      </c>
      <c r="F47" s="24" t="s">
        <v>36</v>
      </c>
      <c r="G47" s="1" t="s">
        <v>372</v>
      </c>
      <c r="H47" s="18" t="s">
        <v>359</v>
      </c>
      <c r="I47" s="16">
        <v>45043</v>
      </c>
    </row>
    <row r="48" spans="1:9">
      <c r="A48" s="15" t="s">
        <v>373</v>
      </c>
      <c r="B48" s="16">
        <v>45060</v>
      </c>
      <c r="C48" s="6" t="s">
        <v>224</v>
      </c>
      <c r="D48" s="1" t="s">
        <v>11</v>
      </c>
      <c r="E48" s="21">
        <v>1.548</v>
      </c>
      <c r="F48" s="24" t="s">
        <v>36</v>
      </c>
      <c r="G48" s="1" t="s">
        <v>374</v>
      </c>
      <c r="H48" s="18" t="s">
        <v>360</v>
      </c>
      <c r="I48" s="16">
        <v>45043</v>
      </c>
    </row>
    <row r="49" spans="1:9">
      <c r="A49" s="15" t="s">
        <v>373</v>
      </c>
      <c r="B49" s="16">
        <v>45060</v>
      </c>
      <c r="C49" s="6" t="s">
        <v>224</v>
      </c>
      <c r="D49" s="1" t="s">
        <v>11</v>
      </c>
      <c r="E49" s="21">
        <v>7.6180000000000003</v>
      </c>
      <c r="F49" s="24" t="s">
        <v>36</v>
      </c>
      <c r="G49" s="1" t="s">
        <v>374</v>
      </c>
      <c r="H49" s="18" t="s">
        <v>360</v>
      </c>
      <c r="I49" s="16">
        <v>45043</v>
      </c>
    </row>
    <row r="50" spans="1:9">
      <c r="A50" s="15" t="s">
        <v>375</v>
      </c>
      <c r="B50" s="16">
        <v>45060</v>
      </c>
      <c r="C50" s="6" t="s">
        <v>343</v>
      </c>
      <c r="D50" s="1" t="s">
        <v>11</v>
      </c>
      <c r="E50" s="21">
        <v>8.1590000000000007</v>
      </c>
      <c r="F50" s="24" t="s">
        <v>356</v>
      </c>
      <c r="G50" s="1" t="s">
        <v>378</v>
      </c>
      <c r="H50" s="18" t="s">
        <v>359</v>
      </c>
      <c r="I50" s="16">
        <v>45043</v>
      </c>
    </row>
    <row r="51" spans="1:9">
      <c r="A51" s="15" t="s">
        <v>375</v>
      </c>
      <c r="B51" s="16">
        <v>45060</v>
      </c>
      <c r="C51" s="6" t="s">
        <v>377</v>
      </c>
      <c r="D51" s="1" t="s">
        <v>11</v>
      </c>
      <c r="E51" s="21">
        <v>3.81</v>
      </c>
      <c r="F51" s="24" t="s">
        <v>356</v>
      </c>
      <c r="G51" s="1" t="s">
        <v>378</v>
      </c>
      <c r="H51" s="18" t="s">
        <v>359</v>
      </c>
      <c r="I51" s="16">
        <v>45043</v>
      </c>
    </row>
    <row r="52" spans="1:9">
      <c r="A52" s="15" t="s">
        <v>375</v>
      </c>
      <c r="B52" s="16">
        <v>45060</v>
      </c>
      <c r="C52" s="6" t="s">
        <v>365</v>
      </c>
      <c r="D52" s="1" t="s">
        <v>11</v>
      </c>
      <c r="E52" s="21">
        <f>1.497+4.501</f>
        <v>5.9980000000000002</v>
      </c>
      <c r="F52" s="24" t="s">
        <v>356</v>
      </c>
      <c r="G52" s="1" t="s">
        <v>378</v>
      </c>
      <c r="H52" s="18" t="s">
        <v>359</v>
      </c>
      <c r="I52" s="16">
        <v>45043</v>
      </c>
    </row>
    <row r="53" spans="1:9">
      <c r="A53" s="15" t="s">
        <v>375</v>
      </c>
      <c r="B53" s="16">
        <v>45060</v>
      </c>
      <c r="C53" s="6" t="s">
        <v>225</v>
      </c>
      <c r="D53" s="1" t="s">
        <v>11</v>
      </c>
      <c r="E53" s="21">
        <v>4.827</v>
      </c>
      <c r="F53" s="24" t="s">
        <v>356</v>
      </c>
      <c r="G53" s="1" t="s">
        <v>378</v>
      </c>
      <c r="H53" s="18" t="s">
        <v>359</v>
      </c>
      <c r="I53" s="16">
        <v>45043</v>
      </c>
    </row>
    <row r="54" spans="1:9">
      <c r="A54" s="15" t="s">
        <v>376</v>
      </c>
      <c r="B54" s="16">
        <v>45060</v>
      </c>
      <c r="C54" s="6" t="s">
        <v>365</v>
      </c>
      <c r="D54" s="1" t="s">
        <v>11</v>
      </c>
      <c r="E54" s="21">
        <v>1.095</v>
      </c>
      <c r="F54" s="24" t="s">
        <v>356</v>
      </c>
      <c r="G54" s="1" t="s">
        <v>379</v>
      </c>
      <c r="H54" s="18" t="s">
        <v>360</v>
      </c>
      <c r="I54" s="16">
        <v>45043</v>
      </c>
    </row>
    <row r="55" spans="1:9">
      <c r="A55" s="15" t="s">
        <v>376</v>
      </c>
      <c r="B55" s="16">
        <v>45060</v>
      </c>
      <c r="C55" s="6" t="s">
        <v>365</v>
      </c>
      <c r="D55" s="1" t="s">
        <v>11</v>
      </c>
      <c r="E55" s="21">
        <v>0.96599999999999997</v>
      </c>
      <c r="F55" s="24" t="s">
        <v>356</v>
      </c>
      <c r="G55" s="1" t="s">
        <v>379</v>
      </c>
      <c r="H55" s="18" t="s">
        <v>360</v>
      </c>
      <c r="I55" s="16">
        <v>45043</v>
      </c>
    </row>
    <row r="56" spans="1:9">
      <c r="A56" s="1"/>
      <c r="B56" s="3"/>
      <c r="C56" s="6"/>
      <c r="D56" s="1"/>
      <c r="E56" s="41">
        <f>SUM(E47:E55)</f>
        <v>49.97</v>
      </c>
      <c r="F56" s="24"/>
      <c r="G56" s="1"/>
      <c r="H56" s="1"/>
      <c r="I56" s="3"/>
    </row>
    <row r="57" spans="1:9">
      <c r="A57" s="15" t="s">
        <v>380</v>
      </c>
      <c r="B57" s="16">
        <v>45061</v>
      </c>
      <c r="C57" s="6" t="s">
        <v>224</v>
      </c>
      <c r="D57" s="1" t="s">
        <v>11</v>
      </c>
      <c r="E57" s="22">
        <v>5.2409999999999997</v>
      </c>
      <c r="F57" s="24" t="s">
        <v>89</v>
      </c>
      <c r="G57" s="1" t="s">
        <v>381</v>
      </c>
      <c r="H57" s="18" t="s">
        <v>359</v>
      </c>
      <c r="I57" s="16">
        <v>45043</v>
      </c>
    </row>
    <row r="58" spans="1:9">
      <c r="A58" s="15" t="s">
        <v>380</v>
      </c>
      <c r="B58" s="16">
        <v>45061</v>
      </c>
      <c r="C58" s="6" t="s">
        <v>225</v>
      </c>
      <c r="D58" s="1" t="s">
        <v>11</v>
      </c>
      <c r="E58" s="22">
        <v>2.718</v>
      </c>
      <c r="F58" s="24" t="s">
        <v>89</v>
      </c>
      <c r="G58" s="1" t="s">
        <v>381</v>
      </c>
      <c r="H58" s="18" t="s">
        <v>359</v>
      </c>
      <c r="I58" s="16">
        <v>45043</v>
      </c>
    </row>
    <row r="59" spans="1:9">
      <c r="A59" s="15" t="s">
        <v>380</v>
      </c>
      <c r="B59" s="16">
        <v>45061</v>
      </c>
      <c r="C59" s="6" t="s">
        <v>363</v>
      </c>
      <c r="D59" s="1" t="s">
        <v>11</v>
      </c>
      <c r="E59" s="48">
        <v>14.263999999999999</v>
      </c>
      <c r="F59" s="24" t="s">
        <v>89</v>
      </c>
      <c r="G59" s="1" t="s">
        <v>381</v>
      </c>
      <c r="H59" s="18" t="s">
        <v>359</v>
      </c>
      <c r="I59" s="16">
        <v>45043</v>
      </c>
    </row>
    <row r="60" spans="1:9">
      <c r="A60" s="15" t="s">
        <v>382</v>
      </c>
      <c r="B60" s="16">
        <v>45061</v>
      </c>
      <c r="C60" s="6" t="s">
        <v>224</v>
      </c>
      <c r="D60" s="1" t="s">
        <v>11</v>
      </c>
      <c r="E60" s="32">
        <v>2.3919999999999999</v>
      </c>
      <c r="F60" s="24" t="s">
        <v>89</v>
      </c>
      <c r="G60" s="1" t="s">
        <v>383</v>
      </c>
      <c r="H60" s="18" t="s">
        <v>360</v>
      </c>
      <c r="I60" s="16">
        <v>45043</v>
      </c>
    </row>
    <row r="61" spans="1:9">
      <c r="A61" s="15" t="s">
        <v>385</v>
      </c>
      <c r="B61" s="16">
        <v>45061</v>
      </c>
      <c r="C61" s="6" t="s">
        <v>377</v>
      </c>
      <c r="D61" s="1" t="s">
        <v>11</v>
      </c>
      <c r="E61" s="32">
        <v>3.806</v>
      </c>
      <c r="F61" s="24" t="s">
        <v>386</v>
      </c>
      <c r="G61" s="1" t="s">
        <v>387</v>
      </c>
      <c r="H61" s="18" t="s">
        <v>359</v>
      </c>
      <c r="I61" s="16">
        <v>45043</v>
      </c>
    </row>
    <row r="62" spans="1:9">
      <c r="A62" s="15" t="s">
        <v>385</v>
      </c>
      <c r="B62" s="16">
        <v>45061</v>
      </c>
      <c r="C62" s="6" t="s">
        <v>363</v>
      </c>
      <c r="D62" s="1" t="s">
        <v>11</v>
      </c>
      <c r="E62" s="32">
        <v>8.9789999999999992</v>
      </c>
      <c r="F62" s="24" t="s">
        <v>386</v>
      </c>
      <c r="G62" s="1" t="s">
        <v>387</v>
      </c>
      <c r="H62" s="18" t="s">
        <v>359</v>
      </c>
      <c r="I62" s="16">
        <v>45043</v>
      </c>
    </row>
    <row r="63" spans="1:9">
      <c r="A63" s="15" t="s">
        <v>385</v>
      </c>
      <c r="B63" s="16">
        <v>45061</v>
      </c>
      <c r="C63" s="6" t="s">
        <v>384</v>
      </c>
      <c r="D63" s="1" t="s">
        <v>11</v>
      </c>
      <c r="E63" s="32">
        <f>5.73+3.637</f>
        <v>9.3670000000000009</v>
      </c>
      <c r="F63" s="24" t="s">
        <v>386</v>
      </c>
      <c r="G63" s="1" t="s">
        <v>387</v>
      </c>
      <c r="H63" s="18" t="s">
        <v>359</v>
      </c>
      <c r="I63" s="16">
        <v>45043</v>
      </c>
    </row>
    <row r="64" spans="1:9">
      <c r="A64" s="15" t="s">
        <v>385</v>
      </c>
      <c r="B64" s="16">
        <v>45061</v>
      </c>
      <c r="C64" s="6" t="s">
        <v>224</v>
      </c>
      <c r="D64" s="1" t="s">
        <v>11</v>
      </c>
      <c r="E64" s="32">
        <v>1.802</v>
      </c>
      <c r="F64" s="24" t="s">
        <v>386</v>
      </c>
      <c r="G64" s="1" t="s">
        <v>387</v>
      </c>
      <c r="H64" s="18" t="s">
        <v>359</v>
      </c>
      <c r="I64" s="16">
        <v>45043</v>
      </c>
    </row>
    <row r="65" spans="1:9">
      <c r="A65" s="15" t="s">
        <v>388</v>
      </c>
      <c r="B65" s="16">
        <v>45061</v>
      </c>
      <c r="C65" s="47" t="s">
        <v>224</v>
      </c>
      <c r="D65" s="1" t="s">
        <v>11</v>
      </c>
      <c r="E65" s="22">
        <v>0.90100000000000002</v>
      </c>
      <c r="F65" s="24" t="s">
        <v>386</v>
      </c>
      <c r="G65" s="1" t="s">
        <v>389</v>
      </c>
      <c r="H65" s="18" t="s">
        <v>360</v>
      </c>
      <c r="I65" s="16">
        <v>45043</v>
      </c>
    </row>
    <row r="66" spans="1:9">
      <c r="A66" s="1"/>
      <c r="B66" s="3"/>
      <c r="C66" s="6"/>
      <c r="D66" s="1"/>
      <c r="E66" s="41">
        <f>SUM(E57:E65)</f>
        <v>49.47</v>
      </c>
      <c r="F66" s="24"/>
      <c r="G66" s="1"/>
      <c r="H66" s="1"/>
      <c r="I66" s="3"/>
    </row>
    <row r="67" spans="1:9">
      <c r="A67" s="15" t="s">
        <v>391</v>
      </c>
      <c r="B67" s="16">
        <v>45062</v>
      </c>
      <c r="C67" s="6" t="s">
        <v>363</v>
      </c>
      <c r="D67" s="1" t="s">
        <v>78</v>
      </c>
      <c r="E67" s="22">
        <v>1.0680000000000001</v>
      </c>
      <c r="F67" s="24" t="s">
        <v>392</v>
      </c>
      <c r="G67" s="1" t="s">
        <v>393</v>
      </c>
      <c r="H67" s="18" t="s">
        <v>394</v>
      </c>
      <c r="I67" s="16">
        <v>45059</v>
      </c>
    </row>
    <row r="68" spans="1:9">
      <c r="A68" s="15" t="s">
        <v>391</v>
      </c>
      <c r="B68" s="16">
        <v>45062</v>
      </c>
      <c r="C68" s="6" t="s">
        <v>390</v>
      </c>
      <c r="D68" s="1" t="s">
        <v>78</v>
      </c>
      <c r="E68" s="22">
        <v>0.36099999999999999</v>
      </c>
      <c r="F68" s="24" t="s">
        <v>392</v>
      </c>
      <c r="G68" s="1" t="s">
        <v>393</v>
      </c>
      <c r="H68" s="18" t="s">
        <v>394</v>
      </c>
      <c r="I68" s="16">
        <v>45059</v>
      </c>
    </row>
    <row r="69" spans="1:9">
      <c r="A69" s="15" t="s">
        <v>391</v>
      </c>
      <c r="B69" s="16">
        <v>45062</v>
      </c>
      <c r="C69" s="6" t="s">
        <v>208</v>
      </c>
      <c r="D69" s="1" t="s">
        <v>78</v>
      </c>
      <c r="E69" s="22">
        <v>0.53300000000000003</v>
      </c>
      <c r="F69" s="24" t="s">
        <v>392</v>
      </c>
      <c r="G69" s="1" t="s">
        <v>393</v>
      </c>
      <c r="H69" s="18" t="s">
        <v>394</v>
      </c>
      <c r="I69" s="16">
        <v>45059</v>
      </c>
    </row>
    <row r="70" spans="1:9">
      <c r="A70" s="15" t="s">
        <v>391</v>
      </c>
      <c r="B70" s="16">
        <v>45062</v>
      </c>
      <c r="C70" s="6" t="s">
        <v>226</v>
      </c>
      <c r="D70" s="1" t="s">
        <v>78</v>
      </c>
      <c r="E70" s="22">
        <v>0.35299999999999998</v>
      </c>
      <c r="F70" s="24" t="s">
        <v>392</v>
      </c>
      <c r="G70" s="1" t="s">
        <v>393</v>
      </c>
      <c r="H70" s="18" t="s">
        <v>394</v>
      </c>
      <c r="I70" s="16">
        <v>45059</v>
      </c>
    </row>
    <row r="71" spans="1:9">
      <c r="A71" s="15" t="s">
        <v>391</v>
      </c>
      <c r="B71" s="16">
        <v>45062</v>
      </c>
      <c r="C71" s="6" t="s">
        <v>231</v>
      </c>
      <c r="D71" s="1" t="s">
        <v>78</v>
      </c>
      <c r="E71" s="22">
        <v>1.502</v>
      </c>
      <c r="F71" s="24" t="s">
        <v>392</v>
      </c>
      <c r="G71" s="1" t="s">
        <v>393</v>
      </c>
      <c r="H71" s="18" t="s">
        <v>394</v>
      </c>
      <c r="I71" s="16">
        <v>45059</v>
      </c>
    </row>
    <row r="72" spans="1:9">
      <c r="A72" s="1"/>
      <c r="B72" s="3"/>
      <c r="C72" s="6"/>
      <c r="D72" s="1"/>
      <c r="E72" s="41">
        <f>SUM(E67:E71)</f>
        <v>3.8170000000000002</v>
      </c>
      <c r="F72" s="24"/>
      <c r="G72" s="1"/>
      <c r="H72" s="1"/>
      <c r="I72" s="3"/>
    </row>
    <row r="73" spans="1:9">
      <c r="A73" s="15" t="s">
        <v>395</v>
      </c>
      <c r="B73" s="16">
        <v>45070</v>
      </c>
      <c r="C73" s="6" t="s">
        <v>377</v>
      </c>
      <c r="D73" s="1" t="s">
        <v>11</v>
      </c>
      <c r="E73" s="21">
        <v>1.1990000000000001</v>
      </c>
      <c r="F73" s="24" t="s">
        <v>22</v>
      </c>
      <c r="G73" s="1" t="s">
        <v>396</v>
      </c>
      <c r="H73" s="18" t="s">
        <v>359</v>
      </c>
      <c r="I73" s="16">
        <v>45043</v>
      </c>
    </row>
    <row r="74" spans="1:9">
      <c r="A74" s="15" t="s">
        <v>395</v>
      </c>
      <c r="B74" s="16">
        <v>45070</v>
      </c>
      <c r="C74" s="6" t="s">
        <v>363</v>
      </c>
      <c r="D74" s="1" t="s">
        <v>11</v>
      </c>
      <c r="E74" s="21">
        <v>2.5179999999999998</v>
      </c>
      <c r="F74" s="24" t="s">
        <v>22</v>
      </c>
      <c r="G74" s="1" t="s">
        <v>396</v>
      </c>
      <c r="H74" s="18" t="s">
        <v>359</v>
      </c>
      <c r="I74" s="16">
        <v>45043</v>
      </c>
    </row>
    <row r="75" spans="1:9">
      <c r="A75" s="15" t="s">
        <v>395</v>
      </c>
      <c r="B75" s="16">
        <v>45070</v>
      </c>
      <c r="C75" s="6" t="s">
        <v>363</v>
      </c>
      <c r="D75" s="1" t="s">
        <v>11</v>
      </c>
      <c r="E75" s="21">
        <v>1.143</v>
      </c>
      <c r="F75" s="24" t="s">
        <v>22</v>
      </c>
      <c r="G75" s="1" t="s">
        <v>396</v>
      </c>
      <c r="H75" s="18" t="s">
        <v>359</v>
      </c>
      <c r="I75" s="16">
        <v>45043</v>
      </c>
    </row>
    <row r="76" spans="1:9">
      <c r="A76" s="15" t="s">
        <v>395</v>
      </c>
      <c r="B76" s="16">
        <v>45070</v>
      </c>
      <c r="C76" s="6" t="s">
        <v>225</v>
      </c>
      <c r="D76" s="1" t="s">
        <v>11</v>
      </c>
      <c r="E76" s="21">
        <v>3.0150000000000001</v>
      </c>
      <c r="F76" s="24" t="s">
        <v>22</v>
      </c>
      <c r="G76" s="1" t="s">
        <v>396</v>
      </c>
      <c r="H76" s="18" t="s">
        <v>359</v>
      </c>
      <c r="I76" s="16">
        <v>45043</v>
      </c>
    </row>
    <row r="77" spans="1:9">
      <c r="A77" s="15" t="s">
        <v>395</v>
      </c>
      <c r="B77" s="16">
        <v>45070</v>
      </c>
      <c r="C77" s="6" t="s">
        <v>224</v>
      </c>
      <c r="D77" s="1" t="s">
        <v>11</v>
      </c>
      <c r="E77" s="21">
        <v>0.39300000000000002</v>
      </c>
      <c r="F77" s="24" t="s">
        <v>22</v>
      </c>
      <c r="G77" s="1" t="s">
        <v>396</v>
      </c>
      <c r="H77" s="18" t="s">
        <v>359</v>
      </c>
      <c r="I77" s="16">
        <v>45043</v>
      </c>
    </row>
    <row r="78" spans="1:9">
      <c r="A78" s="15" t="s">
        <v>395</v>
      </c>
      <c r="B78" s="16">
        <v>45070</v>
      </c>
      <c r="C78" s="6" t="s">
        <v>196</v>
      </c>
      <c r="D78" s="1" t="s">
        <v>11</v>
      </c>
      <c r="E78" s="21">
        <v>3.5009999999999999</v>
      </c>
      <c r="F78" s="24" t="s">
        <v>22</v>
      </c>
      <c r="G78" s="1" t="s">
        <v>396</v>
      </c>
      <c r="H78" s="18" t="s">
        <v>359</v>
      </c>
      <c r="I78" s="16">
        <v>45043</v>
      </c>
    </row>
    <row r="79" spans="1:9">
      <c r="A79" s="15" t="s">
        <v>397</v>
      </c>
      <c r="B79" s="16">
        <v>45070</v>
      </c>
      <c r="C79" s="6" t="s">
        <v>224</v>
      </c>
      <c r="D79" s="1" t="s">
        <v>11</v>
      </c>
      <c r="E79" s="21">
        <v>1.4690000000000001</v>
      </c>
      <c r="F79" s="24" t="s">
        <v>22</v>
      </c>
      <c r="G79" s="1" t="s">
        <v>396</v>
      </c>
      <c r="H79" s="18" t="s">
        <v>360</v>
      </c>
      <c r="I79" s="16">
        <v>45043</v>
      </c>
    </row>
    <row r="80" spans="1:9">
      <c r="A80" s="15" t="s">
        <v>397</v>
      </c>
      <c r="B80" s="16">
        <v>45070</v>
      </c>
      <c r="C80" s="6" t="s">
        <v>224</v>
      </c>
      <c r="D80" s="1" t="s">
        <v>11</v>
      </c>
      <c r="E80" s="21">
        <v>1.1060000000000001</v>
      </c>
      <c r="F80" s="24" t="s">
        <v>22</v>
      </c>
      <c r="G80" s="1" t="s">
        <v>396</v>
      </c>
      <c r="H80" s="18" t="s">
        <v>360</v>
      </c>
      <c r="I80" s="16">
        <v>45043</v>
      </c>
    </row>
    <row r="81" spans="1:9">
      <c r="A81" s="15" t="s">
        <v>397</v>
      </c>
      <c r="B81" s="16">
        <v>45070</v>
      </c>
      <c r="C81" s="6" t="s">
        <v>365</v>
      </c>
      <c r="D81" s="1" t="s">
        <v>11</v>
      </c>
      <c r="E81" s="21">
        <v>2.04</v>
      </c>
      <c r="F81" s="24" t="s">
        <v>22</v>
      </c>
      <c r="G81" s="1" t="s">
        <v>396</v>
      </c>
      <c r="H81" s="18" t="s">
        <v>360</v>
      </c>
      <c r="I81" s="16">
        <v>45043</v>
      </c>
    </row>
    <row r="82" spans="1:9">
      <c r="A82" s="15" t="s">
        <v>397</v>
      </c>
      <c r="B82" s="16">
        <v>45070</v>
      </c>
      <c r="C82" s="6" t="s">
        <v>196</v>
      </c>
      <c r="D82" s="1" t="s">
        <v>11</v>
      </c>
      <c r="E82" s="21">
        <v>4.5140000000000002</v>
      </c>
      <c r="F82" s="24" t="s">
        <v>22</v>
      </c>
      <c r="G82" s="1" t="s">
        <v>396</v>
      </c>
      <c r="H82" s="18" t="s">
        <v>360</v>
      </c>
      <c r="I82" s="16">
        <v>45043</v>
      </c>
    </row>
    <row r="83" spans="1:9">
      <c r="A83" s="15" t="s">
        <v>397</v>
      </c>
      <c r="B83" s="16">
        <v>45070</v>
      </c>
      <c r="C83" s="6" t="s">
        <v>342</v>
      </c>
      <c r="D83" s="1" t="s">
        <v>11</v>
      </c>
      <c r="E83" s="21">
        <v>0.42399999999999999</v>
      </c>
      <c r="F83" s="24" t="s">
        <v>22</v>
      </c>
      <c r="G83" s="1" t="s">
        <v>396</v>
      </c>
      <c r="H83" s="18" t="s">
        <v>360</v>
      </c>
      <c r="I83" s="16">
        <v>45043</v>
      </c>
    </row>
    <row r="84" spans="1:9">
      <c r="A84" s="15" t="s">
        <v>399</v>
      </c>
      <c r="B84" s="16">
        <v>45070</v>
      </c>
      <c r="C84" s="6" t="s">
        <v>398</v>
      </c>
      <c r="D84" s="1" t="s">
        <v>11</v>
      </c>
      <c r="E84" s="22">
        <v>3.1749999999999998</v>
      </c>
      <c r="F84" s="24" t="s">
        <v>22</v>
      </c>
      <c r="G84" s="1" t="s">
        <v>396</v>
      </c>
      <c r="H84" s="18" t="s">
        <v>400</v>
      </c>
      <c r="I84" s="16">
        <v>45056</v>
      </c>
    </row>
    <row r="85" spans="1:9">
      <c r="A85" s="1"/>
      <c r="B85" s="3"/>
      <c r="C85" s="6"/>
      <c r="D85" s="1"/>
      <c r="E85" s="41">
        <f>SUM(E73:E84)</f>
        <v>24.497</v>
      </c>
      <c r="F85" s="24"/>
      <c r="G85" s="1"/>
      <c r="H85" s="1"/>
      <c r="I85" s="3"/>
    </row>
    <row r="86" spans="1:9">
      <c r="A86" s="15" t="s">
        <v>401</v>
      </c>
      <c r="B86" s="16">
        <v>45071</v>
      </c>
      <c r="C86" s="6" t="s">
        <v>255</v>
      </c>
      <c r="D86" s="1" t="s">
        <v>78</v>
      </c>
      <c r="E86" s="21">
        <v>13.279</v>
      </c>
      <c r="F86" s="24" t="s">
        <v>116</v>
      </c>
      <c r="G86" s="1" t="s">
        <v>402</v>
      </c>
      <c r="H86" s="18" t="s">
        <v>403</v>
      </c>
      <c r="I86" s="16">
        <v>45043</v>
      </c>
    </row>
    <row r="87" spans="1:9">
      <c r="A87" s="15" t="s">
        <v>404</v>
      </c>
      <c r="B87" s="16">
        <v>45071</v>
      </c>
      <c r="C87" s="6" t="s">
        <v>255</v>
      </c>
      <c r="D87" s="1" t="s">
        <v>78</v>
      </c>
      <c r="E87" s="21">
        <f>5.875+14.253+0.472</f>
        <v>20.6</v>
      </c>
      <c r="F87" s="24" t="s">
        <v>116</v>
      </c>
      <c r="G87" s="1" t="s">
        <v>405</v>
      </c>
      <c r="H87" s="18" t="s">
        <v>406</v>
      </c>
      <c r="I87" s="16">
        <v>45053</v>
      </c>
    </row>
    <row r="88" spans="1:9">
      <c r="A88" s="15" t="s">
        <v>407</v>
      </c>
      <c r="B88" s="16">
        <v>45071</v>
      </c>
      <c r="C88" s="6" t="s">
        <v>255</v>
      </c>
      <c r="D88" s="1" t="s">
        <v>78</v>
      </c>
      <c r="E88" s="21">
        <v>7.7350000000000003</v>
      </c>
      <c r="F88" s="24" t="s">
        <v>97</v>
      </c>
      <c r="G88" s="1" t="s">
        <v>408</v>
      </c>
      <c r="H88" s="18" t="s">
        <v>403</v>
      </c>
      <c r="I88" s="16">
        <v>45043</v>
      </c>
    </row>
    <row r="89" spans="1:9">
      <c r="A89" s="15" t="s">
        <v>407</v>
      </c>
      <c r="B89" s="16">
        <v>45071</v>
      </c>
      <c r="C89" s="6" t="s">
        <v>200</v>
      </c>
      <c r="D89" s="1" t="s">
        <v>78</v>
      </c>
      <c r="E89" s="21">
        <v>9.0380000000000003</v>
      </c>
      <c r="F89" s="24" t="s">
        <v>97</v>
      </c>
      <c r="G89" s="1" t="s">
        <v>408</v>
      </c>
      <c r="H89" s="18" t="s">
        <v>403</v>
      </c>
      <c r="I89" s="16">
        <v>45043</v>
      </c>
    </row>
    <row r="90" spans="1:9">
      <c r="A90" s="15" t="s">
        <v>409</v>
      </c>
      <c r="B90" s="16">
        <v>45071</v>
      </c>
      <c r="C90" s="6" t="s">
        <v>255</v>
      </c>
      <c r="D90" s="1" t="s">
        <v>78</v>
      </c>
      <c r="E90" s="21">
        <f>8.11+7.673</f>
        <v>15.782999999999999</v>
      </c>
      <c r="F90" s="24" t="s">
        <v>97</v>
      </c>
      <c r="G90" s="1" t="s">
        <v>410</v>
      </c>
      <c r="H90" s="18" t="s">
        <v>406</v>
      </c>
      <c r="I90" s="16">
        <v>45053</v>
      </c>
    </row>
    <row r="91" spans="1:9">
      <c r="A91" s="1"/>
      <c r="B91" s="3"/>
      <c r="C91" s="6"/>
      <c r="D91" s="1"/>
      <c r="E91" s="41">
        <f>SUM(E86:E90)</f>
        <v>66.435000000000002</v>
      </c>
      <c r="F91" s="24"/>
      <c r="G91" s="1"/>
      <c r="H91" s="1"/>
      <c r="I91" s="3"/>
    </row>
    <row r="92" spans="1:9">
      <c r="A92" s="15" t="s">
        <v>411</v>
      </c>
      <c r="B92" s="16">
        <v>45072</v>
      </c>
      <c r="C92" s="6" t="s">
        <v>283</v>
      </c>
      <c r="D92" s="1" t="s">
        <v>78</v>
      </c>
      <c r="E92" s="21">
        <v>13.336</v>
      </c>
      <c r="F92" s="24" t="s">
        <v>116</v>
      </c>
      <c r="G92" s="1" t="s">
        <v>412</v>
      </c>
      <c r="H92" s="18" t="s">
        <v>403</v>
      </c>
      <c r="I92" s="16">
        <v>45043</v>
      </c>
    </row>
    <row r="93" spans="1:9">
      <c r="A93" s="15" t="s">
        <v>411</v>
      </c>
      <c r="B93" s="16">
        <v>45072</v>
      </c>
      <c r="C93" s="6" t="s">
        <v>200</v>
      </c>
      <c r="D93" s="1" t="s">
        <v>78</v>
      </c>
      <c r="E93" s="21">
        <f>4.42+4.222</f>
        <v>8.6419999999999995</v>
      </c>
      <c r="F93" s="24" t="s">
        <v>116</v>
      </c>
      <c r="G93" s="1" t="s">
        <v>412</v>
      </c>
      <c r="H93" s="18" t="s">
        <v>403</v>
      </c>
      <c r="I93" s="16">
        <v>45043</v>
      </c>
    </row>
    <row r="94" spans="1:9">
      <c r="A94" s="15" t="s">
        <v>413</v>
      </c>
      <c r="B94" s="16">
        <v>45072</v>
      </c>
      <c r="C94" s="6" t="s">
        <v>283</v>
      </c>
      <c r="D94" s="1" t="s">
        <v>78</v>
      </c>
      <c r="E94" s="21">
        <v>11.587999999999999</v>
      </c>
      <c r="F94" s="24" t="s">
        <v>116</v>
      </c>
      <c r="G94" s="1" t="s">
        <v>414</v>
      </c>
      <c r="H94" s="18" t="s">
        <v>406</v>
      </c>
      <c r="I94" s="16">
        <v>45053</v>
      </c>
    </row>
    <row r="95" spans="1:9">
      <c r="A95" s="15" t="s">
        <v>415</v>
      </c>
      <c r="B95" s="16">
        <v>45072</v>
      </c>
      <c r="C95" s="6" t="s">
        <v>196</v>
      </c>
      <c r="D95" s="1" t="s">
        <v>78</v>
      </c>
      <c r="E95" s="21">
        <v>4.8239999999999998</v>
      </c>
      <c r="F95" s="24" t="s">
        <v>97</v>
      </c>
      <c r="G95" s="1" t="s">
        <v>416</v>
      </c>
      <c r="H95" s="18" t="s">
        <v>403</v>
      </c>
      <c r="I95" s="16">
        <v>45043</v>
      </c>
    </row>
    <row r="96" spans="1:9">
      <c r="A96" s="15" t="s">
        <v>415</v>
      </c>
      <c r="B96" s="16">
        <v>45072</v>
      </c>
      <c r="C96" s="6" t="s">
        <v>255</v>
      </c>
      <c r="D96" s="1" t="s">
        <v>78</v>
      </c>
      <c r="E96" s="21">
        <v>4.407</v>
      </c>
      <c r="F96" s="24" t="s">
        <v>97</v>
      </c>
      <c r="G96" s="1" t="s">
        <v>416</v>
      </c>
      <c r="H96" s="18" t="s">
        <v>403</v>
      </c>
      <c r="I96" s="16">
        <v>45043</v>
      </c>
    </row>
    <row r="97" spans="1:9">
      <c r="A97" s="15" t="s">
        <v>415</v>
      </c>
      <c r="B97" s="16">
        <v>45072</v>
      </c>
      <c r="C97" s="6" t="s">
        <v>200</v>
      </c>
      <c r="D97" s="1" t="s">
        <v>78</v>
      </c>
      <c r="E97" s="21">
        <f>4.27+6.274</f>
        <v>10.544</v>
      </c>
      <c r="F97" s="24" t="s">
        <v>97</v>
      </c>
      <c r="G97" s="1" t="s">
        <v>416</v>
      </c>
      <c r="H97" s="18" t="s">
        <v>403</v>
      </c>
      <c r="I97" s="16">
        <v>45043</v>
      </c>
    </row>
    <row r="98" spans="1:9">
      <c r="A98" s="15" t="s">
        <v>415</v>
      </c>
      <c r="B98" s="16">
        <v>45072</v>
      </c>
      <c r="C98" s="6" t="s">
        <v>205</v>
      </c>
      <c r="D98" s="1" t="s">
        <v>78</v>
      </c>
      <c r="E98" s="21">
        <v>2.589</v>
      </c>
      <c r="F98" s="24" t="s">
        <v>97</v>
      </c>
      <c r="G98" s="1" t="s">
        <v>416</v>
      </c>
      <c r="H98" s="18" t="s">
        <v>403</v>
      </c>
      <c r="I98" s="16">
        <v>45043</v>
      </c>
    </row>
    <row r="99" spans="1:9">
      <c r="A99" s="15" t="s">
        <v>417</v>
      </c>
      <c r="B99" s="16">
        <v>45072</v>
      </c>
      <c r="C99" s="6" t="s">
        <v>196</v>
      </c>
      <c r="D99" s="1" t="s">
        <v>78</v>
      </c>
      <c r="E99" s="21">
        <v>7.8330000000000002</v>
      </c>
      <c r="F99" s="24" t="s">
        <v>97</v>
      </c>
      <c r="G99" s="1" t="s">
        <v>418</v>
      </c>
      <c r="H99" s="18" t="s">
        <v>406</v>
      </c>
      <c r="I99" s="16">
        <v>45053</v>
      </c>
    </row>
    <row r="100" spans="1:9">
      <c r="A100" s="15" t="s">
        <v>417</v>
      </c>
      <c r="B100" s="16">
        <v>45072</v>
      </c>
      <c r="C100" s="6" t="s">
        <v>205</v>
      </c>
      <c r="D100" s="1" t="s">
        <v>78</v>
      </c>
      <c r="E100" s="21">
        <v>3.4129999999999998</v>
      </c>
      <c r="F100" s="24" t="s">
        <v>97</v>
      </c>
      <c r="G100" s="1" t="s">
        <v>418</v>
      </c>
      <c r="H100" s="18" t="s">
        <v>406</v>
      </c>
      <c r="I100" s="16">
        <v>45053</v>
      </c>
    </row>
    <row r="101" spans="1:9">
      <c r="A101" s="1"/>
      <c r="B101" s="16"/>
      <c r="C101" s="6"/>
      <c r="D101" s="1"/>
      <c r="E101" s="41">
        <f>SUM(E92:E100)</f>
        <v>67.175999999999988</v>
      </c>
      <c r="F101" s="24"/>
      <c r="G101" s="1"/>
      <c r="H101" s="1"/>
      <c r="I101" s="3"/>
    </row>
    <row r="102" spans="1:9">
      <c r="A102" s="15" t="s">
        <v>419</v>
      </c>
      <c r="B102" s="16">
        <v>45074</v>
      </c>
      <c r="C102" s="6" t="s">
        <v>200</v>
      </c>
      <c r="D102" s="1" t="s">
        <v>78</v>
      </c>
      <c r="E102" s="21">
        <f>9.276+8.737</f>
        <v>18.012999999999998</v>
      </c>
      <c r="F102" s="24" t="s">
        <v>116</v>
      </c>
      <c r="G102" s="1" t="s">
        <v>422</v>
      </c>
      <c r="H102" s="18" t="s">
        <v>403</v>
      </c>
      <c r="I102" s="16">
        <v>45043</v>
      </c>
    </row>
    <row r="103" spans="1:9">
      <c r="A103" s="15" t="s">
        <v>419</v>
      </c>
      <c r="B103" s="16">
        <v>45074</v>
      </c>
      <c r="C103" s="6" t="s">
        <v>344</v>
      </c>
      <c r="D103" s="1" t="s">
        <v>78</v>
      </c>
      <c r="E103" s="21">
        <v>11.196</v>
      </c>
      <c r="F103" s="24" t="s">
        <v>116</v>
      </c>
      <c r="G103" s="1" t="s">
        <v>422</v>
      </c>
      <c r="H103" s="18" t="s">
        <v>403</v>
      </c>
      <c r="I103" s="16">
        <v>45043</v>
      </c>
    </row>
    <row r="104" spans="1:9">
      <c r="A104" s="15" t="s">
        <v>420</v>
      </c>
      <c r="B104" s="16">
        <v>45074</v>
      </c>
      <c r="C104" s="6" t="s">
        <v>200</v>
      </c>
      <c r="D104" s="1" t="s">
        <v>78</v>
      </c>
      <c r="E104" s="21">
        <v>1.3129999999999999</v>
      </c>
      <c r="F104" s="24" t="s">
        <v>116</v>
      </c>
      <c r="G104" s="1" t="s">
        <v>421</v>
      </c>
      <c r="H104" s="18" t="s">
        <v>406</v>
      </c>
      <c r="I104" s="16">
        <v>45053</v>
      </c>
    </row>
    <row r="105" spans="1:9">
      <c r="A105" s="15" t="s">
        <v>420</v>
      </c>
      <c r="B105" s="16">
        <v>45074</v>
      </c>
      <c r="C105" s="6" t="s">
        <v>344</v>
      </c>
      <c r="D105" s="1" t="s">
        <v>78</v>
      </c>
      <c r="E105" s="32">
        <v>1.923</v>
      </c>
      <c r="F105" s="24" t="s">
        <v>116</v>
      </c>
      <c r="G105" s="1" t="s">
        <v>421</v>
      </c>
      <c r="H105" s="18" t="s">
        <v>406</v>
      </c>
      <c r="I105" s="16">
        <v>45053</v>
      </c>
    </row>
    <row r="106" spans="1:9">
      <c r="A106" s="15" t="s">
        <v>423</v>
      </c>
      <c r="B106" s="16">
        <v>45074</v>
      </c>
      <c r="C106" s="6" t="s">
        <v>345</v>
      </c>
      <c r="D106" s="1" t="s">
        <v>78</v>
      </c>
      <c r="E106" s="32">
        <v>16.664000000000001</v>
      </c>
      <c r="F106" s="24" t="s">
        <v>83</v>
      </c>
      <c r="G106" s="1" t="s">
        <v>425</v>
      </c>
      <c r="H106" s="18" t="s">
        <v>403</v>
      </c>
      <c r="I106" s="16">
        <v>45043</v>
      </c>
    </row>
    <row r="107" spans="1:9">
      <c r="A107" s="15" t="s">
        <v>423</v>
      </c>
      <c r="B107" s="16">
        <v>45074</v>
      </c>
      <c r="C107" s="6" t="s">
        <v>263</v>
      </c>
      <c r="D107" s="1" t="s">
        <v>78</v>
      </c>
      <c r="E107" s="32">
        <v>4.2960000000000003</v>
      </c>
      <c r="F107" s="24" t="s">
        <v>83</v>
      </c>
      <c r="G107" s="1" t="s">
        <v>425</v>
      </c>
      <c r="H107" s="18" t="s">
        <v>403</v>
      </c>
      <c r="I107" s="16">
        <v>45043</v>
      </c>
    </row>
    <row r="108" spans="1:9">
      <c r="A108" s="15" t="s">
        <v>424</v>
      </c>
      <c r="B108" s="16">
        <v>45074</v>
      </c>
      <c r="C108" s="6" t="s">
        <v>345</v>
      </c>
      <c r="D108" s="1" t="s">
        <v>78</v>
      </c>
      <c r="E108" s="32">
        <v>11.772</v>
      </c>
      <c r="F108" s="24" t="s">
        <v>83</v>
      </c>
      <c r="G108" s="1" t="s">
        <v>425</v>
      </c>
      <c r="H108" s="18" t="s">
        <v>406</v>
      </c>
      <c r="I108" s="16">
        <v>45053</v>
      </c>
    </row>
    <row r="109" spans="1:9">
      <c r="A109" s="1"/>
      <c r="B109" s="3"/>
      <c r="C109" s="6"/>
      <c r="D109" s="1"/>
      <c r="E109" s="41">
        <f>SUM(E102:E108)</f>
        <v>65.176999999999992</v>
      </c>
      <c r="F109" s="24"/>
      <c r="G109" s="1"/>
      <c r="H109" s="1"/>
      <c r="I109" s="3"/>
    </row>
    <row r="110" spans="1:9">
      <c r="A110" s="15" t="s">
        <v>426</v>
      </c>
      <c r="B110" s="16">
        <v>45075</v>
      </c>
      <c r="C110" s="6" t="s">
        <v>344</v>
      </c>
      <c r="D110" s="1" t="s">
        <v>78</v>
      </c>
      <c r="E110" s="21">
        <f>6.05+1.63</f>
        <v>7.68</v>
      </c>
      <c r="F110" s="24" t="s">
        <v>116</v>
      </c>
      <c r="G110" s="1" t="s">
        <v>427</v>
      </c>
      <c r="H110" s="18" t="s">
        <v>403</v>
      </c>
      <c r="I110" s="16">
        <v>45043</v>
      </c>
    </row>
    <row r="111" spans="1:9">
      <c r="A111" s="15" t="s">
        <v>426</v>
      </c>
      <c r="B111" s="16">
        <v>45075</v>
      </c>
      <c r="C111" s="6" t="s">
        <v>263</v>
      </c>
      <c r="D111" s="1" t="s">
        <v>78</v>
      </c>
      <c r="E111" s="21">
        <f>4.738+2.603</f>
        <v>7.3410000000000011</v>
      </c>
      <c r="F111" s="24" t="s">
        <v>116</v>
      </c>
      <c r="G111" s="1" t="s">
        <v>427</v>
      </c>
      <c r="H111" s="18" t="s">
        <v>403</v>
      </c>
      <c r="I111" s="16">
        <v>45043</v>
      </c>
    </row>
    <row r="112" spans="1:9">
      <c r="A112" s="15" t="s">
        <v>428</v>
      </c>
      <c r="B112" s="16">
        <v>45075</v>
      </c>
      <c r="C112" s="6" t="s">
        <v>344</v>
      </c>
      <c r="D112" s="1" t="s">
        <v>78</v>
      </c>
      <c r="E112" s="21">
        <v>0.65800000000000003</v>
      </c>
      <c r="F112" s="24" t="s">
        <v>116</v>
      </c>
      <c r="G112" s="1" t="s">
        <v>429</v>
      </c>
      <c r="H112" s="18" t="s">
        <v>406</v>
      </c>
      <c r="I112" s="16">
        <v>45053</v>
      </c>
    </row>
    <row r="113" spans="1:9">
      <c r="A113" s="15" t="s">
        <v>428</v>
      </c>
      <c r="B113" s="16">
        <v>45075</v>
      </c>
      <c r="C113" s="6" t="s">
        <v>209</v>
      </c>
      <c r="D113" s="1" t="s">
        <v>78</v>
      </c>
      <c r="E113" s="21">
        <v>16.212</v>
      </c>
      <c r="F113" s="24" t="s">
        <v>116</v>
      </c>
      <c r="G113" s="1" t="s">
        <v>429</v>
      </c>
      <c r="H113" s="18" t="s">
        <v>406</v>
      </c>
      <c r="I113" s="16">
        <v>45053</v>
      </c>
    </row>
    <row r="114" spans="1:9">
      <c r="A114" s="15" t="s">
        <v>430</v>
      </c>
      <c r="B114" s="16">
        <v>45075</v>
      </c>
      <c r="C114" s="6" t="s">
        <v>208</v>
      </c>
      <c r="D114" s="1" t="s">
        <v>78</v>
      </c>
      <c r="E114" s="21">
        <v>1.63</v>
      </c>
      <c r="F114" s="24" t="s">
        <v>97</v>
      </c>
      <c r="G114" s="1" t="s">
        <v>431</v>
      </c>
      <c r="H114" s="18" t="s">
        <v>403</v>
      </c>
      <c r="I114" s="16">
        <v>45043</v>
      </c>
    </row>
    <row r="115" spans="1:9">
      <c r="A115" s="15" t="s">
        <v>432</v>
      </c>
      <c r="B115" s="16">
        <v>45075</v>
      </c>
      <c r="C115" s="6" t="s">
        <v>208</v>
      </c>
      <c r="D115" s="1" t="s">
        <v>78</v>
      </c>
      <c r="E115" s="21">
        <v>14.003</v>
      </c>
      <c r="F115" s="24" t="s">
        <v>97</v>
      </c>
      <c r="G115" s="1" t="s">
        <v>433</v>
      </c>
      <c r="H115" s="18" t="s">
        <v>406</v>
      </c>
      <c r="I115" s="16">
        <v>45053</v>
      </c>
    </row>
    <row r="116" spans="1:9">
      <c r="A116" s="15" t="s">
        <v>432</v>
      </c>
      <c r="B116" s="16">
        <v>45075</v>
      </c>
      <c r="C116" s="6" t="s">
        <v>209</v>
      </c>
      <c r="D116" s="1" t="s">
        <v>78</v>
      </c>
      <c r="E116" s="32">
        <f>3.828+12.843</f>
        <v>16.670999999999999</v>
      </c>
      <c r="F116" s="24" t="s">
        <v>97</v>
      </c>
      <c r="G116" s="1" t="s">
        <v>433</v>
      </c>
      <c r="H116" s="18" t="s">
        <v>406</v>
      </c>
      <c r="I116" s="16">
        <v>45053</v>
      </c>
    </row>
    <row r="117" spans="1:9">
      <c r="A117" s="15" t="s">
        <v>434</v>
      </c>
      <c r="B117" s="16">
        <v>45075</v>
      </c>
      <c r="C117" s="6" t="s">
        <v>208</v>
      </c>
      <c r="D117" s="1" t="s">
        <v>78</v>
      </c>
      <c r="E117" s="32">
        <v>6.6929999999999996</v>
      </c>
      <c r="F117" s="24" t="s">
        <v>83</v>
      </c>
      <c r="G117" s="1" t="s">
        <v>435</v>
      </c>
      <c r="H117" s="18" t="s">
        <v>403</v>
      </c>
      <c r="I117" s="16">
        <v>45043</v>
      </c>
    </row>
    <row r="118" spans="1:9">
      <c r="A118" s="15" t="s">
        <v>434</v>
      </c>
      <c r="B118" s="16">
        <v>45075</v>
      </c>
      <c r="C118" s="6" t="s">
        <v>345</v>
      </c>
      <c r="D118" s="1" t="s">
        <v>78</v>
      </c>
      <c r="E118" s="32">
        <f>2.066+7.895</f>
        <v>9.9609999999999985</v>
      </c>
      <c r="F118" s="24" t="s">
        <v>83</v>
      </c>
      <c r="G118" s="1" t="s">
        <v>435</v>
      </c>
      <c r="H118" s="18" t="s">
        <v>403</v>
      </c>
      <c r="I118" s="16">
        <v>45043</v>
      </c>
    </row>
    <row r="119" spans="1:9">
      <c r="A119" s="15" t="s">
        <v>436</v>
      </c>
      <c r="B119" s="16">
        <v>45075</v>
      </c>
      <c r="C119" s="6" t="s">
        <v>208</v>
      </c>
      <c r="D119" s="1" t="s">
        <v>78</v>
      </c>
      <c r="E119" s="32">
        <v>13.396000000000001</v>
      </c>
      <c r="F119" s="24" t="s">
        <v>83</v>
      </c>
      <c r="G119" s="1" t="s">
        <v>437</v>
      </c>
      <c r="H119" s="18" t="s">
        <v>406</v>
      </c>
      <c r="I119" s="16">
        <v>45053</v>
      </c>
    </row>
    <row r="120" spans="1:9">
      <c r="A120" s="15" t="s">
        <v>436</v>
      </c>
      <c r="B120" s="16">
        <v>45075</v>
      </c>
      <c r="C120" s="6" t="s">
        <v>345</v>
      </c>
      <c r="D120" s="1" t="s">
        <v>78</v>
      </c>
      <c r="E120" s="32">
        <v>2.3650000000000002</v>
      </c>
      <c r="F120" s="24" t="s">
        <v>83</v>
      </c>
      <c r="G120" s="1" t="s">
        <v>437</v>
      </c>
      <c r="H120" s="18" t="s">
        <v>406</v>
      </c>
      <c r="I120" s="16">
        <v>45053</v>
      </c>
    </row>
    <row r="121" spans="1:9">
      <c r="A121" s="1"/>
      <c r="B121" s="3"/>
      <c r="C121" s="6"/>
      <c r="D121" s="1"/>
      <c r="E121" s="41">
        <f>SUM(E110:E120)</f>
        <v>96.609999999999985</v>
      </c>
      <c r="F121" s="24"/>
      <c r="G121" s="1"/>
      <c r="H121" s="1"/>
      <c r="I121" s="3"/>
    </row>
    <row r="122" spans="1:9">
      <c r="A122" s="15" t="s">
        <v>438</v>
      </c>
      <c r="B122" s="16">
        <v>45076</v>
      </c>
      <c r="C122" s="6" t="s">
        <v>345</v>
      </c>
      <c r="D122" s="1" t="s">
        <v>78</v>
      </c>
      <c r="E122" s="21">
        <f>5.618+3.426</f>
        <v>9.0440000000000005</v>
      </c>
      <c r="F122" s="24" t="s">
        <v>116</v>
      </c>
      <c r="G122" s="1" t="s">
        <v>439</v>
      </c>
      <c r="H122" s="18" t="s">
        <v>440</v>
      </c>
      <c r="I122" s="16">
        <v>45071</v>
      </c>
    </row>
    <row r="123" spans="1:9">
      <c r="A123" s="15" t="s">
        <v>442</v>
      </c>
      <c r="B123" s="16">
        <v>45076</v>
      </c>
      <c r="C123" s="6" t="s">
        <v>345</v>
      </c>
      <c r="D123" s="1" t="s">
        <v>78</v>
      </c>
      <c r="E123" s="21">
        <v>2.7559999999999998</v>
      </c>
      <c r="F123" s="24" t="s">
        <v>116</v>
      </c>
      <c r="G123" s="14" t="s">
        <v>441</v>
      </c>
      <c r="H123" s="18" t="s">
        <v>403</v>
      </c>
      <c r="I123" s="16">
        <v>45043</v>
      </c>
    </row>
    <row r="124" spans="1:9">
      <c r="A124" s="15" t="s">
        <v>442</v>
      </c>
      <c r="B124" s="16">
        <v>45076</v>
      </c>
      <c r="C124" s="6" t="s">
        <v>200</v>
      </c>
      <c r="D124" s="1" t="s">
        <v>78</v>
      </c>
      <c r="E124" s="21">
        <v>2.766</v>
      </c>
      <c r="F124" s="24" t="s">
        <v>116</v>
      </c>
      <c r="G124" s="14" t="s">
        <v>441</v>
      </c>
      <c r="H124" s="18" t="s">
        <v>403</v>
      </c>
      <c r="I124" s="16">
        <v>45043</v>
      </c>
    </row>
    <row r="125" spans="1:9">
      <c r="A125" s="15" t="s">
        <v>442</v>
      </c>
      <c r="B125" s="16">
        <v>45076</v>
      </c>
      <c r="C125" s="6" t="s">
        <v>230</v>
      </c>
      <c r="D125" s="1" t="s">
        <v>78</v>
      </c>
      <c r="E125" s="21">
        <v>2.0819999999999999</v>
      </c>
      <c r="F125" s="24" t="s">
        <v>116</v>
      </c>
      <c r="G125" s="14" t="s">
        <v>441</v>
      </c>
      <c r="H125" s="18" t="s">
        <v>403</v>
      </c>
      <c r="I125" s="16">
        <v>45043</v>
      </c>
    </row>
    <row r="126" spans="1:9">
      <c r="A126" s="15" t="s">
        <v>443</v>
      </c>
      <c r="B126" s="16">
        <v>45076</v>
      </c>
      <c r="C126" s="6" t="s">
        <v>345</v>
      </c>
      <c r="D126" s="1" t="s">
        <v>78</v>
      </c>
      <c r="E126" s="21">
        <v>7.0110000000000001</v>
      </c>
      <c r="F126" s="24" t="s">
        <v>116</v>
      </c>
      <c r="G126" s="14" t="s">
        <v>441</v>
      </c>
      <c r="H126" s="18" t="s">
        <v>406</v>
      </c>
      <c r="I126" s="16">
        <v>45053</v>
      </c>
    </row>
    <row r="127" spans="1:9">
      <c r="A127" s="15" t="s">
        <v>443</v>
      </c>
      <c r="B127" s="16">
        <v>45076</v>
      </c>
      <c r="C127" s="6" t="s">
        <v>231</v>
      </c>
      <c r="D127" s="1" t="s">
        <v>78</v>
      </c>
      <c r="E127" s="21">
        <v>6.0780000000000003</v>
      </c>
      <c r="F127" s="24" t="s">
        <v>116</v>
      </c>
      <c r="G127" s="14" t="s">
        <v>441</v>
      </c>
      <c r="H127" s="18" t="s">
        <v>406</v>
      </c>
      <c r="I127" s="16">
        <v>45053</v>
      </c>
    </row>
    <row r="128" spans="1:9">
      <c r="A128" s="15" t="s">
        <v>444</v>
      </c>
      <c r="B128" s="16">
        <v>45076</v>
      </c>
      <c r="C128" s="6" t="s">
        <v>345</v>
      </c>
      <c r="D128" s="1" t="s">
        <v>78</v>
      </c>
      <c r="E128" s="21">
        <v>1.175</v>
      </c>
      <c r="F128" s="24" t="s">
        <v>116</v>
      </c>
      <c r="G128" s="14" t="s">
        <v>441</v>
      </c>
      <c r="H128" s="18" t="s">
        <v>445</v>
      </c>
      <c r="I128" s="16">
        <v>45071</v>
      </c>
    </row>
    <row r="129" spans="1:11">
      <c r="A129" s="15" t="s">
        <v>446</v>
      </c>
      <c r="B129" s="16">
        <v>45076</v>
      </c>
      <c r="C129" s="6" t="s">
        <v>283</v>
      </c>
      <c r="D129" s="1" t="s">
        <v>78</v>
      </c>
      <c r="E129" s="21">
        <v>0.91900000000000004</v>
      </c>
      <c r="F129" s="24" t="s">
        <v>116</v>
      </c>
      <c r="G129" s="14" t="s">
        <v>441</v>
      </c>
      <c r="H129" s="18" t="s">
        <v>130</v>
      </c>
      <c r="I129" s="16">
        <v>45023</v>
      </c>
    </row>
    <row r="130" spans="1:11">
      <c r="A130" s="15" t="s">
        <v>457</v>
      </c>
      <c r="B130" s="16">
        <v>45076</v>
      </c>
      <c r="C130" s="6" t="s">
        <v>452</v>
      </c>
      <c r="D130" s="1" t="s">
        <v>78</v>
      </c>
      <c r="E130" s="21">
        <v>2.0179999999999998</v>
      </c>
      <c r="F130" s="24" t="s">
        <v>97</v>
      </c>
      <c r="G130" s="14" t="s">
        <v>458</v>
      </c>
      <c r="H130" s="18" t="s">
        <v>445</v>
      </c>
      <c r="I130" s="16">
        <v>45071</v>
      </c>
    </row>
    <row r="131" spans="1:11">
      <c r="A131" s="15" t="s">
        <v>459</v>
      </c>
      <c r="B131" s="16">
        <v>45076</v>
      </c>
      <c r="C131" s="6" t="s">
        <v>200</v>
      </c>
      <c r="D131" s="1" t="s">
        <v>78</v>
      </c>
      <c r="E131" s="21">
        <v>2.0920000000000001</v>
      </c>
      <c r="F131" s="24" t="s">
        <v>97</v>
      </c>
      <c r="G131" s="14" t="s">
        <v>458</v>
      </c>
      <c r="H131" s="18" t="s">
        <v>403</v>
      </c>
      <c r="I131" s="16">
        <v>45043</v>
      </c>
    </row>
    <row r="132" spans="1:11">
      <c r="A132" s="15" t="s">
        <v>459</v>
      </c>
      <c r="B132" s="16">
        <v>45076</v>
      </c>
      <c r="C132" s="6" t="s">
        <v>263</v>
      </c>
      <c r="D132" s="1" t="s">
        <v>78</v>
      </c>
      <c r="E132" s="21">
        <v>0.92300000000000004</v>
      </c>
      <c r="F132" s="24" t="s">
        <v>97</v>
      </c>
      <c r="G132" s="14" t="s">
        <v>458</v>
      </c>
      <c r="H132" s="18" t="s">
        <v>403</v>
      </c>
      <c r="I132" s="16">
        <v>45043</v>
      </c>
    </row>
    <row r="133" spans="1:11">
      <c r="A133" s="15" t="s">
        <v>460</v>
      </c>
      <c r="B133" s="16">
        <v>45076</v>
      </c>
      <c r="C133" s="6" t="s">
        <v>282</v>
      </c>
      <c r="D133" s="1" t="s">
        <v>78</v>
      </c>
      <c r="E133" s="21">
        <v>23.905000000000001</v>
      </c>
      <c r="F133" s="24" t="s">
        <v>97</v>
      </c>
      <c r="G133" s="14" t="s">
        <v>458</v>
      </c>
      <c r="H133" s="18" t="s">
        <v>406</v>
      </c>
      <c r="I133" s="16">
        <v>45053</v>
      </c>
    </row>
    <row r="134" spans="1:11">
      <c r="A134" s="15" t="s">
        <v>460</v>
      </c>
      <c r="B134" s="16">
        <v>45076</v>
      </c>
      <c r="C134" s="6" t="s">
        <v>263</v>
      </c>
      <c r="D134" s="1" t="s">
        <v>78</v>
      </c>
      <c r="E134" s="21">
        <v>1.917</v>
      </c>
      <c r="F134" s="24" t="s">
        <v>97</v>
      </c>
      <c r="G134" s="14" t="s">
        <v>458</v>
      </c>
      <c r="H134" s="18" t="s">
        <v>406</v>
      </c>
      <c r="I134" s="16">
        <v>45053</v>
      </c>
    </row>
    <row r="135" spans="1:11">
      <c r="A135" s="15" t="s">
        <v>460</v>
      </c>
      <c r="B135" s="16">
        <v>45076</v>
      </c>
      <c r="C135" s="6" t="s">
        <v>200</v>
      </c>
      <c r="D135" s="1" t="s">
        <v>78</v>
      </c>
      <c r="E135" s="21">
        <v>1.4890000000000001</v>
      </c>
      <c r="F135" s="24" t="s">
        <v>97</v>
      </c>
      <c r="G135" s="14" t="s">
        <v>458</v>
      </c>
      <c r="H135" s="18" t="s">
        <v>406</v>
      </c>
      <c r="I135" s="16">
        <v>45053</v>
      </c>
    </row>
    <row r="136" spans="1:11">
      <c r="A136" s="1"/>
      <c r="B136" s="16"/>
      <c r="C136" s="6"/>
      <c r="D136" s="1"/>
      <c r="E136" s="41">
        <f>SUM(E122:E135)</f>
        <v>64.174999999999997</v>
      </c>
      <c r="F136" s="24"/>
      <c r="G136" s="1"/>
      <c r="H136" s="1"/>
      <c r="I136" s="3"/>
    </row>
    <row r="137" spans="1:11">
      <c r="A137" s="1"/>
      <c r="B137" s="16"/>
      <c r="C137" s="6"/>
      <c r="D137" s="1"/>
      <c r="E137" s="41"/>
      <c r="F137" s="24"/>
      <c r="G137" s="1"/>
      <c r="H137" s="1"/>
      <c r="I137" s="3"/>
    </row>
    <row r="138" spans="1:11">
      <c r="A138" s="1"/>
      <c r="B138" s="3"/>
      <c r="C138" s="1"/>
      <c r="D138" s="1"/>
      <c r="E138" s="2"/>
      <c r="F138" s="24"/>
      <c r="G138" s="1"/>
      <c r="H138" s="1"/>
      <c r="I138" s="3"/>
    </row>
    <row r="139" spans="1:11">
      <c r="A139" s="1"/>
      <c r="B139" s="3"/>
      <c r="C139" s="1"/>
      <c r="D139" s="2" t="s">
        <v>329</v>
      </c>
      <c r="E139" s="11">
        <f>SUM(E16:E138)/2</f>
        <v>685.22200000000021</v>
      </c>
      <c r="F139" s="24"/>
      <c r="G139" s="1"/>
      <c r="H139" s="1"/>
      <c r="I139" s="3"/>
    </row>
    <row r="140" spans="1:11">
      <c r="A140" s="1"/>
      <c r="B140" s="3"/>
      <c r="C140" s="1"/>
      <c r="D140" s="1"/>
      <c r="E140" s="2"/>
      <c r="F140" s="24"/>
      <c r="G140" s="1"/>
      <c r="H140" s="1"/>
      <c r="I140" s="3"/>
    </row>
    <row r="141" spans="1:11">
      <c r="A141" s="1"/>
      <c r="B141" s="3"/>
      <c r="C141" s="1"/>
      <c r="D141" s="2" t="s">
        <v>354</v>
      </c>
      <c r="E141" s="11">
        <v>96.8</v>
      </c>
      <c r="F141" s="24"/>
      <c r="G141" s="1"/>
      <c r="H141" s="1"/>
      <c r="I141" s="3"/>
    </row>
    <row r="142" spans="1:11">
      <c r="A142" s="1"/>
      <c r="B142" s="3"/>
      <c r="C142" s="1"/>
      <c r="D142" s="1"/>
      <c r="E142" s="4"/>
      <c r="F142" s="24"/>
      <c r="G142" s="1"/>
      <c r="H142" s="1"/>
      <c r="I142" s="3"/>
    </row>
    <row r="143" spans="1:11">
      <c r="A143" s="1"/>
      <c r="B143" s="3"/>
      <c r="C143" s="1"/>
      <c r="D143" s="2"/>
      <c r="E143" s="11">
        <f>+E141+E139</f>
        <v>782.02200000000016</v>
      </c>
      <c r="F143" s="24"/>
      <c r="G143" s="1"/>
      <c r="H143" s="1"/>
      <c r="I143" s="3"/>
      <c r="K143">
        <v>5</v>
      </c>
    </row>
    <row r="144" spans="1:11">
      <c r="A144" s="1"/>
      <c r="B144" s="3"/>
      <c r="C144" s="1"/>
      <c r="D144" s="2"/>
      <c r="E144" s="2"/>
      <c r="F144" s="24"/>
      <c r="G144" s="1"/>
      <c r="H144" s="1"/>
      <c r="I144" s="3"/>
    </row>
    <row r="145" spans="1:9">
      <c r="A145" s="1"/>
      <c r="B145" s="3"/>
      <c r="C145" s="1"/>
      <c r="D145" s="1"/>
      <c r="E145" s="2"/>
      <c r="F145" s="24"/>
      <c r="G145" s="1"/>
      <c r="H145" s="1"/>
      <c r="I145" s="3"/>
    </row>
    <row r="146" spans="1:9">
      <c r="A146" s="1"/>
      <c r="B146" s="3"/>
      <c r="C146" s="1"/>
      <c r="D146" s="1"/>
      <c r="E146" s="2"/>
      <c r="F146" s="24"/>
      <c r="G146" s="1"/>
      <c r="H146" s="1"/>
      <c r="I146" s="3"/>
    </row>
    <row r="147" spans="1:9">
      <c r="A147" s="1"/>
      <c r="B147" s="3"/>
      <c r="C147" s="1"/>
      <c r="D147" s="1"/>
      <c r="E147" s="2"/>
      <c r="F147" s="24"/>
      <c r="G147" s="1"/>
      <c r="H147" s="1"/>
      <c r="I147" s="3"/>
    </row>
    <row r="148" spans="1:9">
      <c r="A148" s="1"/>
      <c r="B148" s="3"/>
      <c r="C148" s="1"/>
      <c r="D148" s="1"/>
      <c r="E148" s="2"/>
      <c r="F148" s="24"/>
      <c r="G148" s="1"/>
      <c r="H148" s="1"/>
      <c r="I148" s="3"/>
    </row>
    <row r="149" spans="1:9">
      <c r="A149" s="1"/>
      <c r="B149" s="3"/>
      <c r="C149" s="1"/>
      <c r="D149" s="1"/>
      <c r="E149" s="2"/>
      <c r="F149" s="24"/>
      <c r="G149" s="1"/>
      <c r="H149" s="1"/>
      <c r="I149" s="3"/>
    </row>
    <row r="150" spans="1:9">
      <c r="A150" s="1"/>
      <c r="B150" s="1"/>
      <c r="C150" s="1"/>
      <c r="D150" s="1"/>
      <c r="E150" s="2"/>
      <c r="F150" s="24"/>
      <c r="G150" s="1"/>
      <c r="H150" s="1"/>
      <c r="I150" s="1"/>
    </row>
    <row r="155" spans="1:9">
      <c r="E155" s="23" t="e">
        <f>+#REF!+#REF!+#REF!</f>
        <v>#REF!</v>
      </c>
    </row>
    <row r="156" spans="1:9">
      <c r="E156">
        <f>+'KEC BB DISP. TRADING APRIL'!E47+'KEC BB DISP. TRADING APRIL'!E49</f>
        <v>9.0389999999999979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69"/>
  <sheetViews>
    <sheetView topLeftCell="A337" workbookViewId="0">
      <selection activeCell="F357" sqref="F357"/>
    </sheetView>
  </sheetViews>
  <sheetFormatPr defaultRowHeight="15"/>
  <cols>
    <col min="1" max="1" width="18.28515625" customWidth="1"/>
    <col min="2" max="2" width="10.28515625" bestFit="1" customWidth="1"/>
    <col min="3" max="3" width="30.5703125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15" t="s">
        <v>447</v>
      </c>
      <c r="B2" s="16">
        <v>45076</v>
      </c>
      <c r="C2" s="6" t="s">
        <v>208</v>
      </c>
      <c r="D2" s="1" t="s">
        <v>78</v>
      </c>
      <c r="E2" s="21">
        <v>2.7709999999999999</v>
      </c>
      <c r="F2" s="24" t="s">
        <v>83</v>
      </c>
      <c r="G2" s="1" t="s">
        <v>448</v>
      </c>
      <c r="H2" s="18" t="s">
        <v>440</v>
      </c>
      <c r="I2" s="16">
        <v>45071</v>
      </c>
    </row>
    <row r="3" spans="1:9">
      <c r="A3" s="15" t="s">
        <v>447</v>
      </c>
      <c r="B3" s="16">
        <v>45076</v>
      </c>
      <c r="C3" s="6" t="s">
        <v>344</v>
      </c>
      <c r="D3" s="1" t="s">
        <v>78</v>
      </c>
      <c r="E3" s="21">
        <f>0.217+1.44</f>
        <v>1.657</v>
      </c>
      <c r="F3" s="24" t="s">
        <v>83</v>
      </c>
      <c r="G3" s="1" t="s">
        <v>448</v>
      </c>
      <c r="H3" s="18" t="s">
        <v>440</v>
      </c>
      <c r="I3" s="16">
        <v>45071</v>
      </c>
    </row>
    <row r="4" spans="1:9">
      <c r="A4" s="15" t="s">
        <v>449</v>
      </c>
      <c r="B4" s="16">
        <v>45076</v>
      </c>
      <c r="C4" s="6" t="s">
        <v>344</v>
      </c>
      <c r="D4" s="1" t="s">
        <v>78</v>
      </c>
      <c r="E4" s="21">
        <v>2.7170000000000001</v>
      </c>
      <c r="F4" s="24" t="s">
        <v>83</v>
      </c>
      <c r="G4" s="1" t="s">
        <v>450</v>
      </c>
      <c r="H4" s="18" t="s">
        <v>451</v>
      </c>
      <c r="I4" s="16">
        <v>45071</v>
      </c>
    </row>
    <row r="5" spans="1:9">
      <c r="A5" s="15" t="s">
        <v>453</v>
      </c>
      <c r="B5" s="16">
        <v>45076</v>
      </c>
      <c r="C5" s="6" t="s">
        <v>452</v>
      </c>
      <c r="D5" s="1" t="s">
        <v>78</v>
      </c>
      <c r="E5" s="21">
        <v>2.7869999999999999</v>
      </c>
      <c r="F5" s="24" t="s">
        <v>83</v>
      </c>
      <c r="G5" s="1" t="s">
        <v>450</v>
      </c>
      <c r="H5" s="18" t="s">
        <v>445</v>
      </c>
      <c r="I5" s="16">
        <v>45071</v>
      </c>
    </row>
    <row r="6" spans="1:9">
      <c r="A6" s="15" t="s">
        <v>454</v>
      </c>
      <c r="B6" s="16">
        <v>45076</v>
      </c>
      <c r="C6" s="6" t="s">
        <v>230</v>
      </c>
      <c r="D6" s="1" t="s">
        <v>78</v>
      </c>
      <c r="E6" s="21">
        <v>2.1909999999999998</v>
      </c>
      <c r="F6" s="24" t="s">
        <v>83</v>
      </c>
      <c r="G6" s="1" t="s">
        <v>450</v>
      </c>
      <c r="H6" s="18" t="s">
        <v>403</v>
      </c>
      <c r="I6" s="16">
        <v>45043</v>
      </c>
    </row>
    <row r="7" spans="1:9">
      <c r="A7" s="15" t="s">
        <v>454</v>
      </c>
      <c r="B7" s="16">
        <v>45076</v>
      </c>
      <c r="C7" s="6" t="s">
        <v>208</v>
      </c>
      <c r="D7" s="1" t="s">
        <v>78</v>
      </c>
      <c r="E7" s="21">
        <v>3.1259999999999999</v>
      </c>
      <c r="F7" s="24" t="s">
        <v>83</v>
      </c>
      <c r="G7" s="1" t="s">
        <v>450</v>
      </c>
      <c r="H7" s="18" t="s">
        <v>403</v>
      </c>
      <c r="I7" s="16">
        <v>45043</v>
      </c>
    </row>
    <row r="8" spans="1:9">
      <c r="A8" s="15" t="s">
        <v>454</v>
      </c>
      <c r="B8" s="16">
        <v>45076</v>
      </c>
      <c r="C8" s="6" t="s">
        <v>200</v>
      </c>
      <c r="D8" s="1" t="s">
        <v>78</v>
      </c>
      <c r="E8" s="21">
        <v>1.798</v>
      </c>
      <c r="F8" s="24" t="s">
        <v>83</v>
      </c>
      <c r="G8" s="1" t="s">
        <v>450</v>
      </c>
      <c r="H8" s="18" t="s">
        <v>403</v>
      </c>
      <c r="I8" s="16">
        <v>45043</v>
      </c>
    </row>
    <row r="9" spans="1:9">
      <c r="A9" s="15" t="s">
        <v>454</v>
      </c>
      <c r="B9" s="16">
        <v>45076</v>
      </c>
      <c r="C9" s="6" t="s">
        <v>263</v>
      </c>
      <c r="D9" s="1" t="s">
        <v>78</v>
      </c>
      <c r="E9" s="21">
        <v>3.3380000000000001</v>
      </c>
      <c r="F9" s="24" t="s">
        <v>83</v>
      </c>
      <c r="G9" s="1" t="s">
        <v>450</v>
      </c>
      <c r="H9" s="18" t="s">
        <v>403</v>
      </c>
      <c r="I9" s="16">
        <v>45043</v>
      </c>
    </row>
    <row r="10" spans="1:9">
      <c r="A10" s="15" t="s">
        <v>455</v>
      </c>
      <c r="B10" s="16">
        <v>45076</v>
      </c>
      <c r="C10" s="6" t="s">
        <v>231</v>
      </c>
      <c r="D10" s="1" t="s">
        <v>78</v>
      </c>
      <c r="E10" s="21">
        <v>3.5750000000000002</v>
      </c>
      <c r="F10" s="24" t="s">
        <v>83</v>
      </c>
      <c r="G10" s="1" t="s">
        <v>456</v>
      </c>
      <c r="H10" s="18" t="s">
        <v>406</v>
      </c>
      <c r="I10" s="16">
        <v>45053</v>
      </c>
    </row>
    <row r="11" spans="1:9">
      <c r="A11" s="15" t="s">
        <v>455</v>
      </c>
      <c r="B11" s="16">
        <v>45076</v>
      </c>
      <c r="C11" s="6" t="s">
        <v>230</v>
      </c>
      <c r="D11" s="1" t="s">
        <v>78</v>
      </c>
      <c r="E11" s="21">
        <f>2.375+0.547</f>
        <v>2.9220000000000002</v>
      </c>
      <c r="F11" s="24" t="s">
        <v>83</v>
      </c>
      <c r="G11" s="1" t="s">
        <v>456</v>
      </c>
      <c r="H11" s="18" t="s">
        <v>406</v>
      </c>
      <c r="I11" s="16">
        <v>45053</v>
      </c>
    </row>
    <row r="12" spans="1:9">
      <c r="A12" s="15" t="s">
        <v>455</v>
      </c>
      <c r="B12" s="16">
        <v>45076</v>
      </c>
      <c r="C12" s="6" t="s">
        <v>208</v>
      </c>
      <c r="D12" s="1" t="s">
        <v>78</v>
      </c>
      <c r="E12" s="21">
        <v>3.98</v>
      </c>
      <c r="F12" s="24" t="s">
        <v>83</v>
      </c>
      <c r="G12" s="1" t="s">
        <v>456</v>
      </c>
      <c r="H12" s="18" t="s">
        <v>406</v>
      </c>
      <c r="I12" s="16">
        <v>45053</v>
      </c>
    </row>
    <row r="13" spans="1:9">
      <c r="A13" s="15" t="s">
        <v>455</v>
      </c>
      <c r="B13" s="16">
        <v>45076</v>
      </c>
      <c r="C13" s="6" t="s">
        <v>200</v>
      </c>
      <c r="D13" s="1" t="s">
        <v>78</v>
      </c>
      <c r="E13" s="21">
        <v>1.216</v>
      </c>
      <c r="F13" s="24" t="s">
        <v>83</v>
      </c>
      <c r="G13" s="1" t="s">
        <v>456</v>
      </c>
      <c r="H13" s="18" t="s">
        <v>406</v>
      </c>
      <c r="I13" s="16">
        <v>45053</v>
      </c>
    </row>
    <row r="14" spans="1:9">
      <c r="A14" s="1"/>
      <c r="B14" s="16"/>
      <c r="C14" s="6"/>
      <c r="D14" s="1"/>
      <c r="E14" s="41">
        <f>SUM(E2:E13)</f>
        <v>32.077999999999996</v>
      </c>
      <c r="F14" s="24"/>
      <c r="G14" s="1"/>
      <c r="H14" s="1"/>
      <c r="I14" s="3"/>
    </row>
    <row r="15" spans="1:9">
      <c r="A15" s="15" t="s">
        <v>463</v>
      </c>
      <c r="B15" s="16">
        <v>45078</v>
      </c>
      <c r="C15" s="6" t="s">
        <v>196</v>
      </c>
      <c r="D15" s="1" t="s">
        <v>11</v>
      </c>
      <c r="E15" s="21">
        <v>17.399000000000001</v>
      </c>
      <c r="F15" s="24" t="s">
        <v>16</v>
      </c>
      <c r="G15" s="1" t="s">
        <v>464</v>
      </c>
      <c r="H15" s="18" t="s">
        <v>360</v>
      </c>
      <c r="I15" s="16">
        <v>45043</v>
      </c>
    </row>
    <row r="16" spans="1:9">
      <c r="A16" s="15" t="s">
        <v>465</v>
      </c>
      <c r="B16" s="16">
        <v>45078</v>
      </c>
      <c r="C16" s="6" t="s">
        <v>196</v>
      </c>
      <c r="D16" s="1" t="s">
        <v>11</v>
      </c>
      <c r="E16" s="21">
        <v>7.2309999999999999</v>
      </c>
      <c r="F16" s="24" t="s">
        <v>16</v>
      </c>
      <c r="G16" s="1" t="s">
        <v>464</v>
      </c>
      <c r="H16" s="18" t="s">
        <v>466</v>
      </c>
      <c r="I16" s="16">
        <v>45056</v>
      </c>
    </row>
    <row r="17" spans="1:9">
      <c r="A17" s="15" t="s">
        <v>467</v>
      </c>
      <c r="B17" s="16">
        <v>45078</v>
      </c>
      <c r="C17" s="6" t="s">
        <v>200</v>
      </c>
      <c r="D17" s="1" t="s">
        <v>11</v>
      </c>
      <c r="E17" s="21">
        <v>12.082000000000001</v>
      </c>
      <c r="F17" s="24" t="s">
        <v>29</v>
      </c>
      <c r="G17" s="1" t="s">
        <v>468</v>
      </c>
      <c r="H17" s="18" t="s">
        <v>359</v>
      </c>
      <c r="I17" s="16">
        <v>45043</v>
      </c>
    </row>
    <row r="18" spans="1:9">
      <c r="A18" s="15" t="s">
        <v>467</v>
      </c>
      <c r="B18" s="16">
        <v>45078</v>
      </c>
      <c r="C18" s="6" t="s">
        <v>344</v>
      </c>
      <c r="D18" s="1" t="s">
        <v>11</v>
      </c>
      <c r="E18" s="21">
        <v>9.6140000000000008</v>
      </c>
      <c r="F18" s="24" t="s">
        <v>29</v>
      </c>
      <c r="G18" s="1" t="s">
        <v>468</v>
      </c>
      <c r="H18" s="18" t="s">
        <v>359</v>
      </c>
      <c r="I18" s="16">
        <v>45043</v>
      </c>
    </row>
    <row r="19" spans="1:9">
      <c r="A19" s="15" t="s">
        <v>467</v>
      </c>
      <c r="B19" s="16">
        <v>45078</v>
      </c>
      <c r="C19" s="6" t="s">
        <v>301</v>
      </c>
      <c r="D19" s="1" t="s">
        <v>11</v>
      </c>
      <c r="E19" s="21">
        <v>2.028</v>
      </c>
      <c r="F19" s="24" t="s">
        <v>29</v>
      </c>
      <c r="G19" s="1" t="s">
        <v>468</v>
      </c>
      <c r="H19" s="18" t="s">
        <v>359</v>
      </c>
      <c r="I19" s="16">
        <v>45043</v>
      </c>
    </row>
    <row r="20" spans="1:9">
      <c r="A20" s="15" t="s">
        <v>467</v>
      </c>
      <c r="B20" s="16">
        <v>45078</v>
      </c>
      <c r="C20" s="6" t="s">
        <v>344</v>
      </c>
      <c r="D20" s="1" t="s">
        <v>11</v>
      </c>
      <c r="E20" s="21">
        <v>0.86299999999999999</v>
      </c>
      <c r="F20" s="24" t="s">
        <v>29</v>
      </c>
      <c r="G20" s="1" t="s">
        <v>468</v>
      </c>
      <c r="H20" s="18" t="s">
        <v>359</v>
      </c>
      <c r="I20" s="16">
        <v>45043</v>
      </c>
    </row>
    <row r="21" spans="1:9">
      <c r="A21" s="15" t="s">
        <v>469</v>
      </c>
      <c r="B21" s="16">
        <v>45078</v>
      </c>
      <c r="C21" s="6" t="s">
        <v>301</v>
      </c>
      <c r="D21" s="1" t="s">
        <v>78</v>
      </c>
      <c r="E21" s="21">
        <v>3.4569999999999999</v>
      </c>
      <c r="F21" s="24" t="s">
        <v>83</v>
      </c>
      <c r="G21" s="1" t="s">
        <v>470</v>
      </c>
      <c r="H21" s="18" t="s">
        <v>440</v>
      </c>
      <c r="I21" s="16">
        <v>45071</v>
      </c>
    </row>
    <row r="22" spans="1:9">
      <c r="A22" s="15" t="s">
        <v>471</v>
      </c>
      <c r="B22" s="16">
        <v>45078</v>
      </c>
      <c r="C22" s="6" t="s">
        <v>301</v>
      </c>
      <c r="D22" s="1" t="s">
        <v>78</v>
      </c>
      <c r="E22" s="21">
        <v>3.6</v>
      </c>
      <c r="F22" s="24" t="s">
        <v>83</v>
      </c>
      <c r="G22" s="1" t="s">
        <v>470</v>
      </c>
      <c r="H22" s="18" t="s">
        <v>451</v>
      </c>
      <c r="I22" s="16">
        <v>45071</v>
      </c>
    </row>
    <row r="23" spans="1:9">
      <c r="A23" s="15" t="s">
        <v>472</v>
      </c>
      <c r="B23" s="16">
        <v>45078</v>
      </c>
      <c r="C23" s="6" t="s">
        <v>301</v>
      </c>
      <c r="D23" s="1" t="s">
        <v>78</v>
      </c>
      <c r="E23" s="21">
        <f>0.819+4.732+0.78+4.614+0.995</f>
        <v>11.94</v>
      </c>
      <c r="F23" s="24" t="s">
        <v>83</v>
      </c>
      <c r="G23" s="1" t="s">
        <v>473</v>
      </c>
      <c r="H23" s="18" t="s">
        <v>403</v>
      </c>
      <c r="I23" s="16">
        <v>45043</v>
      </c>
    </row>
    <row r="24" spans="1:9">
      <c r="A24" s="15" t="s">
        <v>474</v>
      </c>
      <c r="B24" s="16">
        <v>45078</v>
      </c>
      <c r="C24" s="6" t="s">
        <v>475</v>
      </c>
      <c r="D24" s="1" t="s">
        <v>78</v>
      </c>
      <c r="E24" s="21">
        <v>4.4059999999999997</v>
      </c>
      <c r="F24" s="24" t="s">
        <v>83</v>
      </c>
      <c r="G24" s="1" t="s">
        <v>476</v>
      </c>
      <c r="H24" s="18" t="s">
        <v>477</v>
      </c>
      <c r="I24" s="16">
        <v>45071</v>
      </c>
    </row>
    <row r="25" spans="1:9">
      <c r="A25" s="15" t="s">
        <v>478</v>
      </c>
      <c r="B25" s="16">
        <v>45078</v>
      </c>
      <c r="C25" s="6" t="s">
        <v>301</v>
      </c>
      <c r="D25" s="1" t="s">
        <v>78</v>
      </c>
      <c r="E25" s="21">
        <v>2.6150000000000002</v>
      </c>
      <c r="F25" s="24" t="s">
        <v>83</v>
      </c>
      <c r="G25" s="1" t="s">
        <v>476</v>
      </c>
      <c r="H25" s="18" t="s">
        <v>406</v>
      </c>
      <c r="I25" s="16">
        <v>45053</v>
      </c>
    </row>
    <row r="26" spans="1:9">
      <c r="A26" s="15" t="s">
        <v>478</v>
      </c>
      <c r="B26" s="16">
        <v>45078</v>
      </c>
      <c r="C26" s="6" t="s">
        <v>255</v>
      </c>
      <c r="D26" s="1" t="s">
        <v>78</v>
      </c>
      <c r="E26" s="21">
        <v>3.97</v>
      </c>
      <c r="F26" s="24" t="s">
        <v>83</v>
      </c>
      <c r="G26" s="1" t="s">
        <v>476</v>
      </c>
      <c r="H26" s="18" t="s">
        <v>406</v>
      </c>
      <c r="I26" s="16">
        <v>45053</v>
      </c>
    </row>
    <row r="27" spans="1:9">
      <c r="A27" s="15" t="s">
        <v>478</v>
      </c>
      <c r="B27" s="16">
        <v>45078</v>
      </c>
      <c r="C27" s="6" t="s">
        <v>200</v>
      </c>
      <c r="D27" s="1" t="s">
        <v>78</v>
      </c>
      <c r="E27" s="21">
        <v>1.738</v>
      </c>
      <c r="F27" s="24" t="s">
        <v>83</v>
      </c>
      <c r="G27" s="1" t="s">
        <v>476</v>
      </c>
      <c r="H27" s="18" t="s">
        <v>406</v>
      </c>
      <c r="I27" s="16">
        <v>45053</v>
      </c>
    </row>
    <row r="28" spans="1:9">
      <c r="A28" s="15" t="s">
        <v>479</v>
      </c>
      <c r="B28" s="16">
        <v>45078</v>
      </c>
      <c r="C28" s="6" t="s">
        <v>263</v>
      </c>
      <c r="D28" s="1" t="s">
        <v>78</v>
      </c>
      <c r="E28" s="21">
        <v>0.69899999999999995</v>
      </c>
      <c r="F28" s="24" t="s">
        <v>83</v>
      </c>
      <c r="G28" s="1" t="s">
        <v>476</v>
      </c>
      <c r="H28" s="18" t="s">
        <v>445</v>
      </c>
      <c r="I28" s="16">
        <v>45071</v>
      </c>
    </row>
    <row r="29" spans="1:9">
      <c r="A29" s="15" t="s">
        <v>480</v>
      </c>
      <c r="B29" s="16">
        <v>45078</v>
      </c>
      <c r="C29" s="6" t="s">
        <v>475</v>
      </c>
      <c r="D29" s="1" t="s">
        <v>78</v>
      </c>
      <c r="E29" s="21">
        <v>7.258</v>
      </c>
      <c r="F29" s="24" t="s">
        <v>267</v>
      </c>
      <c r="G29" s="1" t="s">
        <v>481</v>
      </c>
      <c r="H29" s="18" t="s">
        <v>477</v>
      </c>
      <c r="I29" s="16">
        <v>45071</v>
      </c>
    </row>
    <row r="30" spans="1:9">
      <c r="A30" s="15" t="s">
        <v>482</v>
      </c>
      <c r="B30" s="16">
        <v>45078</v>
      </c>
      <c r="C30" s="6" t="s">
        <v>282</v>
      </c>
      <c r="D30" s="1" t="s">
        <v>78</v>
      </c>
      <c r="E30" s="21">
        <f>7.501+13.394</f>
        <v>20.895</v>
      </c>
      <c r="F30" s="24" t="s">
        <v>267</v>
      </c>
      <c r="G30" s="1" t="s">
        <v>483</v>
      </c>
      <c r="H30" s="18" t="s">
        <v>406</v>
      </c>
      <c r="I30" s="16">
        <v>45053</v>
      </c>
    </row>
    <row r="31" spans="1:9">
      <c r="A31" s="15" t="s">
        <v>485</v>
      </c>
      <c r="B31" s="16">
        <v>45078</v>
      </c>
      <c r="C31" s="6" t="s">
        <v>484</v>
      </c>
      <c r="D31" s="1" t="s">
        <v>78</v>
      </c>
      <c r="E31" s="21">
        <v>3.944</v>
      </c>
      <c r="F31" s="24" t="s">
        <v>267</v>
      </c>
      <c r="G31" s="1" t="s">
        <v>486</v>
      </c>
      <c r="H31" s="18" t="s">
        <v>403</v>
      </c>
      <c r="I31" s="16">
        <v>45043</v>
      </c>
    </row>
    <row r="32" spans="1:9">
      <c r="A32" s="1"/>
      <c r="B32" s="16"/>
      <c r="C32" s="6"/>
      <c r="D32" s="1"/>
      <c r="E32" s="41">
        <f>SUM(E15:E31)</f>
        <v>113.739</v>
      </c>
      <c r="F32" s="24"/>
      <c r="G32" s="1"/>
      <c r="H32" s="1"/>
      <c r="I32" s="3"/>
    </row>
    <row r="33" spans="1:9">
      <c r="A33" s="15" t="s">
        <v>487</v>
      </c>
      <c r="B33" s="16">
        <v>45079</v>
      </c>
      <c r="C33" s="6" t="s">
        <v>196</v>
      </c>
      <c r="D33" s="1" t="s">
        <v>11</v>
      </c>
      <c r="E33" s="21">
        <v>2.7090000000000001</v>
      </c>
      <c r="F33" s="24" t="s">
        <v>368</v>
      </c>
      <c r="G33" s="1" t="s">
        <v>488</v>
      </c>
      <c r="H33" s="1" t="s">
        <v>360</v>
      </c>
      <c r="I33" s="16">
        <v>45043</v>
      </c>
    </row>
    <row r="34" spans="1:9">
      <c r="A34" s="15" t="s">
        <v>487</v>
      </c>
      <c r="B34" s="16">
        <v>45079</v>
      </c>
      <c r="C34" s="6" t="s">
        <v>196</v>
      </c>
      <c r="D34" s="1" t="s">
        <v>11</v>
      </c>
      <c r="E34" s="21">
        <v>8.57</v>
      </c>
      <c r="F34" s="24" t="s">
        <v>368</v>
      </c>
      <c r="G34" s="1" t="s">
        <v>488</v>
      </c>
      <c r="H34" s="1" t="s">
        <v>360</v>
      </c>
      <c r="I34" s="16">
        <v>45043</v>
      </c>
    </row>
    <row r="35" spans="1:9">
      <c r="A35" s="15" t="s">
        <v>489</v>
      </c>
      <c r="B35" s="16">
        <v>45079</v>
      </c>
      <c r="C35" s="6" t="s">
        <v>196</v>
      </c>
      <c r="D35" s="1" t="s">
        <v>11</v>
      </c>
      <c r="E35" s="21">
        <v>0.16400000000000001</v>
      </c>
      <c r="F35" s="24" t="s">
        <v>368</v>
      </c>
      <c r="G35" s="1" t="s">
        <v>490</v>
      </c>
      <c r="H35" s="1" t="s">
        <v>359</v>
      </c>
      <c r="I35" s="16">
        <v>45043</v>
      </c>
    </row>
    <row r="36" spans="1:9">
      <c r="A36" s="15" t="s">
        <v>489</v>
      </c>
      <c r="B36" s="16">
        <v>45079</v>
      </c>
      <c r="C36" s="6" t="s">
        <v>196</v>
      </c>
      <c r="D36" s="1" t="s">
        <v>11</v>
      </c>
      <c r="E36" s="21">
        <f>0.53+7.761</f>
        <v>8.2910000000000004</v>
      </c>
      <c r="F36" s="24" t="s">
        <v>368</v>
      </c>
      <c r="G36" s="1" t="s">
        <v>490</v>
      </c>
      <c r="H36" s="1" t="s">
        <v>359</v>
      </c>
      <c r="I36" s="16">
        <v>45043</v>
      </c>
    </row>
    <row r="37" spans="1:9">
      <c r="A37" s="15" t="s">
        <v>489</v>
      </c>
      <c r="B37" s="16">
        <v>45079</v>
      </c>
      <c r="C37" s="6" t="s">
        <v>196</v>
      </c>
      <c r="D37" s="1" t="s">
        <v>11</v>
      </c>
      <c r="E37" s="21">
        <v>3.8730000000000002</v>
      </c>
      <c r="F37" s="24" t="s">
        <v>368</v>
      </c>
      <c r="G37" s="1" t="s">
        <v>490</v>
      </c>
      <c r="H37" s="1" t="s">
        <v>359</v>
      </c>
      <c r="I37" s="16">
        <v>45043</v>
      </c>
    </row>
    <row r="38" spans="1:9">
      <c r="A38" s="15" t="s">
        <v>491</v>
      </c>
      <c r="B38" s="16">
        <v>45079</v>
      </c>
      <c r="C38" s="6" t="s">
        <v>196</v>
      </c>
      <c r="D38" s="1" t="s">
        <v>11</v>
      </c>
      <c r="E38" s="21">
        <v>1.671</v>
      </c>
      <c r="F38" s="24" t="s">
        <v>368</v>
      </c>
      <c r="G38" s="1" t="s">
        <v>492</v>
      </c>
      <c r="H38" s="1" t="s">
        <v>493</v>
      </c>
      <c r="I38" s="16">
        <v>45043</v>
      </c>
    </row>
    <row r="39" spans="1:9">
      <c r="A39" s="1"/>
      <c r="B39" s="16"/>
      <c r="C39" s="6"/>
      <c r="D39" s="1"/>
      <c r="E39" s="41">
        <f>SUM(E33:E38)</f>
        <v>25.278000000000002</v>
      </c>
      <c r="F39" s="24"/>
      <c r="G39" s="1"/>
      <c r="H39" s="1"/>
      <c r="I39" s="3"/>
    </row>
    <row r="40" spans="1:9">
      <c r="A40" s="15" t="s">
        <v>494</v>
      </c>
      <c r="B40" s="16">
        <v>45080</v>
      </c>
      <c r="C40" s="6" t="s">
        <v>282</v>
      </c>
      <c r="D40" s="1" t="s">
        <v>78</v>
      </c>
      <c r="E40" s="21">
        <v>4.8380000000000001</v>
      </c>
      <c r="F40" s="24" t="s">
        <v>83</v>
      </c>
      <c r="G40" s="1" t="s">
        <v>495</v>
      </c>
      <c r="H40" s="18" t="s">
        <v>406</v>
      </c>
      <c r="I40" s="16">
        <v>45053</v>
      </c>
    </row>
    <row r="41" spans="1:9">
      <c r="A41" s="15" t="s">
        <v>494</v>
      </c>
      <c r="B41" s="16">
        <v>45080</v>
      </c>
      <c r="C41" s="6" t="s">
        <v>230</v>
      </c>
      <c r="D41" s="1" t="s">
        <v>78</v>
      </c>
      <c r="E41" s="21">
        <v>0.88600000000000001</v>
      </c>
      <c r="F41" s="24" t="s">
        <v>83</v>
      </c>
      <c r="G41" s="1" t="s">
        <v>495</v>
      </c>
      <c r="H41" s="18" t="s">
        <v>406</v>
      </c>
      <c r="I41" s="16">
        <v>45053</v>
      </c>
    </row>
    <row r="42" spans="1:9">
      <c r="A42" s="15" t="s">
        <v>494</v>
      </c>
      <c r="B42" s="16">
        <v>45080</v>
      </c>
      <c r="C42" s="6" t="s">
        <v>231</v>
      </c>
      <c r="D42" s="1" t="s">
        <v>78</v>
      </c>
      <c r="E42" s="21">
        <v>2.8450000000000002</v>
      </c>
      <c r="F42" s="24" t="s">
        <v>83</v>
      </c>
      <c r="G42" s="1" t="s">
        <v>495</v>
      </c>
      <c r="H42" s="18" t="s">
        <v>406</v>
      </c>
      <c r="I42" s="16">
        <v>45053</v>
      </c>
    </row>
    <row r="43" spans="1:9">
      <c r="A43" s="15" t="s">
        <v>496</v>
      </c>
      <c r="B43" s="16">
        <v>45080</v>
      </c>
      <c r="C43" s="6" t="s">
        <v>200</v>
      </c>
      <c r="D43" s="1" t="s">
        <v>78</v>
      </c>
      <c r="E43" s="21">
        <v>3.1080000000000001</v>
      </c>
      <c r="F43" s="24" t="s">
        <v>83</v>
      </c>
      <c r="G43" s="1" t="s">
        <v>495</v>
      </c>
      <c r="H43" s="18" t="s">
        <v>403</v>
      </c>
      <c r="I43" s="16">
        <v>45043</v>
      </c>
    </row>
    <row r="44" spans="1:9">
      <c r="A44" s="15" t="s">
        <v>496</v>
      </c>
      <c r="B44" s="16">
        <v>45080</v>
      </c>
      <c r="C44" s="6" t="s">
        <v>255</v>
      </c>
      <c r="D44" s="1" t="s">
        <v>78</v>
      </c>
      <c r="E44" s="21">
        <v>1.877</v>
      </c>
      <c r="F44" s="24" t="s">
        <v>83</v>
      </c>
      <c r="G44" s="1" t="s">
        <v>495</v>
      </c>
      <c r="H44" s="18" t="s">
        <v>403</v>
      </c>
      <c r="I44" s="16">
        <v>45043</v>
      </c>
    </row>
    <row r="45" spans="1:9">
      <c r="A45" s="15" t="s">
        <v>496</v>
      </c>
      <c r="B45" s="16">
        <v>45080</v>
      </c>
      <c r="C45" s="6" t="s">
        <v>230</v>
      </c>
      <c r="D45" s="1" t="s">
        <v>78</v>
      </c>
      <c r="E45" s="21">
        <v>1.145</v>
      </c>
      <c r="F45" s="24" t="s">
        <v>83</v>
      </c>
      <c r="G45" s="1" t="s">
        <v>495</v>
      </c>
      <c r="H45" s="18" t="s">
        <v>403</v>
      </c>
      <c r="I45" s="16">
        <v>45043</v>
      </c>
    </row>
    <row r="46" spans="1:9">
      <c r="A46" s="15" t="s">
        <v>496</v>
      </c>
      <c r="B46" s="16">
        <v>45080</v>
      </c>
      <c r="C46" s="6" t="s">
        <v>208</v>
      </c>
      <c r="D46" s="1" t="s">
        <v>78</v>
      </c>
      <c r="E46" s="21">
        <v>2.2839999999999998</v>
      </c>
      <c r="F46" s="24" t="s">
        <v>83</v>
      </c>
      <c r="G46" s="1" t="s">
        <v>495</v>
      </c>
      <c r="H46" s="18" t="s">
        <v>403</v>
      </c>
      <c r="I46" s="16">
        <v>45043</v>
      </c>
    </row>
    <row r="47" spans="1:9">
      <c r="A47" s="15" t="s">
        <v>496</v>
      </c>
      <c r="B47" s="16">
        <v>45080</v>
      </c>
      <c r="C47" s="6" t="s">
        <v>286</v>
      </c>
      <c r="D47" s="1" t="s">
        <v>78</v>
      </c>
      <c r="E47" s="21">
        <v>7.48</v>
      </c>
      <c r="F47" s="24" t="s">
        <v>83</v>
      </c>
      <c r="G47" s="1" t="s">
        <v>495</v>
      </c>
      <c r="H47" s="18" t="s">
        <v>403</v>
      </c>
      <c r="I47" s="16">
        <v>45043</v>
      </c>
    </row>
    <row r="48" spans="1:9">
      <c r="A48" s="15" t="s">
        <v>496</v>
      </c>
      <c r="B48" s="16">
        <v>45080</v>
      </c>
      <c r="C48" s="6" t="s">
        <v>484</v>
      </c>
      <c r="D48" s="1" t="s">
        <v>78</v>
      </c>
      <c r="E48" s="21">
        <v>0.42899999999999999</v>
      </c>
      <c r="F48" s="24" t="s">
        <v>83</v>
      </c>
      <c r="G48" s="1" t="s">
        <v>495</v>
      </c>
      <c r="H48" s="18" t="s">
        <v>403</v>
      </c>
      <c r="I48" s="16">
        <v>45043</v>
      </c>
    </row>
    <row r="49" spans="1:9">
      <c r="A49" s="15" t="s">
        <v>496</v>
      </c>
      <c r="B49" s="16">
        <v>45080</v>
      </c>
      <c r="C49" s="6" t="s">
        <v>283</v>
      </c>
      <c r="D49" s="1" t="s">
        <v>78</v>
      </c>
      <c r="E49" s="21">
        <v>1.474</v>
      </c>
      <c r="F49" s="24" t="s">
        <v>83</v>
      </c>
      <c r="G49" s="1" t="s">
        <v>495</v>
      </c>
      <c r="H49" s="18" t="s">
        <v>403</v>
      </c>
      <c r="I49" s="16">
        <v>45043</v>
      </c>
    </row>
    <row r="50" spans="1:9">
      <c r="A50" s="15" t="s">
        <v>496</v>
      </c>
      <c r="B50" s="16">
        <v>45080</v>
      </c>
      <c r="C50" s="6" t="s">
        <v>475</v>
      </c>
      <c r="D50" s="1" t="s">
        <v>78</v>
      </c>
      <c r="E50" s="49">
        <v>2.722</v>
      </c>
      <c r="F50" s="24" t="s">
        <v>83</v>
      </c>
      <c r="G50" s="1" t="s">
        <v>495</v>
      </c>
      <c r="H50" s="18" t="s">
        <v>403</v>
      </c>
      <c r="I50" s="16">
        <v>45043</v>
      </c>
    </row>
    <row r="51" spans="1:9">
      <c r="A51" s="15" t="s">
        <v>497</v>
      </c>
      <c r="B51" s="16">
        <v>45080</v>
      </c>
      <c r="C51" s="6" t="s">
        <v>208</v>
      </c>
      <c r="D51" s="1" t="s">
        <v>78</v>
      </c>
      <c r="E51" s="21">
        <v>0.80400000000000005</v>
      </c>
      <c r="F51" s="24" t="s">
        <v>83</v>
      </c>
      <c r="G51" s="1" t="s">
        <v>495</v>
      </c>
      <c r="H51" s="18" t="s">
        <v>440</v>
      </c>
      <c r="I51" s="16">
        <v>45071</v>
      </c>
    </row>
    <row r="52" spans="1:9">
      <c r="A52" s="15" t="s">
        <v>498</v>
      </c>
      <c r="B52" s="16">
        <v>45080</v>
      </c>
      <c r="C52" s="6" t="s">
        <v>195</v>
      </c>
      <c r="D52" s="1" t="s">
        <v>11</v>
      </c>
      <c r="E52" s="21">
        <v>25.151</v>
      </c>
      <c r="F52" s="24" t="s">
        <v>19</v>
      </c>
      <c r="G52" s="1" t="s">
        <v>499</v>
      </c>
      <c r="H52" s="1" t="s">
        <v>360</v>
      </c>
      <c r="I52" s="16">
        <v>45043</v>
      </c>
    </row>
    <row r="53" spans="1:9">
      <c r="A53" s="15" t="s">
        <v>502</v>
      </c>
      <c r="B53" s="16">
        <v>45080</v>
      </c>
      <c r="C53" s="6" t="s">
        <v>255</v>
      </c>
      <c r="D53" s="1" t="s">
        <v>11</v>
      </c>
      <c r="E53" s="21">
        <v>12.218999999999999</v>
      </c>
      <c r="F53" s="24" t="s">
        <v>500</v>
      </c>
      <c r="G53" s="1" t="s">
        <v>501</v>
      </c>
      <c r="H53" s="18" t="s">
        <v>359</v>
      </c>
      <c r="I53" s="16">
        <v>45043</v>
      </c>
    </row>
    <row r="54" spans="1:9">
      <c r="A54" s="15" t="s">
        <v>502</v>
      </c>
      <c r="B54" s="16">
        <v>45080</v>
      </c>
      <c r="C54" s="6" t="s">
        <v>200</v>
      </c>
      <c r="D54" s="1" t="s">
        <v>11</v>
      </c>
      <c r="E54" s="21">
        <v>4.9829999999999997</v>
      </c>
      <c r="F54" s="24" t="s">
        <v>500</v>
      </c>
      <c r="G54" s="1" t="s">
        <v>501</v>
      </c>
      <c r="H54" s="18" t="s">
        <v>359</v>
      </c>
      <c r="I54" s="16">
        <v>45043</v>
      </c>
    </row>
    <row r="55" spans="1:9">
      <c r="A55" s="15" t="s">
        <v>502</v>
      </c>
      <c r="B55" s="16">
        <v>45080</v>
      </c>
      <c r="C55" s="6" t="s">
        <v>195</v>
      </c>
      <c r="D55" s="1" t="s">
        <v>11</v>
      </c>
      <c r="E55" s="21">
        <v>4.2510000000000003</v>
      </c>
      <c r="F55" s="24" t="s">
        <v>500</v>
      </c>
      <c r="G55" s="1" t="s">
        <v>501</v>
      </c>
      <c r="H55" s="18" t="s">
        <v>359</v>
      </c>
      <c r="I55" s="16">
        <v>45043</v>
      </c>
    </row>
    <row r="56" spans="1:9">
      <c r="A56" s="15" t="s">
        <v>503</v>
      </c>
      <c r="B56" s="16">
        <v>45080</v>
      </c>
      <c r="C56" s="6" t="s">
        <v>195</v>
      </c>
      <c r="D56" s="1" t="s">
        <v>11</v>
      </c>
      <c r="E56" s="21">
        <v>0.72699999999999998</v>
      </c>
      <c r="F56" s="24" t="s">
        <v>500</v>
      </c>
      <c r="G56" s="1" t="s">
        <v>501</v>
      </c>
      <c r="H56" s="18" t="s">
        <v>360</v>
      </c>
      <c r="I56" s="16">
        <v>45043</v>
      </c>
    </row>
    <row r="57" spans="1:9">
      <c r="A57" s="15" t="s">
        <v>504</v>
      </c>
      <c r="B57" s="16">
        <v>45080</v>
      </c>
      <c r="C57" s="6" t="s">
        <v>208</v>
      </c>
      <c r="D57" s="1" t="s">
        <v>11</v>
      </c>
      <c r="E57" s="21">
        <v>2.653</v>
      </c>
      <c r="F57" s="24" t="s">
        <v>500</v>
      </c>
      <c r="G57" s="1" t="s">
        <v>501</v>
      </c>
      <c r="H57" s="18" t="s">
        <v>400</v>
      </c>
      <c r="I57" s="16">
        <v>45056</v>
      </c>
    </row>
    <row r="58" spans="1:9">
      <c r="A58" s="1"/>
      <c r="B58" s="16"/>
      <c r="C58" s="6"/>
      <c r="D58" s="1"/>
      <c r="E58" s="41">
        <f>SUM(E40:E57)</f>
        <v>79.876000000000019</v>
      </c>
      <c r="F58" s="24"/>
      <c r="G58" s="1"/>
      <c r="H58" s="1"/>
      <c r="I58" s="3"/>
    </row>
    <row r="59" spans="1:9">
      <c r="A59" s="15" t="s">
        <v>505</v>
      </c>
      <c r="B59" s="16">
        <v>45081</v>
      </c>
      <c r="C59" s="6" t="s">
        <v>263</v>
      </c>
      <c r="D59" s="1" t="s">
        <v>11</v>
      </c>
      <c r="E59" s="21">
        <v>6.9950000000000001</v>
      </c>
      <c r="F59" s="24" t="s">
        <v>22</v>
      </c>
      <c r="G59" s="1" t="s">
        <v>506</v>
      </c>
      <c r="H59" s="18" t="s">
        <v>359</v>
      </c>
      <c r="I59" s="16">
        <v>45043</v>
      </c>
    </row>
    <row r="60" spans="1:9">
      <c r="A60" s="15" t="s">
        <v>505</v>
      </c>
      <c r="B60" s="16">
        <v>45081</v>
      </c>
      <c r="C60" s="6" t="s">
        <v>230</v>
      </c>
      <c r="D60" s="1" t="s">
        <v>11</v>
      </c>
      <c r="E60" s="21">
        <v>8.2509999999999994</v>
      </c>
      <c r="F60" s="24" t="s">
        <v>22</v>
      </c>
      <c r="G60" s="1" t="s">
        <v>506</v>
      </c>
      <c r="H60" s="18" t="s">
        <v>359</v>
      </c>
      <c r="I60" s="16">
        <v>45043</v>
      </c>
    </row>
    <row r="61" spans="1:9">
      <c r="A61" s="15" t="s">
        <v>505</v>
      </c>
      <c r="B61" s="16">
        <v>45081</v>
      </c>
      <c r="C61" s="6" t="s">
        <v>344</v>
      </c>
      <c r="D61" s="1" t="s">
        <v>11</v>
      </c>
      <c r="E61" s="21">
        <f>6.106+0.366</f>
        <v>6.4719999999999995</v>
      </c>
      <c r="F61" s="24" t="s">
        <v>22</v>
      </c>
      <c r="G61" s="1" t="s">
        <v>506</v>
      </c>
      <c r="H61" s="18" t="s">
        <v>359</v>
      </c>
      <c r="I61" s="16">
        <v>45043</v>
      </c>
    </row>
    <row r="62" spans="1:9">
      <c r="A62" s="15" t="s">
        <v>505</v>
      </c>
      <c r="B62" s="16">
        <v>45081</v>
      </c>
      <c r="C62" s="6" t="s">
        <v>230</v>
      </c>
      <c r="D62" s="1" t="s">
        <v>11</v>
      </c>
      <c r="E62" s="21">
        <v>0.52300000000000002</v>
      </c>
      <c r="F62" s="24" t="s">
        <v>22</v>
      </c>
      <c r="G62" s="1" t="s">
        <v>506</v>
      </c>
      <c r="H62" s="18" t="s">
        <v>359</v>
      </c>
      <c r="I62" s="16">
        <v>45043</v>
      </c>
    </row>
    <row r="63" spans="1:9">
      <c r="A63" s="15" t="s">
        <v>507</v>
      </c>
      <c r="B63" s="16">
        <v>45081</v>
      </c>
      <c r="C63" s="6" t="s">
        <v>263</v>
      </c>
      <c r="D63" s="1" t="s">
        <v>11</v>
      </c>
      <c r="E63" s="21">
        <v>0.84599999999999997</v>
      </c>
      <c r="F63" s="24" t="s">
        <v>22</v>
      </c>
      <c r="G63" s="1" t="s">
        <v>508</v>
      </c>
      <c r="H63" s="18" t="s">
        <v>360</v>
      </c>
      <c r="I63" s="16">
        <v>45043</v>
      </c>
    </row>
    <row r="64" spans="1:9">
      <c r="A64" s="15" t="s">
        <v>507</v>
      </c>
      <c r="B64" s="16">
        <v>45081</v>
      </c>
      <c r="C64" s="6" t="s">
        <v>196</v>
      </c>
      <c r="D64" s="1" t="s">
        <v>11</v>
      </c>
      <c r="E64" s="21">
        <v>0.871</v>
      </c>
      <c r="F64" s="24" t="s">
        <v>22</v>
      </c>
      <c r="G64" s="1" t="s">
        <v>508</v>
      </c>
      <c r="H64" s="18" t="s">
        <v>360</v>
      </c>
      <c r="I64" s="16">
        <v>45043</v>
      </c>
    </row>
    <row r="65" spans="1:9">
      <c r="A65" s="15" t="s">
        <v>509</v>
      </c>
      <c r="B65" s="16">
        <v>45081</v>
      </c>
      <c r="C65" s="6" t="s">
        <v>230</v>
      </c>
      <c r="D65" s="1" t="s">
        <v>11</v>
      </c>
      <c r="E65" s="21">
        <v>1.278</v>
      </c>
      <c r="F65" s="24" t="s">
        <v>22</v>
      </c>
      <c r="G65" s="1" t="s">
        <v>508</v>
      </c>
      <c r="H65" s="18" t="s">
        <v>400</v>
      </c>
      <c r="I65" s="16">
        <v>45056</v>
      </c>
    </row>
    <row r="66" spans="1:9">
      <c r="A66" s="15" t="s">
        <v>510</v>
      </c>
      <c r="B66" s="16">
        <v>45081</v>
      </c>
      <c r="C66" s="6" t="s">
        <v>200</v>
      </c>
      <c r="D66" s="1" t="s">
        <v>11</v>
      </c>
      <c r="E66" s="21">
        <v>12.512</v>
      </c>
      <c r="F66" s="24" t="s">
        <v>36</v>
      </c>
      <c r="G66" s="1" t="s">
        <v>511</v>
      </c>
      <c r="H66" s="18" t="s">
        <v>359</v>
      </c>
      <c r="I66" s="16">
        <v>45043</v>
      </c>
    </row>
    <row r="67" spans="1:9">
      <c r="A67" s="15" t="s">
        <v>510</v>
      </c>
      <c r="B67" s="16">
        <v>45081</v>
      </c>
      <c r="C67" s="6" t="s">
        <v>283</v>
      </c>
      <c r="D67" s="1" t="s">
        <v>11</v>
      </c>
      <c r="E67" s="21">
        <v>12.305</v>
      </c>
      <c r="F67" s="24" t="s">
        <v>36</v>
      </c>
      <c r="G67" s="1" t="s">
        <v>511</v>
      </c>
      <c r="H67" s="18" t="s">
        <v>359</v>
      </c>
      <c r="I67" s="16">
        <v>45043</v>
      </c>
    </row>
    <row r="68" spans="1:9">
      <c r="A68" s="15" t="s">
        <v>512</v>
      </c>
      <c r="B68" s="16">
        <v>45081</v>
      </c>
      <c r="C68" s="6" t="s">
        <v>345</v>
      </c>
      <c r="D68" s="1" t="s">
        <v>11</v>
      </c>
      <c r="E68" s="21">
        <f>5.548+6.972</f>
        <v>12.52</v>
      </c>
      <c r="F68" s="24" t="s">
        <v>105</v>
      </c>
      <c r="G68" s="1" t="s">
        <v>513</v>
      </c>
      <c r="H68" s="18" t="s">
        <v>359</v>
      </c>
      <c r="I68" s="16">
        <v>45043</v>
      </c>
    </row>
    <row r="69" spans="1:9">
      <c r="A69" s="15" t="s">
        <v>512</v>
      </c>
      <c r="B69" s="16">
        <v>45081</v>
      </c>
      <c r="C69" s="6" t="s">
        <v>208</v>
      </c>
      <c r="D69" s="1" t="s">
        <v>11</v>
      </c>
      <c r="E69" s="21">
        <v>3.35</v>
      </c>
      <c r="F69" s="24" t="s">
        <v>105</v>
      </c>
      <c r="G69" s="1" t="s">
        <v>513</v>
      </c>
      <c r="H69" s="18" t="s">
        <v>359</v>
      </c>
      <c r="I69" s="16">
        <v>45043</v>
      </c>
    </row>
    <row r="70" spans="1:9">
      <c r="A70" s="15" t="s">
        <v>512</v>
      </c>
      <c r="B70" s="16">
        <v>45081</v>
      </c>
      <c r="C70" s="6" t="s">
        <v>286</v>
      </c>
      <c r="D70" s="1" t="s">
        <v>11</v>
      </c>
      <c r="E70" s="21">
        <v>2.121</v>
      </c>
      <c r="F70" s="24" t="s">
        <v>105</v>
      </c>
      <c r="G70" s="1" t="s">
        <v>513</v>
      </c>
      <c r="H70" s="18" t="s">
        <v>359</v>
      </c>
      <c r="I70" s="16">
        <v>45043</v>
      </c>
    </row>
    <row r="71" spans="1:9">
      <c r="A71" s="15" t="s">
        <v>512</v>
      </c>
      <c r="B71" s="16">
        <v>45081</v>
      </c>
      <c r="C71" s="6" t="s">
        <v>230</v>
      </c>
      <c r="D71" s="1" t="s">
        <v>11</v>
      </c>
      <c r="E71" s="21">
        <v>5.3369999999999997</v>
      </c>
      <c r="F71" s="24" t="s">
        <v>105</v>
      </c>
      <c r="G71" s="1" t="s">
        <v>513</v>
      </c>
      <c r="H71" s="18" t="s">
        <v>359</v>
      </c>
      <c r="I71" s="16">
        <v>45043</v>
      </c>
    </row>
    <row r="72" spans="1:9">
      <c r="A72" s="15" t="s">
        <v>512</v>
      </c>
      <c r="B72" s="16">
        <v>45081</v>
      </c>
      <c r="C72" s="6" t="s">
        <v>286</v>
      </c>
      <c r="D72" s="1" t="s">
        <v>11</v>
      </c>
      <c r="E72" s="21">
        <v>0.71399999999999997</v>
      </c>
      <c r="F72" s="24" t="s">
        <v>105</v>
      </c>
      <c r="G72" s="1" t="s">
        <v>513</v>
      </c>
      <c r="H72" s="18" t="s">
        <v>359</v>
      </c>
      <c r="I72" s="16">
        <v>45043</v>
      </c>
    </row>
    <row r="73" spans="1:9">
      <c r="A73" s="15" t="s">
        <v>512</v>
      </c>
      <c r="B73" s="16">
        <v>45081</v>
      </c>
      <c r="C73" s="6" t="s">
        <v>283</v>
      </c>
      <c r="D73" s="1" t="s">
        <v>11</v>
      </c>
      <c r="E73" s="21">
        <v>0.75800000000000001</v>
      </c>
      <c r="F73" s="24" t="s">
        <v>105</v>
      </c>
      <c r="G73" s="1" t="s">
        <v>513</v>
      </c>
      <c r="H73" s="18" t="s">
        <v>359</v>
      </c>
      <c r="I73" s="16">
        <v>45043</v>
      </c>
    </row>
    <row r="74" spans="1:9">
      <c r="A74" s="15" t="s">
        <v>514</v>
      </c>
      <c r="B74" s="16">
        <v>45081</v>
      </c>
      <c r="C74" s="6" t="s">
        <v>282</v>
      </c>
      <c r="D74" s="1" t="s">
        <v>78</v>
      </c>
      <c r="E74" s="22">
        <v>1.655</v>
      </c>
      <c r="F74" s="24" t="s">
        <v>116</v>
      </c>
      <c r="G74" s="1" t="s">
        <v>515</v>
      </c>
      <c r="H74" s="18" t="s">
        <v>406</v>
      </c>
      <c r="I74" s="16">
        <v>45053</v>
      </c>
    </row>
    <row r="75" spans="1:9">
      <c r="A75" s="15" t="s">
        <v>514</v>
      </c>
      <c r="B75" s="16">
        <v>45081</v>
      </c>
      <c r="C75" s="6" t="s">
        <v>260</v>
      </c>
      <c r="D75" s="1" t="s">
        <v>78</v>
      </c>
      <c r="E75" s="22">
        <v>2.9710000000000001</v>
      </c>
      <c r="F75" s="24" t="s">
        <v>116</v>
      </c>
      <c r="G75" s="1" t="s">
        <v>515</v>
      </c>
      <c r="H75" s="18" t="s">
        <v>406</v>
      </c>
      <c r="I75" s="16">
        <v>45053</v>
      </c>
    </row>
    <row r="76" spans="1:9">
      <c r="A76" s="15" t="s">
        <v>514</v>
      </c>
      <c r="B76" s="16">
        <v>45081</v>
      </c>
      <c r="C76" s="6" t="s">
        <v>205</v>
      </c>
      <c r="D76" s="1" t="s">
        <v>78</v>
      </c>
      <c r="E76" s="22">
        <v>1.7969999999999999</v>
      </c>
      <c r="F76" s="24" t="s">
        <v>116</v>
      </c>
      <c r="G76" s="1" t="s">
        <v>515</v>
      </c>
      <c r="H76" s="18" t="s">
        <v>406</v>
      </c>
      <c r="I76" s="16">
        <v>45053</v>
      </c>
    </row>
    <row r="77" spans="1:9">
      <c r="A77" s="15" t="s">
        <v>516</v>
      </c>
      <c r="B77" s="16">
        <v>45081</v>
      </c>
      <c r="C77" s="6" t="s">
        <v>260</v>
      </c>
      <c r="D77" s="1" t="s">
        <v>78</v>
      </c>
      <c r="E77" s="21">
        <v>22.09</v>
      </c>
      <c r="F77" s="24" t="s">
        <v>116</v>
      </c>
      <c r="G77" s="1" t="s">
        <v>515</v>
      </c>
      <c r="H77" s="18" t="s">
        <v>403</v>
      </c>
      <c r="I77" s="16">
        <v>45043</v>
      </c>
    </row>
    <row r="78" spans="1:9">
      <c r="A78" s="15" t="s">
        <v>517</v>
      </c>
      <c r="B78" s="16">
        <v>45081</v>
      </c>
      <c r="C78" s="6" t="s">
        <v>260</v>
      </c>
      <c r="D78" s="1" t="s">
        <v>78</v>
      </c>
      <c r="E78" s="21">
        <v>2.2869999999999999</v>
      </c>
      <c r="F78" s="24" t="s">
        <v>116</v>
      </c>
      <c r="G78" s="1" t="s">
        <v>515</v>
      </c>
      <c r="H78" s="18" t="s">
        <v>451</v>
      </c>
      <c r="I78" s="16">
        <v>45043</v>
      </c>
    </row>
    <row r="79" spans="1:9">
      <c r="A79" s="15" t="s">
        <v>518</v>
      </c>
      <c r="B79" s="16">
        <v>45081</v>
      </c>
      <c r="C79" s="6" t="s">
        <v>195</v>
      </c>
      <c r="D79" s="1" t="s">
        <v>78</v>
      </c>
      <c r="E79" s="21">
        <v>0.81399999999999995</v>
      </c>
      <c r="F79" s="24" t="s">
        <v>116</v>
      </c>
      <c r="G79" s="1" t="s">
        <v>515</v>
      </c>
      <c r="H79" s="18" t="s">
        <v>130</v>
      </c>
      <c r="I79" s="16">
        <v>45023</v>
      </c>
    </row>
    <row r="80" spans="1:9">
      <c r="A80" s="1"/>
      <c r="B80" s="16"/>
      <c r="C80" s="6"/>
      <c r="D80" s="1"/>
      <c r="E80" s="41">
        <f>SUM(E59:E79)</f>
        <v>106.46699999999998</v>
      </c>
      <c r="F80" s="24"/>
      <c r="G80" s="1"/>
      <c r="H80" s="1"/>
      <c r="I80" s="3"/>
    </row>
    <row r="81" spans="1:9">
      <c r="A81" s="15" t="s">
        <v>519</v>
      </c>
      <c r="B81" s="16">
        <v>45082</v>
      </c>
      <c r="C81" s="6" t="s">
        <v>282</v>
      </c>
      <c r="D81" s="1" t="s">
        <v>11</v>
      </c>
      <c r="E81" s="21">
        <v>25.196000000000002</v>
      </c>
      <c r="F81" s="24" t="s">
        <v>368</v>
      </c>
      <c r="G81" s="1" t="s">
        <v>520</v>
      </c>
      <c r="H81" s="18" t="s">
        <v>466</v>
      </c>
      <c r="I81" s="16">
        <v>45056</v>
      </c>
    </row>
    <row r="82" spans="1:9">
      <c r="A82" s="15"/>
      <c r="B82" s="16"/>
      <c r="C82" s="6"/>
      <c r="D82" s="1"/>
      <c r="E82" s="41">
        <f>SUM(E81)</f>
        <v>25.196000000000002</v>
      </c>
      <c r="F82" s="24"/>
      <c r="G82" s="1"/>
      <c r="H82" s="1"/>
      <c r="I82" s="3"/>
    </row>
    <row r="83" spans="1:9">
      <c r="A83" s="15" t="s">
        <v>521</v>
      </c>
      <c r="B83" s="16">
        <v>45083</v>
      </c>
      <c r="C83" s="6" t="s">
        <v>282</v>
      </c>
      <c r="D83" s="1" t="s">
        <v>11</v>
      </c>
      <c r="E83" s="21">
        <v>25.123000000000001</v>
      </c>
      <c r="F83" s="24" t="s">
        <v>522</v>
      </c>
      <c r="G83" s="1" t="s">
        <v>523</v>
      </c>
      <c r="H83" s="18" t="s">
        <v>466</v>
      </c>
      <c r="I83" s="16">
        <v>45056</v>
      </c>
    </row>
    <row r="84" spans="1:9">
      <c r="A84" s="15" t="s">
        <v>524</v>
      </c>
      <c r="B84" s="16">
        <v>45083</v>
      </c>
      <c r="C84" s="6" t="s">
        <v>200</v>
      </c>
      <c r="D84" s="1" t="s">
        <v>78</v>
      </c>
      <c r="E84" s="21">
        <v>4.0410000000000004</v>
      </c>
      <c r="F84" s="24" t="s">
        <v>116</v>
      </c>
      <c r="G84" s="1" t="s">
        <v>525</v>
      </c>
      <c r="H84" s="18" t="s">
        <v>406</v>
      </c>
      <c r="I84" s="16">
        <v>45053</v>
      </c>
    </row>
    <row r="85" spans="1:9">
      <c r="A85" s="15" t="s">
        <v>524</v>
      </c>
      <c r="B85" s="16">
        <v>45083</v>
      </c>
      <c r="C85" s="6" t="s">
        <v>263</v>
      </c>
      <c r="D85" s="1" t="s">
        <v>78</v>
      </c>
      <c r="E85" s="21">
        <v>0.84599999999999997</v>
      </c>
      <c r="F85" s="24" t="s">
        <v>116</v>
      </c>
      <c r="G85" s="1" t="s">
        <v>525</v>
      </c>
      <c r="H85" s="18" t="s">
        <v>445</v>
      </c>
      <c r="I85" s="16">
        <v>45071</v>
      </c>
    </row>
    <row r="86" spans="1:9">
      <c r="A86" s="15" t="s">
        <v>526</v>
      </c>
      <c r="B86" s="16">
        <v>45083</v>
      </c>
      <c r="C86" s="6" t="s">
        <v>452</v>
      </c>
      <c r="D86" s="1" t="s">
        <v>78</v>
      </c>
      <c r="E86" s="21">
        <v>0.38400000000000001</v>
      </c>
      <c r="F86" s="24" t="s">
        <v>116</v>
      </c>
      <c r="G86" s="1" t="s">
        <v>525</v>
      </c>
      <c r="H86" s="18" t="s">
        <v>445</v>
      </c>
      <c r="I86" s="16">
        <v>45071</v>
      </c>
    </row>
    <row r="87" spans="1:9">
      <c r="A87" s="15" t="s">
        <v>528</v>
      </c>
      <c r="B87" s="16">
        <v>45083</v>
      </c>
      <c r="C87" s="6" t="s">
        <v>254</v>
      </c>
      <c r="D87" s="1" t="s">
        <v>78</v>
      </c>
      <c r="E87" s="21">
        <f>10.734+16.227</f>
        <v>26.960999999999999</v>
      </c>
      <c r="F87" s="24" t="s">
        <v>116</v>
      </c>
      <c r="G87" s="1" t="s">
        <v>529</v>
      </c>
      <c r="H87" s="18" t="s">
        <v>403</v>
      </c>
      <c r="I87" s="16">
        <v>45043</v>
      </c>
    </row>
    <row r="88" spans="1:9">
      <c r="A88" s="15" t="s">
        <v>527</v>
      </c>
      <c r="B88" s="16">
        <v>45083</v>
      </c>
      <c r="C88" s="6" t="s">
        <v>254</v>
      </c>
      <c r="D88" s="1" t="s">
        <v>78</v>
      </c>
      <c r="E88" s="21">
        <v>12.933999999999999</v>
      </c>
      <c r="F88" s="24" t="s">
        <v>294</v>
      </c>
      <c r="G88" s="1" t="s">
        <v>530</v>
      </c>
      <c r="H88" s="18" t="s">
        <v>403</v>
      </c>
      <c r="I88" s="16">
        <v>45043</v>
      </c>
    </row>
    <row r="89" spans="1:9">
      <c r="A89" s="15" t="s">
        <v>531</v>
      </c>
      <c r="B89" s="16">
        <v>45083</v>
      </c>
      <c r="C89" s="6" t="s">
        <v>282</v>
      </c>
      <c r="D89" s="1" t="s">
        <v>11</v>
      </c>
      <c r="E89" s="22">
        <v>24.666</v>
      </c>
      <c r="F89" s="24" t="s">
        <v>29</v>
      </c>
      <c r="G89" s="1" t="s">
        <v>532</v>
      </c>
      <c r="H89" s="18" t="s">
        <v>466</v>
      </c>
      <c r="I89" s="16">
        <v>45056</v>
      </c>
    </row>
    <row r="90" spans="1:9">
      <c r="A90" s="1"/>
      <c r="B90" s="16"/>
      <c r="C90" s="6"/>
      <c r="D90" s="1"/>
      <c r="E90" s="41">
        <f>SUM(E83:E89)</f>
        <v>94.954999999999998</v>
      </c>
      <c r="F90" s="24"/>
      <c r="G90" s="1"/>
      <c r="H90" s="1"/>
      <c r="I90" s="3"/>
    </row>
    <row r="91" spans="1:9">
      <c r="A91" s="15" t="s">
        <v>533</v>
      </c>
      <c r="B91" s="16">
        <v>45085</v>
      </c>
      <c r="C91" s="6" t="s">
        <v>282</v>
      </c>
      <c r="D91" s="1" t="s">
        <v>11</v>
      </c>
      <c r="E91" s="21">
        <v>9.1080000000000005</v>
      </c>
      <c r="F91" s="24" t="s">
        <v>22</v>
      </c>
      <c r="G91" s="1" t="s">
        <v>534</v>
      </c>
      <c r="H91" s="18" t="s">
        <v>466</v>
      </c>
      <c r="I91" s="16">
        <v>45056</v>
      </c>
    </row>
    <row r="92" spans="1:9">
      <c r="A92" s="15" t="s">
        <v>535</v>
      </c>
      <c r="B92" s="16">
        <v>45085</v>
      </c>
      <c r="C92" s="6" t="s">
        <v>230</v>
      </c>
      <c r="D92" s="1" t="s">
        <v>11</v>
      </c>
      <c r="E92" s="21">
        <v>3.028</v>
      </c>
      <c r="F92" s="24" t="s">
        <v>22</v>
      </c>
      <c r="G92" s="1" t="s">
        <v>536</v>
      </c>
      <c r="H92" s="18" t="s">
        <v>359</v>
      </c>
      <c r="I92" s="16">
        <v>45043</v>
      </c>
    </row>
    <row r="93" spans="1:9">
      <c r="A93" s="15" t="s">
        <v>535</v>
      </c>
      <c r="B93" s="16">
        <v>45085</v>
      </c>
      <c r="C93" s="6" t="s">
        <v>254</v>
      </c>
      <c r="D93" s="1" t="s">
        <v>11</v>
      </c>
      <c r="E93" s="21">
        <v>4.6680000000000001</v>
      </c>
      <c r="F93" s="24" t="s">
        <v>22</v>
      </c>
      <c r="G93" s="1" t="s">
        <v>536</v>
      </c>
      <c r="H93" s="18" t="s">
        <v>359</v>
      </c>
      <c r="I93" s="16">
        <v>45043</v>
      </c>
    </row>
    <row r="94" spans="1:9">
      <c r="A94" s="15" t="s">
        <v>535</v>
      </c>
      <c r="B94" s="16">
        <v>45085</v>
      </c>
      <c r="C94" s="6" t="s">
        <v>255</v>
      </c>
      <c r="D94" s="1" t="s">
        <v>11</v>
      </c>
      <c r="E94" s="21">
        <v>1.8420000000000001</v>
      </c>
      <c r="F94" s="24" t="s">
        <v>22</v>
      </c>
      <c r="G94" s="1" t="s">
        <v>536</v>
      </c>
      <c r="H94" s="18" t="s">
        <v>359</v>
      </c>
      <c r="I94" s="16">
        <v>45043</v>
      </c>
    </row>
    <row r="95" spans="1:9">
      <c r="A95" s="15" t="s">
        <v>535</v>
      </c>
      <c r="B95" s="16">
        <v>45085</v>
      </c>
      <c r="C95" s="6" t="s">
        <v>200</v>
      </c>
      <c r="D95" s="1" t="s">
        <v>11</v>
      </c>
      <c r="E95" s="21">
        <v>6.8079999999999998</v>
      </c>
      <c r="F95" s="24" t="s">
        <v>22</v>
      </c>
      <c r="G95" s="1" t="s">
        <v>536</v>
      </c>
      <c r="H95" s="18" t="s">
        <v>359</v>
      </c>
      <c r="I95" s="16">
        <v>45043</v>
      </c>
    </row>
    <row r="96" spans="1:9">
      <c r="A96" s="15" t="s">
        <v>537</v>
      </c>
      <c r="B96" s="16">
        <v>45085</v>
      </c>
      <c r="C96" s="6" t="s">
        <v>282</v>
      </c>
      <c r="D96" s="1" t="s">
        <v>11</v>
      </c>
      <c r="E96" s="21">
        <v>13.452999999999999</v>
      </c>
      <c r="F96" s="24" t="s">
        <v>137</v>
      </c>
      <c r="G96" s="1" t="s">
        <v>538</v>
      </c>
      <c r="H96" s="18" t="s">
        <v>466</v>
      </c>
      <c r="I96" s="16">
        <v>45056</v>
      </c>
    </row>
    <row r="97" spans="1:9">
      <c r="A97" s="15" t="s">
        <v>539</v>
      </c>
      <c r="B97" s="16">
        <v>45085</v>
      </c>
      <c r="C97" s="6" t="s">
        <v>208</v>
      </c>
      <c r="D97" s="1" t="s">
        <v>11</v>
      </c>
      <c r="E97" s="21">
        <v>2.0640000000000001</v>
      </c>
      <c r="F97" s="24" t="s">
        <v>137</v>
      </c>
      <c r="G97" s="1" t="s">
        <v>538</v>
      </c>
      <c r="H97" s="18" t="s">
        <v>400</v>
      </c>
      <c r="I97" s="16">
        <v>45056</v>
      </c>
    </row>
    <row r="98" spans="1:9">
      <c r="A98" s="15" t="s">
        <v>539</v>
      </c>
      <c r="B98" s="16">
        <v>45085</v>
      </c>
      <c r="C98" s="6" t="s">
        <v>196</v>
      </c>
      <c r="D98" s="1" t="s">
        <v>11</v>
      </c>
      <c r="E98" s="21">
        <v>1.3460000000000001</v>
      </c>
      <c r="F98" s="24" t="s">
        <v>137</v>
      </c>
      <c r="G98" s="1" t="s">
        <v>538</v>
      </c>
      <c r="H98" s="18" t="s">
        <v>400</v>
      </c>
      <c r="I98" s="16">
        <v>45056</v>
      </c>
    </row>
    <row r="99" spans="1:9">
      <c r="A99" s="15" t="s">
        <v>540</v>
      </c>
      <c r="B99" s="16">
        <v>45085</v>
      </c>
      <c r="C99" s="6" t="s">
        <v>286</v>
      </c>
      <c r="D99" s="1" t="s">
        <v>11</v>
      </c>
      <c r="E99" s="21">
        <v>2.0699999999999998</v>
      </c>
      <c r="F99" s="24" t="s">
        <v>137</v>
      </c>
      <c r="G99" s="1" t="s">
        <v>538</v>
      </c>
      <c r="H99" s="18" t="s">
        <v>359</v>
      </c>
      <c r="I99" s="16">
        <v>45043</v>
      </c>
    </row>
    <row r="100" spans="1:9">
      <c r="A100" s="15" t="s">
        <v>540</v>
      </c>
      <c r="B100" s="16">
        <v>45085</v>
      </c>
      <c r="C100" s="6" t="s">
        <v>200</v>
      </c>
      <c r="D100" s="1" t="s">
        <v>11</v>
      </c>
      <c r="E100" s="21">
        <v>2.1469999999999998</v>
      </c>
      <c r="F100" s="24" t="s">
        <v>137</v>
      </c>
      <c r="G100" s="1" t="s">
        <v>538</v>
      </c>
      <c r="H100" s="18" t="s">
        <v>359</v>
      </c>
      <c r="I100" s="16">
        <v>45043</v>
      </c>
    </row>
    <row r="101" spans="1:9">
      <c r="A101" s="15" t="s">
        <v>540</v>
      </c>
      <c r="B101" s="16">
        <v>45085</v>
      </c>
      <c r="C101" s="6" t="s">
        <v>196</v>
      </c>
      <c r="D101" s="1" t="s">
        <v>11</v>
      </c>
      <c r="E101" s="21">
        <v>2.3010000000000002</v>
      </c>
      <c r="F101" s="24" t="s">
        <v>137</v>
      </c>
      <c r="G101" s="1" t="s">
        <v>538</v>
      </c>
      <c r="H101" s="18" t="s">
        <v>359</v>
      </c>
      <c r="I101" s="16">
        <v>45043</v>
      </c>
    </row>
    <row r="102" spans="1:9">
      <c r="A102" s="15" t="s">
        <v>541</v>
      </c>
      <c r="B102" s="16">
        <v>45085</v>
      </c>
      <c r="C102" s="6" t="s">
        <v>196</v>
      </c>
      <c r="D102" s="1" t="s">
        <v>11</v>
      </c>
      <c r="E102" s="21">
        <v>0.20899999999999999</v>
      </c>
      <c r="F102" s="24" t="s">
        <v>137</v>
      </c>
      <c r="G102" s="1" t="s">
        <v>538</v>
      </c>
      <c r="H102" s="18" t="s">
        <v>360</v>
      </c>
      <c r="I102" s="16">
        <v>45043</v>
      </c>
    </row>
    <row r="103" spans="1:9">
      <c r="A103" s="15" t="s">
        <v>541</v>
      </c>
      <c r="B103" s="16">
        <v>45085</v>
      </c>
      <c r="C103" s="6" t="s">
        <v>345</v>
      </c>
      <c r="D103" s="1" t="s">
        <v>11</v>
      </c>
      <c r="E103" s="21">
        <v>1.0900000000000001</v>
      </c>
      <c r="F103" s="24" t="s">
        <v>137</v>
      </c>
      <c r="G103" s="1" t="s">
        <v>538</v>
      </c>
      <c r="H103" s="18" t="s">
        <v>360</v>
      </c>
      <c r="I103" s="16">
        <v>45043</v>
      </c>
    </row>
    <row r="104" spans="1:9">
      <c r="A104" s="15" t="s">
        <v>541</v>
      </c>
      <c r="B104" s="16">
        <v>45085</v>
      </c>
      <c r="C104" s="6" t="s">
        <v>200</v>
      </c>
      <c r="D104" s="1" t="s">
        <v>11</v>
      </c>
      <c r="E104" s="21">
        <v>0.35499999999999998</v>
      </c>
      <c r="F104" s="24" t="s">
        <v>137</v>
      </c>
      <c r="G104" s="1" t="s">
        <v>538</v>
      </c>
      <c r="H104" s="18" t="s">
        <v>360</v>
      </c>
      <c r="I104" s="16">
        <v>45043</v>
      </c>
    </row>
    <row r="105" spans="1:9">
      <c r="A105" s="1"/>
      <c r="B105" s="16"/>
      <c r="C105" s="6"/>
      <c r="D105" s="1"/>
      <c r="E105" s="41">
        <f>SUM(E91:E104)</f>
        <v>50.488999999999997</v>
      </c>
      <c r="F105" s="24"/>
      <c r="G105" s="1"/>
      <c r="H105" s="1"/>
      <c r="I105" s="3"/>
    </row>
    <row r="106" spans="1:9">
      <c r="A106" s="15" t="s">
        <v>585</v>
      </c>
      <c r="B106" s="16">
        <v>45088</v>
      </c>
      <c r="C106" s="6" t="s">
        <v>283</v>
      </c>
      <c r="D106" s="1" t="s">
        <v>11</v>
      </c>
      <c r="E106" s="21">
        <v>0.315</v>
      </c>
      <c r="F106" s="24" t="s">
        <v>586</v>
      </c>
      <c r="G106" s="1" t="s">
        <v>587</v>
      </c>
      <c r="H106" s="18" t="s">
        <v>359</v>
      </c>
      <c r="I106" s="16">
        <v>45043</v>
      </c>
    </row>
    <row r="107" spans="1:9">
      <c r="A107" s="15" t="s">
        <v>585</v>
      </c>
      <c r="B107" s="16">
        <v>45088</v>
      </c>
      <c r="C107" s="6" t="s">
        <v>255</v>
      </c>
      <c r="D107" s="1" t="s">
        <v>11</v>
      </c>
      <c r="E107" s="21">
        <v>2.5830000000000002</v>
      </c>
      <c r="F107" s="24" t="s">
        <v>586</v>
      </c>
      <c r="G107" s="1" t="s">
        <v>587</v>
      </c>
      <c r="H107" s="18" t="s">
        <v>359</v>
      </c>
      <c r="I107" s="16">
        <v>45043</v>
      </c>
    </row>
    <row r="108" spans="1:9">
      <c r="A108" s="15" t="s">
        <v>585</v>
      </c>
      <c r="B108" s="16">
        <v>45088</v>
      </c>
      <c r="C108" s="6" t="s">
        <v>205</v>
      </c>
      <c r="D108" s="1" t="s">
        <v>11</v>
      </c>
      <c r="E108" s="21">
        <v>3.5110000000000001</v>
      </c>
      <c r="F108" s="24" t="s">
        <v>586</v>
      </c>
      <c r="G108" s="1" t="s">
        <v>587</v>
      </c>
      <c r="H108" s="18" t="s">
        <v>359</v>
      </c>
      <c r="I108" s="16">
        <v>45043</v>
      </c>
    </row>
    <row r="109" spans="1:9">
      <c r="A109" s="15" t="s">
        <v>585</v>
      </c>
      <c r="B109" s="16">
        <v>45088</v>
      </c>
      <c r="C109" s="6" t="s">
        <v>254</v>
      </c>
      <c r="D109" s="1" t="s">
        <v>11</v>
      </c>
      <c r="E109" s="21">
        <v>0.69199999999999995</v>
      </c>
      <c r="F109" s="24" t="s">
        <v>586</v>
      </c>
      <c r="G109" s="1" t="s">
        <v>587</v>
      </c>
      <c r="H109" s="18" t="s">
        <v>359</v>
      </c>
      <c r="I109" s="16">
        <v>45043</v>
      </c>
    </row>
    <row r="110" spans="1:9">
      <c r="A110" s="15" t="s">
        <v>585</v>
      </c>
      <c r="B110" s="16">
        <v>45088</v>
      </c>
      <c r="C110" s="6" t="s">
        <v>345</v>
      </c>
      <c r="D110" s="1" t="s">
        <v>11</v>
      </c>
      <c r="E110" s="21">
        <v>0.59299999999999997</v>
      </c>
      <c r="F110" s="24" t="s">
        <v>586</v>
      </c>
      <c r="G110" s="1" t="s">
        <v>587</v>
      </c>
      <c r="H110" s="18" t="s">
        <v>359</v>
      </c>
      <c r="I110" s="16">
        <v>45043</v>
      </c>
    </row>
    <row r="111" spans="1:9">
      <c r="A111" s="15" t="s">
        <v>588</v>
      </c>
      <c r="B111" s="16">
        <v>45088</v>
      </c>
      <c r="C111" s="6" t="s">
        <v>254</v>
      </c>
      <c r="D111" s="1" t="s">
        <v>11</v>
      </c>
      <c r="E111" s="21">
        <v>0.34599999999999997</v>
      </c>
      <c r="F111" s="24" t="s">
        <v>586</v>
      </c>
      <c r="G111" s="1" t="s">
        <v>587</v>
      </c>
      <c r="H111" s="18" t="s">
        <v>360</v>
      </c>
      <c r="I111" s="16">
        <v>45043</v>
      </c>
    </row>
    <row r="112" spans="1:9">
      <c r="A112" s="15" t="s">
        <v>588</v>
      </c>
      <c r="B112" s="16">
        <v>45088</v>
      </c>
      <c r="C112" s="6" t="s">
        <v>255</v>
      </c>
      <c r="D112" s="1" t="s">
        <v>11</v>
      </c>
      <c r="E112" s="21">
        <v>0.38600000000000001</v>
      </c>
      <c r="F112" s="24" t="s">
        <v>586</v>
      </c>
      <c r="G112" s="1" t="s">
        <v>587</v>
      </c>
      <c r="H112" s="18" t="s">
        <v>360</v>
      </c>
      <c r="I112" s="16">
        <v>45043</v>
      </c>
    </row>
    <row r="113" spans="1:9">
      <c r="A113" s="15" t="s">
        <v>588</v>
      </c>
      <c r="B113" s="16">
        <v>45088</v>
      </c>
      <c r="C113" s="6" t="s">
        <v>195</v>
      </c>
      <c r="D113" s="1" t="s">
        <v>11</v>
      </c>
      <c r="E113" s="21">
        <v>1.35</v>
      </c>
      <c r="F113" s="24" t="s">
        <v>586</v>
      </c>
      <c r="G113" s="1" t="s">
        <v>587</v>
      </c>
      <c r="H113" s="18" t="s">
        <v>360</v>
      </c>
      <c r="I113" s="16">
        <v>45043</v>
      </c>
    </row>
    <row r="114" spans="1:9">
      <c r="A114" s="15" t="s">
        <v>588</v>
      </c>
      <c r="B114" s="16">
        <v>45088</v>
      </c>
      <c r="C114" s="6" t="s">
        <v>196</v>
      </c>
      <c r="D114" s="1" t="s">
        <v>11</v>
      </c>
      <c r="E114" s="21">
        <v>0.41799999999999998</v>
      </c>
      <c r="F114" s="24" t="s">
        <v>586</v>
      </c>
      <c r="G114" s="1" t="s">
        <v>587</v>
      </c>
      <c r="H114" s="18" t="s">
        <v>360</v>
      </c>
      <c r="I114" s="16">
        <v>45043</v>
      </c>
    </row>
    <row r="115" spans="1:9">
      <c r="A115" s="15" t="s">
        <v>588</v>
      </c>
      <c r="B115" s="16">
        <v>45088</v>
      </c>
      <c r="C115" s="6" t="s">
        <v>344</v>
      </c>
      <c r="D115" s="1" t="s">
        <v>11</v>
      </c>
      <c r="E115" s="21">
        <v>0.88700000000000001</v>
      </c>
      <c r="F115" s="24" t="s">
        <v>586</v>
      </c>
      <c r="G115" s="1" t="s">
        <v>587</v>
      </c>
      <c r="H115" s="18" t="s">
        <v>360</v>
      </c>
      <c r="I115" s="16">
        <v>45043</v>
      </c>
    </row>
    <row r="116" spans="1:9">
      <c r="A116" s="15" t="s">
        <v>589</v>
      </c>
      <c r="B116" s="16">
        <v>45088</v>
      </c>
      <c r="C116" s="6" t="s">
        <v>282</v>
      </c>
      <c r="D116" s="1" t="s">
        <v>11</v>
      </c>
      <c r="E116" s="21">
        <f>6.689+7.343</f>
        <v>14.032</v>
      </c>
      <c r="F116" s="24" t="s">
        <v>586</v>
      </c>
      <c r="G116" s="1" t="s">
        <v>590</v>
      </c>
      <c r="H116" s="18" t="s">
        <v>466</v>
      </c>
      <c r="I116" s="16">
        <v>45056</v>
      </c>
    </row>
    <row r="117" spans="1:9">
      <c r="A117" s="15" t="s">
        <v>591</v>
      </c>
      <c r="B117" s="16">
        <v>45088</v>
      </c>
      <c r="C117" s="6" t="s">
        <v>226</v>
      </c>
      <c r="D117" s="1" t="s">
        <v>78</v>
      </c>
      <c r="E117" s="21">
        <f>4.854+10.215</f>
        <v>15.068999999999999</v>
      </c>
      <c r="F117" s="24" t="s">
        <v>267</v>
      </c>
      <c r="G117" s="1" t="s">
        <v>593</v>
      </c>
      <c r="H117" s="18" t="s">
        <v>403</v>
      </c>
      <c r="I117" s="16">
        <v>45043</v>
      </c>
    </row>
    <row r="118" spans="1:9">
      <c r="A118" s="15" t="s">
        <v>591</v>
      </c>
      <c r="B118" s="16">
        <v>45088</v>
      </c>
      <c r="C118" s="6" t="s">
        <v>310</v>
      </c>
      <c r="D118" s="1" t="s">
        <v>78</v>
      </c>
      <c r="E118" s="21">
        <v>0.85099999999999998</v>
      </c>
      <c r="F118" s="24" t="s">
        <v>267</v>
      </c>
      <c r="G118" s="1" t="s">
        <v>593</v>
      </c>
      <c r="H118" s="18" t="s">
        <v>403</v>
      </c>
      <c r="I118" s="16">
        <v>45043</v>
      </c>
    </row>
    <row r="119" spans="1:9">
      <c r="A119" s="15" t="s">
        <v>592</v>
      </c>
      <c r="B119" s="16">
        <v>45088</v>
      </c>
      <c r="C119" s="6" t="s">
        <v>226</v>
      </c>
      <c r="D119" s="1" t="s">
        <v>78</v>
      </c>
      <c r="E119" s="21">
        <v>11.146000000000001</v>
      </c>
      <c r="F119" s="24" t="s">
        <v>267</v>
      </c>
      <c r="G119" s="1" t="s">
        <v>594</v>
      </c>
      <c r="H119" s="18" t="s">
        <v>406</v>
      </c>
      <c r="I119" s="16">
        <v>45053</v>
      </c>
    </row>
    <row r="120" spans="1:9">
      <c r="A120" s="15" t="s">
        <v>595</v>
      </c>
      <c r="B120" s="16">
        <v>45088</v>
      </c>
      <c r="C120" s="6" t="s">
        <v>252</v>
      </c>
      <c r="D120" s="1" t="s">
        <v>78</v>
      </c>
      <c r="E120" s="21">
        <v>5.2919999999999998</v>
      </c>
      <c r="F120" s="24" t="s">
        <v>267</v>
      </c>
      <c r="G120" s="1" t="s">
        <v>594</v>
      </c>
      <c r="H120" s="18" t="s">
        <v>596</v>
      </c>
      <c r="I120" s="16">
        <v>45071</v>
      </c>
    </row>
    <row r="121" spans="1:9">
      <c r="A121" s="1"/>
      <c r="B121" s="16"/>
      <c r="C121" s="6"/>
      <c r="D121" s="1"/>
      <c r="E121" s="41">
        <f>SUM(E106:E120)</f>
        <v>57.471000000000004</v>
      </c>
      <c r="F121" s="24"/>
      <c r="G121" s="1"/>
      <c r="H121" s="1"/>
      <c r="I121" s="3"/>
    </row>
    <row r="122" spans="1:9">
      <c r="A122" s="15" t="s">
        <v>597</v>
      </c>
      <c r="B122" s="16">
        <v>45089</v>
      </c>
      <c r="C122" s="6" t="s">
        <v>196</v>
      </c>
      <c r="D122" s="1" t="s">
        <v>11</v>
      </c>
      <c r="E122" s="32">
        <v>1.0660000000000001</v>
      </c>
      <c r="F122" s="24" t="s">
        <v>598</v>
      </c>
      <c r="G122" s="1" t="s">
        <v>599</v>
      </c>
      <c r="H122" s="18" t="s">
        <v>359</v>
      </c>
      <c r="I122" s="16">
        <v>45043</v>
      </c>
    </row>
    <row r="123" spans="1:9">
      <c r="A123" s="15" t="s">
        <v>597</v>
      </c>
      <c r="B123" s="16">
        <v>45089</v>
      </c>
      <c r="C123" s="6" t="s">
        <v>286</v>
      </c>
      <c r="D123" s="1" t="s">
        <v>11</v>
      </c>
      <c r="E123" s="32">
        <v>0.73199999999999998</v>
      </c>
      <c r="F123" s="24" t="s">
        <v>598</v>
      </c>
      <c r="G123" s="1" t="s">
        <v>599</v>
      </c>
      <c r="H123" s="18" t="s">
        <v>359</v>
      </c>
      <c r="I123" s="16">
        <v>45043</v>
      </c>
    </row>
    <row r="124" spans="1:9">
      <c r="A124" s="15" t="s">
        <v>597</v>
      </c>
      <c r="B124" s="16">
        <v>45089</v>
      </c>
      <c r="C124" s="6" t="s">
        <v>255</v>
      </c>
      <c r="D124" s="1" t="s">
        <v>11</v>
      </c>
      <c r="E124" s="32">
        <f>0.749+0.207</f>
        <v>0.95599999999999996</v>
      </c>
      <c r="F124" s="24" t="s">
        <v>598</v>
      </c>
      <c r="G124" s="1" t="s">
        <v>599</v>
      </c>
      <c r="H124" s="18" t="s">
        <v>359</v>
      </c>
      <c r="I124" s="16">
        <v>45043</v>
      </c>
    </row>
    <row r="125" spans="1:9">
      <c r="A125" s="15" t="s">
        <v>597</v>
      </c>
      <c r="B125" s="16">
        <v>45089</v>
      </c>
      <c r="C125" s="6" t="s">
        <v>230</v>
      </c>
      <c r="D125" s="1" t="s">
        <v>11</v>
      </c>
      <c r="E125" s="32">
        <v>0.92700000000000005</v>
      </c>
      <c r="F125" s="24" t="s">
        <v>598</v>
      </c>
      <c r="G125" s="1" t="s">
        <v>599</v>
      </c>
      <c r="H125" s="18" t="s">
        <v>359</v>
      </c>
      <c r="I125" s="16">
        <v>45043</v>
      </c>
    </row>
    <row r="126" spans="1:9">
      <c r="A126" s="15" t="s">
        <v>597</v>
      </c>
      <c r="B126" s="16">
        <v>45089</v>
      </c>
      <c r="C126" s="6" t="s">
        <v>286</v>
      </c>
      <c r="D126" s="1" t="s">
        <v>11</v>
      </c>
      <c r="E126" s="32">
        <v>0.53600000000000003</v>
      </c>
      <c r="F126" s="24" t="s">
        <v>598</v>
      </c>
      <c r="G126" s="1" t="s">
        <v>599</v>
      </c>
      <c r="H126" s="18" t="s">
        <v>359</v>
      </c>
      <c r="I126" s="16">
        <v>45043</v>
      </c>
    </row>
    <row r="127" spans="1:9">
      <c r="A127" s="15" t="s">
        <v>600</v>
      </c>
      <c r="B127" s="16">
        <v>45089</v>
      </c>
      <c r="C127" s="6" t="s">
        <v>260</v>
      </c>
      <c r="D127" s="1" t="s">
        <v>11</v>
      </c>
      <c r="E127" s="32">
        <v>2.2290000000000001</v>
      </c>
      <c r="F127" s="24" t="s">
        <v>598</v>
      </c>
      <c r="G127" s="1" t="s">
        <v>601</v>
      </c>
      <c r="H127" s="18" t="s">
        <v>360</v>
      </c>
      <c r="I127" s="16">
        <v>45043</v>
      </c>
    </row>
    <row r="128" spans="1:9">
      <c r="A128" s="15" t="s">
        <v>600</v>
      </c>
      <c r="B128" s="16">
        <v>45089</v>
      </c>
      <c r="C128" s="6" t="s">
        <v>205</v>
      </c>
      <c r="D128" s="1" t="s">
        <v>11</v>
      </c>
      <c r="E128" s="32">
        <v>0.20699999999999999</v>
      </c>
      <c r="F128" s="24" t="s">
        <v>598</v>
      </c>
      <c r="G128" s="1" t="s">
        <v>601</v>
      </c>
      <c r="H128" s="18" t="s">
        <v>360</v>
      </c>
      <c r="I128" s="16">
        <v>45043</v>
      </c>
    </row>
    <row r="129" spans="1:9">
      <c r="A129" s="15" t="s">
        <v>602</v>
      </c>
      <c r="B129" s="16">
        <v>45089</v>
      </c>
      <c r="C129" s="6" t="s">
        <v>230</v>
      </c>
      <c r="D129" s="1" t="s">
        <v>11</v>
      </c>
      <c r="E129" s="32">
        <v>0.73</v>
      </c>
      <c r="F129" s="24" t="s">
        <v>598</v>
      </c>
      <c r="G129" s="1" t="s">
        <v>601</v>
      </c>
      <c r="H129" s="18" t="s">
        <v>400</v>
      </c>
      <c r="I129" s="16">
        <v>45056</v>
      </c>
    </row>
    <row r="130" spans="1:9">
      <c r="A130" s="15" t="s">
        <v>603</v>
      </c>
      <c r="B130" s="16">
        <v>45089</v>
      </c>
      <c r="C130" s="6" t="s">
        <v>282</v>
      </c>
      <c r="D130" s="1" t="s">
        <v>11</v>
      </c>
      <c r="E130" s="32">
        <v>17.417000000000002</v>
      </c>
      <c r="F130" s="24" t="s">
        <v>598</v>
      </c>
      <c r="G130" s="1" t="s">
        <v>601</v>
      </c>
      <c r="H130" s="18" t="s">
        <v>466</v>
      </c>
      <c r="I130" s="16">
        <v>45056</v>
      </c>
    </row>
    <row r="131" spans="1:9">
      <c r="A131" s="1"/>
      <c r="B131" s="16"/>
      <c r="C131" s="6"/>
      <c r="D131" s="1"/>
      <c r="E131" s="41">
        <f>SUM(E122:E130)</f>
        <v>24.800000000000004</v>
      </c>
      <c r="F131" s="24"/>
      <c r="G131" s="1"/>
      <c r="H131" s="1"/>
      <c r="I131" s="3"/>
    </row>
    <row r="132" spans="1:9">
      <c r="A132" s="15" t="s">
        <v>604</v>
      </c>
      <c r="B132" s="16">
        <v>45090</v>
      </c>
      <c r="C132" s="6" t="s">
        <v>224</v>
      </c>
      <c r="D132" s="1" t="s">
        <v>78</v>
      </c>
      <c r="E132" s="21">
        <f>8.26+10.694</f>
        <v>18.954000000000001</v>
      </c>
      <c r="F132" s="24" t="s">
        <v>97</v>
      </c>
      <c r="G132" s="1" t="s">
        <v>605</v>
      </c>
      <c r="H132" s="18" t="s">
        <v>403</v>
      </c>
      <c r="I132" s="16">
        <v>45043</v>
      </c>
    </row>
    <row r="133" spans="1:9">
      <c r="A133" s="15" t="s">
        <v>606</v>
      </c>
      <c r="B133" s="16">
        <v>45090</v>
      </c>
      <c r="C133" s="6" t="s">
        <v>226</v>
      </c>
      <c r="D133" s="1" t="s">
        <v>78</v>
      </c>
      <c r="E133" s="21">
        <v>4.1360000000000001</v>
      </c>
      <c r="F133" s="24" t="s">
        <v>97</v>
      </c>
      <c r="G133" s="1" t="s">
        <v>607</v>
      </c>
      <c r="H133" s="18" t="s">
        <v>406</v>
      </c>
      <c r="I133" s="16">
        <v>45053</v>
      </c>
    </row>
    <row r="134" spans="1:9">
      <c r="A134" s="15" t="s">
        <v>606</v>
      </c>
      <c r="B134" s="16">
        <v>45090</v>
      </c>
      <c r="C134" s="6" t="s">
        <v>310</v>
      </c>
      <c r="D134" s="1" t="s">
        <v>78</v>
      </c>
      <c r="E134" s="21">
        <v>3.452</v>
      </c>
      <c r="F134" s="24" t="s">
        <v>97</v>
      </c>
      <c r="G134" s="1" t="s">
        <v>607</v>
      </c>
      <c r="H134" s="18" t="s">
        <v>406</v>
      </c>
      <c r="I134" s="16">
        <v>45053</v>
      </c>
    </row>
    <row r="135" spans="1:9">
      <c r="A135" s="15" t="s">
        <v>608</v>
      </c>
      <c r="B135" s="16">
        <v>45090</v>
      </c>
      <c r="C135" s="6" t="s">
        <v>310</v>
      </c>
      <c r="D135" s="1" t="s">
        <v>78</v>
      </c>
      <c r="E135" s="21">
        <v>1.7030000000000001</v>
      </c>
      <c r="F135" s="24" t="s">
        <v>97</v>
      </c>
      <c r="G135" s="1" t="s">
        <v>607</v>
      </c>
      <c r="H135" s="18" t="s">
        <v>610</v>
      </c>
      <c r="I135" s="16">
        <v>45084</v>
      </c>
    </row>
    <row r="136" spans="1:9">
      <c r="A136" s="15" t="s">
        <v>608</v>
      </c>
      <c r="B136" s="16">
        <v>45090</v>
      </c>
      <c r="C136" s="6" t="s">
        <v>609</v>
      </c>
      <c r="D136" s="1" t="s">
        <v>78</v>
      </c>
      <c r="E136" s="21">
        <v>0.33800000000000002</v>
      </c>
      <c r="F136" s="24" t="s">
        <v>97</v>
      </c>
      <c r="G136" s="1" t="s">
        <v>607</v>
      </c>
      <c r="H136" s="18" t="s">
        <v>610</v>
      </c>
      <c r="I136" s="16">
        <v>45084</v>
      </c>
    </row>
    <row r="137" spans="1:9">
      <c r="A137" s="15" t="s">
        <v>611</v>
      </c>
      <c r="B137" s="16">
        <v>45090</v>
      </c>
      <c r="C137" s="6" t="s">
        <v>310</v>
      </c>
      <c r="D137" s="1" t="s">
        <v>78</v>
      </c>
      <c r="E137" s="21">
        <v>2.9940000000000002</v>
      </c>
      <c r="F137" s="24" t="s">
        <v>97</v>
      </c>
      <c r="G137" s="1" t="s">
        <v>607</v>
      </c>
      <c r="H137" s="18" t="s">
        <v>440</v>
      </c>
      <c r="I137" s="16">
        <v>45071</v>
      </c>
    </row>
    <row r="138" spans="1:9">
      <c r="A138" s="15" t="s">
        <v>612</v>
      </c>
      <c r="B138" s="16">
        <v>45090</v>
      </c>
      <c r="C138" s="6" t="s">
        <v>310</v>
      </c>
      <c r="D138" s="1" t="s">
        <v>78</v>
      </c>
      <c r="E138" s="21">
        <v>1.333</v>
      </c>
      <c r="F138" s="24" t="s">
        <v>97</v>
      </c>
      <c r="G138" s="1" t="s">
        <v>607</v>
      </c>
      <c r="H138" s="18" t="s">
        <v>451</v>
      </c>
      <c r="I138" s="16">
        <v>45071</v>
      </c>
    </row>
    <row r="139" spans="1:9">
      <c r="A139" s="15" t="s">
        <v>613</v>
      </c>
      <c r="B139" s="16">
        <v>45090</v>
      </c>
      <c r="C139" s="6" t="s">
        <v>224</v>
      </c>
      <c r="D139" s="1" t="s">
        <v>78</v>
      </c>
      <c r="E139" s="21">
        <v>2.9209999999999998</v>
      </c>
      <c r="F139" s="24" t="s">
        <v>267</v>
      </c>
      <c r="G139" s="1" t="s">
        <v>614</v>
      </c>
      <c r="H139" s="18" t="s">
        <v>403</v>
      </c>
      <c r="I139" s="16">
        <v>45043</v>
      </c>
    </row>
    <row r="140" spans="1:9">
      <c r="A140" s="15" t="s">
        <v>613</v>
      </c>
      <c r="B140" s="16">
        <v>45090</v>
      </c>
      <c r="C140" s="6" t="s">
        <v>225</v>
      </c>
      <c r="D140" s="1" t="s">
        <v>78</v>
      </c>
      <c r="E140" s="21">
        <f>3.718+3.259</f>
        <v>6.9770000000000003</v>
      </c>
      <c r="F140" s="24" t="s">
        <v>267</v>
      </c>
      <c r="G140" s="1" t="s">
        <v>614</v>
      </c>
      <c r="H140" s="18" t="s">
        <v>403</v>
      </c>
      <c r="I140" s="16">
        <v>45043</v>
      </c>
    </row>
    <row r="141" spans="1:9">
      <c r="A141" s="15" t="s">
        <v>613</v>
      </c>
      <c r="B141" s="16">
        <v>45090</v>
      </c>
      <c r="C141" s="6" t="s">
        <v>377</v>
      </c>
      <c r="D141" s="1" t="s">
        <v>78</v>
      </c>
      <c r="E141" s="21">
        <v>3.13</v>
      </c>
      <c r="F141" s="24" t="s">
        <v>267</v>
      </c>
      <c r="G141" s="1" t="s">
        <v>614</v>
      </c>
      <c r="H141" s="18" t="s">
        <v>403</v>
      </c>
      <c r="I141" s="16">
        <v>45043</v>
      </c>
    </row>
    <row r="142" spans="1:9">
      <c r="A142" s="15" t="s">
        <v>613</v>
      </c>
      <c r="B142" s="16">
        <v>45090</v>
      </c>
      <c r="C142" s="6" t="s">
        <v>363</v>
      </c>
      <c r="D142" s="1" t="s">
        <v>78</v>
      </c>
      <c r="E142" s="21">
        <v>6.5839999999999996</v>
      </c>
      <c r="F142" s="24" t="s">
        <v>267</v>
      </c>
      <c r="G142" s="1" t="s">
        <v>614</v>
      </c>
      <c r="H142" s="18" t="s">
        <v>403</v>
      </c>
      <c r="I142" s="16">
        <v>45043</v>
      </c>
    </row>
    <row r="143" spans="1:9">
      <c r="A143" s="15" t="s">
        <v>615</v>
      </c>
      <c r="B143" s="16">
        <v>45090</v>
      </c>
      <c r="C143" s="6" t="s">
        <v>226</v>
      </c>
      <c r="D143" s="1" t="s">
        <v>78</v>
      </c>
      <c r="E143" s="21">
        <v>1.0920000000000001</v>
      </c>
      <c r="F143" s="24" t="s">
        <v>267</v>
      </c>
      <c r="G143" s="1" t="s">
        <v>616</v>
      </c>
      <c r="H143" s="18" t="s">
        <v>610</v>
      </c>
      <c r="I143" s="16">
        <v>45084</v>
      </c>
    </row>
    <row r="144" spans="1:9">
      <c r="A144" s="15" t="s">
        <v>615</v>
      </c>
      <c r="B144" s="16">
        <v>45090</v>
      </c>
      <c r="C144" s="6" t="s">
        <v>311</v>
      </c>
      <c r="D144" s="1" t="s">
        <v>78</v>
      </c>
      <c r="E144" s="21">
        <v>0.22700000000000001</v>
      </c>
      <c r="F144" s="24" t="s">
        <v>267</v>
      </c>
      <c r="G144" s="1" t="s">
        <v>616</v>
      </c>
      <c r="H144" s="18" t="s">
        <v>610</v>
      </c>
      <c r="I144" s="16">
        <v>45084</v>
      </c>
    </row>
    <row r="145" spans="1:9">
      <c r="A145" s="15" t="s">
        <v>617</v>
      </c>
      <c r="B145" s="16">
        <v>45090</v>
      </c>
      <c r="C145" s="6" t="s">
        <v>226</v>
      </c>
      <c r="D145" s="1" t="s">
        <v>78</v>
      </c>
      <c r="E145" s="21">
        <v>2.1030000000000002</v>
      </c>
      <c r="F145" s="24" t="s">
        <v>267</v>
      </c>
      <c r="G145" s="1" t="s">
        <v>616</v>
      </c>
      <c r="H145" s="18" t="s">
        <v>440</v>
      </c>
      <c r="I145" s="16">
        <v>45071</v>
      </c>
    </row>
    <row r="146" spans="1:9">
      <c r="A146" s="15" t="s">
        <v>617</v>
      </c>
      <c r="B146" s="16">
        <v>45090</v>
      </c>
      <c r="C146" s="6" t="s">
        <v>283</v>
      </c>
      <c r="D146" s="1" t="s">
        <v>78</v>
      </c>
      <c r="E146" s="21">
        <v>1.7689999999999999</v>
      </c>
      <c r="F146" s="24" t="s">
        <v>267</v>
      </c>
      <c r="G146" s="1" t="s">
        <v>616</v>
      </c>
      <c r="H146" s="18" t="s">
        <v>440</v>
      </c>
      <c r="I146" s="16">
        <v>45071</v>
      </c>
    </row>
    <row r="147" spans="1:9">
      <c r="A147" s="15" t="s">
        <v>617</v>
      </c>
      <c r="B147" s="16">
        <v>45090</v>
      </c>
      <c r="C147" s="6" t="s">
        <v>200</v>
      </c>
      <c r="D147" s="1" t="s">
        <v>78</v>
      </c>
      <c r="E147" s="21">
        <v>3.4620000000000002</v>
      </c>
      <c r="F147" s="24" t="s">
        <v>267</v>
      </c>
      <c r="G147" s="1" t="s">
        <v>616</v>
      </c>
      <c r="H147" s="18" t="s">
        <v>440</v>
      </c>
      <c r="I147" s="16">
        <v>45071</v>
      </c>
    </row>
    <row r="148" spans="1:9">
      <c r="A148" s="15" t="s">
        <v>617</v>
      </c>
      <c r="B148" s="16">
        <v>45090</v>
      </c>
      <c r="C148" s="6" t="s">
        <v>234</v>
      </c>
      <c r="D148" s="1" t="s">
        <v>78</v>
      </c>
      <c r="E148" s="21">
        <v>0.40600000000000003</v>
      </c>
      <c r="F148" s="24" t="s">
        <v>267</v>
      </c>
      <c r="G148" s="1" t="s">
        <v>616</v>
      </c>
      <c r="H148" s="18" t="s">
        <v>440</v>
      </c>
      <c r="I148" s="16">
        <v>45071</v>
      </c>
    </row>
    <row r="149" spans="1:9">
      <c r="A149" s="15" t="s">
        <v>617</v>
      </c>
      <c r="B149" s="16">
        <v>45090</v>
      </c>
      <c r="C149" s="6" t="s">
        <v>231</v>
      </c>
      <c r="D149" s="1" t="s">
        <v>78</v>
      </c>
      <c r="E149" s="21">
        <v>1.4219999999999999</v>
      </c>
      <c r="F149" s="24" t="s">
        <v>267</v>
      </c>
      <c r="G149" s="1" t="s">
        <v>616</v>
      </c>
      <c r="H149" s="18" t="s">
        <v>440</v>
      </c>
      <c r="I149" s="16">
        <v>45071</v>
      </c>
    </row>
    <row r="150" spans="1:9">
      <c r="A150" s="15" t="s">
        <v>617</v>
      </c>
      <c r="B150" s="16">
        <v>45090</v>
      </c>
      <c r="C150" s="6" t="s">
        <v>260</v>
      </c>
      <c r="D150" s="1" t="s">
        <v>78</v>
      </c>
      <c r="E150" s="21">
        <v>0.56200000000000006</v>
      </c>
      <c r="F150" s="24" t="s">
        <v>267</v>
      </c>
      <c r="G150" s="1" t="s">
        <v>616</v>
      </c>
      <c r="H150" s="18" t="s">
        <v>440</v>
      </c>
      <c r="I150" s="16">
        <v>45071</v>
      </c>
    </row>
    <row r="151" spans="1:9">
      <c r="A151" s="15" t="s">
        <v>618</v>
      </c>
      <c r="B151" s="16">
        <v>45090</v>
      </c>
      <c r="C151" s="6" t="s">
        <v>226</v>
      </c>
      <c r="D151" s="1" t="s">
        <v>78</v>
      </c>
      <c r="E151" s="21">
        <v>2.0310000000000001</v>
      </c>
      <c r="F151" s="24" t="s">
        <v>267</v>
      </c>
      <c r="G151" s="1" t="s">
        <v>616</v>
      </c>
      <c r="H151" s="18" t="s">
        <v>451</v>
      </c>
      <c r="I151" s="16">
        <v>45071</v>
      </c>
    </row>
    <row r="152" spans="1:9">
      <c r="A152" s="1"/>
      <c r="B152" s="16"/>
      <c r="C152" s="6"/>
      <c r="D152" s="1"/>
      <c r="E152" s="41">
        <f>SUM(E132:E151)</f>
        <v>65.596000000000004</v>
      </c>
      <c r="F152" s="24"/>
      <c r="G152" s="1"/>
      <c r="H152" s="1"/>
      <c r="I152" s="3"/>
    </row>
    <row r="153" spans="1:9">
      <c r="A153" s="15" t="s">
        <v>620</v>
      </c>
      <c r="B153" s="16">
        <v>45091</v>
      </c>
      <c r="C153" s="6" t="s">
        <v>196</v>
      </c>
      <c r="D153" s="1" t="s">
        <v>11</v>
      </c>
      <c r="E153" s="21">
        <v>22.8</v>
      </c>
      <c r="F153" s="24" t="s">
        <v>54</v>
      </c>
      <c r="G153" s="14" t="s">
        <v>621</v>
      </c>
      <c r="H153" s="18" t="s">
        <v>622</v>
      </c>
      <c r="I153" s="16">
        <v>45082</v>
      </c>
    </row>
    <row r="154" spans="1:9">
      <c r="A154" s="15" t="s">
        <v>620</v>
      </c>
      <c r="B154" s="16">
        <v>45091</v>
      </c>
      <c r="C154" s="6" t="s">
        <v>619</v>
      </c>
      <c r="D154" s="1" t="s">
        <v>11</v>
      </c>
      <c r="E154" s="21">
        <v>2.4089999999999998</v>
      </c>
      <c r="F154" s="24" t="s">
        <v>54</v>
      </c>
      <c r="G154" s="14" t="s">
        <v>621</v>
      </c>
      <c r="H154" s="18" t="s">
        <v>622</v>
      </c>
      <c r="I154" s="16">
        <v>45082</v>
      </c>
    </row>
    <row r="155" spans="1:9">
      <c r="A155" s="15" t="s">
        <v>623</v>
      </c>
      <c r="B155" s="16">
        <v>45091</v>
      </c>
      <c r="C155" s="6" t="s">
        <v>226</v>
      </c>
      <c r="D155" s="1" t="s">
        <v>11</v>
      </c>
      <c r="E155" s="21">
        <v>0.69899999999999995</v>
      </c>
      <c r="F155" s="24" t="s">
        <v>522</v>
      </c>
      <c r="G155" s="14" t="s">
        <v>624</v>
      </c>
      <c r="H155" s="18" t="s">
        <v>360</v>
      </c>
      <c r="I155" s="16">
        <v>45043</v>
      </c>
    </row>
    <row r="156" spans="1:9">
      <c r="A156" s="15" t="s">
        <v>625</v>
      </c>
      <c r="B156" s="16">
        <v>45091</v>
      </c>
      <c r="C156" s="6" t="s">
        <v>252</v>
      </c>
      <c r="D156" s="1" t="s">
        <v>11</v>
      </c>
      <c r="E156" s="21">
        <v>19.309000000000001</v>
      </c>
      <c r="F156" s="24" t="s">
        <v>522</v>
      </c>
      <c r="G156" s="14" t="s">
        <v>624</v>
      </c>
      <c r="H156" s="18" t="s">
        <v>400</v>
      </c>
      <c r="I156" s="16">
        <v>45056</v>
      </c>
    </row>
    <row r="157" spans="1:9">
      <c r="A157" s="15" t="s">
        <v>626</v>
      </c>
      <c r="B157" s="16">
        <v>45091</v>
      </c>
      <c r="C157" s="6" t="s">
        <v>252</v>
      </c>
      <c r="D157" s="1" t="s">
        <v>11</v>
      </c>
      <c r="E157" s="21">
        <v>1.5229999999999999</v>
      </c>
      <c r="F157" s="24" t="s">
        <v>522</v>
      </c>
      <c r="G157" s="14" t="s">
        <v>624</v>
      </c>
      <c r="H157" s="18" t="s">
        <v>466</v>
      </c>
      <c r="I157" s="16">
        <v>45056</v>
      </c>
    </row>
    <row r="158" spans="1:9">
      <c r="A158" s="15" t="s">
        <v>627</v>
      </c>
      <c r="B158" s="16">
        <v>45091</v>
      </c>
      <c r="C158" s="6" t="s">
        <v>252</v>
      </c>
      <c r="D158" s="1" t="s">
        <v>11</v>
      </c>
      <c r="E158" s="22">
        <v>3.04</v>
      </c>
      <c r="F158" s="24" t="s">
        <v>522</v>
      </c>
      <c r="G158" s="14" t="s">
        <v>624</v>
      </c>
      <c r="H158" s="18" t="s">
        <v>622</v>
      </c>
      <c r="I158" s="16">
        <v>45082</v>
      </c>
    </row>
    <row r="159" spans="1:9">
      <c r="A159" s="15" t="s">
        <v>628</v>
      </c>
      <c r="B159" s="16">
        <v>45091</v>
      </c>
      <c r="C159" s="6" t="s">
        <v>619</v>
      </c>
      <c r="D159" s="1" t="s">
        <v>11</v>
      </c>
      <c r="E159" s="21">
        <f>3.319+6.126+1.088</f>
        <v>10.533000000000001</v>
      </c>
      <c r="F159" s="26" t="s">
        <v>630</v>
      </c>
      <c r="G159" s="26" t="s">
        <v>629</v>
      </c>
      <c r="H159" s="18" t="s">
        <v>622</v>
      </c>
      <c r="I159" s="16">
        <v>45082</v>
      </c>
    </row>
    <row r="160" spans="1:9">
      <c r="A160" s="15" t="s">
        <v>631</v>
      </c>
      <c r="B160" s="16">
        <v>45091</v>
      </c>
      <c r="C160" s="6" t="s">
        <v>619</v>
      </c>
      <c r="D160" s="1" t="s">
        <v>11</v>
      </c>
      <c r="E160" s="21">
        <f>5.667+4.424</f>
        <v>10.091000000000001</v>
      </c>
      <c r="F160" s="26" t="s">
        <v>630</v>
      </c>
      <c r="G160" s="1" t="s">
        <v>632</v>
      </c>
      <c r="H160" s="18" t="s">
        <v>400</v>
      </c>
      <c r="I160" s="16">
        <v>45056</v>
      </c>
    </row>
    <row r="161" spans="1:9">
      <c r="A161" s="15" t="s">
        <v>631</v>
      </c>
      <c r="B161" s="16">
        <v>45091</v>
      </c>
      <c r="C161" s="6" t="s">
        <v>619</v>
      </c>
      <c r="D161" s="1" t="s">
        <v>11</v>
      </c>
      <c r="E161" s="21">
        <v>1.5589999999999999</v>
      </c>
      <c r="F161" s="26" t="s">
        <v>630</v>
      </c>
      <c r="G161" s="1" t="s">
        <v>632</v>
      </c>
      <c r="H161" s="18" t="s">
        <v>400</v>
      </c>
      <c r="I161" s="16">
        <v>45056</v>
      </c>
    </row>
    <row r="162" spans="1:9">
      <c r="A162" s="15" t="s">
        <v>633</v>
      </c>
      <c r="B162" s="16">
        <v>45091</v>
      </c>
      <c r="C162" s="6" t="s">
        <v>226</v>
      </c>
      <c r="D162" s="1" t="s">
        <v>11</v>
      </c>
      <c r="E162" s="21">
        <v>2.786</v>
      </c>
      <c r="F162" s="26" t="s">
        <v>630</v>
      </c>
      <c r="G162" s="1" t="s">
        <v>634</v>
      </c>
      <c r="H162" s="18" t="s">
        <v>359</v>
      </c>
      <c r="I162" s="16">
        <v>45043</v>
      </c>
    </row>
    <row r="163" spans="1:9">
      <c r="A163" s="15" t="s">
        <v>635</v>
      </c>
      <c r="B163" s="16">
        <v>45091</v>
      </c>
      <c r="C163" s="6" t="s">
        <v>252</v>
      </c>
      <c r="D163" s="1" t="s">
        <v>11</v>
      </c>
      <c r="E163" s="21">
        <v>21.786000000000001</v>
      </c>
      <c r="F163" s="24" t="s">
        <v>42</v>
      </c>
      <c r="G163" s="1" t="s">
        <v>636</v>
      </c>
      <c r="H163" s="18" t="s">
        <v>400</v>
      </c>
      <c r="I163" s="16">
        <v>45056</v>
      </c>
    </row>
    <row r="164" spans="1:9">
      <c r="A164" s="15" t="s">
        <v>637</v>
      </c>
      <c r="B164" s="16">
        <v>45091</v>
      </c>
      <c r="C164" s="6" t="s">
        <v>252</v>
      </c>
      <c r="D164" s="1" t="s">
        <v>11</v>
      </c>
      <c r="E164" s="21">
        <v>3.0150000000000001</v>
      </c>
      <c r="F164" s="24" t="s">
        <v>42</v>
      </c>
      <c r="G164" s="1" t="s">
        <v>636</v>
      </c>
      <c r="H164" s="18" t="s">
        <v>622</v>
      </c>
      <c r="I164" s="16">
        <v>45082</v>
      </c>
    </row>
    <row r="165" spans="1:9">
      <c r="A165" s="15" t="s">
        <v>638</v>
      </c>
      <c r="B165" s="16">
        <v>45091</v>
      </c>
      <c r="C165" s="6" t="s">
        <v>365</v>
      </c>
      <c r="D165" s="1" t="s">
        <v>78</v>
      </c>
      <c r="E165" s="21">
        <v>3.1419999999999999</v>
      </c>
      <c r="F165" s="30" t="s">
        <v>97</v>
      </c>
      <c r="G165" s="14" t="s">
        <v>639</v>
      </c>
      <c r="H165" s="18" t="s">
        <v>403</v>
      </c>
      <c r="I165" s="16">
        <v>45043</v>
      </c>
    </row>
    <row r="166" spans="1:9">
      <c r="A166" s="15" t="s">
        <v>638</v>
      </c>
      <c r="B166" s="16">
        <v>45091</v>
      </c>
      <c r="C166" s="6" t="s">
        <v>224</v>
      </c>
      <c r="D166" s="1" t="s">
        <v>78</v>
      </c>
      <c r="E166" s="21">
        <f>0.355+0.191</f>
        <v>0.54600000000000004</v>
      </c>
      <c r="F166" s="30" t="s">
        <v>97</v>
      </c>
      <c r="G166" s="14" t="s">
        <v>639</v>
      </c>
      <c r="H166" s="18" t="s">
        <v>403</v>
      </c>
      <c r="I166" s="16">
        <v>45043</v>
      </c>
    </row>
    <row r="167" spans="1:9">
      <c r="A167" s="15" t="s">
        <v>638</v>
      </c>
      <c r="B167" s="16">
        <v>45091</v>
      </c>
      <c r="C167" s="6" t="s">
        <v>225</v>
      </c>
      <c r="D167" s="1" t="s">
        <v>78</v>
      </c>
      <c r="E167" s="21">
        <v>3.319</v>
      </c>
      <c r="F167" s="30" t="s">
        <v>97</v>
      </c>
      <c r="G167" s="14" t="s">
        <v>639</v>
      </c>
      <c r="H167" s="18" t="s">
        <v>403</v>
      </c>
      <c r="I167" s="16">
        <v>45043</v>
      </c>
    </row>
    <row r="168" spans="1:9">
      <c r="A168" s="15" t="s">
        <v>638</v>
      </c>
      <c r="B168" s="16">
        <v>45091</v>
      </c>
      <c r="C168" s="6" t="s">
        <v>377</v>
      </c>
      <c r="D168" s="1" t="s">
        <v>78</v>
      </c>
      <c r="E168" s="21">
        <v>2.423</v>
      </c>
      <c r="F168" s="30" t="s">
        <v>97</v>
      </c>
      <c r="G168" s="14" t="s">
        <v>639</v>
      </c>
      <c r="H168" s="18" t="s">
        <v>403</v>
      </c>
      <c r="I168" s="16">
        <v>45043</v>
      </c>
    </row>
    <row r="169" spans="1:9">
      <c r="A169" s="15" t="s">
        <v>638</v>
      </c>
      <c r="B169" s="16">
        <v>45091</v>
      </c>
      <c r="C169" s="6" t="s">
        <v>363</v>
      </c>
      <c r="D169" s="1" t="s">
        <v>78</v>
      </c>
      <c r="E169" s="21">
        <v>6.7859999999999996</v>
      </c>
      <c r="F169" s="30" t="s">
        <v>97</v>
      </c>
      <c r="G169" s="14" t="s">
        <v>639</v>
      </c>
      <c r="H169" s="18" t="s">
        <v>403</v>
      </c>
      <c r="I169" s="16">
        <v>45043</v>
      </c>
    </row>
    <row r="170" spans="1:9">
      <c r="A170" s="15" t="s">
        <v>640</v>
      </c>
      <c r="B170" s="16">
        <v>45091</v>
      </c>
      <c r="C170" s="6" t="s">
        <v>224</v>
      </c>
      <c r="D170" s="1" t="s">
        <v>78</v>
      </c>
      <c r="E170" s="21">
        <v>4.4359999999999999</v>
      </c>
      <c r="F170" s="30" t="s">
        <v>97</v>
      </c>
      <c r="G170" s="14" t="s">
        <v>641</v>
      </c>
      <c r="H170" s="1" t="s">
        <v>406</v>
      </c>
      <c r="I170" s="16">
        <v>45053</v>
      </c>
    </row>
    <row r="171" spans="1:9">
      <c r="A171" s="15" t="s">
        <v>642</v>
      </c>
      <c r="B171" s="16">
        <v>45091</v>
      </c>
      <c r="C171" s="6" t="s">
        <v>224</v>
      </c>
      <c r="D171" s="1" t="s">
        <v>78</v>
      </c>
      <c r="E171" s="21">
        <v>9.1720000000000006</v>
      </c>
      <c r="F171" s="30" t="s">
        <v>97</v>
      </c>
      <c r="G171" s="14" t="s">
        <v>641</v>
      </c>
      <c r="H171" s="1" t="s">
        <v>610</v>
      </c>
      <c r="I171" s="16">
        <v>45084</v>
      </c>
    </row>
    <row r="172" spans="1:9">
      <c r="A172" s="15" t="s">
        <v>643</v>
      </c>
      <c r="B172" s="16">
        <v>45091</v>
      </c>
      <c r="C172" s="6" t="s">
        <v>224</v>
      </c>
      <c r="D172" s="1" t="s">
        <v>78</v>
      </c>
      <c r="E172" s="21">
        <v>1.6379999999999999</v>
      </c>
      <c r="F172" s="30" t="s">
        <v>97</v>
      </c>
      <c r="G172" s="14" t="s">
        <v>641</v>
      </c>
      <c r="H172" s="1" t="s">
        <v>451</v>
      </c>
      <c r="I172" s="16">
        <v>45071</v>
      </c>
    </row>
    <row r="173" spans="1:9">
      <c r="A173" s="1"/>
      <c r="B173" s="16"/>
      <c r="C173" s="6"/>
      <c r="D173" s="1"/>
      <c r="E173" s="41">
        <f>SUM(E153:E172)</f>
        <v>131.012</v>
      </c>
      <c r="F173" s="24"/>
      <c r="G173" s="1"/>
      <c r="H173" s="1"/>
      <c r="I173" s="3"/>
    </row>
    <row r="174" spans="1:9">
      <c r="A174" s="15" t="s">
        <v>649</v>
      </c>
      <c r="B174" s="16">
        <v>45092</v>
      </c>
      <c r="C174" s="6" t="s">
        <v>619</v>
      </c>
      <c r="D174" s="1" t="s">
        <v>11</v>
      </c>
      <c r="E174" s="21">
        <v>2.653</v>
      </c>
      <c r="F174" s="24" t="s">
        <v>89</v>
      </c>
      <c r="G174" s="1" t="s">
        <v>650</v>
      </c>
      <c r="H174" s="18" t="s">
        <v>400</v>
      </c>
      <c r="I174" s="16">
        <v>45056</v>
      </c>
    </row>
    <row r="175" spans="1:9">
      <c r="A175" s="15" t="s">
        <v>651</v>
      </c>
      <c r="B175" s="16">
        <v>45092</v>
      </c>
      <c r="C175" s="6" t="s">
        <v>619</v>
      </c>
      <c r="D175" s="1" t="s">
        <v>11</v>
      </c>
      <c r="E175" s="21">
        <v>17.797000000000001</v>
      </c>
      <c r="F175" s="24" t="s">
        <v>89</v>
      </c>
      <c r="G175" s="1" t="s">
        <v>650</v>
      </c>
      <c r="H175" s="18" t="s">
        <v>622</v>
      </c>
      <c r="I175" s="16">
        <v>45082</v>
      </c>
    </row>
    <row r="176" spans="1:9">
      <c r="A176" s="15" t="s">
        <v>651</v>
      </c>
      <c r="B176" s="16">
        <v>45092</v>
      </c>
      <c r="C176" s="6" t="s">
        <v>195</v>
      </c>
      <c r="D176" s="1" t="s">
        <v>11</v>
      </c>
      <c r="E176" s="21">
        <v>4.7549999999999999</v>
      </c>
      <c r="F176" s="24" t="s">
        <v>89</v>
      </c>
      <c r="G176" s="1" t="s">
        <v>650</v>
      </c>
      <c r="H176" s="18" t="s">
        <v>622</v>
      </c>
      <c r="I176" s="16">
        <v>45082</v>
      </c>
    </row>
    <row r="177" spans="1:9">
      <c r="A177" s="15" t="s">
        <v>652</v>
      </c>
      <c r="B177" s="16">
        <v>45092</v>
      </c>
      <c r="C177" s="6" t="s">
        <v>195</v>
      </c>
      <c r="D177" s="1" t="s">
        <v>11</v>
      </c>
      <c r="E177" s="21">
        <v>25.016999999999999</v>
      </c>
      <c r="F177" s="24" t="s">
        <v>51</v>
      </c>
      <c r="G177" s="1" t="s">
        <v>653</v>
      </c>
      <c r="H177" s="18" t="s">
        <v>622</v>
      </c>
      <c r="I177" s="16">
        <v>45082</v>
      </c>
    </row>
    <row r="178" spans="1:9">
      <c r="A178" s="1"/>
      <c r="B178" s="16"/>
      <c r="C178" s="6"/>
      <c r="D178" s="1"/>
      <c r="E178" s="41">
        <f>SUM(E174:E177)</f>
        <v>50.221999999999994</v>
      </c>
      <c r="F178" s="24"/>
      <c r="G178" s="1"/>
      <c r="H178" s="1"/>
      <c r="I178" s="3"/>
    </row>
    <row r="179" spans="1:9">
      <c r="A179" s="15" t="s">
        <v>654</v>
      </c>
      <c r="B179" s="16">
        <v>45093</v>
      </c>
      <c r="C179" s="6" t="s">
        <v>252</v>
      </c>
      <c r="D179" s="1" t="s">
        <v>11</v>
      </c>
      <c r="E179" s="52">
        <v>4.8250000000000002</v>
      </c>
      <c r="F179" s="24" t="s">
        <v>54</v>
      </c>
      <c r="G179" s="1" t="s">
        <v>655</v>
      </c>
      <c r="H179" s="18" t="s">
        <v>400</v>
      </c>
      <c r="I179" s="16">
        <v>45056</v>
      </c>
    </row>
    <row r="180" spans="1:9">
      <c r="A180" s="15" t="s">
        <v>654</v>
      </c>
      <c r="B180" s="16">
        <v>45093</v>
      </c>
      <c r="C180" s="6" t="s">
        <v>252</v>
      </c>
      <c r="D180" s="1" t="s">
        <v>11</v>
      </c>
      <c r="E180" s="52">
        <v>7.9429999999999996</v>
      </c>
      <c r="F180" s="24" t="s">
        <v>54</v>
      </c>
      <c r="G180" s="1" t="s">
        <v>655</v>
      </c>
      <c r="H180" s="18" t="s">
        <v>400</v>
      </c>
      <c r="I180" s="16">
        <v>45056</v>
      </c>
    </row>
    <row r="181" spans="1:9">
      <c r="A181" s="15" t="s">
        <v>656</v>
      </c>
      <c r="B181" s="16">
        <v>45093</v>
      </c>
      <c r="C181" s="6" t="s">
        <v>252</v>
      </c>
      <c r="D181" s="1" t="s">
        <v>11</v>
      </c>
      <c r="E181" s="52">
        <f>2.706+8.873</f>
        <v>11.578999999999999</v>
      </c>
      <c r="F181" s="24" t="s">
        <v>54</v>
      </c>
      <c r="G181" s="1" t="s">
        <v>657</v>
      </c>
      <c r="H181" s="18" t="s">
        <v>622</v>
      </c>
      <c r="I181" s="16">
        <v>45082</v>
      </c>
    </row>
    <row r="182" spans="1:9">
      <c r="A182" s="15" t="s">
        <v>658</v>
      </c>
      <c r="B182" s="16">
        <v>45093</v>
      </c>
      <c r="C182" s="6" t="s">
        <v>252</v>
      </c>
      <c r="D182" s="1" t="s">
        <v>11</v>
      </c>
      <c r="E182" s="52">
        <v>0.93200000000000005</v>
      </c>
      <c r="F182" s="24" t="s">
        <v>368</v>
      </c>
      <c r="G182" s="1" t="s">
        <v>659</v>
      </c>
      <c r="H182" s="18" t="s">
        <v>400</v>
      </c>
      <c r="I182" s="16">
        <v>45056</v>
      </c>
    </row>
    <row r="183" spans="1:9">
      <c r="A183" s="15" t="s">
        <v>660</v>
      </c>
      <c r="B183" s="16">
        <v>45093</v>
      </c>
      <c r="C183" s="6" t="s">
        <v>252</v>
      </c>
      <c r="D183" s="1" t="s">
        <v>11</v>
      </c>
      <c r="E183" s="52">
        <v>23.471</v>
      </c>
      <c r="F183" s="24" t="s">
        <v>368</v>
      </c>
      <c r="G183" s="1" t="s">
        <v>659</v>
      </c>
      <c r="H183" s="18" t="s">
        <v>622</v>
      </c>
      <c r="I183" s="16">
        <v>45082</v>
      </c>
    </row>
    <row r="184" spans="1:9">
      <c r="A184" s="15" t="s">
        <v>661</v>
      </c>
      <c r="B184" s="16">
        <v>45093</v>
      </c>
      <c r="C184" s="6" t="s">
        <v>282</v>
      </c>
      <c r="D184" s="1" t="s">
        <v>78</v>
      </c>
      <c r="E184" s="52">
        <v>0.91400000000000003</v>
      </c>
      <c r="F184" s="24" t="s">
        <v>97</v>
      </c>
      <c r="G184" s="1" t="s">
        <v>662</v>
      </c>
      <c r="H184" s="1" t="s">
        <v>406</v>
      </c>
      <c r="I184" s="16">
        <v>45053</v>
      </c>
    </row>
    <row r="185" spans="1:9">
      <c r="A185" s="15" t="s">
        <v>661</v>
      </c>
      <c r="B185" s="16">
        <v>45093</v>
      </c>
      <c r="C185" s="6" t="s">
        <v>224</v>
      </c>
      <c r="D185" s="1" t="s">
        <v>78</v>
      </c>
      <c r="E185" s="52">
        <v>3.4289999999999998</v>
      </c>
      <c r="F185" s="24" t="s">
        <v>97</v>
      </c>
      <c r="G185" s="1" t="s">
        <v>662</v>
      </c>
      <c r="H185" s="1" t="s">
        <v>406</v>
      </c>
      <c r="I185" s="16">
        <v>45053</v>
      </c>
    </row>
    <row r="186" spans="1:9">
      <c r="A186" s="15" t="s">
        <v>661</v>
      </c>
      <c r="B186" s="16">
        <v>45093</v>
      </c>
      <c r="C186" s="6" t="s">
        <v>225</v>
      </c>
      <c r="D186" s="1" t="s">
        <v>78</v>
      </c>
      <c r="E186" s="52">
        <v>8.7850000000000001</v>
      </c>
      <c r="F186" s="24" t="s">
        <v>97</v>
      </c>
      <c r="G186" s="1" t="s">
        <v>662</v>
      </c>
      <c r="H186" s="1" t="s">
        <v>406</v>
      </c>
      <c r="I186" s="16">
        <v>45053</v>
      </c>
    </row>
    <row r="187" spans="1:9">
      <c r="A187" s="15" t="s">
        <v>661</v>
      </c>
      <c r="B187" s="16">
        <v>45093</v>
      </c>
      <c r="C187" s="6" t="s">
        <v>343</v>
      </c>
      <c r="D187" s="1" t="s">
        <v>78</v>
      </c>
      <c r="E187" s="52">
        <f>0.15+2.125</f>
        <v>2.2749999999999999</v>
      </c>
      <c r="F187" s="24" t="s">
        <v>97</v>
      </c>
      <c r="G187" s="1" t="s">
        <v>662</v>
      </c>
      <c r="H187" s="1" t="s">
        <v>406</v>
      </c>
      <c r="I187" s="16">
        <v>45053</v>
      </c>
    </row>
    <row r="188" spans="1:9">
      <c r="A188" s="15" t="s">
        <v>665</v>
      </c>
      <c r="B188" s="16">
        <v>45093</v>
      </c>
      <c r="C188" s="6" t="s">
        <v>209</v>
      </c>
      <c r="D188" s="1" t="s">
        <v>78</v>
      </c>
      <c r="E188" s="48">
        <v>2.2770000000000001</v>
      </c>
      <c r="F188" s="24" t="s">
        <v>97</v>
      </c>
      <c r="G188" s="1" t="s">
        <v>666</v>
      </c>
      <c r="H188" s="1" t="s">
        <v>610</v>
      </c>
      <c r="I188" s="16">
        <v>45084</v>
      </c>
    </row>
    <row r="189" spans="1:9">
      <c r="A189" s="15" t="s">
        <v>665</v>
      </c>
      <c r="B189" s="16">
        <v>45093</v>
      </c>
      <c r="C189" s="6" t="s">
        <v>224</v>
      </c>
      <c r="D189" s="1" t="s">
        <v>78</v>
      </c>
      <c r="E189" s="48">
        <v>0.876</v>
      </c>
      <c r="F189" s="24" t="s">
        <v>97</v>
      </c>
      <c r="G189" s="1" t="s">
        <v>666</v>
      </c>
      <c r="H189" s="1" t="s">
        <v>610</v>
      </c>
      <c r="I189" s="16">
        <v>45084</v>
      </c>
    </row>
    <row r="190" spans="1:9">
      <c r="A190" s="15" t="s">
        <v>665</v>
      </c>
      <c r="B190" s="16">
        <v>45093</v>
      </c>
      <c r="C190" s="6" t="s">
        <v>225</v>
      </c>
      <c r="D190" s="1" t="s">
        <v>78</v>
      </c>
      <c r="E190" s="48">
        <v>9.8510000000000009</v>
      </c>
      <c r="F190" s="24" t="s">
        <v>97</v>
      </c>
      <c r="G190" s="1" t="s">
        <v>666</v>
      </c>
      <c r="H190" s="1" t="s">
        <v>610</v>
      </c>
      <c r="I190" s="16">
        <v>45084</v>
      </c>
    </row>
    <row r="191" spans="1:9">
      <c r="A191" s="15" t="s">
        <v>665</v>
      </c>
      <c r="B191" s="16">
        <v>45093</v>
      </c>
      <c r="C191" s="6" t="s">
        <v>263</v>
      </c>
      <c r="D191" s="1" t="s">
        <v>78</v>
      </c>
      <c r="E191" s="48">
        <v>1.371</v>
      </c>
      <c r="F191" s="24" t="s">
        <v>97</v>
      </c>
      <c r="G191" s="1" t="s">
        <v>666</v>
      </c>
      <c r="H191" s="1" t="s">
        <v>610</v>
      </c>
      <c r="I191" s="16">
        <v>45084</v>
      </c>
    </row>
    <row r="192" spans="1:9">
      <c r="A192" s="15" t="s">
        <v>665</v>
      </c>
      <c r="B192" s="16">
        <v>45093</v>
      </c>
      <c r="C192" s="6" t="s">
        <v>663</v>
      </c>
      <c r="D192" s="1" t="s">
        <v>78</v>
      </c>
      <c r="E192" s="48">
        <v>0.47699999999999998</v>
      </c>
      <c r="F192" s="24" t="s">
        <v>97</v>
      </c>
      <c r="G192" s="1" t="s">
        <v>666</v>
      </c>
      <c r="H192" s="1" t="s">
        <v>610</v>
      </c>
      <c r="I192" s="16">
        <v>45084</v>
      </c>
    </row>
    <row r="193" spans="1:9">
      <c r="A193" s="15" t="s">
        <v>665</v>
      </c>
      <c r="B193" s="16">
        <v>45093</v>
      </c>
      <c r="C193" s="6" t="s">
        <v>664</v>
      </c>
      <c r="D193" s="1" t="s">
        <v>78</v>
      </c>
      <c r="E193" s="48">
        <v>0.86699999999999999</v>
      </c>
      <c r="F193" s="24" t="s">
        <v>97</v>
      </c>
      <c r="G193" s="1" t="s">
        <v>666</v>
      </c>
      <c r="H193" s="1" t="s">
        <v>610</v>
      </c>
      <c r="I193" s="16">
        <v>45084</v>
      </c>
    </row>
    <row r="194" spans="1:9">
      <c r="A194" s="15" t="s">
        <v>667</v>
      </c>
      <c r="B194" s="16">
        <v>45093</v>
      </c>
      <c r="C194" s="6" t="s">
        <v>224</v>
      </c>
      <c r="D194" s="1" t="s">
        <v>78</v>
      </c>
      <c r="E194" s="48">
        <v>1.6379999999999999</v>
      </c>
      <c r="F194" s="24" t="s">
        <v>97</v>
      </c>
      <c r="G194" s="1" t="s">
        <v>666</v>
      </c>
      <c r="H194" s="1" t="s">
        <v>451</v>
      </c>
      <c r="I194" s="16">
        <v>45071</v>
      </c>
    </row>
    <row r="195" spans="1:9">
      <c r="A195" s="15" t="s">
        <v>667</v>
      </c>
      <c r="B195" s="16">
        <v>45093</v>
      </c>
      <c r="C195" s="6" t="s">
        <v>282</v>
      </c>
      <c r="D195" s="1" t="s">
        <v>78</v>
      </c>
      <c r="E195" s="48">
        <v>0.495</v>
      </c>
      <c r="F195" s="24" t="s">
        <v>97</v>
      </c>
      <c r="G195" s="1" t="s">
        <v>666</v>
      </c>
      <c r="H195" s="1" t="s">
        <v>451</v>
      </c>
      <c r="I195" s="16">
        <v>45071</v>
      </c>
    </row>
    <row r="196" spans="1:9">
      <c r="A196" s="1"/>
      <c r="B196" s="16"/>
      <c r="C196" s="6"/>
      <c r="D196" s="1"/>
      <c r="E196" s="41">
        <f>SUM(E179:E195)</f>
        <v>82.005000000000024</v>
      </c>
      <c r="F196" s="24"/>
      <c r="G196" s="1"/>
      <c r="H196" s="1"/>
      <c r="I196" s="3"/>
    </row>
    <row r="197" spans="1:9">
      <c r="A197" s="15" t="s">
        <v>668</v>
      </c>
      <c r="B197" s="16">
        <v>45094</v>
      </c>
      <c r="C197" s="6" t="s">
        <v>286</v>
      </c>
      <c r="D197" s="1" t="s">
        <v>11</v>
      </c>
      <c r="E197" s="22">
        <v>1.0920000000000001</v>
      </c>
      <c r="F197" s="24" t="s">
        <v>105</v>
      </c>
      <c r="G197" s="1" t="s">
        <v>671</v>
      </c>
      <c r="H197" s="18" t="s">
        <v>359</v>
      </c>
      <c r="I197" s="16">
        <v>45043</v>
      </c>
    </row>
    <row r="198" spans="1:9">
      <c r="A198" s="15" t="s">
        <v>668</v>
      </c>
      <c r="B198" s="16">
        <v>45094</v>
      </c>
      <c r="C198" s="6" t="s">
        <v>230</v>
      </c>
      <c r="D198" s="1" t="s">
        <v>11</v>
      </c>
      <c r="E198" s="22">
        <v>0.71799999999999997</v>
      </c>
      <c r="F198" s="24" t="s">
        <v>105</v>
      </c>
      <c r="G198" s="1" t="s">
        <v>671</v>
      </c>
      <c r="H198" s="18" t="s">
        <v>359</v>
      </c>
      <c r="I198" s="16">
        <v>45043</v>
      </c>
    </row>
    <row r="199" spans="1:9">
      <c r="A199" s="15" t="s">
        <v>669</v>
      </c>
      <c r="B199" s="16">
        <v>45094</v>
      </c>
      <c r="C199" s="6" t="s">
        <v>282</v>
      </c>
      <c r="D199" s="1" t="s">
        <v>11</v>
      </c>
      <c r="E199" s="22">
        <v>22.629000000000001</v>
      </c>
      <c r="F199" s="24" t="s">
        <v>105</v>
      </c>
      <c r="G199" s="1" t="s">
        <v>671</v>
      </c>
      <c r="H199" s="18" t="s">
        <v>466</v>
      </c>
      <c r="I199" s="16">
        <v>45056</v>
      </c>
    </row>
    <row r="200" spans="1:9">
      <c r="A200" s="15" t="s">
        <v>670</v>
      </c>
      <c r="B200" s="16">
        <v>45094</v>
      </c>
      <c r="C200" s="6" t="s">
        <v>230</v>
      </c>
      <c r="D200" s="1" t="s">
        <v>11</v>
      </c>
      <c r="E200" s="22">
        <v>0.47299999999999998</v>
      </c>
      <c r="F200" s="24" t="s">
        <v>105</v>
      </c>
      <c r="G200" s="1" t="s">
        <v>671</v>
      </c>
      <c r="H200" s="18" t="s">
        <v>400</v>
      </c>
      <c r="I200" s="16">
        <v>45056</v>
      </c>
    </row>
    <row r="201" spans="1:9">
      <c r="A201" s="1"/>
      <c r="B201" s="16"/>
      <c r="C201" s="6"/>
      <c r="D201" s="1"/>
      <c r="E201" s="41">
        <f>SUM(E197:E200)</f>
        <v>24.911999999999999</v>
      </c>
      <c r="F201" s="24"/>
      <c r="G201" s="1"/>
      <c r="H201" s="1"/>
      <c r="I201" s="3"/>
    </row>
    <row r="202" spans="1:9">
      <c r="A202" s="15" t="s">
        <v>672</v>
      </c>
      <c r="B202" s="16">
        <v>45096</v>
      </c>
      <c r="C202" s="6" t="s">
        <v>225</v>
      </c>
      <c r="D202" s="1" t="s">
        <v>11</v>
      </c>
      <c r="E202" s="21">
        <v>24.876999999999999</v>
      </c>
      <c r="F202" s="24" t="s">
        <v>630</v>
      </c>
      <c r="G202" s="1" t="s">
        <v>673</v>
      </c>
      <c r="H202" s="18" t="s">
        <v>674</v>
      </c>
      <c r="I202" s="16">
        <v>45064</v>
      </c>
    </row>
    <row r="203" spans="1:9">
      <c r="A203" s="15" t="s">
        <v>675</v>
      </c>
      <c r="B203" s="16">
        <v>45096</v>
      </c>
      <c r="C203" s="6" t="s">
        <v>225</v>
      </c>
      <c r="D203" s="1" t="s">
        <v>11</v>
      </c>
      <c r="E203" s="21">
        <v>24.957999999999998</v>
      </c>
      <c r="F203" s="24" t="s">
        <v>676</v>
      </c>
      <c r="G203" s="1" t="s">
        <v>677</v>
      </c>
      <c r="H203" s="18" t="s">
        <v>674</v>
      </c>
      <c r="I203" s="16">
        <v>45064</v>
      </c>
    </row>
    <row r="204" spans="1:9">
      <c r="A204" s="15" t="s">
        <v>678</v>
      </c>
      <c r="B204" s="16">
        <v>45096</v>
      </c>
      <c r="C204" s="6" t="s">
        <v>225</v>
      </c>
      <c r="D204" s="1" t="s">
        <v>11</v>
      </c>
      <c r="E204" s="21">
        <v>24.876999999999999</v>
      </c>
      <c r="F204" s="24" t="s">
        <v>500</v>
      </c>
      <c r="G204" s="1" t="s">
        <v>682</v>
      </c>
      <c r="H204" s="18" t="s">
        <v>674</v>
      </c>
      <c r="I204" s="16">
        <v>45064</v>
      </c>
    </row>
    <row r="205" spans="1:9">
      <c r="A205" s="15" t="s">
        <v>679</v>
      </c>
      <c r="B205" s="16">
        <v>45096</v>
      </c>
      <c r="C205" s="6" t="s">
        <v>225</v>
      </c>
      <c r="D205" s="1" t="s">
        <v>11</v>
      </c>
      <c r="E205" s="21">
        <v>25.279</v>
      </c>
      <c r="F205" s="24" t="s">
        <v>137</v>
      </c>
      <c r="G205" s="1" t="s">
        <v>681</v>
      </c>
      <c r="H205" s="18" t="s">
        <v>674</v>
      </c>
      <c r="I205" s="16">
        <v>45064</v>
      </c>
    </row>
    <row r="206" spans="1:9">
      <c r="A206" s="15" t="s">
        <v>683</v>
      </c>
      <c r="B206" s="16">
        <v>45096</v>
      </c>
      <c r="C206" s="6" t="s">
        <v>260</v>
      </c>
      <c r="D206" s="1" t="s">
        <v>11</v>
      </c>
      <c r="E206" s="21">
        <v>24.655999999999999</v>
      </c>
      <c r="F206" s="24" t="s">
        <v>356</v>
      </c>
      <c r="G206" s="1" t="s">
        <v>680</v>
      </c>
      <c r="H206" s="18" t="s">
        <v>622</v>
      </c>
      <c r="I206" s="16">
        <v>45082</v>
      </c>
    </row>
    <row r="207" spans="1:9">
      <c r="A207" s="1"/>
      <c r="B207" s="16"/>
      <c r="C207" s="6"/>
      <c r="D207" s="1"/>
      <c r="E207" s="41">
        <f>SUM(E202:E206)</f>
        <v>124.64699999999999</v>
      </c>
      <c r="F207" s="24"/>
      <c r="G207" s="1"/>
      <c r="H207" s="1"/>
      <c r="I207" s="3"/>
    </row>
    <row r="208" spans="1:9">
      <c r="A208" s="15" t="s">
        <v>684</v>
      </c>
      <c r="B208" s="16">
        <v>45097</v>
      </c>
      <c r="C208" s="6" t="s">
        <v>225</v>
      </c>
      <c r="D208" s="1" t="s">
        <v>11</v>
      </c>
      <c r="E208" s="32">
        <v>1.1659999999999999</v>
      </c>
      <c r="F208" s="24" t="s">
        <v>685</v>
      </c>
      <c r="G208" s="1" t="s">
        <v>686</v>
      </c>
      <c r="H208" s="18" t="s">
        <v>687</v>
      </c>
      <c r="I208" s="16">
        <v>45064</v>
      </c>
    </row>
    <row r="209" spans="1:9">
      <c r="A209" s="15" t="s">
        <v>688</v>
      </c>
      <c r="B209" s="16">
        <v>45097</v>
      </c>
      <c r="C209" s="6" t="s">
        <v>225</v>
      </c>
      <c r="D209" s="1" t="s">
        <v>11</v>
      </c>
      <c r="E209" s="32">
        <f>7.188+4.361+11.492</f>
        <v>23.041</v>
      </c>
      <c r="F209" s="24" t="s">
        <v>685</v>
      </c>
      <c r="G209" s="1" t="s">
        <v>689</v>
      </c>
      <c r="H209" s="18" t="s">
        <v>674</v>
      </c>
      <c r="I209" s="16">
        <v>45064</v>
      </c>
    </row>
    <row r="210" spans="1:9">
      <c r="A210" s="15" t="s">
        <v>688</v>
      </c>
      <c r="B210" s="16">
        <v>45097</v>
      </c>
      <c r="C210" s="6" t="s">
        <v>224</v>
      </c>
      <c r="D210" s="1" t="s">
        <v>11</v>
      </c>
      <c r="E210" s="32">
        <v>1.179</v>
      </c>
      <c r="F210" s="24" t="s">
        <v>685</v>
      </c>
      <c r="G210" s="1" t="s">
        <v>689</v>
      </c>
      <c r="H210" s="18" t="s">
        <v>674</v>
      </c>
      <c r="I210" s="16">
        <v>45064</v>
      </c>
    </row>
    <row r="211" spans="1:9">
      <c r="A211" s="15" t="s">
        <v>690</v>
      </c>
      <c r="B211" s="16">
        <v>45097</v>
      </c>
      <c r="C211" s="6" t="s">
        <v>260</v>
      </c>
      <c r="D211" s="1" t="s">
        <v>11</v>
      </c>
      <c r="E211" s="32">
        <v>11.36</v>
      </c>
      <c r="F211" s="24" t="s">
        <v>19</v>
      </c>
      <c r="G211" s="1" t="s">
        <v>691</v>
      </c>
      <c r="H211" s="18" t="s">
        <v>622</v>
      </c>
      <c r="I211" s="16">
        <v>45082</v>
      </c>
    </row>
    <row r="212" spans="1:9">
      <c r="A212" s="15" t="s">
        <v>690</v>
      </c>
      <c r="B212" s="16">
        <v>45097</v>
      </c>
      <c r="C212" s="6" t="s">
        <v>252</v>
      </c>
      <c r="D212" s="1" t="s">
        <v>11</v>
      </c>
      <c r="E212" s="32">
        <v>4.4710000000000001</v>
      </c>
      <c r="F212" s="24" t="s">
        <v>19</v>
      </c>
      <c r="G212" s="1" t="s">
        <v>691</v>
      </c>
      <c r="H212" s="18" t="s">
        <v>622</v>
      </c>
      <c r="I212" s="16">
        <v>45082</v>
      </c>
    </row>
    <row r="213" spans="1:9">
      <c r="A213" s="15" t="s">
        <v>690</v>
      </c>
      <c r="B213" s="16">
        <v>45097</v>
      </c>
      <c r="C213" s="6" t="s">
        <v>196</v>
      </c>
      <c r="D213" s="1" t="s">
        <v>11</v>
      </c>
      <c r="E213" s="32">
        <f>0.809+1.768</f>
        <v>2.577</v>
      </c>
      <c r="F213" s="24" t="s">
        <v>19</v>
      </c>
      <c r="G213" s="1" t="s">
        <v>691</v>
      </c>
      <c r="H213" s="18" t="s">
        <v>622</v>
      </c>
      <c r="I213" s="16">
        <v>45082</v>
      </c>
    </row>
    <row r="214" spans="1:9">
      <c r="A214" s="15" t="s">
        <v>690</v>
      </c>
      <c r="B214" s="16">
        <v>45097</v>
      </c>
      <c r="C214" s="6" t="s">
        <v>282</v>
      </c>
      <c r="D214" s="1" t="s">
        <v>11</v>
      </c>
      <c r="E214" s="32">
        <v>2.7770000000000001</v>
      </c>
      <c r="F214" s="24" t="s">
        <v>19</v>
      </c>
      <c r="G214" s="1" t="s">
        <v>691</v>
      </c>
      <c r="H214" s="18" t="s">
        <v>622</v>
      </c>
      <c r="I214" s="16">
        <v>45082</v>
      </c>
    </row>
    <row r="215" spans="1:9">
      <c r="A215" s="15" t="s">
        <v>692</v>
      </c>
      <c r="B215" s="16">
        <v>45097</v>
      </c>
      <c r="C215" s="6" t="s">
        <v>252</v>
      </c>
      <c r="D215" s="1" t="s">
        <v>11</v>
      </c>
      <c r="E215" s="32">
        <v>0.80300000000000005</v>
      </c>
      <c r="F215" s="24" t="s">
        <v>19</v>
      </c>
      <c r="G215" s="1" t="s">
        <v>693</v>
      </c>
      <c r="H215" s="18" t="s">
        <v>400</v>
      </c>
      <c r="I215" s="16">
        <v>45056</v>
      </c>
    </row>
    <row r="216" spans="1:9">
      <c r="A216" s="15" t="s">
        <v>694</v>
      </c>
      <c r="B216" s="16">
        <v>45097</v>
      </c>
      <c r="C216" s="6" t="s">
        <v>226</v>
      </c>
      <c r="D216" s="1" t="s">
        <v>11</v>
      </c>
      <c r="E216" s="32">
        <v>2.3490000000000002</v>
      </c>
      <c r="F216" s="24" t="s">
        <v>19</v>
      </c>
      <c r="G216" s="1" t="s">
        <v>693</v>
      </c>
      <c r="H216" s="18" t="s">
        <v>359</v>
      </c>
      <c r="I216" s="16">
        <v>45043</v>
      </c>
    </row>
    <row r="217" spans="1:9">
      <c r="A217" s="15" t="s">
        <v>695</v>
      </c>
      <c r="B217" s="16">
        <v>45097</v>
      </c>
      <c r="C217" s="6" t="s">
        <v>208</v>
      </c>
      <c r="D217" s="1" t="s">
        <v>78</v>
      </c>
      <c r="E217" s="32">
        <v>1.325</v>
      </c>
      <c r="F217" s="24" t="s">
        <v>97</v>
      </c>
      <c r="G217" s="1" t="s">
        <v>696</v>
      </c>
      <c r="H217" s="1" t="s">
        <v>406</v>
      </c>
      <c r="I217" s="16">
        <v>45053</v>
      </c>
    </row>
    <row r="218" spans="1:9">
      <c r="A218" s="15" t="s">
        <v>697</v>
      </c>
      <c r="B218" s="16">
        <v>45097</v>
      </c>
      <c r="C218" s="6" t="s">
        <v>230</v>
      </c>
      <c r="D218" s="1" t="s">
        <v>78</v>
      </c>
      <c r="E218" s="48">
        <v>0.19800000000000001</v>
      </c>
      <c r="F218" s="24" t="s">
        <v>97</v>
      </c>
      <c r="G218" s="1" t="s">
        <v>696</v>
      </c>
      <c r="H218" s="1" t="s">
        <v>445</v>
      </c>
      <c r="I218" s="16">
        <v>45071</v>
      </c>
    </row>
    <row r="219" spans="1:9">
      <c r="A219" s="15" t="s">
        <v>698</v>
      </c>
      <c r="B219" s="16">
        <v>45097</v>
      </c>
      <c r="C219" s="6" t="s">
        <v>208</v>
      </c>
      <c r="D219" s="1" t="s">
        <v>78</v>
      </c>
      <c r="E219" s="32">
        <v>1.4510000000000001</v>
      </c>
      <c r="F219" s="24" t="s">
        <v>97</v>
      </c>
      <c r="G219" s="1" t="s">
        <v>696</v>
      </c>
      <c r="H219" s="1" t="s">
        <v>440</v>
      </c>
      <c r="I219" s="16">
        <v>45071</v>
      </c>
    </row>
    <row r="220" spans="1:9">
      <c r="A220" s="15" t="s">
        <v>698</v>
      </c>
      <c r="B220" s="16">
        <v>45097</v>
      </c>
      <c r="C220" s="6" t="s">
        <v>209</v>
      </c>
      <c r="D220" s="1" t="s">
        <v>78</v>
      </c>
      <c r="E220" s="32">
        <v>0.56999999999999995</v>
      </c>
      <c r="F220" s="24" t="s">
        <v>97</v>
      </c>
      <c r="G220" s="1" t="s">
        <v>696</v>
      </c>
      <c r="H220" s="1" t="s">
        <v>440</v>
      </c>
      <c r="I220" s="16">
        <v>45071</v>
      </c>
    </row>
    <row r="221" spans="1:9">
      <c r="A221" s="15" t="s">
        <v>698</v>
      </c>
      <c r="B221" s="16">
        <v>45097</v>
      </c>
      <c r="C221" s="6" t="s">
        <v>254</v>
      </c>
      <c r="D221" s="1" t="s">
        <v>78</v>
      </c>
      <c r="E221" s="32">
        <v>3.0649999999999999</v>
      </c>
      <c r="F221" s="24" t="s">
        <v>97</v>
      </c>
      <c r="G221" s="1" t="s">
        <v>696</v>
      </c>
      <c r="H221" s="1" t="s">
        <v>440</v>
      </c>
      <c r="I221" s="16">
        <v>45071</v>
      </c>
    </row>
    <row r="222" spans="1:9">
      <c r="A222" s="15" t="s">
        <v>698</v>
      </c>
      <c r="B222" s="16">
        <v>45097</v>
      </c>
      <c r="C222" s="6" t="s">
        <v>377</v>
      </c>
      <c r="D222" s="1" t="s">
        <v>78</v>
      </c>
      <c r="E222" s="32">
        <v>2.5369999999999999</v>
      </c>
      <c r="F222" s="24" t="s">
        <v>97</v>
      </c>
      <c r="G222" s="1" t="s">
        <v>696</v>
      </c>
      <c r="H222" s="1" t="s">
        <v>440</v>
      </c>
      <c r="I222" s="16">
        <v>45071</v>
      </c>
    </row>
    <row r="223" spans="1:9">
      <c r="A223" s="15" t="s">
        <v>698</v>
      </c>
      <c r="B223" s="16">
        <v>45097</v>
      </c>
      <c r="C223" s="6" t="s">
        <v>227</v>
      </c>
      <c r="D223" s="1" t="s">
        <v>78</v>
      </c>
      <c r="E223" s="32">
        <v>0.52400000000000002</v>
      </c>
      <c r="F223" s="24" t="s">
        <v>97</v>
      </c>
      <c r="G223" s="1" t="s">
        <v>696</v>
      </c>
      <c r="H223" s="1" t="s">
        <v>440</v>
      </c>
      <c r="I223" s="16">
        <v>45071</v>
      </c>
    </row>
    <row r="224" spans="1:9">
      <c r="A224" s="15" t="s">
        <v>698</v>
      </c>
      <c r="B224" s="16">
        <v>45097</v>
      </c>
      <c r="C224" s="6" t="s">
        <v>452</v>
      </c>
      <c r="D224" s="1" t="s">
        <v>78</v>
      </c>
      <c r="E224" s="32">
        <v>0.28499999999999998</v>
      </c>
      <c r="F224" s="24" t="s">
        <v>97</v>
      </c>
      <c r="G224" s="1" t="s">
        <v>696</v>
      </c>
      <c r="H224" s="1" t="s">
        <v>440</v>
      </c>
      <c r="I224" s="16">
        <v>45071</v>
      </c>
    </row>
    <row r="225" spans="1:9">
      <c r="A225" s="15" t="s">
        <v>700</v>
      </c>
      <c r="B225" s="16">
        <v>45097</v>
      </c>
      <c r="C225" s="6" t="s">
        <v>301</v>
      </c>
      <c r="D225" s="1" t="s">
        <v>78</v>
      </c>
      <c r="E225" s="32">
        <v>2.8340000000000001</v>
      </c>
      <c r="F225" s="24" t="s">
        <v>97</v>
      </c>
      <c r="G225" s="1" t="s">
        <v>696</v>
      </c>
      <c r="H225" s="1" t="s">
        <v>701</v>
      </c>
      <c r="I225" s="16">
        <v>45092</v>
      </c>
    </row>
    <row r="226" spans="1:9">
      <c r="A226" s="15" t="s">
        <v>700</v>
      </c>
      <c r="B226" s="16">
        <v>45097</v>
      </c>
      <c r="C226" s="6" t="s">
        <v>344</v>
      </c>
      <c r="D226" s="1" t="s">
        <v>78</v>
      </c>
      <c r="E226" s="32">
        <v>4.032</v>
      </c>
      <c r="F226" s="24" t="s">
        <v>97</v>
      </c>
      <c r="G226" s="1" t="s">
        <v>696</v>
      </c>
      <c r="H226" s="1" t="s">
        <v>701</v>
      </c>
      <c r="I226" s="16">
        <v>45092</v>
      </c>
    </row>
    <row r="227" spans="1:9">
      <c r="A227" s="15" t="s">
        <v>700</v>
      </c>
      <c r="B227" s="16">
        <v>45097</v>
      </c>
      <c r="C227" s="6" t="s">
        <v>699</v>
      </c>
      <c r="D227" s="1" t="s">
        <v>78</v>
      </c>
      <c r="E227" s="32">
        <v>1.3819999999999999</v>
      </c>
      <c r="F227" s="24" t="s">
        <v>97</v>
      </c>
      <c r="G227" s="1" t="s">
        <v>696</v>
      </c>
      <c r="H227" s="1" t="s">
        <v>701</v>
      </c>
      <c r="I227" s="16">
        <v>45092</v>
      </c>
    </row>
    <row r="228" spans="1:9">
      <c r="A228" s="15" t="s">
        <v>702</v>
      </c>
      <c r="B228" s="16">
        <v>45097</v>
      </c>
      <c r="C228" s="6" t="s">
        <v>578</v>
      </c>
      <c r="D228" s="1" t="s">
        <v>78</v>
      </c>
      <c r="E228" s="32">
        <v>0.79100000000000004</v>
      </c>
      <c r="F228" s="24" t="s">
        <v>97</v>
      </c>
      <c r="G228" s="1" t="s">
        <v>703</v>
      </c>
      <c r="H228" s="1" t="s">
        <v>704</v>
      </c>
      <c r="I228" s="16">
        <v>45092</v>
      </c>
    </row>
    <row r="229" spans="1:9">
      <c r="A229" s="15" t="s">
        <v>702</v>
      </c>
      <c r="B229" s="16">
        <v>45097</v>
      </c>
      <c r="C229" s="6" t="s">
        <v>225</v>
      </c>
      <c r="D229" s="1" t="s">
        <v>78</v>
      </c>
      <c r="E229" s="32">
        <f>2.71+5.902</f>
        <v>8.6120000000000001</v>
      </c>
      <c r="F229" s="24" t="s">
        <v>97</v>
      </c>
      <c r="G229" s="1" t="s">
        <v>703</v>
      </c>
      <c r="H229" s="1" t="s">
        <v>704</v>
      </c>
      <c r="I229" s="16">
        <v>45092</v>
      </c>
    </row>
    <row r="230" spans="1:9">
      <c r="A230" s="15" t="s">
        <v>705</v>
      </c>
      <c r="B230" s="16">
        <v>45097</v>
      </c>
      <c r="C230" s="6" t="s">
        <v>384</v>
      </c>
      <c r="D230" s="1" t="s">
        <v>78</v>
      </c>
      <c r="E230" s="32">
        <v>5.056</v>
      </c>
      <c r="F230" s="24" t="s">
        <v>97</v>
      </c>
      <c r="G230" s="1" t="s">
        <v>706</v>
      </c>
      <c r="H230" s="1" t="s">
        <v>477</v>
      </c>
      <c r="I230" s="16">
        <v>45071</v>
      </c>
    </row>
    <row r="231" spans="1:9">
      <c r="A231" s="1"/>
      <c r="B231" s="16"/>
      <c r="C231" s="6"/>
      <c r="D231" s="1"/>
      <c r="E231" s="41">
        <f>SUM(E208:E230)</f>
        <v>82.384999999999991</v>
      </c>
      <c r="F231" s="24"/>
      <c r="G231" s="1"/>
      <c r="H231" s="1"/>
      <c r="I231" s="3"/>
    </row>
    <row r="232" spans="1:9">
      <c r="A232" s="15" t="s">
        <v>707</v>
      </c>
      <c r="B232" s="16">
        <v>45099</v>
      </c>
      <c r="C232" s="6" t="s">
        <v>224</v>
      </c>
      <c r="D232" s="1" t="s">
        <v>78</v>
      </c>
      <c r="E232" s="21">
        <v>1.9870000000000001</v>
      </c>
      <c r="F232" s="24" t="s">
        <v>267</v>
      </c>
      <c r="G232" s="1" t="s">
        <v>708</v>
      </c>
      <c r="H232" s="1" t="s">
        <v>440</v>
      </c>
      <c r="I232" s="16">
        <v>45071</v>
      </c>
    </row>
    <row r="233" spans="1:9">
      <c r="A233" s="15" t="s">
        <v>707</v>
      </c>
      <c r="B233" s="16">
        <v>45099</v>
      </c>
      <c r="C233" s="6" t="s">
        <v>255</v>
      </c>
      <c r="D233" s="1" t="s">
        <v>78</v>
      </c>
      <c r="E233" s="21">
        <v>1.774</v>
      </c>
      <c r="F233" s="24" t="s">
        <v>267</v>
      </c>
      <c r="G233" s="1" t="s">
        <v>708</v>
      </c>
      <c r="H233" s="1" t="s">
        <v>440</v>
      </c>
      <c r="I233" s="16">
        <v>45071</v>
      </c>
    </row>
    <row r="234" spans="1:9">
      <c r="A234" s="15" t="s">
        <v>709</v>
      </c>
      <c r="B234" s="16">
        <v>45099</v>
      </c>
      <c r="C234" s="6" t="s">
        <v>234</v>
      </c>
      <c r="D234" s="1" t="s">
        <v>78</v>
      </c>
      <c r="E234" s="21">
        <v>0.19800000000000001</v>
      </c>
      <c r="F234" s="24" t="s">
        <v>267</v>
      </c>
      <c r="G234" s="1" t="s">
        <v>708</v>
      </c>
      <c r="H234" s="1" t="s">
        <v>451</v>
      </c>
      <c r="I234" s="16">
        <v>45071</v>
      </c>
    </row>
    <row r="235" spans="1:9">
      <c r="A235" s="15" t="s">
        <v>709</v>
      </c>
      <c r="B235" s="16">
        <v>45099</v>
      </c>
      <c r="C235" s="6" t="s">
        <v>208</v>
      </c>
      <c r="D235" s="1" t="s">
        <v>78</v>
      </c>
      <c r="E235" s="21">
        <v>2.0819999999999999</v>
      </c>
      <c r="F235" s="24" t="s">
        <v>267</v>
      </c>
      <c r="G235" s="1" t="s">
        <v>708</v>
      </c>
      <c r="H235" s="1" t="s">
        <v>451</v>
      </c>
      <c r="I235" s="16">
        <v>45071</v>
      </c>
    </row>
    <row r="236" spans="1:9">
      <c r="A236" s="15" t="s">
        <v>710</v>
      </c>
      <c r="B236" s="16">
        <v>45099</v>
      </c>
      <c r="C236" s="6" t="s">
        <v>301</v>
      </c>
      <c r="D236" s="1" t="s">
        <v>78</v>
      </c>
      <c r="E236" s="21">
        <v>0.41499999999999998</v>
      </c>
      <c r="F236" s="24" t="s">
        <v>267</v>
      </c>
      <c r="G236" s="1" t="s">
        <v>708</v>
      </c>
      <c r="H236" s="1" t="s">
        <v>701</v>
      </c>
      <c r="I236" s="16">
        <v>45092</v>
      </c>
    </row>
    <row r="237" spans="1:9">
      <c r="A237" s="15" t="s">
        <v>711</v>
      </c>
      <c r="B237" s="16">
        <v>45099</v>
      </c>
      <c r="C237" s="6" t="s">
        <v>301</v>
      </c>
      <c r="D237" s="1" t="s">
        <v>78</v>
      </c>
      <c r="E237" s="21">
        <v>8.3810000000000002</v>
      </c>
      <c r="F237" s="24" t="s">
        <v>267</v>
      </c>
      <c r="G237" s="1" t="s">
        <v>712</v>
      </c>
      <c r="H237" s="1" t="s">
        <v>704</v>
      </c>
      <c r="I237" s="16">
        <v>45092</v>
      </c>
    </row>
    <row r="238" spans="1:9">
      <c r="A238" s="15" t="s">
        <v>711</v>
      </c>
      <c r="B238" s="16">
        <v>45099</v>
      </c>
      <c r="C238" s="6" t="s">
        <v>344</v>
      </c>
      <c r="D238" s="1" t="s">
        <v>78</v>
      </c>
      <c r="E238" s="21">
        <f>3.607+7.464</f>
        <v>11.071000000000002</v>
      </c>
      <c r="F238" s="24" t="s">
        <v>267</v>
      </c>
      <c r="G238" s="1" t="s">
        <v>712</v>
      </c>
      <c r="H238" s="1" t="s">
        <v>704</v>
      </c>
      <c r="I238" s="16">
        <v>45092</v>
      </c>
    </row>
    <row r="239" spans="1:9">
      <c r="A239" s="15" t="s">
        <v>711</v>
      </c>
      <c r="B239" s="16">
        <v>45099</v>
      </c>
      <c r="C239" s="6" t="s">
        <v>699</v>
      </c>
      <c r="D239" s="1" t="s">
        <v>78</v>
      </c>
      <c r="E239" s="21">
        <v>2.4420000000000002</v>
      </c>
      <c r="F239" s="24" t="s">
        <v>267</v>
      </c>
      <c r="G239" s="1" t="s">
        <v>712</v>
      </c>
      <c r="H239" s="1" t="s">
        <v>704</v>
      </c>
      <c r="I239" s="16">
        <v>45092</v>
      </c>
    </row>
    <row r="240" spans="1:9">
      <c r="A240" s="15" t="s">
        <v>711</v>
      </c>
      <c r="B240" s="16">
        <v>45099</v>
      </c>
      <c r="C240" s="6" t="s">
        <v>664</v>
      </c>
      <c r="D240" s="1" t="s">
        <v>78</v>
      </c>
      <c r="E240" s="21">
        <v>3.4830000000000001</v>
      </c>
      <c r="F240" s="24" t="s">
        <v>267</v>
      </c>
      <c r="G240" s="1" t="s">
        <v>712</v>
      </c>
      <c r="H240" s="1" t="s">
        <v>704</v>
      </c>
      <c r="I240" s="16">
        <v>45092</v>
      </c>
    </row>
    <row r="241" spans="1:9">
      <c r="A241" s="15" t="s">
        <v>713</v>
      </c>
      <c r="B241" s="16">
        <v>45099</v>
      </c>
      <c r="C241" s="6" t="s">
        <v>224</v>
      </c>
      <c r="D241" s="1" t="s">
        <v>78</v>
      </c>
      <c r="E241" s="21">
        <v>31.094999999999999</v>
      </c>
      <c r="F241" s="24" t="s">
        <v>66</v>
      </c>
      <c r="G241" s="1" t="s">
        <v>714</v>
      </c>
      <c r="H241" s="1" t="s">
        <v>704</v>
      </c>
      <c r="I241" s="16">
        <v>45092</v>
      </c>
    </row>
    <row r="242" spans="1:9">
      <c r="A242" s="1"/>
      <c r="B242" s="16"/>
      <c r="C242" s="6"/>
      <c r="D242" s="1"/>
      <c r="E242" s="41">
        <f>SUM(E232:E241)</f>
        <v>62.927999999999997</v>
      </c>
      <c r="F242" s="24"/>
      <c r="G242" s="1"/>
      <c r="H242" s="1"/>
      <c r="I242" s="3"/>
    </row>
    <row r="243" spans="1:9">
      <c r="A243" s="15" t="s">
        <v>724</v>
      </c>
      <c r="B243" s="16">
        <v>45100</v>
      </c>
      <c r="C243" s="6" t="s">
        <v>225</v>
      </c>
      <c r="D243" s="1" t="s">
        <v>11</v>
      </c>
      <c r="E243" s="21">
        <v>25.085999999999999</v>
      </c>
      <c r="F243" s="24" t="s">
        <v>630</v>
      </c>
      <c r="G243" s="1" t="s">
        <v>725</v>
      </c>
      <c r="H243" s="18" t="s">
        <v>687</v>
      </c>
      <c r="I243" s="16">
        <v>45064</v>
      </c>
    </row>
    <row r="244" spans="1:9">
      <c r="A244" s="15" t="s">
        <v>726</v>
      </c>
      <c r="B244" s="16">
        <v>45100</v>
      </c>
      <c r="C244" s="6" t="s">
        <v>282</v>
      </c>
      <c r="D244" s="1" t="s">
        <v>11</v>
      </c>
      <c r="E244" s="21">
        <v>10.867000000000001</v>
      </c>
      <c r="F244" s="24" t="s">
        <v>36</v>
      </c>
      <c r="G244" s="1" t="s">
        <v>727</v>
      </c>
      <c r="H244" s="18" t="s">
        <v>466</v>
      </c>
      <c r="I244" s="16">
        <v>45056</v>
      </c>
    </row>
    <row r="245" spans="1:9">
      <c r="A245" s="15" t="s">
        <v>728</v>
      </c>
      <c r="B245" s="16">
        <v>45100</v>
      </c>
      <c r="C245" s="6" t="s">
        <v>224</v>
      </c>
      <c r="D245" s="1" t="s">
        <v>11</v>
      </c>
      <c r="E245" s="21">
        <f>6.457+7.202</f>
        <v>13.658999999999999</v>
      </c>
      <c r="F245" s="24" t="s">
        <v>36</v>
      </c>
      <c r="G245" s="1" t="s">
        <v>729</v>
      </c>
      <c r="H245" s="18" t="s">
        <v>730</v>
      </c>
      <c r="I245" s="16">
        <v>45092</v>
      </c>
    </row>
    <row r="246" spans="1:9">
      <c r="A246" s="15" t="s">
        <v>731</v>
      </c>
      <c r="B246" s="16">
        <v>45100</v>
      </c>
      <c r="C246" s="6" t="s">
        <v>225</v>
      </c>
      <c r="D246" s="1" t="s">
        <v>11</v>
      </c>
      <c r="E246" s="21">
        <f>21.529+0.753</f>
        <v>22.282</v>
      </c>
      <c r="F246" s="24" t="s">
        <v>89</v>
      </c>
      <c r="G246" s="1" t="s">
        <v>732</v>
      </c>
      <c r="H246" s="18" t="s">
        <v>687</v>
      </c>
      <c r="I246" s="16">
        <v>45064</v>
      </c>
    </row>
    <row r="247" spans="1:9">
      <c r="A247" s="15" t="s">
        <v>733</v>
      </c>
      <c r="B247" s="16">
        <v>45100</v>
      </c>
      <c r="C247" s="6" t="s">
        <v>225</v>
      </c>
      <c r="D247" s="1" t="s">
        <v>11</v>
      </c>
      <c r="E247" s="21">
        <v>2.7450000000000001</v>
      </c>
      <c r="F247" s="24" t="s">
        <v>89</v>
      </c>
      <c r="G247" s="1" t="s">
        <v>734</v>
      </c>
      <c r="H247" s="18" t="s">
        <v>674</v>
      </c>
      <c r="I247" s="16">
        <v>45064</v>
      </c>
    </row>
    <row r="248" spans="1:9">
      <c r="A248" s="15" t="s">
        <v>735</v>
      </c>
      <c r="B248" s="16">
        <v>45100</v>
      </c>
      <c r="C248" s="6" t="s">
        <v>224</v>
      </c>
      <c r="D248" s="1" t="s">
        <v>78</v>
      </c>
      <c r="E248" s="21">
        <f>25.933+3.758</f>
        <v>29.690999999999999</v>
      </c>
      <c r="F248" s="24" t="s">
        <v>97</v>
      </c>
      <c r="G248" s="1" t="s">
        <v>736</v>
      </c>
      <c r="H248" s="18" t="s">
        <v>704</v>
      </c>
      <c r="I248" s="16">
        <v>45092</v>
      </c>
    </row>
    <row r="249" spans="1:9">
      <c r="A249" s="15" t="s">
        <v>737</v>
      </c>
      <c r="B249" s="16">
        <v>45100</v>
      </c>
      <c r="C249" s="6" t="s">
        <v>345</v>
      </c>
      <c r="D249" s="1" t="s">
        <v>78</v>
      </c>
      <c r="E249" s="21">
        <v>3.1619999999999999</v>
      </c>
      <c r="F249" s="24" t="s">
        <v>97</v>
      </c>
      <c r="G249" s="1" t="s">
        <v>738</v>
      </c>
      <c r="H249" s="18" t="s">
        <v>701</v>
      </c>
      <c r="I249" s="16">
        <v>45092</v>
      </c>
    </row>
    <row r="250" spans="1:9">
      <c r="A250" s="15" t="s">
        <v>739</v>
      </c>
      <c r="B250" s="16">
        <v>45100</v>
      </c>
      <c r="C250" s="6" t="s">
        <v>225</v>
      </c>
      <c r="D250" s="1" t="s">
        <v>11</v>
      </c>
      <c r="E250" s="21">
        <f>21.812+3.125</f>
        <v>24.937000000000001</v>
      </c>
      <c r="F250" s="24" t="s">
        <v>42</v>
      </c>
      <c r="G250" s="1" t="s">
        <v>740</v>
      </c>
      <c r="H250" s="18" t="s">
        <v>687</v>
      </c>
      <c r="I250" s="16">
        <v>45064</v>
      </c>
    </row>
    <row r="251" spans="1:9">
      <c r="A251" s="15" t="s">
        <v>741</v>
      </c>
      <c r="B251" s="16">
        <v>45100</v>
      </c>
      <c r="C251" s="6" t="s">
        <v>196</v>
      </c>
      <c r="D251" s="1" t="s">
        <v>11</v>
      </c>
      <c r="E251" s="21">
        <v>8.4009999999999998</v>
      </c>
      <c r="F251" s="24" t="s">
        <v>16</v>
      </c>
      <c r="G251" s="1" t="s">
        <v>742</v>
      </c>
      <c r="H251" s="18" t="s">
        <v>622</v>
      </c>
      <c r="I251" s="16">
        <v>45082</v>
      </c>
    </row>
    <row r="252" spans="1:9">
      <c r="A252" s="15" t="s">
        <v>741</v>
      </c>
      <c r="B252" s="16">
        <v>45100</v>
      </c>
      <c r="C252" s="6" t="s">
        <v>225</v>
      </c>
      <c r="D252" s="1" t="s">
        <v>11</v>
      </c>
      <c r="E252" s="21">
        <v>2.6459999999999999</v>
      </c>
      <c r="F252" s="24" t="s">
        <v>16</v>
      </c>
      <c r="G252" s="1" t="s">
        <v>742</v>
      </c>
      <c r="H252" s="18" t="s">
        <v>622</v>
      </c>
      <c r="I252" s="16">
        <v>45082</v>
      </c>
    </row>
    <row r="253" spans="1:9">
      <c r="A253" s="15" t="s">
        <v>743</v>
      </c>
      <c r="B253" s="16">
        <v>45100</v>
      </c>
      <c r="C253" s="6" t="s">
        <v>226</v>
      </c>
      <c r="D253" s="1" t="s">
        <v>11</v>
      </c>
      <c r="E253" s="21">
        <v>2.9390000000000001</v>
      </c>
      <c r="F253" s="24" t="s">
        <v>16</v>
      </c>
      <c r="G253" s="1" t="s">
        <v>742</v>
      </c>
      <c r="H253" s="18" t="s">
        <v>359</v>
      </c>
      <c r="I253" s="16">
        <v>45043</v>
      </c>
    </row>
    <row r="254" spans="1:9">
      <c r="A254" s="15" t="s">
        <v>744</v>
      </c>
      <c r="B254" s="16">
        <v>45100</v>
      </c>
      <c r="C254" s="6" t="s">
        <v>225</v>
      </c>
      <c r="D254" s="1" t="s">
        <v>11</v>
      </c>
      <c r="E254" s="32">
        <v>10.271000000000001</v>
      </c>
      <c r="F254" s="24" t="s">
        <v>16</v>
      </c>
      <c r="G254" s="1" t="s">
        <v>742</v>
      </c>
      <c r="H254" s="18" t="s">
        <v>687</v>
      </c>
      <c r="I254" s="16">
        <v>45064</v>
      </c>
    </row>
    <row r="255" spans="1:9">
      <c r="A255" s="15" t="s">
        <v>745</v>
      </c>
      <c r="B255" s="16">
        <v>45100</v>
      </c>
      <c r="C255" s="6" t="s">
        <v>224</v>
      </c>
      <c r="D255" s="1" t="s">
        <v>11</v>
      </c>
      <c r="E255" s="32">
        <v>10.254</v>
      </c>
      <c r="F255" s="24" t="s">
        <v>105</v>
      </c>
      <c r="G255" s="1" t="s">
        <v>746</v>
      </c>
      <c r="H255" s="18" t="s">
        <v>622</v>
      </c>
      <c r="I255" s="16">
        <v>45082</v>
      </c>
    </row>
    <row r="256" spans="1:9">
      <c r="A256" s="15" t="s">
        <v>747</v>
      </c>
      <c r="B256" s="16">
        <v>45100</v>
      </c>
      <c r="C256" s="6" t="s">
        <v>224</v>
      </c>
      <c r="D256" s="1" t="s">
        <v>11</v>
      </c>
      <c r="E256" s="32">
        <v>3.5379999999999998</v>
      </c>
      <c r="F256" s="24" t="s">
        <v>105</v>
      </c>
      <c r="G256" s="1" t="s">
        <v>746</v>
      </c>
      <c r="H256" s="18" t="s">
        <v>687</v>
      </c>
      <c r="I256" s="16">
        <v>45064</v>
      </c>
    </row>
    <row r="257" spans="1:9">
      <c r="A257" s="15" t="s">
        <v>748</v>
      </c>
      <c r="B257" s="16">
        <v>45100</v>
      </c>
      <c r="C257" s="6" t="s">
        <v>224</v>
      </c>
      <c r="D257" s="1" t="s">
        <v>11</v>
      </c>
      <c r="E257" s="32">
        <v>11.4</v>
      </c>
      <c r="F257" s="24" t="s">
        <v>105</v>
      </c>
      <c r="G257" s="1" t="s">
        <v>746</v>
      </c>
      <c r="H257" s="18" t="s">
        <v>674</v>
      </c>
      <c r="I257" s="16">
        <v>45064</v>
      </c>
    </row>
    <row r="258" spans="1:9">
      <c r="A258" s="15" t="s">
        <v>749</v>
      </c>
      <c r="B258" s="16">
        <v>45100</v>
      </c>
      <c r="C258" s="6" t="s">
        <v>301</v>
      </c>
      <c r="D258" s="1" t="s">
        <v>78</v>
      </c>
      <c r="E258" s="32">
        <f>2.049+4.036+2.558</f>
        <v>8.6429999999999989</v>
      </c>
      <c r="F258" s="24" t="s">
        <v>267</v>
      </c>
      <c r="G258" s="1" t="s">
        <v>750</v>
      </c>
      <c r="H258" s="18" t="s">
        <v>704</v>
      </c>
      <c r="I258" s="16">
        <v>45092</v>
      </c>
    </row>
    <row r="259" spans="1:9">
      <c r="A259" s="15" t="s">
        <v>749</v>
      </c>
      <c r="B259" s="16">
        <v>45100</v>
      </c>
      <c r="C259" s="6" t="s">
        <v>344</v>
      </c>
      <c r="D259" s="1" t="s">
        <v>78</v>
      </c>
      <c r="E259" s="32">
        <v>12.532</v>
      </c>
      <c r="F259" s="24" t="s">
        <v>267</v>
      </c>
      <c r="G259" s="1" t="s">
        <v>750</v>
      </c>
      <c r="H259" s="18" t="s">
        <v>704</v>
      </c>
      <c r="I259" s="16">
        <v>45092</v>
      </c>
    </row>
    <row r="260" spans="1:9">
      <c r="A260" s="15" t="s">
        <v>749</v>
      </c>
      <c r="B260" s="16">
        <v>45100</v>
      </c>
      <c r="C260" s="6" t="s">
        <v>699</v>
      </c>
      <c r="D260" s="1" t="s">
        <v>78</v>
      </c>
      <c r="E260" s="32">
        <v>1.446</v>
      </c>
      <c r="F260" s="24" t="s">
        <v>267</v>
      </c>
      <c r="G260" s="1" t="s">
        <v>750</v>
      </c>
      <c r="H260" s="18" t="s">
        <v>704</v>
      </c>
      <c r="I260" s="16">
        <v>45092</v>
      </c>
    </row>
    <row r="261" spans="1:9">
      <c r="A261" s="15" t="s">
        <v>751</v>
      </c>
      <c r="B261" s="16">
        <v>45100</v>
      </c>
      <c r="C261" s="6" t="s">
        <v>345</v>
      </c>
      <c r="D261" s="1" t="s">
        <v>78</v>
      </c>
      <c r="E261" s="32">
        <v>6.9379999999999997</v>
      </c>
      <c r="F261" s="24" t="s">
        <v>267</v>
      </c>
      <c r="G261" s="1" t="s">
        <v>752</v>
      </c>
      <c r="H261" s="18" t="s">
        <v>701</v>
      </c>
      <c r="I261" s="16">
        <v>45092</v>
      </c>
    </row>
    <row r="262" spans="1:9">
      <c r="A262" s="15" t="s">
        <v>753</v>
      </c>
      <c r="B262" s="16">
        <v>45100</v>
      </c>
      <c r="C262" s="6" t="s">
        <v>263</v>
      </c>
      <c r="D262" s="1" t="s">
        <v>78</v>
      </c>
      <c r="E262" s="32">
        <v>0.314</v>
      </c>
      <c r="F262" s="24" t="s">
        <v>267</v>
      </c>
      <c r="G262" s="1" t="s">
        <v>752</v>
      </c>
      <c r="H262" s="18" t="s">
        <v>610</v>
      </c>
      <c r="I262" s="16">
        <v>45092</v>
      </c>
    </row>
    <row r="263" spans="1:9">
      <c r="A263" s="1"/>
      <c r="B263" s="16"/>
      <c r="C263" s="6"/>
      <c r="D263" s="1"/>
      <c r="E263" s="41">
        <f>SUM(E243:E262)</f>
        <v>211.75100000000003</v>
      </c>
      <c r="F263" s="24"/>
      <c r="G263" s="1"/>
      <c r="H263" s="1"/>
      <c r="I263" s="3"/>
    </row>
    <row r="264" spans="1:9">
      <c r="A264" s="15" t="s">
        <v>754</v>
      </c>
      <c r="B264" s="16">
        <v>45101</v>
      </c>
      <c r="C264" s="6" t="s">
        <v>225</v>
      </c>
      <c r="D264" s="1" t="s">
        <v>11</v>
      </c>
      <c r="E264" s="21">
        <v>11.039</v>
      </c>
      <c r="F264" s="26" t="s">
        <v>386</v>
      </c>
      <c r="G264" s="26" t="s">
        <v>755</v>
      </c>
      <c r="H264" s="18" t="s">
        <v>687</v>
      </c>
      <c r="I264" s="16">
        <v>45064</v>
      </c>
    </row>
    <row r="265" spans="1:9">
      <c r="A265" s="15" t="s">
        <v>756</v>
      </c>
      <c r="B265" s="16">
        <v>45101</v>
      </c>
      <c r="C265" s="6" t="s">
        <v>225</v>
      </c>
      <c r="D265" s="1" t="s">
        <v>11</v>
      </c>
      <c r="E265" s="21">
        <v>13.871</v>
      </c>
      <c r="F265" s="26" t="s">
        <v>386</v>
      </c>
      <c r="G265" s="26" t="s">
        <v>755</v>
      </c>
      <c r="H265" s="18" t="s">
        <v>622</v>
      </c>
      <c r="I265" s="16">
        <v>45082</v>
      </c>
    </row>
    <row r="266" spans="1:9">
      <c r="A266" s="15" t="s">
        <v>757</v>
      </c>
      <c r="B266" s="16">
        <v>45101</v>
      </c>
      <c r="C266" s="6" t="s">
        <v>224</v>
      </c>
      <c r="D266" s="1" t="s">
        <v>11</v>
      </c>
      <c r="E266" s="21">
        <f>5.44+0.85</f>
        <v>6.29</v>
      </c>
      <c r="F266" s="24" t="s">
        <v>22</v>
      </c>
      <c r="G266" s="1" t="s">
        <v>758</v>
      </c>
      <c r="H266" s="18" t="s">
        <v>687</v>
      </c>
      <c r="I266" s="16">
        <v>45064</v>
      </c>
    </row>
    <row r="267" spans="1:9">
      <c r="A267" s="15" t="s">
        <v>759</v>
      </c>
      <c r="B267" s="16">
        <v>45101</v>
      </c>
      <c r="C267" s="6" t="s">
        <v>224</v>
      </c>
      <c r="D267" s="1" t="s">
        <v>11</v>
      </c>
      <c r="E267" s="21">
        <f>3.267+15.357</f>
        <v>18.623999999999999</v>
      </c>
      <c r="F267" s="24" t="s">
        <v>22</v>
      </c>
      <c r="G267" s="1" t="s">
        <v>760</v>
      </c>
      <c r="H267" s="18" t="s">
        <v>622</v>
      </c>
      <c r="I267" s="16">
        <v>45082</v>
      </c>
    </row>
    <row r="268" spans="1:9">
      <c r="A268" s="15" t="s">
        <v>761</v>
      </c>
      <c r="B268" s="16">
        <v>45101</v>
      </c>
      <c r="C268" s="6" t="s">
        <v>345</v>
      </c>
      <c r="D268" s="1" t="s">
        <v>78</v>
      </c>
      <c r="E268" s="21">
        <v>32.067</v>
      </c>
      <c r="F268" s="24" t="s">
        <v>86</v>
      </c>
      <c r="G268" s="1" t="s">
        <v>762</v>
      </c>
      <c r="H268" s="18" t="s">
        <v>704</v>
      </c>
      <c r="I268" s="16">
        <v>45092</v>
      </c>
    </row>
    <row r="269" spans="1:9">
      <c r="A269" s="15" t="s">
        <v>763</v>
      </c>
      <c r="B269" s="16">
        <v>45101</v>
      </c>
      <c r="C269" s="6" t="s">
        <v>252</v>
      </c>
      <c r="D269" s="1" t="s">
        <v>11</v>
      </c>
      <c r="E269" s="21">
        <f>11.015+4.001</f>
        <v>15.016000000000002</v>
      </c>
      <c r="F269" s="24" t="s">
        <v>54</v>
      </c>
      <c r="G269" s="1" t="s">
        <v>764</v>
      </c>
      <c r="H269" s="18" t="s">
        <v>622</v>
      </c>
      <c r="I269" s="16">
        <v>45082</v>
      </c>
    </row>
    <row r="270" spans="1:9">
      <c r="A270" s="15" t="s">
        <v>763</v>
      </c>
      <c r="B270" s="16">
        <v>45101</v>
      </c>
      <c r="C270" s="6" t="s">
        <v>224</v>
      </c>
      <c r="D270" s="1" t="s">
        <v>11</v>
      </c>
      <c r="E270" s="21">
        <v>2.88</v>
      </c>
      <c r="F270" s="24" t="s">
        <v>54</v>
      </c>
      <c r="G270" s="1" t="s">
        <v>764</v>
      </c>
      <c r="H270" s="18" t="s">
        <v>622</v>
      </c>
      <c r="I270" s="16">
        <v>45082</v>
      </c>
    </row>
    <row r="271" spans="1:9">
      <c r="A271" s="15" t="s">
        <v>765</v>
      </c>
      <c r="B271" s="16">
        <v>45101</v>
      </c>
      <c r="C271" s="6" t="s">
        <v>252</v>
      </c>
      <c r="D271" s="1" t="s">
        <v>11</v>
      </c>
      <c r="E271" s="21">
        <v>0.82599999999999996</v>
      </c>
      <c r="F271" s="24" t="s">
        <v>54</v>
      </c>
      <c r="G271" s="1" t="s">
        <v>766</v>
      </c>
      <c r="H271" s="18" t="s">
        <v>400</v>
      </c>
      <c r="I271" s="16">
        <v>45056</v>
      </c>
    </row>
    <row r="272" spans="1:9">
      <c r="A272" s="15" t="s">
        <v>767</v>
      </c>
      <c r="B272" s="16">
        <v>45101</v>
      </c>
      <c r="C272" s="6" t="s">
        <v>224</v>
      </c>
      <c r="D272" s="1" t="s">
        <v>11</v>
      </c>
      <c r="E272" s="21">
        <v>6.29</v>
      </c>
      <c r="F272" s="24" t="s">
        <v>54</v>
      </c>
      <c r="G272" s="1" t="s">
        <v>766</v>
      </c>
      <c r="H272" s="18" t="s">
        <v>687</v>
      </c>
      <c r="I272" s="16">
        <v>45064</v>
      </c>
    </row>
    <row r="273" spans="1:9">
      <c r="A273" s="15" t="s">
        <v>770</v>
      </c>
      <c r="B273" s="16">
        <v>45101</v>
      </c>
      <c r="C273" s="6" t="s">
        <v>768</v>
      </c>
      <c r="D273" s="1" t="s">
        <v>78</v>
      </c>
      <c r="E273" s="21">
        <v>11.065</v>
      </c>
      <c r="F273" s="24" t="s">
        <v>267</v>
      </c>
      <c r="G273" s="1" t="s">
        <v>771</v>
      </c>
      <c r="H273" s="18" t="s">
        <v>704</v>
      </c>
      <c r="I273" s="16">
        <v>45092</v>
      </c>
    </row>
    <row r="274" spans="1:9">
      <c r="A274" s="15" t="s">
        <v>770</v>
      </c>
      <c r="B274" s="16">
        <v>45101</v>
      </c>
      <c r="C274" s="6" t="s">
        <v>769</v>
      </c>
      <c r="D274" s="1" t="s">
        <v>78</v>
      </c>
      <c r="E274" s="21">
        <f>4.369+0.093</f>
        <v>4.4619999999999997</v>
      </c>
      <c r="F274" s="24" t="s">
        <v>267</v>
      </c>
      <c r="G274" s="1" t="s">
        <v>771</v>
      </c>
      <c r="H274" s="18" t="s">
        <v>704</v>
      </c>
      <c r="I274" s="16">
        <v>45092</v>
      </c>
    </row>
    <row r="275" spans="1:9">
      <c r="A275" s="15" t="s">
        <v>770</v>
      </c>
      <c r="B275" s="16">
        <v>45101</v>
      </c>
      <c r="C275" s="6" t="s">
        <v>345</v>
      </c>
      <c r="D275" s="1" t="s">
        <v>78</v>
      </c>
      <c r="E275" s="21">
        <v>16.902999999999999</v>
      </c>
      <c r="F275" s="24" t="s">
        <v>267</v>
      </c>
      <c r="G275" s="1" t="s">
        <v>771</v>
      </c>
      <c r="H275" s="18" t="s">
        <v>704</v>
      </c>
      <c r="I275" s="16">
        <v>45092</v>
      </c>
    </row>
    <row r="276" spans="1:9">
      <c r="A276" s="15" t="s">
        <v>772</v>
      </c>
      <c r="B276" s="16">
        <v>45101</v>
      </c>
      <c r="C276" s="6" t="s">
        <v>773</v>
      </c>
      <c r="D276" s="1" t="s">
        <v>11</v>
      </c>
      <c r="E276" s="21">
        <v>7.0119999999999996</v>
      </c>
      <c r="F276" s="24" t="s">
        <v>368</v>
      </c>
      <c r="G276" s="1" t="s">
        <v>774</v>
      </c>
      <c r="H276" s="18" t="s">
        <v>622</v>
      </c>
      <c r="I276" s="16">
        <v>45082</v>
      </c>
    </row>
    <row r="277" spans="1:9">
      <c r="A277" s="15" t="s">
        <v>777</v>
      </c>
      <c r="B277" s="16">
        <v>45101</v>
      </c>
      <c r="C277" s="6" t="s">
        <v>773</v>
      </c>
      <c r="D277" s="1" t="s">
        <v>11</v>
      </c>
      <c r="E277" s="21">
        <f>5.055+9.59</f>
        <v>14.645</v>
      </c>
      <c r="F277" s="24" t="s">
        <v>368</v>
      </c>
      <c r="G277" s="1" t="s">
        <v>776</v>
      </c>
      <c r="H277" s="18" t="s">
        <v>400</v>
      </c>
      <c r="I277" s="16">
        <v>45056</v>
      </c>
    </row>
    <row r="278" spans="1:9">
      <c r="A278" s="15" t="s">
        <v>777</v>
      </c>
      <c r="B278" s="16">
        <v>45101</v>
      </c>
      <c r="C278" s="6" t="s">
        <v>773</v>
      </c>
      <c r="D278" s="1" t="s">
        <v>11</v>
      </c>
      <c r="E278" s="21">
        <v>3.2440000000000002</v>
      </c>
      <c r="F278" s="24" t="s">
        <v>368</v>
      </c>
      <c r="G278" s="1" t="s">
        <v>776</v>
      </c>
      <c r="H278" s="18" t="s">
        <v>400</v>
      </c>
      <c r="I278" s="16">
        <v>45056</v>
      </c>
    </row>
    <row r="279" spans="1:9">
      <c r="A279" s="15" t="s">
        <v>778</v>
      </c>
      <c r="B279" s="16">
        <v>45101</v>
      </c>
      <c r="C279" s="6" t="s">
        <v>225</v>
      </c>
      <c r="D279" s="1" t="s">
        <v>11</v>
      </c>
      <c r="E279" s="21">
        <f>16.229+6.093</f>
        <v>22.321999999999999</v>
      </c>
      <c r="F279" s="24" t="s">
        <v>598</v>
      </c>
      <c r="G279" s="1" t="s">
        <v>779</v>
      </c>
      <c r="H279" s="18" t="s">
        <v>687</v>
      </c>
      <c r="I279" s="16">
        <v>45064</v>
      </c>
    </row>
    <row r="280" spans="1:9">
      <c r="A280" s="15" t="s">
        <v>775</v>
      </c>
      <c r="B280" s="16">
        <v>45101</v>
      </c>
      <c r="C280" s="6" t="s">
        <v>225</v>
      </c>
      <c r="D280" s="1" t="s">
        <v>11</v>
      </c>
      <c r="E280" s="21">
        <v>1.825</v>
      </c>
      <c r="F280" s="24" t="s">
        <v>598</v>
      </c>
      <c r="G280" s="1" t="s">
        <v>780</v>
      </c>
      <c r="H280" s="18" t="s">
        <v>622</v>
      </c>
      <c r="I280" s="16">
        <v>45082</v>
      </c>
    </row>
    <row r="281" spans="1:9">
      <c r="A281" s="1"/>
      <c r="B281" s="16"/>
      <c r="C281" s="6"/>
      <c r="D281" s="1"/>
      <c r="E281" s="41">
        <f>SUM(E264:E280)</f>
        <v>188.381</v>
      </c>
      <c r="F281" s="24"/>
      <c r="G281" s="1"/>
      <c r="H281" s="1"/>
      <c r="I281" s="3"/>
    </row>
    <row r="282" spans="1:9">
      <c r="A282" s="15" t="s">
        <v>781</v>
      </c>
      <c r="B282" s="16">
        <v>45102</v>
      </c>
      <c r="C282" s="6" t="s">
        <v>384</v>
      </c>
      <c r="D282" s="1" t="s">
        <v>78</v>
      </c>
      <c r="E282" s="21">
        <v>2.1259999999999999</v>
      </c>
      <c r="F282" s="24" t="s">
        <v>86</v>
      </c>
      <c r="G282" s="1" t="s">
        <v>782</v>
      </c>
      <c r="H282" s="1" t="s">
        <v>477</v>
      </c>
      <c r="I282" s="16">
        <v>45071</v>
      </c>
    </row>
    <row r="283" spans="1:9">
      <c r="A283" s="15" t="s">
        <v>783</v>
      </c>
      <c r="B283" s="16">
        <v>45102</v>
      </c>
      <c r="C283" s="6" t="s">
        <v>768</v>
      </c>
      <c r="D283" s="1" t="s">
        <v>78</v>
      </c>
      <c r="E283" s="21">
        <v>8.423</v>
      </c>
      <c r="F283" s="24" t="s">
        <v>86</v>
      </c>
      <c r="G283" s="1" t="s">
        <v>784</v>
      </c>
      <c r="H283" s="18" t="s">
        <v>704</v>
      </c>
      <c r="I283" s="16">
        <v>45092</v>
      </c>
    </row>
    <row r="284" spans="1:9">
      <c r="A284" s="15" t="s">
        <v>783</v>
      </c>
      <c r="B284" s="16">
        <v>45102</v>
      </c>
      <c r="C284" s="6" t="s">
        <v>769</v>
      </c>
      <c r="D284" s="1" t="s">
        <v>78</v>
      </c>
      <c r="E284" s="21">
        <v>6.444</v>
      </c>
      <c r="F284" s="24" t="s">
        <v>86</v>
      </c>
      <c r="G284" s="1" t="s">
        <v>784</v>
      </c>
      <c r="H284" s="18" t="s">
        <v>704</v>
      </c>
      <c r="I284" s="16">
        <v>45092</v>
      </c>
    </row>
    <row r="285" spans="1:9">
      <c r="A285" s="15" t="s">
        <v>783</v>
      </c>
      <c r="B285" s="16">
        <v>45102</v>
      </c>
      <c r="C285" s="6" t="s">
        <v>225</v>
      </c>
      <c r="D285" s="1" t="s">
        <v>78</v>
      </c>
      <c r="E285" s="21">
        <f>4.179+1.648</f>
        <v>5.827</v>
      </c>
      <c r="F285" s="24" t="s">
        <v>86</v>
      </c>
      <c r="G285" s="1" t="s">
        <v>784</v>
      </c>
      <c r="H285" s="18" t="s">
        <v>704</v>
      </c>
      <c r="I285" s="16">
        <v>45092</v>
      </c>
    </row>
    <row r="286" spans="1:9">
      <c r="A286" s="15" t="s">
        <v>785</v>
      </c>
      <c r="B286" s="16">
        <v>45102</v>
      </c>
      <c r="C286" s="6" t="s">
        <v>224</v>
      </c>
      <c r="D286" s="1" t="s">
        <v>78</v>
      </c>
      <c r="E286" s="21">
        <v>3.923</v>
      </c>
      <c r="F286" s="24" t="s">
        <v>86</v>
      </c>
      <c r="G286" s="1" t="s">
        <v>786</v>
      </c>
      <c r="H286" s="18" t="s">
        <v>787</v>
      </c>
      <c r="I286" s="16">
        <v>45092</v>
      </c>
    </row>
    <row r="287" spans="1:9">
      <c r="A287" s="15" t="s">
        <v>785</v>
      </c>
      <c r="B287" s="16">
        <v>45102</v>
      </c>
      <c r="C287" s="6" t="s">
        <v>768</v>
      </c>
      <c r="D287" s="1" t="s">
        <v>78</v>
      </c>
      <c r="E287" s="21">
        <v>0.78500000000000003</v>
      </c>
      <c r="F287" s="24" t="s">
        <v>86</v>
      </c>
      <c r="G287" s="1" t="s">
        <v>786</v>
      </c>
      <c r="H287" s="18" t="s">
        <v>787</v>
      </c>
      <c r="I287" s="16">
        <v>45092</v>
      </c>
    </row>
    <row r="288" spans="1:9">
      <c r="A288" s="15" t="s">
        <v>785</v>
      </c>
      <c r="B288" s="16">
        <v>45102</v>
      </c>
      <c r="C288" s="6" t="s">
        <v>301</v>
      </c>
      <c r="D288" s="1" t="s">
        <v>78</v>
      </c>
      <c r="E288" s="21">
        <v>1.593</v>
      </c>
      <c r="F288" s="24" t="s">
        <v>86</v>
      </c>
      <c r="G288" s="1" t="s">
        <v>786</v>
      </c>
      <c r="H288" s="18" t="s">
        <v>787</v>
      </c>
      <c r="I288" s="16">
        <v>45092</v>
      </c>
    </row>
    <row r="289" spans="1:9">
      <c r="A289" s="15" t="s">
        <v>788</v>
      </c>
      <c r="B289" s="16">
        <v>45102</v>
      </c>
      <c r="C289" s="6" t="s">
        <v>224</v>
      </c>
      <c r="D289" s="1" t="s">
        <v>11</v>
      </c>
      <c r="E289" s="21">
        <v>2.8690000000000002</v>
      </c>
      <c r="F289" s="24" t="s">
        <v>137</v>
      </c>
      <c r="G289" s="1" t="s">
        <v>789</v>
      </c>
      <c r="H289" s="18" t="s">
        <v>674</v>
      </c>
      <c r="I289" s="16">
        <v>45064</v>
      </c>
    </row>
    <row r="290" spans="1:9">
      <c r="A290" s="15" t="s">
        <v>790</v>
      </c>
      <c r="B290" s="16">
        <v>45102</v>
      </c>
      <c r="C290" s="6" t="s">
        <v>224</v>
      </c>
      <c r="D290" s="1" t="s">
        <v>11</v>
      </c>
      <c r="E290" s="21">
        <v>11.297000000000001</v>
      </c>
      <c r="F290" s="24" t="s">
        <v>137</v>
      </c>
      <c r="G290" s="1" t="s">
        <v>789</v>
      </c>
      <c r="H290" s="18" t="s">
        <v>622</v>
      </c>
      <c r="I290" s="16">
        <v>45082</v>
      </c>
    </row>
    <row r="291" spans="1:9">
      <c r="A291" s="15" t="s">
        <v>790</v>
      </c>
      <c r="B291" s="16">
        <v>45102</v>
      </c>
      <c r="C291" s="6" t="s">
        <v>773</v>
      </c>
      <c r="D291" s="1" t="s">
        <v>11</v>
      </c>
      <c r="E291" s="21">
        <v>5.6319999999999997</v>
      </c>
      <c r="F291" s="24" t="s">
        <v>137</v>
      </c>
      <c r="G291" s="1" t="s">
        <v>789</v>
      </c>
      <c r="H291" s="18" t="s">
        <v>622</v>
      </c>
      <c r="I291" s="16">
        <v>45082</v>
      </c>
    </row>
    <row r="292" spans="1:9">
      <c r="A292" s="15" t="s">
        <v>791</v>
      </c>
      <c r="B292" s="16">
        <v>45102</v>
      </c>
      <c r="C292" s="6" t="s">
        <v>224</v>
      </c>
      <c r="D292" s="1" t="s">
        <v>11</v>
      </c>
      <c r="E292" s="21">
        <v>0.78600000000000003</v>
      </c>
      <c r="F292" s="24" t="s">
        <v>137</v>
      </c>
      <c r="G292" s="1" t="s">
        <v>789</v>
      </c>
      <c r="H292" s="18" t="s">
        <v>687</v>
      </c>
      <c r="I292" s="16">
        <v>45064</v>
      </c>
    </row>
    <row r="293" spans="1:9">
      <c r="A293" s="15" t="s">
        <v>792</v>
      </c>
      <c r="B293" s="16">
        <v>45102</v>
      </c>
      <c r="C293" s="6" t="s">
        <v>773</v>
      </c>
      <c r="D293" s="1" t="s">
        <v>11</v>
      </c>
      <c r="E293" s="21">
        <f>0.557+2.568</f>
        <v>3.125</v>
      </c>
      <c r="F293" s="24" t="s">
        <v>137</v>
      </c>
      <c r="G293" s="1" t="s">
        <v>793</v>
      </c>
      <c r="H293" s="18" t="s">
        <v>400</v>
      </c>
      <c r="I293" s="16">
        <v>45056</v>
      </c>
    </row>
    <row r="294" spans="1:9">
      <c r="A294" s="15" t="s">
        <v>794</v>
      </c>
      <c r="B294" s="16">
        <v>45102</v>
      </c>
      <c r="C294" s="6" t="s">
        <v>230</v>
      </c>
      <c r="D294" s="1" t="s">
        <v>11</v>
      </c>
      <c r="E294" s="21">
        <v>1.3240000000000001</v>
      </c>
      <c r="F294" s="24" t="s">
        <v>137</v>
      </c>
      <c r="G294" s="1" t="s">
        <v>793</v>
      </c>
      <c r="H294" s="18" t="s">
        <v>359</v>
      </c>
      <c r="I294" s="16">
        <v>45043</v>
      </c>
    </row>
    <row r="295" spans="1:9">
      <c r="A295" s="15" t="s">
        <v>795</v>
      </c>
      <c r="B295" s="16">
        <v>45102</v>
      </c>
      <c r="C295" s="6" t="s">
        <v>209</v>
      </c>
      <c r="D295" s="1" t="s">
        <v>78</v>
      </c>
      <c r="E295" s="22">
        <v>25.53</v>
      </c>
      <c r="F295" s="24" t="s">
        <v>97</v>
      </c>
      <c r="G295" s="1" t="s">
        <v>796</v>
      </c>
      <c r="H295" s="18" t="s">
        <v>704</v>
      </c>
      <c r="I295" s="16">
        <v>45092</v>
      </c>
    </row>
    <row r="296" spans="1:9">
      <c r="A296" s="15" t="s">
        <v>795</v>
      </c>
      <c r="B296" s="16">
        <v>45102</v>
      </c>
      <c r="C296" s="6" t="s">
        <v>208</v>
      </c>
      <c r="D296" s="1" t="s">
        <v>78</v>
      </c>
      <c r="E296" s="22">
        <v>7.0890000000000004</v>
      </c>
      <c r="F296" s="24" t="s">
        <v>97</v>
      </c>
      <c r="G296" s="1" t="s">
        <v>796</v>
      </c>
      <c r="H296" s="18" t="s">
        <v>704</v>
      </c>
      <c r="I296" s="16">
        <v>45092</v>
      </c>
    </row>
    <row r="297" spans="1:9">
      <c r="A297" s="15" t="s">
        <v>797</v>
      </c>
      <c r="B297" s="16">
        <v>45102</v>
      </c>
      <c r="C297" s="6" t="s">
        <v>226</v>
      </c>
      <c r="D297" s="1" t="s">
        <v>11</v>
      </c>
      <c r="E297" s="21">
        <v>1.171</v>
      </c>
      <c r="F297" s="24" t="s">
        <v>16</v>
      </c>
      <c r="G297" s="1" t="s">
        <v>798</v>
      </c>
      <c r="H297" s="18" t="s">
        <v>359</v>
      </c>
      <c r="I297" s="16">
        <v>45043</v>
      </c>
    </row>
    <row r="298" spans="1:9">
      <c r="A298" s="15" t="s">
        <v>799</v>
      </c>
      <c r="B298" s="16">
        <v>45102</v>
      </c>
      <c r="C298" s="6" t="s">
        <v>773</v>
      </c>
      <c r="D298" s="1" t="s">
        <v>11</v>
      </c>
      <c r="E298" s="21">
        <v>17.073</v>
      </c>
      <c r="F298" s="24" t="s">
        <v>16</v>
      </c>
      <c r="G298" s="1" t="s">
        <v>800</v>
      </c>
      <c r="H298" s="18" t="s">
        <v>622</v>
      </c>
      <c r="I298" s="16">
        <v>45082</v>
      </c>
    </row>
    <row r="299" spans="1:9">
      <c r="A299" s="15" t="s">
        <v>799</v>
      </c>
      <c r="B299" s="16">
        <v>45102</v>
      </c>
      <c r="C299" s="6" t="s">
        <v>365</v>
      </c>
      <c r="D299" s="1" t="s">
        <v>11</v>
      </c>
      <c r="E299" s="21">
        <f>4.116+0.608</f>
        <v>4.7239999999999993</v>
      </c>
      <c r="F299" s="24" t="s">
        <v>16</v>
      </c>
      <c r="G299" s="1" t="s">
        <v>800</v>
      </c>
      <c r="H299" s="18" t="s">
        <v>622</v>
      </c>
      <c r="I299" s="16">
        <v>45082</v>
      </c>
    </row>
    <row r="300" spans="1:9">
      <c r="A300" s="15" t="s">
        <v>801</v>
      </c>
      <c r="B300" s="16">
        <v>45102</v>
      </c>
      <c r="C300" s="6" t="s">
        <v>365</v>
      </c>
      <c r="D300" s="1" t="s">
        <v>11</v>
      </c>
      <c r="E300" s="21">
        <v>1.214</v>
      </c>
      <c r="F300" s="24" t="s">
        <v>16</v>
      </c>
      <c r="G300" s="1" t="s">
        <v>802</v>
      </c>
      <c r="H300" s="18" t="s">
        <v>466</v>
      </c>
      <c r="I300" s="16">
        <v>45056</v>
      </c>
    </row>
    <row r="301" spans="1:9">
      <c r="A301" s="1"/>
      <c r="B301" s="16"/>
      <c r="C301" s="6"/>
      <c r="D301" s="1"/>
      <c r="E301" s="41">
        <f>SUM(E282:E300)</f>
        <v>110.955</v>
      </c>
      <c r="F301" s="24"/>
      <c r="G301" s="1"/>
      <c r="H301" s="1"/>
      <c r="I301" s="3"/>
    </row>
    <row r="302" spans="1:9">
      <c r="A302" s="15" t="s">
        <v>803</v>
      </c>
      <c r="B302" s="16">
        <v>45103</v>
      </c>
      <c r="C302" s="6" t="s">
        <v>208</v>
      </c>
      <c r="D302" s="1" t="s">
        <v>78</v>
      </c>
      <c r="E302" s="21">
        <v>16.344999999999999</v>
      </c>
      <c r="F302" s="24" t="s">
        <v>97</v>
      </c>
      <c r="G302" s="1" t="s">
        <v>804</v>
      </c>
      <c r="H302" s="18" t="s">
        <v>704</v>
      </c>
      <c r="I302" s="16">
        <v>45092</v>
      </c>
    </row>
    <row r="303" spans="1:9">
      <c r="A303" s="15" t="s">
        <v>803</v>
      </c>
      <c r="B303" s="16">
        <v>45103</v>
      </c>
      <c r="C303" s="6" t="s">
        <v>231</v>
      </c>
      <c r="D303" s="1" t="s">
        <v>78</v>
      </c>
      <c r="E303" s="21">
        <v>9.6920000000000002</v>
      </c>
      <c r="F303" s="24" t="s">
        <v>97</v>
      </c>
      <c r="G303" s="1" t="s">
        <v>804</v>
      </c>
      <c r="H303" s="18" t="s">
        <v>704</v>
      </c>
      <c r="I303" s="16">
        <v>45092</v>
      </c>
    </row>
    <row r="304" spans="1:9">
      <c r="A304" s="15" t="s">
        <v>805</v>
      </c>
      <c r="B304" s="16">
        <v>45103</v>
      </c>
      <c r="C304" s="6" t="s">
        <v>208</v>
      </c>
      <c r="D304" s="1" t="s">
        <v>78</v>
      </c>
      <c r="E304" s="21">
        <f>1.59+4.923</f>
        <v>6.5129999999999999</v>
      </c>
      <c r="F304" s="24" t="s">
        <v>97</v>
      </c>
      <c r="G304" s="1" t="s">
        <v>806</v>
      </c>
      <c r="H304" s="18" t="s">
        <v>787</v>
      </c>
      <c r="I304" s="16">
        <v>45092</v>
      </c>
    </row>
    <row r="305" spans="1:9">
      <c r="A305" s="15" t="s">
        <v>807</v>
      </c>
      <c r="B305" s="16">
        <v>45103</v>
      </c>
      <c r="C305" s="6" t="s">
        <v>208</v>
      </c>
      <c r="D305" s="1" t="s">
        <v>78</v>
      </c>
      <c r="E305" s="21">
        <v>15.317</v>
      </c>
      <c r="F305" s="24" t="s">
        <v>116</v>
      </c>
      <c r="G305" s="1" t="s">
        <v>808</v>
      </c>
      <c r="H305" s="18" t="s">
        <v>704</v>
      </c>
      <c r="I305" s="16">
        <v>45092</v>
      </c>
    </row>
    <row r="306" spans="1:9">
      <c r="A306" s="15" t="s">
        <v>807</v>
      </c>
      <c r="B306" s="16">
        <v>45103</v>
      </c>
      <c r="C306" s="6" t="s">
        <v>301</v>
      </c>
      <c r="D306" s="1" t="s">
        <v>78</v>
      </c>
      <c r="E306" s="21">
        <v>0.20100000000000001</v>
      </c>
      <c r="F306" s="24" t="s">
        <v>116</v>
      </c>
      <c r="G306" s="1" t="s">
        <v>808</v>
      </c>
      <c r="H306" s="18" t="s">
        <v>704</v>
      </c>
      <c r="I306" s="16">
        <v>45092</v>
      </c>
    </row>
    <row r="307" spans="1:9">
      <c r="A307" s="15" t="s">
        <v>807</v>
      </c>
      <c r="B307" s="16">
        <v>45103</v>
      </c>
      <c r="C307" s="6" t="s">
        <v>664</v>
      </c>
      <c r="D307" s="1" t="s">
        <v>78</v>
      </c>
      <c r="E307" s="21">
        <v>5.9630000000000001</v>
      </c>
      <c r="F307" s="24" t="s">
        <v>116</v>
      </c>
      <c r="G307" s="1" t="s">
        <v>808</v>
      </c>
      <c r="H307" s="18" t="s">
        <v>704</v>
      </c>
      <c r="I307" s="16">
        <v>45092</v>
      </c>
    </row>
    <row r="308" spans="1:9">
      <c r="A308" s="15" t="s">
        <v>807</v>
      </c>
      <c r="B308" s="16">
        <v>45103</v>
      </c>
      <c r="C308" s="6" t="s">
        <v>699</v>
      </c>
      <c r="D308" s="1" t="s">
        <v>78</v>
      </c>
      <c r="E308" s="21">
        <v>1.4330000000000001</v>
      </c>
      <c r="F308" s="24" t="s">
        <v>116</v>
      </c>
      <c r="G308" s="1" t="s">
        <v>808</v>
      </c>
      <c r="H308" s="18" t="s">
        <v>704</v>
      </c>
      <c r="I308" s="16">
        <v>45092</v>
      </c>
    </row>
    <row r="309" spans="1:9">
      <c r="A309" s="15" t="s">
        <v>807</v>
      </c>
      <c r="B309" s="16">
        <v>45103</v>
      </c>
      <c r="C309" s="6" t="s">
        <v>224</v>
      </c>
      <c r="D309" s="1" t="s">
        <v>78</v>
      </c>
      <c r="E309" s="21">
        <f>1.272+1.794</f>
        <v>3.0659999999999998</v>
      </c>
      <c r="F309" s="24" t="s">
        <v>116</v>
      </c>
      <c r="G309" s="1" t="s">
        <v>808</v>
      </c>
      <c r="H309" s="18" t="s">
        <v>704</v>
      </c>
      <c r="I309" s="16">
        <v>45092</v>
      </c>
    </row>
    <row r="310" spans="1:9">
      <c r="A310" s="15" t="s">
        <v>807</v>
      </c>
      <c r="B310" s="16">
        <v>45103</v>
      </c>
      <c r="C310" s="6" t="s">
        <v>344</v>
      </c>
      <c r="D310" s="1" t="s">
        <v>78</v>
      </c>
      <c r="E310" s="32">
        <v>0.86199999999999999</v>
      </c>
      <c r="F310" s="24" t="s">
        <v>116</v>
      </c>
      <c r="G310" s="1" t="s">
        <v>808</v>
      </c>
      <c r="H310" s="18" t="s">
        <v>704</v>
      </c>
      <c r="I310" s="16">
        <v>45092</v>
      </c>
    </row>
    <row r="311" spans="1:9">
      <c r="A311" s="15" t="s">
        <v>809</v>
      </c>
      <c r="B311" s="16">
        <v>45103</v>
      </c>
      <c r="C311" s="6" t="s">
        <v>664</v>
      </c>
      <c r="D311" s="1" t="s">
        <v>78</v>
      </c>
      <c r="E311" s="32">
        <v>1.756</v>
      </c>
      <c r="F311" s="24" t="s">
        <v>116</v>
      </c>
      <c r="G311" s="1" t="s">
        <v>810</v>
      </c>
      <c r="H311" s="18" t="s">
        <v>787</v>
      </c>
      <c r="I311" s="16">
        <v>45092</v>
      </c>
    </row>
    <row r="312" spans="1:9">
      <c r="A312" s="15" t="s">
        <v>809</v>
      </c>
      <c r="B312" s="16">
        <v>45103</v>
      </c>
      <c r="C312" s="6" t="s">
        <v>768</v>
      </c>
      <c r="D312" s="1" t="s">
        <v>78</v>
      </c>
      <c r="E312" s="32">
        <v>0.20399999999999999</v>
      </c>
      <c r="F312" s="24" t="s">
        <v>116</v>
      </c>
      <c r="G312" s="1" t="s">
        <v>810</v>
      </c>
      <c r="H312" s="18" t="s">
        <v>787</v>
      </c>
      <c r="I312" s="16">
        <v>45092</v>
      </c>
    </row>
    <row r="313" spans="1:9">
      <c r="A313" s="15" t="s">
        <v>809</v>
      </c>
      <c r="B313" s="16">
        <v>45103</v>
      </c>
      <c r="C313" s="6" t="s">
        <v>344</v>
      </c>
      <c r="D313" s="1" t="s">
        <v>78</v>
      </c>
      <c r="E313" s="32">
        <v>0.45300000000000001</v>
      </c>
      <c r="F313" s="24" t="s">
        <v>116</v>
      </c>
      <c r="G313" s="1" t="s">
        <v>810</v>
      </c>
      <c r="H313" s="18" t="s">
        <v>787</v>
      </c>
      <c r="I313" s="16">
        <v>45092</v>
      </c>
    </row>
    <row r="314" spans="1:9">
      <c r="A314" s="15" t="s">
        <v>809</v>
      </c>
      <c r="B314" s="16">
        <v>45103</v>
      </c>
      <c r="C314" s="6" t="s">
        <v>208</v>
      </c>
      <c r="D314" s="1" t="s">
        <v>78</v>
      </c>
      <c r="E314" s="32">
        <v>2.673</v>
      </c>
      <c r="F314" s="24" t="s">
        <v>116</v>
      </c>
      <c r="G314" s="1" t="s">
        <v>810</v>
      </c>
      <c r="H314" s="18" t="s">
        <v>787</v>
      </c>
      <c r="I314" s="16">
        <v>45092</v>
      </c>
    </row>
    <row r="315" spans="1:9">
      <c r="A315" s="15" t="s">
        <v>811</v>
      </c>
      <c r="B315" s="16">
        <v>45103</v>
      </c>
      <c r="C315" s="6" t="s">
        <v>225</v>
      </c>
      <c r="D315" s="1" t="s">
        <v>11</v>
      </c>
      <c r="E315" s="48">
        <v>8.4860000000000007</v>
      </c>
      <c r="F315" s="24" t="s">
        <v>676</v>
      </c>
      <c r="G315" s="1" t="s">
        <v>812</v>
      </c>
      <c r="H315" s="18" t="s">
        <v>687</v>
      </c>
      <c r="I315" s="16">
        <v>45064</v>
      </c>
    </row>
    <row r="316" spans="1:9">
      <c r="A316" s="15" t="s">
        <v>813</v>
      </c>
      <c r="B316" s="16">
        <v>45103</v>
      </c>
      <c r="C316" s="6" t="s">
        <v>282</v>
      </c>
      <c r="D316" s="1" t="s">
        <v>11</v>
      </c>
      <c r="E316" s="32">
        <v>4.3520000000000003</v>
      </c>
      <c r="F316" s="24" t="s">
        <v>676</v>
      </c>
      <c r="G316" s="1" t="s">
        <v>812</v>
      </c>
      <c r="H316" s="18" t="s">
        <v>622</v>
      </c>
      <c r="I316" s="16">
        <v>45082</v>
      </c>
    </row>
    <row r="317" spans="1:9">
      <c r="A317" s="15" t="s">
        <v>814</v>
      </c>
      <c r="B317" s="16">
        <v>45103</v>
      </c>
      <c r="C317" s="6" t="s">
        <v>282</v>
      </c>
      <c r="D317" s="1" t="s">
        <v>11</v>
      </c>
      <c r="E317" s="32">
        <f>8.529+4.019</f>
        <v>12.548</v>
      </c>
      <c r="F317" s="24" t="s">
        <v>676</v>
      </c>
      <c r="G317" s="1" t="s">
        <v>815</v>
      </c>
      <c r="H317" s="18" t="s">
        <v>466</v>
      </c>
      <c r="I317" s="16">
        <v>45056</v>
      </c>
    </row>
    <row r="318" spans="1:9">
      <c r="A318" s="1"/>
      <c r="B318" s="16"/>
      <c r="C318" s="6"/>
      <c r="D318" s="1"/>
      <c r="E318" s="53">
        <f>SUM(E302:E317)</f>
        <v>89.864000000000019</v>
      </c>
      <c r="F318" s="24"/>
      <c r="G318" s="1"/>
      <c r="H318" s="1"/>
      <c r="I318" s="3"/>
    </row>
    <row r="319" spans="1:9">
      <c r="A319" s="15" t="s">
        <v>816</v>
      </c>
      <c r="B319" s="16">
        <v>45104</v>
      </c>
      <c r="C319" s="6" t="s">
        <v>209</v>
      </c>
      <c r="D319" s="1" t="s">
        <v>78</v>
      </c>
      <c r="E319" s="21">
        <v>31.896000000000001</v>
      </c>
      <c r="F319" s="24" t="s">
        <v>116</v>
      </c>
      <c r="G319" s="1" t="s">
        <v>817</v>
      </c>
      <c r="H319" s="18" t="s">
        <v>704</v>
      </c>
      <c r="I319" s="16">
        <v>45092</v>
      </c>
    </row>
    <row r="320" spans="1:9">
      <c r="A320" s="15" t="s">
        <v>818</v>
      </c>
      <c r="B320" s="16">
        <v>45104</v>
      </c>
      <c r="C320" s="6" t="s">
        <v>225</v>
      </c>
      <c r="D320" s="1" t="s">
        <v>11</v>
      </c>
      <c r="E320" s="21">
        <v>3.802</v>
      </c>
      <c r="F320" s="24" t="s">
        <v>386</v>
      </c>
      <c r="G320" s="1" t="s">
        <v>819</v>
      </c>
      <c r="H320" s="18" t="s">
        <v>687</v>
      </c>
      <c r="I320" s="16">
        <v>45064</v>
      </c>
    </row>
    <row r="321" spans="1:9">
      <c r="A321" s="15" t="s">
        <v>820</v>
      </c>
      <c r="B321" s="16">
        <v>45104</v>
      </c>
      <c r="C321" s="6" t="s">
        <v>225</v>
      </c>
      <c r="D321" s="1" t="s">
        <v>11</v>
      </c>
      <c r="E321" s="21">
        <v>4.1980000000000004</v>
      </c>
      <c r="F321" s="24" t="s">
        <v>386</v>
      </c>
      <c r="G321" s="1" t="s">
        <v>819</v>
      </c>
      <c r="H321" s="18" t="s">
        <v>622</v>
      </c>
      <c r="I321" s="16">
        <v>45082</v>
      </c>
    </row>
    <row r="322" spans="1:9">
      <c r="A322" s="15" t="s">
        <v>820</v>
      </c>
      <c r="B322" s="16">
        <v>45104</v>
      </c>
      <c r="C322" s="6" t="s">
        <v>365</v>
      </c>
      <c r="D322" s="1" t="s">
        <v>11</v>
      </c>
      <c r="E322" s="21">
        <v>5.5110000000000001</v>
      </c>
      <c r="F322" s="24" t="s">
        <v>386</v>
      </c>
      <c r="G322" s="1" t="s">
        <v>819</v>
      </c>
      <c r="H322" s="18" t="s">
        <v>622</v>
      </c>
      <c r="I322" s="16">
        <v>45082</v>
      </c>
    </row>
    <row r="323" spans="1:9">
      <c r="A323" s="15" t="s">
        <v>820</v>
      </c>
      <c r="B323" s="16">
        <v>45104</v>
      </c>
      <c r="C323" s="6" t="s">
        <v>773</v>
      </c>
      <c r="D323" s="1" t="s">
        <v>11</v>
      </c>
      <c r="E323" s="21">
        <v>5.8</v>
      </c>
      <c r="F323" s="24" t="s">
        <v>386</v>
      </c>
      <c r="G323" s="1" t="s">
        <v>819</v>
      </c>
      <c r="H323" s="18" t="s">
        <v>622</v>
      </c>
      <c r="I323" s="16">
        <v>45082</v>
      </c>
    </row>
    <row r="324" spans="1:9">
      <c r="A324" s="15" t="s">
        <v>821</v>
      </c>
      <c r="B324" s="16">
        <v>45104</v>
      </c>
      <c r="C324" s="6" t="s">
        <v>773</v>
      </c>
      <c r="D324" s="1" t="s">
        <v>11</v>
      </c>
      <c r="E324" s="21">
        <f>2.853+1.832</f>
        <v>4.6850000000000005</v>
      </c>
      <c r="F324" s="24" t="s">
        <v>386</v>
      </c>
      <c r="G324" s="1" t="s">
        <v>822</v>
      </c>
      <c r="H324" s="18" t="s">
        <v>400</v>
      </c>
      <c r="I324" s="16">
        <v>45056</v>
      </c>
    </row>
    <row r="325" spans="1:9">
      <c r="A325" s="15" t="s">
        <v>821</v>
      </c>
      <c r="B325" s="16">
        <v>45104</v>
      </c>
      <c r="C325" s="6" t="s">
        <v>619</v>
      </c>
      <c r="D325" s="1" t="s">
        <v>11</v>
      </c>
      <c r="E325" s="21">
        <v>1.0209999999999999</v>
      </c>
      <c r="F325" s="24" t="s">
        <v>386</v>
      </c>
      <c r="G325" s="1" t="s">
        <v>822</v>
      </c>
      <c r="H325" s="18" t="s">
        <v>400</v>
      </c>
      <c r="I325" s="16">
        <v>45056</v>
      </c>
    </row>
    <row r="326" spans="1:9">
      <c r="A326" s="15" t="s">
        <v>823</v>
      </c>
      <c r="B326" s="16">
        <v>45104</v>
      </c>
      <c r="C326" s="6" t="s">
        <v>196</v>
      </c>
      <c r="D326" s="1" t="s">
        <v>11</v>
      </c>
      <c r="E326" s="21">
        <v>0.317</v>
      </c>
      <c r="F326" s="24" t="s">
        <v>386</v>
      </c>
      <c r="G326" s="1" t="s">
        <v>824</v>
      </c>
      <c r="H326" s="18" t="s">
        <v>359</v>
      </c>
      <c r="I326" s="16">
        <v>45043</v>
      </c>
    </row>
    <row r="327" spans="1:9">
      <c r="A327" s="15" t="s">
        <v>825</v>
      </c>
      <c r="B327" s="16">
        <v>45104</v>
      </c>
      <c r="C327" s="6" t="s">
        <v>209</v>
      </c>
      <c r="D327" s="1" t="s">
        <v>78</v>
      </c>
      <c r="E327" s="21">
        <v>4.8164999999999996</v>
      </c>
      <c r="F327" s="24" t="s">
        <v>294</v>
      </c>
      <c r="G327" s="1" t="s">
        <v>826</v>
      </c>
      <c r="H327" s="18" t="s">
        <v>704</v>
      </c>
      <c r="I327" s="16">
        <v>45092</v>
      </c>
    </row>
    <row r="328" spans="1:9">
      <c r="A328" s="15" t="s">
        <v>825</v>
      </c>
      <c r="B328" s="16">
        <v>45104</v>
      </c>
      <c r="C328" s="6" t="s">
        <v>231</v>
      </c>
      <c r="D328" s="1" t="s">
        <v>78</v>
      </c>
      <c r="E328" s="21">
        <v>14.378300000000003</v>
      </c>
      <c r="F328" s="24" t="s">
        <v>294</v>
      </c>
      <c r="G328" s="1" t="s">
        <v>826</v>
      </c>
      <c r="H328" s="18" t="s">
        <v>704</v>
      </c>
      <c r="I328" s="16">
        <v>45092</v>
      </c>
    </row>
    <row r="329" spans="1:9">
      <c r="A329" s="15" t="s">
        <v>825</v>
      </c>
      <c r="B329" s="16">
        <v>45104</v>
      </c>
      <c r="C329" s="6" t="s">
        <v>208</v>
      </c>
      <c r="D329" s="1" t="s">
        <v>78</v>
      </c>
      <c r="E329" s="21">
        <v>11.044280000000001</v>
      </c>
      <c r="F329" s="24" t="s">
        <v>294</v>
      </c>
      <c r="G329" s="1" t="s">
        <v>826</v>
      </c>
      <c r="H329" s="18" t="s">
        <v>704</v>
      </c>
      <c r="I329" s="16">
        <v>45092</v>
      </c>
    </row>
    <row r="330" spans="1:9">
      <c r="A330" s="15" t="s">
        <v>825</v>
      </c>
      <c r="B330" s="16">
        <v>45104</v>
      </c>
      <c r="C330" s="6" t="s">
        <v>225</v>
      </c>
      <c r="D330" s="1" t="s">
        <v>78</v>
      </c>
      <c r="E330" s="21">
        <v>1.663</v>
      </c>
      <c r="F330" s="24" t="s">
        <v>294</v>
      </c>
      <c r="G330" s="1" t="s">
        <v>826</v>
      </c>
      <c r="H330" s="18" t="s">
        <v>704</v>
      </c>
      <c r="I330" s="16">
        <v>45092</v>
      </c>
    </row>
    <row r="331" spans="1:9">
      <c r="A331" s="1"/>
      <c r="B331" s="16"/>
      <c r="C331" s="6"/>
      <c r="D331" s="1"/>
      <c r="E331" s="41">
        <f>SUM(E319:E330)</f>
        <v>89.132080000000002</v>
      </c>
      <c r="F331" s="24"/>
      <c r="G331" s="1"/>
      <c r="H331" s="1"/>
      <c r="I331" s="3"/>
    </row>
    <row r="332" spans="1:9">
      <c r="A332" s="15" t="s">
        <v>827</v>
      </c>
      <c r="B332" s="16">
        <v>45105</v>
      </c>
      <c r="C332" s="6" t="s">
        <v>345</v>
      </c>
      <c r="D332" s="1" t="s">
        <v>78</v>
      </c>
      <c r="E332" s="21">
        <v>22.094000000000001</v>
      </c>
      <c r="F332" s="24" t="s">
        <v>116</v>
      </c>
      <c r="G332" s="1" t="s">
        <v>828</v>
      </c>
      <c r="H332" s="18" t="s">
        <v>704</v>
      </c>
      <c r="I332" s="16">
        <v>45092</v>
      </c>
    </row>
    <row r="333" spans="1:9">
      <c r="A333" s="15" t="s">
        <v>827</v>
      </c>
      <c r="B333" s="16">
        <v>45105</v>
      </c>
      <c r="C333" s="6" t="s">
        <v>263</v>
      </c>
      <c r="D333" s="1" t="s">
        <v>78</v>
      </c>
      <c r="E333" s="21">
        <f>7.282+1.021</f>
        <v>8.3030000000000008</v>
      </c>
      <c r="F333" s="24" t="s">
        <v>116</v>
      </c>
      <c r="G333" s="1" t="s">
        <v>828</v>
      </c>
      <c r="H333" s="18" t="s">
        <v>704</v>
      </c>
      <c r="I333" s="16">
        <v>45092</v>
      </c>
    </row>
    <row r="334" spans="1:9">
      <c r="A334" s="15" t="s">
        <v>829</v>
      </c>
      <c r="B334" s="16">
        <v>45105</v>
      </c>
      <c r="C334" s="6" t="s">
        <v>345</v>
      </c>
      <c r="D334" s="1" t="s">
        <v>78</v>
      </c>
      <c r="E334" s="21">
        <v>1.6379999999999999</v>
      </c>
      <c r="F334" s="24" t="s">
        <v>116</v>
      </c>
      <c r="G334" s="1" t="s">
        <v>830</v>
      </c>
      <c r="H334" s="18" t="s">
        <v>787</v>
      </c>
      <c r="I334" s="16">
        <v>45092</v>
      </c>
    </row>
    <row r="335" spans="1:9">
      <c r="A335" s="15" t="s">
        <v>831</v>
      </c>
      <c r="B335" s="16">
        <v>45105</v>
      </c>
      <c r="C335" s="6" t="s">
        <v>208</v>
      </c>
      <c r="D335" s="1" t="s">
        <v>11</v>
      </c>
      <c r="E335" s="21">
        <f>20.689+3.05</f>
        <v>23.739000000000001</v>
      </c>
      <c r="F335" s="24" t="s">
        <v>685</v>
      </c>
      <c r="G335" s="1" t="s">
        <v>832</v>
      </c>
      <c r="H335" s="18" t="s">
        <v>730</v>
      </c>
      <c r="I335" s="16">
        <v>45092</v>
      </c>
    </row>
    <row r="336" spans="1:9">
      <c r="A336" s="15" t="s">
        <v>833</v>
      </c>
      <c r="B336" s="16">
        <v>45105</v>
      </c>
      <c r="C336" s="6" t="s">
        <v>286</v>
      </c>
      <c r="D336" s="1" t="s">
        <v>11</v>
      </c>
      <c r="E336" s="21">
        <v>1.208</v>
      </c>
      <c r="F336" s="24" t="s">
        <v>685</v>
      </c>
      <c r="G336" s="1" t="s">
        <v>834</v>
      </c>
      <c r="H336" s="18" t="s">
        <v>359</v>
      </c>
      <c r="I336" s="16">
        <v>45043</v>
      </c>
    </row>
    <row r="337" spans="1:9">
      <c r="A337" s="15" t="s">
        <v>835</v>
      </c>
      <c r="B337" s="16">
        <v>45105</v>
      </c>
      <c r="C337" s="6" t="s">
        <v>208</v>
      </c>
      <c r="D337" s="1" t="s">
        <v>11</v>
      </c>
      <c r="E337" s="21">
        <v>2.673</v>
      </c>
      <c r="F337" s="24" t="s">
        <v>836</v>
      </c>
      <c r="G337" s="1" t="s">
        <v>837</v>
      </c>
      <c r="H337" s="18" t="s">
        <v>730</v>
      </c>
      <c r="I337" s="16">
        <v>45092</v>
      </c>
    </row>
    <row r="338" spans="1:9">
      <c r="A338" s="15" t="s">
        <v>838</v>
      </c>
      <c r="B338" s="16">
        <v>45105</v>
      </c>
      <c r="C338" s="6" t="s">
        <v>365</v>
      </c>
      <c r="D338" s="1" t="s">
        <v>11</v>
      </c>
      <c r="E338" s="21">
        <v>7.9240000000000004</v>
      </c>
      <c r="F338" s="24" t="s">
        <v>836</v>
      </c>
      <c r="G338" s="1" t="s">
        <v>837</v>
      </c>
      <c r="H338" s="18" t="s">
        <v>622</v>
      </c>
      <c r="I338" s="16">
        <v>45082</v>
      </c>
    </row>
    <row r="339" spans="1:9">
      <c r="A339" s="15" t="s">
        <v>838</v>
      </c>
      <c r="B339" s="16">
        <v>45105</v>
      </c>
      <c r="C339" s="6" t="s">
        <v>773</v>
      </c>
      <c r="D339" s="1" t="s">
        <v>11</v>
      </c>
      <c r="E339" s="21">
        <v>4.1390000000000002</v>
      </c>
      <c r="F339" s="24" t="s">
        <v>836</v>
      </c>
      <c r="G339" s="1" t="s">
        <v>837</v>
      </c>
      <c r="H339" s="18" t="s">
        <v>622</v>
      </c>
      <c r="I339" s="16">
        <v>45082</v>
      </c>
    </row>
    <row r="340" spans="1:9">
      <c r="A340" s="15" t="s">
        <v>839</v>
      </c>
      <c r="B340" s="16">
        <v>45105</v>
      </c>
      <c r="C340" s="6" t="s">
        <v>225</v>
      </c>
      <c r="D340" s="1" t="s">
        <v>11</v>
      </c>
      <c r="E340" s="21">
        <v>2.129</v>
      </c>
      <c r="F340" s="24" t="s">
        <v>836</v>
      </c>
      <c r="G340" s="1" t="s">
        <v>837</v>
      </c>
      <c r="H340" s="18" t="s">
        <v>400</v>
      </c>
      <c r="I340" s="16">
        <v>45056</v>
      </c>
    </row>
    <row r="341" spans="1:9">
      <c r="A341" s="15" t="s">
        <v>839</v>
      </c>
      <c r="B341" s="16">
        <v>45105</v>
      </c>
      <c r="C341" s="6" t="s">
        <v>773</v>
      </c>
      <c r="D341" s="1" t="s">
        <v>11</v>
      </c>
      <c r="E341" s="21">
        <v>7.032</v>
      </c>
      <c r="F341" s="24" t="s">
        <v>836</v>
      </c>
      <c r="G341" s="1" t="s">
        <v>837</v>
      </c>
      <c r="H341" s="18" t="s">
        <v>400</v>
      </c>
      <c r="I341" s="16">
        <v>45056</v>
      </c>
    </row>
    <row r="342" spans="1:9">
      <c r="A342" s="15" t="s">
        <v>839</v>
      </c>
      <c r="B342" s="16">
        <v>45105</v>
      </c>
      <c r="C342" s="6" t="s">
        <v>773</v>
      </c>
      <c r="D342" s="1" t="s">
        <v>11</v>
      </c>
      <c r="E342" s="21">
        <v>1.171</v>
      </c>
      <c r="F342" s="24" t="s">
        <v>836</v>
      </c>
      <c r="G342" s="1" t="s">
        <v>837</v>
      </c>
      <c r="H342" s="18" t="s">
        <v>400</v>
      </c>
      <c r="I342" s="16">
        <v>45056</v>
      </c>
    </row>
    <row r="343" spans="1:9">
      <c r="A343" s="15" t="s">
        <v>840</v>
      </c>
      <c r="B343" s="16">
        <v>45105</v>
      </c>
      <c r="C343" s="6" t="s">
        <v>255</v>
      </c>
      <c r="D343" s="1" t="s">
        <v>78</v>
      </c>
      <c r="E343" s="21">
        <f>0.151+29.356</f>
        <v>29.507000000000001</v>
      </c>
      <c r="F343" s="24" t="s">
        <v>294</v>
      </c>
      <c r="G343" s="1" t="s">
        <v>841</v>
      </c>
      <c r="H343" s="18" t="s">
        <v>704</v>
      </c>
      <c r="I343" s="16">
        <v>45092</v>
      </c>
    </row>
    <row r="344" spans="1:9">
      <c r="A344" s="15" t="s">
        <v>842</v>
      </c>
      <c r="B344" s="16">
        <v>45105</v>
      </c>
      <c r="C344" s="6" t="s">
        <v>255</v>
      </c>
      <c r="D344" s="1" t="s">
        <v>78</v>
      </c>
      <c r="E344" s="21">
        <f>2.68+0.121</f>
        <v>2.8010000000000002</v>
      </c>
      <c r="F344" s="24" t="s">
        <v>294</v>
      </c>
      <c r="G344" s="1" t="s">
        <v>843</v>
      </c>
      <c r="H344" s="18" t="s">
        <v>787</v>
      </c>
      <c r="I344" s="16">
        <v>45092</v>
      </c>
    </row>
    <row r="345" spans="1:9">
      <c r="A345" s="15"/>
      <c r="B345" s="16"/>
      <c r="C345" s="6"/>
      <c r="D345" s="1"/>
      <c r="E345" s="41">
        <f>SUM(E332:E344)</f>
        <v>114.35800000000002</v>
      </c>
      <c r="F345" s="24"/>
      <c r="G345" s="1"/>
      <c r="H345" s="1"/>
      <c r="I345" s="3"/>
    </row>
    <row r="346" spans="1:9">
      <c r="A346" s="15" t="s">
        <v>844</v>
      </c>
      <c r="B346" s="16">
        <v>45106</v>
      </c>
      <c r="C346" s="6" t="s">
        <v>200</v>
      </c>
      <c r="D346" s="1" t="s">
        <v>78</v>
      </c>
      <c r="E346" s="56">
        <v>23.683</v>
      </c>
      <c r="F346" s="24" t="s">
        <v>116</v>
      </c>
      <c r="G346" s="1" t="s">
        <v>845</v>
      </c>
      <c r="H346" s="18" t="s">
        <v>704</v>
      </c>
      <c r="I346" s="16">
        <v>45092</v>
      </c>
    </row>
    <row r="347" spans="1:9">
      <c r="A347" s="15" t="s">
        <v>844</v>
      </c>
      <c r="B347" s="16">
        <v>45106</v>
      </c>
      <c r="C347" s="6" t="s">
        <v>230</v>
      </c>
      <c r="D347" s="1" t="s">
        <v>78</v>
      </c>
      <c r="E347" s="56">
        <v>2.399</v>
      </c>
      <c r="F347" s="24" t="s">
        <v>116</v>
      </c>
      <c r="G347" s="1" t="s">
        <v>845</v>
      </c>
      <c r="H347" s="18" t="s">
        <v>704</v>
      </c>
      <c r="I347" s="16">
        <v>45092</v>
      </c>
    </row>
    <row r="348" spans="1:9">
      <c r="A348" s="15" t="s">
        <v>844</v>
      </c>
      <c r="B348" s="16">
        <v>45106</v>
      </c>
      <c r="C348" s="6" t="s">
        <v>255</v>
      </c>
      <c r="D348" s="1" t="s">
        <v>78</v>
      </c>
      <c r="E348" s="56">
        <f>0.669+5.544</f>
        <v>6.2129999999999992</v>
      </c>
      <c r="F348" s="24" t="s">
        <v>116</v>
      </c>
      <c r="G348" s="1" t="s">
        <v>845</v>
      </c>
      <c r="H348" s="18" t="s">
        <v>704</v>
      </c>
      <c r="I348" s="16">
        <v>45092</v>
      </c>
    </row>
    <row r="349" spans="1:9">
      <c r="A349" s="15"/>
      <c r="B349" s="16"/>
      <c r="C349" s="6"/>
      <c r="D349" s="1"/>
      <c r="E349" s="41">
        <f>SUM(E346:E348)</f>
        <v>32.295000000000002</v>
      </c>
      <c r="F349" s="24"/>
      <c r="G349" s="1"/>
      <c r="H349" s="1"/>
      <c r="I349" s="3"/>
    </row>
    <row r="350" spans="1:9">
      <c r="A350" s="15"/>
      <c r="B350" s="16"/>
      <c r="C350" s="6"/>
      <c r="D350" s="1"/>
      <c r="E350" s="41"/>
      <c r="F350" s="24"/>
      <c r="G350" s="1"/>
      <c r="H350" s="1"/>
      <c r="I350" s="3"/>
    </row>
    <row r="351" spans="1:9">
      <c r="A351" s="15"/>
      <c r="B351" s="16"/>
      <c r="C351" s="6"/>
      <c r="D351" s="1"/>
      <c r="E351" s="2"/>
      <c r="F351" s="24"/>
      <c r="G351" s="1"/>
      <c r="H351" s="1"/>
      <c r="I351" s="3"/>
    </row>
    <row r="352" spans="1:9">
      <c r="A352" s="1"/>
      <c r="B352" s="16"/>
      <c r="C352" s="1"/>
      <c r="D352" s="2" t="s">
        <v>462</v>
      </c>
      <c r="E352" s="20">
        <f>SUM(E15:E351)/2</f>
        <v>2038.71408</v>
      </c>
      <c r="F352" s="24"/>
      <c r="G352" s="1"/>
      <c r="H352" s="1"/>
      <c r="I352" s="3"/>
    </row>
    <row r="353" spans="1:11">
      <c r="A353" s="1"/>
      <c r="B353" s="16"/>
      <c r="C353" s="1"/>
      <c r="D353" s="1"/>
      <c r="E353" s="54"/>
      <c r="F353" s="24"/>
      <c r="G353" s="1"/>
      <c r="H353" s="1"/>
      <c r="I353" s="3"/>
    </row>
    <row r="354" spans="1:11">
      <c r="A354" s="1"/>
      <c r="B354" s="3"/>
      <c r="C354" s="1"/>
      <c r="D354" s="2" t="s">
        <v>461</v>
      </c>
      <c r="E354" s="20">
        <v>32.078000000000003</v>
      </c>
      <c r="F354" s="24"/>
      <c r="G354" s="1"/>
      <c r="H354" s="1"/>
      <c r="I354" s="3"/>
    </row>
    <row r="355" spans="1:11">
      <c r="A355" s="1"/>
      <c r="B355" s="3"/>
      <c r="C355" s="1"/>
      <c r="D355" s="1"/>
      <c r="E355" s="55"/>
      <c r="F355" s="24"/>
      <c r="G355" s="1"/>
      <c r="H355" s="1"/>
      <c r="I355" s="3"/>
    </row>
    <row r="356" spans="1:11">
      <c r="A356" s="1"/>
      <c r="B356" s="3"/>
      <c r="C356" s="1"/>
      <c r="D356" s="2"/>
      <c r="E356" s="20">
        <f>+E354+E352</f>
        <v>2070.7920800000002</v>
      </c>
      <c r="F356" s="24"/>
      <c r="G356" s="1"/>
      <c r="H356" s="1"/>
      <c r="I356" s="3"/>
      <c r="K356">
        <v>5</v>
      </c>
    </row>
    <row r="357" spans="1:11">
      <c r="A357" s="1"/>
      <c r="B357" s="3"/>
      <c r="C357" s="1"/>
      <c r="D357" s="2"/>
      <c r="E357" s="54"/>
      <c r="F357" s="24"/>
      <c r="G357" s="1"/>
      <c r="H357" s="1"/>
      <c r="I357" s="3"/>
    </row>
    <row r="358" spans="1:11">
      <c r="A358" s="1"/>
      <c r="B358" s="3"/>
      <c r="C358" s="1"/>
      <c r="D358" s="1"/>
      <c r="E358" s="2"/>
      <c r="F358" s="24"/>
      <c r="G358" s="1"/>
      <c r="H358" s="1"/>
      <c r="I358" s="3"/>
    </row>
    <row r="359" spans="1:11">
      <c r="A359" s="1"/>
      <c r="B359" s="3"/>
      <c r="C359" s="1"/>
      <c r="D359" s="1"/>
      <c r="E359" s="2"/>
      <c r="F359" s="24"/>
      <c r="G359" s="1"/>
      <c r="H359" s="1"/>
      <c r="I359" s="3"/>
    </row>
    <row r="360" spans="1:11">
      <c r="A360" s="1"/>
      <c r="B360" s="3"/>
      <c r="C360" s="1"/>
      <c r="D360" s="1"/>
      <c r="E360" s="2"/>
      <c r="F360" s="24"/>
      <c r="G360" s="1"/>
      <c r="H360" s="1"/>
      <c r="I360" s="3"/>
    </row>
    <row r="361" spans="1:11">
      <c r="A361" s="1"/>
      <c r="B361" s="3"/>
      <c r="C361" s="1"/>
      <c r="D361" s="1"/>
      <c r="E361" s="2"/>
      <c r="F361" s="24"/>
      <c r="G361" s="1"/>
      <c r="H361" s="1"/>
      <c r="I361" s="3"/>
    </row>
    <row r="362" spans="1:11">
      <c r="A362" s="1"/>
      <c r="B362" s="3"/>
      <c r="C362" s="1"/>
      <c r="D362" s="1"/>
      <c r="E362" s="2"/>
      <c r="F362" s="24"/>
      <c r="G362" s="1"/>
      <c r="H362" s="1"/>
      <c r="I362" s="3"/>
    </row>
    <row r="363" spans="1:11">
      <c r="A363" s="1"/>
      <c r="B363" s="1"/>
      <c r="C363" s="1"/>
      <c r="D363" s="1"/>
      <c r="E363" s="2"/>
      <c r="F363" s="24"/>
      <c r="G363" s="1"/>
      <c r="H363" s="1"/>
      <c r="I363" s="1"/>
    </row>
    <row r="368" spans="1:11" s="31" customFormat="1">
      <c r="A368"/>
      <c r="B368"/>
      <c r="C368"/>
      <c r="D368"/>
      <c r="E368" s="23" t="e">
        <f>+#REF!+#REF!+#REF!</f>
        <v>#REF!</v>
      </c>
      <c r="G368"/>
      <c r="H368"/>
      <c r="I368"/>
      <c r="J368"/>
      <c r="K368"/>
    </row>
    <row r="369" spans="1:11" s="31" customFormat="1">
      <c r="A369"/>
      <c r="B369"/>
      <c r="C369"/>
      <c r="D369"/>
      <c r="E369">
        <f>+'KEC BB DISP. TRADING APRIL'!E47+'KEC BB DISP. TRADING APRIL'!E49</f>
        <v>9.0389999999999979</v>
      </c>
      <c r="G369"/>
      <c r="H369"/>
      <c r="I369"/>
      <c r="J369"/>
      <c r="K36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2"/>
  <sheetViews>
    <sheetView topLeftCell="A10" workbookViewId="0">
      <selection activeCell="F17" sqref="F17"/>
    </sheetView>
  </sheetViews>
  <sheetFormatPr defaultRowHeight="15"/>
  <cols>
    <col min="1" max="1" width="18.28515625" customWidth="1"/>
    <col min="2" max="2" width="10.28515625" bestFit="1" customWidth="1"/>
    <col min="3" max="3" width="22" bestFit="1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15" t="s">
        <v>542</v>
      </c>
      <c r="B2" s="16">
        <v>45085</v>
      </c>
      <c r="C2" s="6" t="s">
        <v>543</v>
      </c>
      <c r="D2" s="1" t="s">
        <v>716</v>
      </c>
      <c r="E2" s="21">
        <v>32.387</v>
      </c>
      <c r="F2" s="24" t="s">
        <v>544</v>
      </c>
      <c r="G2" s="1" t="s">
        <v>545</v>
      </c>
      <c r="H2" s="18" t="s">
        <v>546</v>
      </c>
      <c r="I2" s="16">
        <v>45064</v>
      </c>
    </row>
    <row r="3" spans="1:9">
      <c r="A3" s="15" t="s">
        <v>547</v>
      </c>
      <c r="B3" s="16">
        <v>45085</v>
      </c>
      <c r="C3" s="6" t="s">
        <v>543</v>
      </c>
      <c r="D3" s="1" t="s">
        <v>716</v>
      </c>
      <c r="E3" s="21">
        <v>32.768000000000001</v>
      </c>
      <c r="F3" s="24" t="s">
        <v>548</v>
      </c>
      <c r="G3" s="1" t="s">
        <v>549</v>
      </c>
      <c r="H3" s="18" t="s">
        <v>546</v>
      </c>
      <c r="I3" s="16">
        <v>45064</v>
      </c>
    </row>
    <row r="4" spans="1:9">
      <c r="A4" s="15" t="s">
        <v>550</v>
      </c>
      <c r="B4" s="16">
        <v>45085</v>
      </c>
      <c r="C4" s="6" t="s">
        <v>543</v>
      </c>
      <c r="D4" s="1" t="s">
        <v>716</v>
      </c>
      <c r="E4" s="21">
        <v>20.448</v>
      </c>
      <c r="F4" s="24" t="s">
        <v>551</v>
      </c>
      <c r="G4" s="1" t="s">
        <v>552</v>
      </c>
      <c r="H4" s="18" t="s">
        <v>546</v>
      </c>
      <c r="I4" s="16">
        <v>45064</v>
      </c>
    </row>
    <row r="5" spans="1:9">
      <c r="A5" s="1"/>
      <c r="B5" s="16"/>
      <c r="C5" s="6"/>
      <c r="D5" s="1"/>
      <c r="E5" s="41">
        <f>SUM(E2:E4)</f>
        <v>85.603000000000009</v>
      </c>
      <c r="F5" s="24"/>
      <c r="G5" s="1"/>
      <c r="H5" s="1"/>
      <c r="I5" s="3"/>
    </row>
    <row r="6" spans="1:9">
      <c r="A6" s="15" t="s">
        <v>553</v>
      </c>
      <c r="B6" s="16">
        <v>45086</v>
      </c>
      <c r="C6" s="6" t="s">
        <v>543</v>
      </c>
      <c r="D6" s="1" t="s">
        <v>716</v>
      </c>
      <c r="E6" s="21">
        <v>32.801000000000002</v>
      </c>
      <c r="F6" s="24" t="s">
        <v>554</v>
      </c>
      <c r="G6" s="1" t="s">
        <v>555</v>
      </c>
      <c r="H6" s="18" t="s">
        <v>546</v>
      </c>
      <c r="I6" s="16">
        <v>45064</v>
      </c>
    </row>
    <row r="7" spans="1:9">
      <c r="A7" s="15" t="s">
        <v>556</v>
      </c>
      <c r="B7" s="16">
        <v>45086</v>
      </c>
      <c r="C7" s="6" t="s">
        <v>543</v>
      </c>
      <c r="D7" s="1" t="s">
        <v>716</v>
      </c>
      <c r="E7" s="21">
        <v>32.765000000000001</v>
      </c>
      <c r="F7" s="24" t="s">
        <v>557</v>
      </c>
      <c r="G7" s="50" t="s">
        <v>558</v>
      </c>
      <c r="H7" s="18" t="s">
        <v>546</v>
      </c>
      <c r="I7" s="16">
        <v>45064</v>
      </c>
    </row>
    <row r="8" spans="1:9">
      <c r="A8" s="15" t="s">
        <v>561</v>
      </c>
      <c r="B8" s="16">
        <v>45086</v>
      </c>
      <c r="C8" s="6" t="s">
        <v>543</v>
      </c>
      <c r="D8" s="1" t="s">
        <v>716</v>
      </c>
      <c r="E8" s="21">
        <f>14.958+9.541</f>
        <v>24.499000000000002</v>
      </c>
      <c r="F8" s="24" t="s">
        <v>559</v>
      </c>
      <c r="G8" s="1" t="s">
        <v>560</v>
      </c>
      <c r="H8" s="18" t="s">
        <v>546</v>
      </c>
      <c r="I8" s="16">
        <v>45064</v>
      </c>
    </row>
    <row r="9" spans="1:9">
      <c r="A9" s="15" t="s">
        <v>562</v>
      </c>
      <c r="B9" s="16">
        <v>45086</v>
      </c>
      <c r="C9" s="6" t="s">
        <v>543</v>
      </c>
      <c r="D9" s="1" t="s">
        <v>716</v>
      </c>
      <c r="E9" s="21">
        <v>1.738</v>
      </c>
      <c r="F9" s="24" t="s">
        <v>559</v>
      </c>
      <c r="G9" s="1" t="s">
        <v>563</v>
      </c>
      <c r="H9" s="18" t="s">
        <v>564</v>
      </c>
      <c r="I9" s="16">
        <v>45071</v>
      </c>
    </row>
    <row r="10" spans="1:9">
      <c r="A10" s="15" t="s">
        <v>565</v>
      </c>
      <c r="B10" s="16">
        <v>45086</v>
      </c>
      <c r="C10" s="6" t="s">
        <v>227</v>
      </c>
      <c r="D10" s="1" t="s">
        <v>716</v>
      </c>
      <c r="E10" s="21">
        <v>6.39</v>
      </c>
      <c r="F10" s="24" t="s">
        <v>559</v>
      </c>
      <c r="G10" s="1" t="s">
        <v>563</v>
      </c>
      <c r="H10" s="18" t="s">
        <v>566</v>
      </c>
      <c r="I10" s="16">
        <v>45071</v>
      </c>
    </row>
    <row r="11" spans="1:9">
      <c r="A11" s="15" t="s">
        <v>567</v>
      </c>
      <c r="B11" s="16">
        <v>45086</v>
      </c>
      <c r="C11" s="6" t="s">
        <v>543</v>
      </c>
      <c r="D11" s="1" t="s">
        <v>716</v>
      </c>
      <c r="E11" s="51">
        <f>11.583+8.136</f>
        <v>19.719000000000001</v>
      </c>
      <c r="F11" s="24" t="s">
        <v>568</v>
      </c>
      <c r="G11" s="1" t="s">
        <v>569</v>
      </c>
      <c r="H11" s="18" t="s">
        <v>546</v>
      </c>
      <c r="I11" s="16">
        <v>45064</v>
      </c>
    </row>
    <row r="12" spans="1:9">
      <c r="A12" s="15" t="s">
        <v>570</v>
      </c>
      <c r="B12" s="16">
        <v>45086</v>
      </c>
      <c r="C12" s="47" t="s">
        <v>543</v>
      </c>
      <c r="D12" s="1" t="s">
        <v>716</v>
      </c>
      <c r="E12" s="51">
        <v>12.798</v>
      </c>
      <c r="F12" s="24" t="s">
        <v>568</v>
      </c>
      <c r="G12" s="1" t="s">
        <v>571</v>
      </c>
      <c r="H12" s="18" t="s">
        <v>564</v>
      </c>
      <c r="I12" s="16">
        <v>45071</v>
      </c>
    </row>
    <row r="13" spans="1:9">
      <c r="A13" s="1"/>
      <c r="B13" s="16"/>
      <c r="C13" s="6"/>
      <c r="D13" s="1"/>
      <c r="E13" s="41">
        <f>SUM(E6:E12)</f>
        <v>130.71</v>
      </c>
      <c r="F13" s="24"/>
      <c r="G13" s="1"/>
      <c r="H13" s="1"/>
      <c r="I13" s="3"/>
    </row>
    <row r="14" spans="1:9">
      <c r="A14" s="15" t="s">
        <v>572</v>
      </c>
      <c r="B14" s="16">
        <v>45087</v>
      </c>
      <c r="C14" s="6" t="s">
        <v>227</v>
      </c>
      <c r="D14" s="1" t="s">
        <v>716</v>
      </c>
      <c r="E14" s="21">
        <f>6.302+11.721</f>
        <v>18.023</v>
      </c>
      <c r="F14" s="24" t="s">
        <v>573</v>
      </c>
      <c r="G14" s="1" t="s">
        <v>574</v>
      </c>
      <c r="H14" s="18" t="s">
        <v>566</v>
      </c>
      <c r="I14" s="16">
        <v>45071</v>
      </c>
    </row>
    <row r="15" spans="1:9">
      <c r="A15" s="15" t="s">
        <v>575</v>
      </c>
      <c r="B15" s="16">
        <v>45087</v>
      </c>
      <c r="C15" s="6" t="s">
        <v>227</v>
      </c>
      <c r="D15" s="1" t="s">
        <v>716</v>
      </c>
      <c r="E15" s="21">
        <v>0.73299999999999998</v>
      </c>
      <c r="F15" s="24" t="s">
        <v>573</v>
      </c>
      <c r="G15" s="1" t="s">
        <v>576</v>
      </c>
      <c r="H15" s="18" t="s">
        <v>564</v>
      </c>
      <c r="I15" s="16">
        <v>45071</v>
      </c>
    </row>
    <row r="16" spans="1:9">
      <c r="A16" s="15" t="s">
        <v>575</v>
      </c>
      <c r="B16" s="16">
        <v>45087</v>
      </c>
      <c r="C16" s="6" t="s">
        <v>543</v>
      </c>
      <c r="D16" s="1" t="s">
        <v>716</v>
      </c>
      <c r="E16" s="21">
        <v>5.2969999999999997</v>
      </c>
      <c r="F16" s="24" t="s">
        <v>573</v>
      </c>
      <c r="G16" s="1" t="s">
        <v>576</v>
      </c>
      <c r="H16" s="18" t="s">
        <v>564</v>
      </c>
      <c r="I16" s="16">
        <v>45071</v>
      </c>
    </row>
    <row r="17" spans="1:9">
      <c r="A17" s="15" t="s">
        <v>577</v>
      </c>
      <c r="B17" s="16">
        <v>45087</v>
      </c>
      <c r="C17" s="6" t="s">
        <v>578</v>
      </c>
      <c r="D17" s="1" t="s">
        <v>716</v>
      </c>
      <c r="E17" s="21">
        <v>5.282</v>
      </c>
      <c r="F17" s="24" t="s">
        <v>573</v>
      </c>
      <c r="G17" s="1" t="s">
        <v>576</v>
      </c>
      <c r="H17" s="18" t="s">
        <v>546</v>
      </c>
      <c r="I17" s="16">
        <v>45064</v>
      </c>
    </row>
    <row r="18" spans="1:9">
      <c r="A18" s="15" t="s">
        <v>577</v>
      </c>
      <c r="B18" s="16">
        <v>45087</v>
      </c>
      <c r="C18" s="6" t="s">
        <v>543</v>
      </c>
      <c r="D18" s="1" t="s">
        <v>716</v>
      </c>
      <c r="E18" s="21">
        <v>3.1949999999999998</v>
      </c>
      <c r="F18" s="24" t="s">
        <v>573</v>
      </c>
      <c r="G18" s="1" t="s">
        <v>576</v>
      </c>
      <c r="H18" s="18" t="s">
        <v>546</v>
      </c>
      <c r="I18" s="16">
        <v>45064</v>
      </c>
    </row>
    <row r="19" spans="1:9">
      <c r="A19" s="15" t="s">
        <v>581</v>
      </c>
      <c r="B19" s="16">
        <v>45087</v>
      </c>
      <c r="C19" s="6" t="s">
        <v>227</v>
      </c>
      <c r="D19" s="1" t="s">
        <v>716</v>
      </c>
      <c r="E19" s="21">
        <f>2.66+3.792</f>
        <v>6.452</v>
      </c>
      <c r="F19" s="24" t="s">
        <v>579</v>
      </c>
      <c r="G19" s="1" t="s">
        <v>580</v>
      </c>
      <c r="H19" s="18" t="s">
        <v>566</v>
      </c>
      <c r="I19" s="16">
        <v>45071</v>
      </c>
    </row>
    <row r="20" spans="1:9">
      <c r="A20" s="15" t="s">
        <v>582</v>
      </c>
      <c r="B20" s="16">
        <v>45087</v>
      </c>
      <c r="C20" s="6" t="s">
        <v>543</v>
      </c>
      <c r="D20" s="1" t="s">
        <v>716</v>
      </c>
      <c r="E20" s="21">
        <v>2.9670000000000001</v>
      </c>
      <c r="F20" s="24" t="s">
        <v>579</v>
      </c>
      <c r="G20" s="1" t="s">
        <v>583</v>
      </c>
      <c r="H20" s="18" t="s">
        <v>564</v>
      </c>
      <c r="I20" s="16">
        <v>45071</v>
      </c>
    </row>
    <row r="21" spans="1:9">
      <c r="A21" s="15" t="s">
        <v>584</v>
      </c>
      <c r="B21" s="16">
        <v>45087</v>
      </c>
      <c r="C21" s="6" t="s">
        <v>578</v>
      </c>
      <c r="D21" s="1" t="s">
        <v>716</v>
      </c>
      <c r="E21" s="21">
        <v>5.0730000000000004</v>
      </c>
      <c r="F21" s="24" t="s">
        <v>579</v>
      </c>
      <c r="G21" s="1" t="s">
        <v>583</v>
      </c>
      <c r="H21" s="18" t="s">
        <v>546</v>
      </c>
      <c r="I21" s="16">
        <v>45064</v>
      </c>
    </row>
    <row r="22" spans="1:9">
      <c r="A22" s="15" t="s">
        <v>584</v>
      </c>
      <c r="B22" s="16">
        <v>45087</v>
      </c>
      <c r="C22" s="6" t="s">
        <v>543</v>
      </c>
      <c r="D22" s="1" t="s">
        <v>716</v>
      </c>
      <c r="E22" s="21">
        <f>17.056+1.427</f>
        <v>18.483000000000001</v>
      </c>
      <c r="F22" s="24" t="s">
        <v>579</v>
      </c>
      <c r="G22" s="1" t="s">
        <v>583</v>
      </c>
      <c r="H22" s="18" t="s">
        <v>546</v>
      </c>
      <c r="I22" s="16">
        <v>45064</v>
      </c>
    </row>
    <row r="23" spans="1:9">
      <c r="A23" s="1"/>
      <c r="B23" s="16"/>
      <c r="C23" s="6"/>
      <c r="D23" s="1"/>
      <c r="E23" s="41">
        <f>SUM(E14:E22)</f>
        <v>65.504999999999995</v>
      </c>
      <c r="F23" s="24"/>
      <c r="G23" s="1"/>
      <c r="H23" s="1"/>
      <c r="I23" s="3"/>
    </row>
    <row r="24" spans="1:9">
      <c r="A24" s="1"/>
      <c r="B24" s="16"/>
      <c r="C24" s="6"/>
      <c r="D24" s="1"/>
      <c r="E24" s="41"/>
      <c r="F24" s="24"/>
      <c r="G24" s="1"/>
      <c r="H24" s="1"/>
      <c r="I24" s="3"/>
    </row>
    <row r="25" spans="1:9">
      <c r="A25" s="1"/>
      <c r="B25" s="16"/>
      <c r="C25" s="6"/>
      <c r="D25" s="1"/>
      <c r="E25" s="41"/>
      <c r="F25" s="24"/>
      <c r="G25" s="1"/>
      <c r="H25" s="1"/>
      <c r="I25" s="3"/>
    </row>
    <row r="26" spans="1:9">
      <c r="A26" s="1"/>
      <c r="B26" s="16"/>
      <c r="C26" s="6"/>
      <c r="D26" s="1"/>
      <c r="E26" s="41"/>
      <c r="F26" s="24"/>
      <c r="G26" s="1"/>
      <c r="H26" s="1"/>
      <c r="I26" s="3"/>
    </row>
    <row r="27" spans="1:9">
      <c r="A27" s="1"/>
      <c r="B27" s="16"/>
      <c r="C27" s="6"/>
      <c r="D27" s="1"/>
      <c r="E27" s="41"/>
      <c r="F27" s="24"/>
      <c r="G27" s="1"/>
      <c r="H27" s="1"/>
      <c r="I27" s="3"/>
    </row>
    <row r="28" spans="1:9">
      <c r="A28" s="1"/>
      <c r="B28" s="16"/>
      <c r="C28" s="6"/>
      <c r="D28" s="1"/>
      <c r="E28" s="41"/>
      <c r="F28" s="24"/>
      <c r="G28" s="1"/>
      <c r="H28" s="1"/>
      <c r="I28" s="3"/>
    </row>
    <row r="29" spans="1:9">
      <c r="A29" s="1"/>
      <c r="B29" s="16"/>
      <c r="C29" s="6"/>
      <c r="D29" s="1"/>
      <c r="E29" s="41"/>
      <c r="F29" s="24"/>
      <c r="G29" s="1"/>
      <c r="H29" s="1"/>
      <c r="I29" s="3"/>
    </row>
    <row r="30" spans="1:9">
      <c r="A30" s="1"/>
      <c r="B30" s="16"/>
      <c r="C30" s="6"/>
      <c r="D30" s="1"/>
      <c r="E30" s="41"/>
      <c r="F30" s="24"/>
      <c r="G30" s="1"/>
      <c r="H30" s="1"/>
      <c r="I30" s="3"/>
    </row>
    <row r="31" spans="1:9">
      <c r="A31" s="1"/>
      <c r="B31" s="16"/>
      <c r="C31" s="6"/>
      <c r="D31" s="1"/>
      <c r="E31" s="41"/>
      <c r="F31" s="24"/>
      <c r="G31" s="1"/>
      <c r="H31" s="1"/>
      <c r="I31" s="3"/>
    </row>
    <row r="32" spans="1:9">
      <c r="A32" s="1"/>
      <c r="B32" s="16"/>
      <c r="C32" s="6"/>
      <c r="D32" s="1"/>
      <c r="E32" s="41"/>
      <c r="F32" s="24"/>
      <c r="G32" s="1"/>
      <c r="H32" s="1"/>
      <c r="I32" s="3"/>
    </row>
    <row r="33" spans="1:9">
      <c r="A33" s="1"/>
      <c r="B33" s="16"/>
      <c r="C33" s="6"/>
      <c r="D33" s="1"/>
      <c r="E33" s="41"/>
      <c r="F33" s="24"/>
      <c r="G33" s="1"/>
      <c r="H33" s="1"/>
      <c r="I33" s="3"/>
    </row>
    <row r="34" spans="1:9">
      <c r="A34" s="1"/>
      <c r="B34" s="16"/>
      <c r="C34" s="6"/>
      <c r="D34" s="1"/>
      <c r="E34" s="41"/>
      <c r="F34" s="24"/>
      <c r="G34" s="1"/>
      <c r="H34" s="1"/>
      <c r="I34" s="3"/>
    </row>
    <row r="35" spans="1:9">
      <c r="A35" s="1"/>
      <c r="B35" s="16"/>
      <c r="C35" s="6"/>
      <c r="D35" s="1"/>
      <c r="E35" s="41"/>
      <c r="F35" s="24"/>
      <c r="G35" s="1"/>
      <c r="H35" s="1"/>
      <c r="I35" s="3"/>
    </row>
    <row r="36" spans="1:9">
      <c r="A36" s="1"/>
      <c r="B36" s="16"/>
      <c r="C36" s="6"/>
      <c r="D36" s="1"/>
      <c r="E36" s="41"/>
      <c r="F36" s="24"/>
      <c r="G36" s="1"/>
      <c r="H36" s="1"/>
      <c r="I36" s="3"/>
    </row>
    <row r="37" spans="1:9">
      <c r="A37" s="1"/>
      <c r="B37" s="16"/>
      <c r="C37" s="6"/>
      <c r="D37" s="1"/>
      <c r="E37" s="41"/>
      <c r="F37" s="24"/>
      <c r="G37" s="1"/>
      <c r="H37" s="1"/>
      <c r="I37" s="3"/>
    </row>
    <row r="38" spans="1:9">
      <c r="A38" s="1"/>
      <c r="B38" s="16"/>
      <c r="C38" s="6"/>
      <c r="D38" s="1"/>
      <c r="E38" s="41"/>
      <c r="F38" s="24"/>
      <c r="G38" s="1"/>
      <c r="H38" s="1"/>
      <c r="I38" s="3"/>
    </row>
    <row r="39" spans="1:9">
      <c r="A39" s="1"/>
      <c r="B39" s="3"/>
      <c r="C39" s="1"/>
      <c r="D39" s="1"/>
      <c r="E39" s="2"/>
      <c r="F39" s="24"/>
      <c r="G39" s="1"/>
      <c r="H39" s="1"/>
      <c r="I39" s="3"/>
    </row>
    <row r="40" spans="1:9">
      <c r="A40" s="1"/>
      <c r="B40" s="3"/>
      <c r="C40" s="1"/>
      <c r="D40" s="2" t="s">
        <v>462</v>
      </c>
      <c r="E40" s="11">
        <f>SUM(E2:E39)/2</f>
        <v>281.81799999999998</v>
      </c>
      <c r="F40" s="24"/>
      <c r="G40" s="1"/>
      <c r="H40" s="1"/>
      <c r="I40" s="3"/>
    </row>
    <row r="41" spans="1:9">
      <c r="A41" s="1"/>
      <c r="B41" s="3"/>
      <c r="C41" s="1"/>
      <c r="D41" s="1"/>
      <c r="E41" s="2"/>
      <c r="F41" s="24"/>
      <c r="G41" s="1"/>
      <c r="H41" s="1"/>
      <c r="I41" s="3"/>
    </row>
    <row r="42" spans="1:9">
      <c r="A42" s="1"/>
      <c r="B42" s="3"/>
      <c r="C42" s="1"/>
      <c r="D42" s="1"/>
      <c r="E42" s="2"/>
      <c r="F42" s="24"/>
      <c r="G42" s="1"/>
      <c r="H42" s="1"/>
      <c r="I42" s="3"/>
    </row>
    <row r="43" spans="1:9">
      <c r="A43" s="1"/>
      <c r="B43" s="3"/>
      <c r="C43" s="1"/>
      <c r="D43" s="1"/>
      <c r="E43" s="2"/>
      <c r="F43" s="24"/>
      <c r="G43" s="1"/>
      <c r="H43" s="1"/>
      <c r="I43" s="3"/>
    </row>
    <row r="44" spans="1:9">
      <c r="A44" s="1"/>
      <c r="B44" s="3"/>
      <c r="C44" s="1"/>
      <c r="D44" s="1"/>
      <c r="E44" s="2"/>
      <c r="F44" s="24"/>
      <c r="G44" s="1"/>
      <c r="H44" s="1"/>
      <c r="I44" s="3"/>
    </row>
    <row r="45" spans="1:9">
      <c r="A45" s="1"/>
      <c r="B45" s="3"/>
      <c r="C45" s="1"/>
      <c r="D45" s="1"/>
      <c r="E45" s="2"/>
      <c r="F45" s="24"/>
      <c r="G45" s="1"/>
      <c r="H45" s="1"/>
      <c r="I45" s="3"/>
    </row>
    <row r="46" spans="1:9">
      <c r="A46" s="1"/>
      <c r="B46" s="1"/>
      <c r="C46" s="1"/>
      <c r="D46" s="1"/>
      <c r="E46" s="2"/>
      <c r="F46" s="24"/>
      <c r="G46" s="1"/>
      <c r="H46" s="1"/>
      <c r="I46" s="1"/>
    </row>
    <row r="51" spans="1:11" s="31" customFormat="1">
      <c r="A51"/>
      <c r="B51"/>
      <c r="C51"/>
      <c r="D51"/>
      <c r="E51" s="23"/>
      <c r="G51"/>
      <c r="H51"/>
      <c r="I51"/>
      <c r="J51"/>
      <c r="K51"/>
    </row>
    <row r="52" spans="1:11" s="31" customFormat="1">
      <c r="A52"/>
      <c r="B52"/>
      <c r="C52"/>
      <c r="D52"/>
      <c r="E52"/>
      <c r="G52"/>
      <c r="H52"/>
      <c r="I52"/>
      <c r="J52"/>
      <c r="K5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11"/>
  <sheetViews>
    <sheetView topLeftCell="A361" workbookViewId="0">
      <selection activeCell="H367" sqref="H367"/>
    </sheetView>
  </sheetViews>
  <sheetFormatPr defaultRowHeight="15"/>
  <cols>
    <col min="1" max="1" width="18.28515625" customWidth="1"/>
    <col min="2" max="2" width="10.28515625" bestFit="1" customWidth="1"/>
    <col min="3" max="3" width="30.5703125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15" t="s">
        <v>846</v>
      </c>
      <c r="B2" s="16">
        <v>45106</v>
      </c>
      <c r="C2" s="6" t="s">
        <v>283</v>
      </c>
      <c r="D2" s="1" t="s">
        <v>78</v>
      </c>
      <c r="E2" s="21">
        <v>18.655999999999999</v>
      </c>
      <c r="F2" s="24" t="s">
        <v>97</v>
      </c>
      <c r="G2" s="1" t="s">
        <v>847</v>
      </c>
      <c r="H2" s="18" t="s">
        <v>704</v>
      </c>
      <c r="I2" s="16">
        <v>45092</v>
      </c>
    </row>
    <row r="3" spans="1:9">
      <c r="A3" s="15" t="s">
        <v>846</v>
      </c>
      <c r="B3" s="16">
        <v>45106</v>
      </c>
      <c r="C3" s="6" t="s">
        <v>343</v>
      </c>
      <c r="D3" s="1" t="s">
        <v>78</v>
      </c>
      <c r="E3" s="56">
        <v>3.4129999999999998</v>
      </c>
      <c r="F3" s="24" t="s">
        <v>97</v>
      </c>
      <c r="G3" s="1" t="s">
        <v>847</v>
      </c>
      <c r="H3" s="18" t="s">
        <v>704</v>
      </c>
      <c r="I3" s="16">
        <v>45092</v>
      </c>
    </row>
    <row r="4" spans="1:9">
      <c r="A4" s="15" t="s">
        <v>846</v>
      </c>
      <c r="B4" s="16">
        <v>45106</v>
      </c>
      <c r="C4" s="6" t="s">
        <v>225</v>
      </c>
      <c r="D4" s="1" t="s">
        <v>78</v>
      </c>
      <c r="E4" s="56">
        <f>1.818+4.793</f>
        <v>6.6110000000000007</v>
      </c>
      <c r="F4" s="24" t="s">
        <v>97</v>
      </c>
      <c r="G4" s="1" t="s">
        <v>847</v>
      </c>
      <c r="H4" s="18" t="s">
        <v>704</v>
      </c>
      <c r="I4" s="16">
        <v>45092</v>
      </c>
    </row>
    <row r="5" spans="1:9">
      <c r="A5" s="15" t="s">
        <v>848</v>
      </c>
      <c r="B5" s="16">
        <v>45106</v>
      </c>
      <c r="C5" s="6" t="s">
        <v>283</v>
      </c>
      <c r="D5" s="1" t="s">
        <v>78</v>
      </c>
      <c r="E5" s="56">
        <v>3.7679999999999998</v>
      </c>
      <c r="F5" s="24" t="s">
        <v>97</v>
      </c>
      <c r="G5" s="1" t="s">
        <v>849</v>
      </c>
      <c r="H5" s="18" t="s">
        <v>787</v>
      </c>
      <c r="I5" s="16">
        <v>45092</v>
      </c>
    </row>
    <row r="6" spans="1:9">
      <c r="A6" s="15" t="s">
        <v>850</v>
      </c>
      <c r="B6" s="16">
        <v>45106</v>
      </c>
      <c r="C6" s="6" t="s">
        <v>255</v>
      </c>
      <c r="D6" s="1" t="s">
        <v>78</v>
      </c>
      <c r="E6" s="56">
        <v>15.92</v>
      </c>
      <c r="F6" s="24" t="s">
        <v>851</v>
      </c>
      <c r="G6" s="1" t="s">
        <v>852</v>
      </c>
      <c r="H6" s="18" t="s">
        <v>704</v>
      </c>
      <c r="I6" s="16">
        <v>45092</v>
      </c>
    </row>
    <row r="7" spans="1:9">
      <c r="A7" s="15" t="s">
        <v>850</v>
      </c>
      <c r="B7" s="16">
        <v>45106</v>
      </c>
      <c r="C7" s="6" t="s">
        <v>225</v>
      </c>
      <c r="D7" s="1" t="s">
        <v>78</v>
      </c>
      <c r="E7" s="56">
        <v>13.858000000000001</v>
      </c>
      <c r="F7" s="24" t="s">
        <v>851</v>
      </c>
      <c r="G7" s="1" t="s">
        <v>852</v>
      </c>
      <c r="H7" s="18" t="s">
        <v>704</v>
      </c>
      <c r="I7" s="16">
        <v>45092</v>
      </c>
    </row>
    <row r="8" spans="1:9">
      <c r="A8" s="15" t="s">
        <v>853</v>
      </c>
      <c r="B8" s="16">
        <v>45106</v>
      </c>
      <c r="C8" s="6" t="s">
        <v>230</v>
      </c>
      <c r="D8" s="1" t="s">
        <v>78</v>
      </c>
      <c r="E8" s="56">
        <v>2.1219999999999999</v>
      </c>
      <c r="F8" s="24" t="s">
        <v>851</v>
      </c>
      <c r="G8" s="1" t="s">
        <v>854</v>
      </c>
      <c r="H8" s="18" t="s">
        <v>787</v>
      </c>
      <c r="I8" s="16">
        <v>45092</v>
      </c>
    </row>
    <row r="9" spans="1:9">
      <c r="A9" s="15"/>
      <c r="B9" s="16"/>
      <c r="C9" s="6"/>
      <c r="D9" s="1"/>
      <c r="E9" s="41">
        <f>SUM(E2:E8)</f>
        <v>64.347999999999999</v>
      </c>
      <c r="F9" s="24"/>
      <c r="G9" s="1"/>
      <c r="H9" s="1"/>
      <c r="I9" s="3"/>
    </row>
    <row r="10" spans="1:9">
      <c r="A10" s="15" t="s">
        <v>855</v>
      </c>
      <c r="B10" s="16">
        <v>45107</v>
      </c>
      <c r="C10" s="6" t="s">
        <v>200</v>
      </c>
      <c r="D10" s="1" t="s">
        <v>78</v>
      </c>
      <c r="E10" s="21">
        <v>14.717000000000001</v>
      </c>
      <c r="F10" s="24" t="s">
        <v>116</v>
      </c>
      <c r="G10" s="1" t="s">
        <v>856</v>
      </c>
      <c r="H10" s="18" t="s">
        <v>704</v>
      </c>
      <c r="I10" s="16">
        <v>45092</v>
      </c>
    </row>
    <row r="11" spans="1:9">
      <c r="A11" s="15" t="s">
        <v>855</v>
      </c>
      <c r="B11" s="16">
        <v>45107</v>
      </c>
      <c r="C11" s="6" t="s">
        <v>255</v>
      </c>
      <c r="D11" s="1" t="s">
        <v>78</v>
      </c>
      <c r="E11" s="21">
        <v>2.6840000000000002</v>
      </c>
      <c r="F11" s="24" t="s">
        <v>116</v>
      </c>
      <c r="G11" s="1" t="s">
        <v>856</v>
      </c>
      <c r="H11" s="18" t="s">
        <v>704</v>
      </c>
      <c r="I11" s="16">
        <v>45092</v>
      </c>
    </row>
    <row r="12" spans="1:9">
      <c r="A12" s="15" t="s">
        <v>855</v>
      </c>
      <c r="B12" s="16">
        <v>45107</v>
      </c>
      <c r="C12" s="6" t="s">
        <v>345</v>
      </c>
      <c r="D12" s="1" t="s">
        <v>78</v>
      </c>
      <c r="E12" s="21">
        <f>0.172+1.798</f>
        <v>1.97</v>
      </c>
      <c r="F12" s="24" t="s">
        <v>116</v>
      </c>
      <c r="G12" s="1" t="s">
        <v>856</v>
      </c>
      <c r="H12" s="18" t="s">
        <v>704</v>
      </c>
      <c r="I12" s="16">
        <v>45092</v>
      </c>
    </row>
    <row r="13" spans="1:9">
      <c r="A13" s="15" t="s">
        <v>855</v>
      </c>
      <c r="B13" s="16">
        <v>45107</v>
      </c>
      <c r="C13" s="6" t="s">
        <v>209</v>
      </c>
      <c r="D13" s="1" t="s">
        <v>78</v>
      </c>
      <c r="E13" s="21">
        <v>2.9540000000000002</v>
      </c>
      <c r="F13" s="24" t="s">
        <v>116</v>
      </c>
      <c r="G13" s="1" t="s">
        <v>856</v>
      </c>
      <c r="H13" s="18" t="s">
        <v>704</v>
      </c>
      <c r="I13" s="16">
        <v>45092</v>
      </c>
    </row>
    <row r="14" spans="1:9">
      <c r="A14" s="15" t="s">
        <v>855</v>
      </c>
      <c r="B14" s="16">
        <v>45107</v>
      </c>
      <c r="C14" s="6" t="s">
        <v>230</v>
      </c>
      <c r="D14" s="1" t="s">
        <v>78</v>
      </c>
      <c r="E14" s="21">
        <v>3.7530000000000001</v>
      </c>
      <c r="F14" s="24" t="s">
        <v>116</v>
      </c>
      <c r="G14" s="1" t="s">
        <v>856</v>
      </c>
      <c r="H14" s="18" t="s">
        <v>704</v>
      </c>
      <c r="I14" s="16">
        <v>45092</v>
      </c>
    </row>
    <row r="15" spans="1:9">
      <c r="A15" s="15" t="s">
        <v>857</v>
      </c>
      <c r="B15" s="16">
        <v>45107</v>
      </c>
      <c r="C15" s="6" t="s">
        <v>200</v>
      </c>
      <c r="D15" s="1" t="s">
        <v>78</v>
      </c>
      <c r="E15" s="21">
        <v>2.3109999999999999</v>
      </c>
      <c r="F15" s="24" t="s">
        <v>116</v>
      </c>
      <c r="G15" s="1" t="s">
        <v>856</v>
      </c>
      <c r="H15" s="18" t="s">
        <v>787</v>
      </c>
      <c r="I15" s="16">
        <v>45092</v>
      </c>
    </row>
    <row r="16" spans="1:9">
      <c r="A16" s="15" t="s">
        <v>857</v>
      </c>
      <c r="B16" s="16">
        <v>45107</v>
      </c>
      <c r="C16" s="6" t="s">
        <v>230</v>
      </c>
      <c r="D16" s="1" t="s">
        <v>78</v>
      </c>
      <c r="E16" s="21">
        <v>0.78300000000000003</v>
      </c>
      <c r="F16" s="24" t="s">
        <v>116</v>
      </c>
      <c r="G16" s="1" t="s">
        <v>856</v>
      </c>
      <c r="H16" s="18" t="s">
        <v>787</v>
      </c>
      <c r="I16" s="16">
        <v>45092</v>
      </c>
    </row>
    <row r="17" spans="1:9">
      <c r="A17" s="15" t="s">
        <v>857</v>
      </c>
      <c r="B17" s="16">
        <v>45107</v>
      </c>
      <c r="C17" s="6" t="s">
        <v>255</v>
      </c>
      <c r="D17" s="1" t="s">
        <v>78</v>
      </c>
      <c r="E17" s="21">
        <v>2.923</v>
      </c>
      <c r="F17" s="24" t="s">
        <v>116</v>
      </c>
      <c r="G17" s="1" t="s">
        <v>856</v>
      </c>
      <c r="H17" s="18" t="s">
        <v>787</v>
      </c>
      <c r="I17" s="16">
        <v>45092</v>
      </c>
    </row>
    <row r="18" spans="1:9">
      <c r="A18" s="15" t="s">
        <v>858</v>
      </c>
      <c r="B18" s="16">
        <v>45107</v>
      </c>
      <c r="C18" s="6" t="s">
        <v>208</v>
      </c>
      <c r="D18" s="1" t="s">
        <v>11</v>
      </c>
      <c r="E18" s="21">
        <v>4.2679999999999998</v>
      </c>
      <c r="F18" s="24" t="s">
        <v>630</v>
      </c>
      <c r="G18" s="1" t="s">
        <v>859</v>
      </c>
      <c r="H18" s="18" t="s">
        <v>730</v>
      </c>
      <c r="I18" s="16">
        <v>45092</v>
      </c>
    </row>
    <row r="19" spans="1:9">
      <c r="A19" s="15" t="s">
        <v>858</v>
      </c>
      <c r="B19" s="16">
        <v>45107</v>
      </c>
      <c r="C19" s="6" t="s">
        <v>343</v>
      </c>
      <c r="D19" s="1" t="s">
        <v>11</v>
      </c>
      <c r="E19" s="21">
        <v>2.13</v>
      </c>
      <c r="F19" s="24" t="s">
        <v>630</v>
      </c>
      <c r="G19" s="1" t="s">
        <v>859</v>
      </c>
      <c r="H19" s="18" t="s">
        <v>730</v>
      </c>
      <c r="I19" s="16">
        <v>45092</v>
      </c>
    </row>
    <row r="20" spans="1:9">
      <c r="A20" s="15" t="s">
        <v>858</v>
      </c>
      <c r="B20" s="16">
        <v>45107</v>
      </c>
      <c r="C20" s="6" t="s">
        <v>377</v>
      </c>
      <c r="D20" s="1" t="s">
        <v>11</v>
      </c>
      <c r="E20" s="21">
        <f>8.502+0.397</f>
        <v>8.8990000000000009</v>
      </c>
      <c r="F20" s="24" t="s">
        <v>630</v>
      </c>
      <c r="G20" s="1" t="s">
        <v>859</v>
      </c>
      <c r="H20" s="18" t="s">
        <v>730</v>
      </c>
      <c r="I20" s="16">
        <v>45092</v>
      </c>
    </row>
    <row r="21" spans="1:9">
      <c r="A21" s="15" t="s">
        <v>860</v>
      </c>
      <c r="B21" s="16">
        <v>45107</v>
      </c>
      <c r="C21" s="6" t="s">
        <v>252</v>
      </c>
      <c r="D21" s="1" t="s">
        <v>11</v>
      </c>
      <c r="E21" s="21">
        <v>5.0369999999999999</v>
      </c>
      <c r="F21" s="24" t="s">
        <v>630</v>
      </c>
      <c r="G21" s="1" t="s">
        <v>861</v>
      </c>
      <c r="H21" s="18" t="s">
        <v>622</v>
      </c>
      <c r="I21" s="16">
        <v>45082</v>
      </c>
    </row>
    <row r="22" spans="1:9">
      <c r="A22" s="15" t="s">
        <v>860</v>
      </c>
      <c r="B22" s="16">
        <v>45107</v>
      </c>
      <c r="C22" s="6" t="s">
        <v>195</v>
      </c>
      <c r="D22" s="1" t="s">
        <v>11</v>
      </c>
      <c r="E22" s="21">
        <v>4.3</v>
      </c>
      <c r="F22" s="24" t="s">
        <v>630</v>
      </c>
      <c r="G22" s="1" t="s">
        <v>861</v>
      </c>
      <c r="H22" s="18" t="s">
        <v>622</v>
      </c>
      <c r="I22" s="16">
        <v>45082</v>
      </c>
    </row>
    <row r="23" spans="1:9">
      <c r="A23" s="15" t="s">
        <v>863</v>
      </c>
      <c r="B23" s="16">
        <v>45107</v>
      </c>
      <c r="C23" s="6" t="s">
        <v>225</v>
      </c>
      <c r="D23" s="1" t="s">
        <v>78</v>
      </c>
      <c r="E23" s="21">
        <v>6.71</v>
      </c>
      <c r="F23" s="24" t="s">
        <v>97</v>
      </c>
      <c r="G23" s="1" t="s">
        <v>864</v>
      </c>
      <c r="H23" s="18" t="s">
        <v>704</v>
      </c>
      <c r="I23" s="16">
        <v>45092</v>
      </c>
    </row>
    <row r="24" spans="1:9">
      <c r="A24" s="15" t="s">
        <v>863</v>
      </c>
      <c r="B24" s="16">
        <v>45107</v>
      </c>
      <c r="C24" s="6" t="s">
        <v>345</v>
      </c>
      <c r="D24" s="1" t="s">
        <v>78</v>
      </c>
      <c r="E24" s="21">
        <v>6.9889999999999999</v>
      </c>
      <c r="F24" s="24" t="s">
        <v>97</v>
      </c>
      <c r="G24" s="1" t="s">
        <v>864</v>
      </c>
      <c r="H24" s="18" t="s">
        <v>704</v>
      </c>
      <c r="I24" s="16">
        <v>45092</v>
      </c>
    </row>
    <row r="25" spans="1:9">
      <c r="A25" s="15" t="s">
        <v>863</v>
      </c>
      <c r="B25" s="16">
        <v>45107</v>
      </c>
      <c r="C25" s="6" t="s">
        <v>208</v>
      </c>
      <c r="D25" s="1" t="s">
        <v>78</v>
      </c>
      <c r="E25" s="21">
        <v>4.2469999999999999</v>
      </c>
      <c r="F25" s="24" t="s">
        <v>97</v>
      </c>
      <c r="G25" s="1" t="s">
        <v>864</v>
      </c>
      <c r="H25" s="18" t="s">
        <v>704</v>
      </c>
      <c r="I25" s="16">
        <v>45092</v>
      </c>
    </row>
    <row r="26" spans="1:9">
      <c r="A26" s="15" t="s">
        <v>863</v>
      </c>
      <c r="B26" s="16">
        <v>45107</v>
      </c>
      <c r="C26" s="6" t="s">
        <v>255</v>
      </c>
      <c r="D26" s="1" t="s">
        <v>78</v>
      </c>
      <c r="E26" s="21">
        <f>1.631+3.737</f>
        <v>5.3680000000000003</v>
      </c>
      <c r="F26" s="24" t="s">
        <v>97</v>
      </c>
      <c r="G26" s="1" t="s">
        <v>864</v>
      </c>
      <c r="H26" s="18" t="s">
        <v>704</v>
      </c>
      <c r="I26" s="16">
        <v>45092</v>
      </c>
    </row>
    <row r="27" spans="1:9">
      <c r="A27" s="15" t="s">
        <v>863</v>
      </c>
      <c r="B27" s="16">
        <v>45107</v>
      </c>
      <c r="C27" s="6" t="s">
        <v>452</v>
      </c>
      <c r="D27" s="1" t="s">
        <v>78</v>
      </c>
      <c r="E27" s="21">
        <v>0.63800000000000001</v>
      </c>
      <c r="F27" s="24" t="s">
        <v>97</v>
      </c>
      <c r="G27" s="1" t="s">
        <v>864</v>
      </c>
      <c r="H27" s="18" t="s">
        <v>704</v>
      </c>
      <c r="I27" s="16">
        <v>45092</v>
      </c>
    </row>
    <row r="28" spans="1:9">
      <c r="A28" s="15" t="s">
        <v>863</v>
      </c>
      <c r="B28" s="16">
        <v>45107</v>
      </c>
      <c r="C28" s="6" t="s">
        <v>862</v>
      </c>
      <c r="D28" s="1" t="s">
        <v>78</v>
      </c>
      <c r="E28" s="21">
        <v>1.8089999999999999</v>
      </c>
      <c r="F28" s="24" t="s">
        <v>97</v>
      </c>
      <c r="G28" s="1" t="s">
        <v>864</v>
      </c>
      <c r="H28" s="18" t="s">
        <v>704</v>
      </c>
      <c r="I28" s="16">
        <v>45092</v>
      </c>
    </row>
    <row r="29" spans="1:9">
      <c r="A29" s="15" t="s">
        <v>865</v>
      </c>
      <c r="B29" s="16">
        <v>45107</v>
      </c>
      <c r="C29" s="6" t="s">
        <v>208</v>
      </c>
      <c r="D29" s="1" t="s">
        <v>78</v>
      </c>
      <c r="E29" s="21">
        <v>1.829</v>
      </c>
      <c r="F29" s="24" t="s">
        <v>97</v>
      </c>
      <c r="G29" s="1" t="s">
        <v>866</v>
      </c>
      <c r="H29" s="18" t="s">
        <v>787</v>
      </c>
      <c r="I29" s="16">
        <v>45092</v>
      </c>
    </row>
    <row r="30" spans="1:9">
      <c r="A30" s="15" t="s">
        <v>865</v>
      </c>
      <c r="B30" s="16">
        <v>45107</v>
      </c>
      <c r="C30" s="6" t="s">
        <v>255</v>
      </c>
      <c r="D30" s="1" t="s">
        <v>78</v>
      </c>
      <c r="E30" s="21">
        <v>1.5349999999999999</v>
      </c>
      <c r="F30" s="24" t="s">
        <v>97</v>
      </c>
      <c r="G30" s="1" t="s">
        <v>866</v>
      </c>
      <c r="H30" s="18" t="s">
        <v>787</v>
      </c>
      <c r="I30" s="16">
        <v>45092</v>
      </c>
    </row>
    <row r="31" spans="1:9">
      <c r="A31" s="15" t="s">
        <v>865</v>
      </c>
      <c r="B31" s="16">
        <v>45107</v>
      </c>
      <c r="C31" s="6" t="s">
        <v>862</v>
      </c>
      <c r="D31" s="1" t="s">
        <v>78</v>
      </c>
      <c r="E31" s="21">
        <v>1.9910000000000001</v>
      </c>
      <c r="F31" s="24" t="s">
        <v>97</v>
      </c>
      <c r="G31" s="1" t="s">
        <v>866</v>
      </c>
      <c r="H31" s="18" t="s">
        <v>787</v>
      </c>
      <c r="I31" s="16">
        <v>45092</v>
      </c>
    </row>
    <row r="32" spans="1:9">
      <c r="A32" s="15" t="s">
        <v>867</v>
      </c>
      <c r="B32" s="16">
        <v>45107</v>
      </c>
      <c r="C32" s="6" t="s">
        <v>225</v>
      </c>
      <c r="D32" s="1" t="s">
        <v>11</v>
      </c>
      <c r="E32" s="21">
        <f>17.496+3.819</f>
        <v>21.314999999999998</v>
      </c>
      <c r="F32" s="24" t="s">
        <v>137</v>
      </c>
      <c r="G32" s="1" t="s">
        <v>868</v>
      </c>
      <c r="H32" s="18" t="s">
        <v>687</v>
      </c>
      <c r="I32" s="16">
        <v>45064</v>
      </c>
    </row>
    <row r="33" spans="1:9">
      <c r="A33" s="15" t="s">
        <v>869</v>
      </c>
      <c r="B33" s="16">
        <v>45107</v>
      </c>
      <c r="C33" s="6" t="s">
        <v>225</v>
      </c>
      <c r="D33" s="1" t="s">
        <v>11</v>
      </c>
      <c r="E33" s="21">
        <v>3.65</v>
      </c>
      <c r="F33" s="24" t="s">
        <v>137</v>
      </c>
      <c r="G33" s="1" t="s">
        <v>870</v>
      </c>
      <c r="H33" s="18" t="s">
        <v>622</v>
      </c>
      <c r="I33" s="16">
        <v>45082</v>
      </c>
    </row>
    <row r="34" spans="1:9">
      <c r="A34" s="15" t="s">
        <v>871</v>
      </c>
      <c r="B34" s="16">
        <v>45107</v>
      </c>
      <c r="C34" s="6" t="s">
        <v>282</v>
      </c>
      <c r="D34" s="1" t="s">
        <v>78</v>
      </c>
      <c r="E34" s="21">
        <v>31.766999999999999</v>
      </c>
      <c r="F34" s="24" t="s">
        <v>66</v>
      </c>
      <c r="G34" s="1" t="s">
        <v>872</v>
      </c>
      <c r="H34" s="18" t="s">
        <v>704</v>
      </c>
      <c r="I34" s="16">
        <v>45092</v>
      </c>
    </row>
    <row r="35" spans="1:9">
      <c r="A35" s="15"/>
      <c r="B35" s="16"/>
      <c r="C35" s="6"/>
      <c r="D35" s="1"/>
      <c r="E35" s="41">
        <f>SUM(E10:E34)</f>
        <v>144.577</v>
      </c>
      <c r="F35" s="24"/>
      <c r="G35" s="1"/>
      <c r="H35" s="1"/>
      <c r="I35" s="3"/>
    </row>
    <row r="36" spans="1:9">
      <c r="A36" s="15" t="s">
        <v>878</v>
      </c>
      <c r="B36" s="16">
        <v>45108</v>
      </c>
      <c r="C36" s="6" t="s">
        <v>225</v>
      </c>
      <c r="D36" s="1" t="s">
        <v>78</v>
      </c>
      <c r="E36" s="21">
        <v>6.6150000000000002</v>
      </c>
      <c r="F36" s="24" t="s">
        <v>97</v>
      </c>
      <c r="G36" s="1" t="s">
        <v>879</v>
      </c>
      <c r="H36" s="18" t="s">
        <v>704</v>
      </c>
      <c r="I36" s="16">
        <v>45092</v>
      </c>
    </row>
    <row r="37" spans="1:9">
      <c r="A37" s="15" t="s">
        <v>878</v>
      </c>
      <c r="B37" s="16">
        <v>45108</v>
      </c>
      <c r="C37" s="6" t="s">
        <v>255</v>
      </c>
      <c r="D37" s="1" t="s">
        <v>78</v>
      </c>
      <c r="E37" s="21">
        <v>11.406000000000001</v>
      </c>
      <c r="F37" s="24" t="s">
        <v>97</v>
      </c>
      <c r="G37" s="1" t="s">
        <v>879</v>
      </c>
      <c r="H37" s="18" t="s">
        <v>704</v>
      </c>
      <c r="I37" s="16">
        <v>45092</v>
      </c>
    </row>
    <row r="38" spans="1:9">
      <c r="A38" s="15" t="s">
        <v>878</v>
      </c>
      <c r="B38" s="16">
        <v>45108</v>
      </c>
      <c r="C38" s="6" t="s">
        <v>283</v>
      </c>
      <c r="D38" s="1" t="s">
        <v>78</v>
      </c>
      <c r="E38" s="21">
        <f>0.777+4.754</f>
        <v>5.5309999999999997</v>
      </c>
      <c r="F38" s="24" t="s">
        <v>97</v>
      </c>
      <c r="G38" s="1" t="s">
        <v>879</v>
      </c>
      <c r="H38" s="18" t="s">
        <v>704</v>
      </c>
      <c r="I38" s="16">
        <v>45092</v>
      </c>
    </row>
    <row r="39" spans="1:9">
      <c r="A39" s="15" t="s">
        <v>878</v>
      </c>
      <c r="B39" s="16">
        <v>45108</v>
      </c>
      <c r="C39" s="6" t="s">
        <v>282</v>
      </c>
      <c r="D39" s="1" t="s">
        <v>78</v>
      </c>
      <c r="E39" s="21">
        <v>7.2709999999999999</v>
      </c>
      <c r="F39" s="24" t="s">
        <v>97</v>
      </c>
      <c r="G39" s="1" t="s">
        <v>879</v>
      </c>
      <c r="H39" s="18" t="s">
        <v>704</v>
      </c>
      <c r="I39" s="16">
        <v>45092</v>
      </c>
    </row>
    <row r="40" spans="1:9">
      <c r="A40" s="15" t="s">
        <v>880</v>
      </c>
      <c r="B40" s="16">
        <v>45108</v>
      </c>
      <c r="C40" s="6" t="s">
        <v>283</v>
      </c>
      <c r="D40" s="1" t="s">
        <v>78</v>
      </c>
      <c r="E40" s="21">
        <v>0.38200000000000001</v>
      </c>
      <c r="F40" s="24" t="s">
        <v>97</v>
      </c>
      <c r="G40" s="1" t="s">
        <v>881</v>
      </c>
      <c r="H40" s="18" t="s">
        <v>787</v>
      </c>
      <c r="I40" s="16">
        <v>45092</v>
      </c>
    </row>
    <row r="41" spans="1:9">
      <c r="A41" s="15" t="s">
        <v>880</v>
      </c>
      <c r="B41" s="16">
        <v>45108</v>
      </c>
      <c r="C41" s="6" t="s">
        <v>255</v>
      </c>
      <c r="D41" s="1" t="s">
        <v>78</v>
      </c>
      <c r="E41" s="21">
        <v>0.71099999999999997</v>
      </c>
      <c r="F41" s="24" t="s">
        <v>97</v>
      </c>
      <c r="G41" s="1" t="s">
        <v>881</v>
      </c>
      <c r="H41" s="18" t="s">
        <v>787</v>
      </c>
      <c r="I41" s="16">
        <v>45092</v>
      </c>
    </row>
    <row r="42" spans="1:9">
      <c r="A42" s="15" t="s">
        <v>882</v>
      </c>
      <c r="B42" s="16">
        <v>45108</v>
      </c>
      <c r="C42" s="6" t="s">
        <v>224</v>
      </c>
      <c r="D42" s="1" t="s">
        <v>11</v>
      </c>
      <c r="E42" s="21">
        <v>0.98299999999999998</v>
      </c>
      <c r="F42" s="24" t="s">
        <v>598</v>
      </c>
      <c r="G42" s="1" t="s">
        <v>883</v>
      </c>
      <c r="H42" s="18" t="s">
        <v>687</v>
      </c>
      <c r="I42" s="16">
        <v>45064</v>
      </c>
    </row>
    <row r="43" spans="1:9">
      <c r="A43" s="15" t="s">
        <v>882</v>
      </c>
      <c r="B43" s="16">
        <v>45108</v>
      </c>
      <c r="C43" s="6" t="s">
        <v>225</v>
      </c>
      <c r="D43" s="1" t="s">
        <v>11</v>
      </c>
      <c r="E43" s="21">
        <v>3.0150000000000001</v>
      </c>
      <c r="F43" s="24" t="s">
        <v>598</v>
      </c>
      <c r="G43" s="1" t="s">
        <v>883</v>
      </c>
      <c r="H43" s="18" t="s">
        <v>687</v>
      </c>
      <c r="I43" s="16">
        <v>45064</v>
      </c>
    </row>
    <row r="44" spans="1:9">
      <c r="A44" s="15" t="s">
        <v>884</v>
      </c>
      <c r="B44" s="16">
        <v>45108</v>
      </c>
      <c r="C44" s="6" t="s">
        <v>773</v>
      </c>
      <c r="D44" s="1" t="s">
        <v>11</v>
      </c>
      <c r="E44" s="21">
        <v>0.66100000000000003</v>
      </c>
      <c r="F44" s="24" t="s">
        <v>598</v>
      </c>
      <c r="G44" s="1" t="s">
        <v>883</v>
      </c>
      <c r="H44" s="18" t="s">
        <v>622</v>
      </c>
      <c r="I44" s="16">
        <v>45082</v>
      </c>
    </row>
    <row r="45" spans="1:9">
      <c r="A45" s="15" t="s">
        <v>884</v>
      </c>
      <c r="B45" s="16">
        <v>45108</v>
      </c>
      <c r="C45" s="6" t="s">
        <v>260</v>
      </c>
      <c r="D45" s="1" t="s">
        <v>11</v>
      </c>
      <c r="E45" s="21">
        <v>0.53700000000000003</v>
      </c>
      <c r="F45" s="24" t="s">
        <v>598</v>
      </c>
      <c r="G45" s="1" t="s">
        <v>883</v>
      </c>
      <c r="H45" s="18" t="s">
        <v>622</v>
      </c>
      <c r="I45" s="16">
        <v>45082</v>
      </c>
    </row>
    <row r="46" spans="1:9">
      <c r="A46" s="15" t="s">
        <v>884</v>
      </c>
      <c r="B46" s="16">
        <v>45108</v>
      </c>
      <c r="C46" s="6" t="s">
        <v>225</v>
      </c>
      <c r="D46" s="1" t="s">
        <v>11</v>
      </c>
      <c r="E46" s="21">
        <v>3.742</v>
      </c>
      <c r="F46" s="24" t="s">
        <v>598</v>
      </c>
      <c r="G46" s="1" t="s">
        <v>883</v>
      </c>
      <c r="H46" s="18" t="s">
        <v>622</v>
      </c>
      <c r="I46" s="16">
        <v>45082</v>
      </c>
    </row>
    <row r="47" spans="1:9">
      <c r="A47" s="15" t="s">
        <v>884</v>
      </c>
      <c r="B47" s="16">
        <v>45108</v>
      </c>
      <c r="C47" s="6" t="s">
        <v>282</v>
      </c>
      <c r="D47" s="1" t="s">
        <v>11</v>
      </c>
      <c r="E47" s="21">
        <v>5.3159999999999998</v>
      </c>
      <c r="F47" s="24" t="s">
        <v>598</v>
      </c>
      <c r="G47" s="1" t="s">
        <v>883</v>
      </c>
      <c r="H47" s="18" t="s">
        <v>622</v>
      </c>
      <c r="I47" s="16">
        <v>45082</v>
      </c>
    </row>
    <row r="48" spans="1:9">
      <c r="A48" s="15" t="s">
        <v>885</v>
      </c>
      <c r="B48" s="16">
        <v>45108</v>
      </c>
      <c r="C48" s="6" t="s">
        <v>773</v>
      </c>
      <c r="D48" s="1" t="s">
        <v>11</v>
      </c>
      <c r="E48" s="21">
        <v>3.915</v>
      </c>
      <c r="F48" s="24" t="s">
        <v>598</v>
      </c>
      <c r="G48" s="1" t="s">
        <v>886</v>
      </c>
      <c r="H48" s="18" t="s">
        <v>400</v>
      </c>
      <c r="I48" s="16">
        <v>45056</v>
      </c>
    </row>
    <row r="49" spans="1:9">
      <c r="A49" s="15" t="s">
        <v>887</v>
      </c>
      <c r="B49" s="16">
        <v>45108</v>
      </c>
      <c r="C49" s="6" t="s">
        <v>282</v>
      </c>
      <c r="D49" s="1" t="s">
        <v>11</v>
      </c>
      <c r="E49" s="21">
        <v>6.5609999999999999</v>
      </c>
      <c r="F49" s="24" t="s">
        <v>598</v>
      </c>
      <c r="G49" s="1" t="s">
        <v>888</v>
      </c>
      <c r="H49" s="18" t="s">
        <v>466</v>
      </c>
      <c r="I49" s="16">
        <v>45056</v>
      </c>
    </row>
    <row r="50" spans="1:9">
      <c r="A50" s="15" t="s">
        <v>889</v>
      </c>
      <c r="B50" s="16">
        <v>45108</v>
      </c>
      <c r="C50" s="6" t="s">
        <v>282</v>
      </c>
      <c r="D50" s="1" t="s">
        <v>78</v>
      </c>
      <c r="E50" s="21">
        <f>20.922+7.431</f>
        <v>28.353000000000002</v>
      </c>
      <c r="F50" s="24" t="s">
        <v>86</v>
      </c>
      <c r="G50" s="1" t="s">
        <v>890</v>
      </c>
      <c r="H50" s="18" t="s">
        <v>704</v>
      </c>
      <c r="I50" s="16">
        <v>45092</v>
      </c>
    </row>
    <row r="51" spans="1:9">
      <c r="A51" s="15" t="s">
        <v>889</v>
      </c>
      <c r="B51" s="16">
        <v>45108</v>
      </c>
      <c r="C51" s="6" t="s">
        <v>254</v>
      </c>
      <c r="D51" s="1" t="s">
        <v>78</v>
      </c>
      <c r="E51" s="21">
        <v>3.855</v>
      </c>
      <c r="F51" s="24" t="s">
        <v>86</v>
      </c>
      <c r="G51" s="1" t="s">
        <v>890</v>
      </c>
      <c r="H51" s="18" t="s">
        <v>704</v>
      </c>
      <c r="I51" s="16">
        <v>45092</v>
      </c>
    </row>
    <row r="52" spans="1:9">
      <c r="A52" s="15"/>
      <c r="B52" s="16"/>
      <c r="C52" s="6"/>
      <c r="D52" s="1"/>
      <c r="E52" s="58">
        <f>SUM(E36:E51)</f>
        <v>88.853999999999999</v>
      </c>
      <c r="F52" s="24"/>
      <c r="G52" s="1"/>
      <c r="H52" s="18"/>
      <c r="I52" s="16"/>
    </row>
    <row r="53" spans="1:9">
      <c r="A53" s="15" t="s">
        <v>900</v>
      </c>
      <c r="B53" s="16">
        <v>45109</v>
      </c>
      <c r="C53" s="6" t="s">
        <v>377</v>
      </c>
      <c r="D53" s="1" t="s">
        <v>11</v>
      </c>
      <c r="E53" s="21">
        <v>8.0589999999999993</v>
      </c>
      <c r="F53" s="24" t="s">
        <v>22</v>
      </c>
      <c r="G53" s="1" t="s">
        <v>901</v>
      </c>
      <c r="H53" s="18" t="s">
        <v>730</v>
      </c>
      <c r="I53" s="16">
        <v>45092</v>
      </c>
    </row>
    <row r="54" spans="1:9">
      <c r="A54" s="15" t="s">
        <v>900</v>
      </c>
      <c r="B54" s="16">
        <v>45109</v>
      </c>
      <c r="C54" s="6" t="s">
        <v>343</v>
      </c>
      <c r="D54" s="1" t="s">
        <v>11</v>
      </c>
      <c r="E54" s="21">
        <v>4.5979999999999999</v>
      </c>
      <c r="F54" s="24" t="s">
        <v>22</v>
      </c>
      <c r="G54" s="1" t="s">
        <v>901</v>
      </c>
      <c r="H54" s="18" t="s">
        <v>730</v>
      </c>
      <c r="I54" s="16">
        <v>45092</v>
      </c>
    </row>
    <row r="55" spans="1:9">
      <c r="A55" s="15" t="s">
        <v>900</v>
      </c>
      <c r="B55" s="16">
        <v>45109</v>
      </c>
      <c r="C55" s="6" t="s">
        <v>224</v>
      </c>
      <c r="D55" s="1" t="s">
        <v>11</v>
      </c>
      <c r="E55" s="21">
        <f>5.111+1.341</f>
        <v>6.452</v>
      </c>
      <c r="F55" s="24" t="s">
        <v>22</v>
      </c>
      <c r="G55" s="1" t="s">
        <v>901</v>
      </c>
      <c r="H55" s="18" t="s">
        <v>730</v>
      </c>
      <c r="I55" s="16">
        <v>45092</v>
      </c>
    </row>
    <row r="56" spans="1:9">
      <c r="A56" s="15" t="s">
        <v>902</v>
      </c>
      <c r="B56" s="16">
        <v>45109</v>
      </c>
      <c r="C56" s="6" t="s">
        <v>252</v>
      </c>
      <c r="D56" s="1" t="s">
        <v>11</v>
      </c>
      <c r="E56" s="21">
        <v>1.4550000000000001</v>
      </c>
      <c r="F56" s="24" t="s">
        <v>22</v>
      </c>
      <c r="G56" s="1" t="s">
        <v>903</v>
      </c>
      <c r="H56" s="18" t="s">
        <v>622</v>
      </c>
      <c r="I56" s="16">
        <v>45082</v>
      </c>
    </row>
    <row r="57" spans="1:9">
      <c r="A57" s="15" t="s">
        <v>902</v>
      </c>
      <c r="B57" s="16">
        <v>45109</v>
      </c>
      <c r="C57" s="6" t="s">
        <v>365</v>
      </c>
      <c r="D57" s="1" t="s">
        <v>11</v>
      </c>
      <c r="E57" s="21">
        <v>0.67200000000000004</v>
      </c>
      <c r="F57" s="24" t="s">
        <v>22</v>
      </c>
      <c r="G57" s="1" t="s">
        <v>903</v>
      </c>
      <c r="H57" s="18" t="s">
        <v>622</v>
      </c>
      <c r="I57" s="16">
        <v>45082</v>
      </c>
    </row>
    <row r="58" spans="1:9">
      <c r="A58" s="15" t="s">
        <v>904</v>
      </c>
      <c r="B58" s="16">
        <v>45109</v>
      </c>
      <c r="C58" s="6" t="s">
        <v>225</v>
      </c>
      <c r="D58" s="1" t="s">
        <v>11</v>
      </c>
      <c r="E58" s="21">
        <v>2.3319999999999999</v>
      </c>
      <c r="F58" s="24" t="s">
        <v>22</v>
      </c>
      <c r="G58" s="1" t="s">
        <v>903</v>
      </c>
      <c r="H58" s="18" t="s">
        <v>687</v>
      </c>
      <c r="I58" s="16">
        <v>45064</v>
      </c>
    </row>
    <row r="59" spans="1:9">
      <c r="A59" s="15" t="s">
        <v>904</v>
      </c>
      <c r="B59" s="16">
        <v>45109</v>
      </c>
      <c r="C59" s="6" t="s">
        <v>224</v>
      </c>
      <c r="D59" s="1" t="s">
        <v>11</v>
      </c>
      <c r="E59" s="21">
        <v>1.6819999999999999</v>
      </c>
      <c r="F59" s="24" t="s">
        <v>22</v>
      </c>
      <c r="G59" s="1" t="s">
        <v>903</v>
      </c>
      <c r="H59" s="18" t="s">
        <v>687</v>
      </c>
      <c r="I59" s="16">
        <v>45064</v>
      </c>
    </row>
    <row r="60" spans="1:9">
      <c r="A60" s="15" t="s">
        <v>910</v>
      </c>
      <c r="B60" s="16">
        <v>45109</v>
      </c>
      <c r="C60" s="6" t="s">
        <v>260</v>
      </c>
      <c r="D60" s="1" t="s">
        <v>78</v>
      </c>
      <c r="E60" s="21">
        <v>17.96</v>
      </c>
      <c r="F60" s="24" t="s">
        <v>86</v>
      </c>
      <c r="G60" s="1" t="s">
        <v>911</v>
      </c>
      <c r="H60" s="18" t="s">
        <v>704</v>
      </c>
      <c r="I60" s="16">
        <v>45092</v>
      </c>
    </row>
    <row r="61" spans="1:9">
      <c r="A61" s="15" t="s">
        <v>910</v>
      </c>
      <c r="B61" s="16">
        <v>45109</v>
      </c>
      <c r="C61" s="6" t="s">
        <v>254</v>
      </c>
      <c r="D61" s="1" t="s">
        <v>78</v>
      </c>
      <c r="E61" s="21">
        <f>3.612+1.712</f>
        <v>5.3239999999999998</v>
      </c>
      <c r="F61" s="24" t="s">
        <v>86</v>
      </c>
      <c r="G61" s="1" t="s">
        <v>911</v>
      </c>
      <c r="H61" s="18" t="s">
        <v>704</v>
      </c>
      <c r="I61" s="16">
        <v>45092</v>
      </c>
    </row>
    <row r="62" spans="1:9">
      <c r="A62" s="15" t="s">
        <v>910</v>
      </c>
      <c r="B62" s="16">
        <v>45109</v>
      </c>
      <c r="C62" s="6" t="s">
        <v>282</v>
      </c>
      <c r="D62" s="1" t="s">
        <v>78</v>
      </c>
      <c r="E62" s="21">
        <v>3.2890000000000001</v>
      </c>
      <c r="F62" s="24" t="s">
        <v>86</v>
      </c>
      <c r="G62" s="1" t="s">
        <v>911</v>
      </c>
      <c r="H62" s="18" t="s">
        <v>704</v>
      </c>
      <c r="I62" s="16">
        <v>45092</v>
      </c>
    </row>
    <row r="63" spans="1:9">
      <c r="A63" s="15" t="s">
        <v>912</v>
      </c>
      <c r="B63" s="16">
        <v>45109</v>
      </c>
      <c r="C63" s="6" t="s">
        <v>260</v>
      </c>
      <c r="D63" s="1" t="s">
        <v>78</v>
      </c>
      <c r="E63" s="21">
        <v>5.0960000000000001</v>
      </c>
      <c r="F63" s="24" t="s">
        <v>86</v>
      </c>
      <c r="G63" s="1" t="s">
        <v>913</v>
      </c>
      <c r="H63" s="18" t="s">
        <v>787</v>
      </c>
      <c r="I63" s="16">
        <v>45092</v>
      </c>
    </row>
    <row r="64" spans="1:9">
      <c r="A64" s="15" t="s">
        <v>914</v>
      </c>
      <c r="B64" s="16">
        <v>45109</v>
      </c>
      <c r="C64" s="6" t="s">
        <v>282</v>
      </c>
      <c r="D64" s="1" t="s">
        <v>78</v>
      </c>
      <c r="E64" s="21">
        <v>2.8050000000000002</v>
      </c>
      <c r="F64" s="24" t="s">
        <v>97</v>
      </c>
      <c r="G64" s="1" t="s">
        <v>915</v>
      </c>
      <c r="H64" s="18" t="s">
        <v>704</v>
      </c>
      <c r="I64" s="16">
        <v>45092</v>
      </c>
    </row>
    <row r="65" spans="1:9">
      <c r="A65" s="15" t="s">
        <v>914</v>
      </c>
      <c r="B65" s="16">
        <v>45109</v>
      </c>
      <c r="C65" s="6" t="s">
        <v>254</v>
      </c>
      <c r="D65" s="1" t="s">
        <v>78</v>
      </c>
      <c r="E65" s="21">
        <v>5.9740000000000002</v>
      </c>
      <c r="F65" s="24" t="s">
        <v>97</v>
      </c>
      <c r="G65" s="1" t="s">
        <v>915</v>
      </c>
      <c r="H65" s="18" t="s">
        <v>704</v>
      </c>
      <c r="I65" s="16">
        <v>45092</v>
      </c>
    </row>
    <row r="66" spans="1:9">
      <c r="A66" s="15" t="s">
        <v>914</v>
      </c>
      <c r="B66" s="16">
        <v>45109</v>
      </c>
      <c r="C66" s="6" t="s">
        <v>225</v>
      </c>
      <c r="D66" s="1" t="s">
        <v>78</v>
      </c>
      <c r="E66" s="21">
        <v>6.2460000000000004</v>
      </c>
      <c r="F66" s="24" t="s">
        <v>97</v>
      </c>
      <c r="G66" s="1" t="s">
        <v>915</v>
      </c>
      <c r="H66" s="18" t="s">
        <v>704</v>
      </c>
      <c r="I66" s="16">
        <v>45092</v>
      </c>
    </row>
    <row r="67" spans="1:9">
      <c r="A67" s="15" t="s">
        <v>914</v>
      </c>
      <c r="B67" s="16">
        <v>45109</v>
      </c>
      <c r="C67" s="6" t="s">
        <v>255</v>
      </c>
      <c r="D67" s="1" t="s">
        <v>78</v>
      </c>
      <c r="E67" s="21">
        <v>1.0720000000000001</v>
      </c>
      <c r="F67" s="24" t="s">
        <v>97</v>
      </c>
      <c r="G67" s="1" t="s">
        <v>915</v>
      </c>
      <c r="H67" s="18" t="s">
        <v>704</v>
      </c>
      <c r="I67" s="16">
        <v>45092</v>
      </c>
    </row>
    <row r="68" spans="1:9">
      <c r="A68" s="15" t="s">
        <v>914</v>
      </c>
      <c r="B68" s="16">
        <v>45109</v>
      </c>
      <c r="C68" s="6" t="s">
        <v>226</v>
      </c>
      <c r="D68" s="1" t="s">
        <v>78</v>
      </c>
      <c r="E68" s="21">
        <f>2.823+6.769</f>
        <v>9.5920000000000005</v>
      </c>
      <c r="F68" s="24" t="s">
        <v>97</v>
      </c>
      <c r="G68" s="1" t="s">
        <v>915</v>
      </c>
      <c r="H68" s="18" t="s">
        <v>704</v>
      </c>
      <c r="I68" s="16">
        <v>45092</v>
      </c>
    </row>
    <row r="69" spans="1:9">
      <c r="A69" s="15" t="s">
        <v>916</v>
      </c>
      <c r="B69" s="16">
        <v>45109</v>
      </c>
      <c r="C69" s="6" t="s">
        <v>254</v>
      </c>
      <c r="D69" s="1" t="s">
        <v>78</v>
      </c>
      <c r="E69" s="21">
        <v>2.2919999999999998</v>
      </c>
      <c r="F69" s="24" t="s">
        <v>97</v>
      </c>
      <c r="G69" s="1" t="s">
        <v>917</v>
      </c>
      <c r="H69" s="18" t="s">
        <v>787</v>
      </c>
      <c r="I69" s="16">
        <v>45092</v>
      </c>
    </row>
    <row r="70" spans="1:9">
      <c r="A70" s="15" t="s">
        <v>916</v>
      </c>
      <c r="B70" s="16">
        <v>45109</v>
      </c>
      <c r="C70" s="6" t="s">
        <v>200</v>
      </c>
      <c r="D70" s="1" t="s">
        <v>78</v>
      </c>
      <c r="E70" s="21">
        <v>3.9580000000000002</v>
      </c>
      <c r="F70" s="24" t="s">
        <v>97</v>
      </c>
      <c r="G70" s="1" t="s">
        <v>917</v>
      </c>
      <c r="H70" s="18" t="s">
        <v>787</v>
      </c>
      <c r="I70" s="16">
        <v>45092</v>
      </c>
    </row>
    <row r="71" spans="1:9">
      <c r="A71" s="15"/>
      <c r="B71" s="16"/>
      <c r="C71" s="6"/>
      <c r="D71" s="1"/>
      <c r="E71" s="41">
        <f>SUM(E53:E70)</f>
        <v>88.85799999999999</v>
      </c>
      <c r="F71" s="24"/>
      <c r="G71" s="1"/>
      <c r="H71" s="1"/>
      <c r="I71" s="3"/>
    </row>
    <row r="72" spans="1:9">
      <c r="A72" s="15" t="s">
        <v>931</v>
      </c>
      <c r="B72" s="16">
        <v>45110</v>
      </c>
      <c r="C72" s="6" t="s">
        <v>225</v>
      </c>
      <c r="D72" s="1" t="s">
        <v>11</v>
      </c>
      <c r="E72" s="21">
        <v>3.012</v>
      </c>
      <c r="F72" s="24" t="s">
        <v>36</v>
      </c>
      <c r="G72" s="1" t="s">
        <v>932</v>
      </c>
      <c r="H72" s="18" t="s">
        <v>730</v>
      </c>
      <c r="I72" s="16">
        <v>45092</v>
      </c>
    </row>
    <row r="73" spans="1:9">
      <c r="A73" s="15" t="s">
        <v>931</v>
      </c>
      <c r="B73" s="16">
        <v>45110</v>
      </c>
      <c r="C73" s="6" t="s">
        <v>260</v>
      </c>
      <c r="D73" s="1" t="s">
        <v>11</v>
      </c>
      <c r="E73" s="21">
        <v>5.5019999999999998</v>
      </c>
      <c r="F73" s="24" t="s">
        <v>36</v>
      </c>
      <c r="G73" s="1" t="s">
        <v>932</v>
      </c>
      <c r="H73" s="18" t="s">
        <v>730</v>
      </c>
      <c r="I73" s="16">
        <v>45092</v>
      </c>
    </row>
    <row r="74" spans="1:9">
      <c r="A74" s="15" t="s">
        <v>934</v>
      </c>
      <c r="B74" s="16">
        <v>45110</v>
      </c>
      <c r="C74" s="6" t="s">
        <v>933</v>
      </c>
      <c r="D74" s="1" t="s">
        <v>11</v>
      </c>
      <c r="E74" s="21">
        <f>7.493+8.33</f>
        <v>15.823</v>
      </c>
      <c r="F74" s="24" t="s">
        <v>36</v>
      </c>
      <c r="G74" s="1" t="s">
        <v>935</v>
      </c>
      <c r="H74" s="18" t="s">
        <v>936</v>
      </c>
      <c r="I74" s="16">
        <v>45097</v>
      </c>
    </row>
    <row r="75" spans="1:9">
      <c r="A75" s="15" t="s">
        <v>934</v>
      </c>
      <c r="B75" s="16">
        <v>45110</v>
      </c>
      <c r="C75" s="6" t="s">
        <v>891</v>
      </c>
      <c r="D75" s="1" t="s">
        <v>11</v>
      </c>
      <c r="E75" s="21">
        <v>0.61</v>
      </c>
      <c r="F75" s="24" t="s">
        <v>36</v>
      </c>
      <c r="G75" s="1" t="s">
        <v>935</v>
      </c>
      <c r="H75" s="18" t="s">
        <v>936</v>
      </c>
      <c r="I75" s="16">
        <v>45097</v>
      </c>
    </row>
    <row r="76" spans="1:9">
      <c r="A76" s="15" t="s">
        <v>944</v>
      </c>
      <c r="B76" s="16">
        <v>45110</v>
      </c>
      <c r="C76" s="6" t="s">
        <v>942</v>
      </c>
      <c r="D76" s="1" t="s">
        <v>11</v>
      </c>
      <c r="E76" s="21">
        <v>17.994</v>
      </c>
      <c r="F76" s="24" t="s">
        <v>42</v>
      </c>
      <c r="G76" s="1" t="s">
        <v>945</v>
      </c>
      <c r="H76" s="18" t="s">
        <v>704</v>
      </c>
      <c r="I76" s="16">
        <v>45092</v>
      </c>
    </row>
    <row r="77" spans="1:9">
      <c r="A77" s="15" t="s">
        <v>944</v>
      </c>
      <c r="B77" s="16">
        <v>45110</v>
      </c>
      <c r="C77" s="6" t="s">
        <v>943</v>
      </c>
      <c r="D77" s="1" t="s">
        <v>11</v>
      </c>
      <c r="E77" s="21">
        <f>2.083+4.933</f>
        <v>7.016</v>
      </c>
      <c r="F77" s="24" t="s">
        <v>42</v>
      </c>
      <c r="G77" s="1" t="s">
        <v>945</v>
      </c>
      <c r="H77" s="18" t="s">
        <v>704</v>
      </c>
      <c r="I77" s="16">
        <v>45092</v>
      </c>
    </row>
    <row r="78" spans="1:9">
      <c r="A78" s="15" t="s">
        <v>949</v>
      </c>
      <c r="B78" s="16">
        <v>45110</v>
      </c>
      <c r="C78" s="6" t="s">
        <v>946</v>
      </c>
      <c r="D78" s="1" t="s">
        <v>78</v>
      </c>
      <c r="E78" s="21">
        <v>2.2309999999999999</v>
      </c>
      <c r="F78" s="24" t="s">
        <v>97</v>
      </c>
      <c r="G78" s="1" t="s">
        <v>950</v>
      </c>
      <c r="H78" s="18" t="s">
        <v>704</v>
      </c>
      <c r="I78" s="16">
        <v>45092</v>
      </c>
    </row>
    <row r="79" spans="1:9">
      <c r="A79" s="15" t="s">
        <v>949</v>
      </c>
      <c r="B79" s="16">
        <v>45110</v>
      </c>
      <c r="C79" s="6" t="s">
        <v>947</v>
      </c>
      <c r="D79" s="1" t="s">
        <v>78</v>
      </c>
      <c r="E79" s="21">
        <f>21.862+3.651</f>
        <v>25.512999999999998</v>
      </c>
      <c r="F79" s="24" t="s">
        <v>97</v>
      </c>
      <c r="G79" s="1" t="s">
        <v>950</v>
      </c>
      <c r="H79" s="18" t="s">
        <v>704</v>
      </c>
      <c r="I79" s="16">
        <v>45092</v>
      </c>
    </row>
    <row r="80" spans="1:9">
      <c r="A80" s="15" t="s">
        <v>949</v>
      </c>
      <c r="B80" s="16">
        <v>45110</v>
      </c>
      <c r="C80" s="6" t="s">
        <v>942</v>
      </c>
      <c r="D80" s="1" t="s">
        <v>78</v>
      </c>
      <c r="E80" s="21">
        <v>2.677</v>
      </c>
      <c r="F80" s="24" t="s">
        <v>97</v>
      </c>
      <c r="G80" s="1" t="s">
        <v>950</v>
      </c>
      <c r="H80" s="18" t="s">
        <v>704</v>
      </c>
      <c r="I80" s="16">
        <v>45092</v>
      </c>
    </row>
    <row r="81" spans="1:9">
      <c r="A81" s="15" t="s">
        <v>949</v>
      </c>
      <c r="B81" s="16">
        <v>45110</v>
      </c>
      <c r="C81" s="6" t="s">
        <v>948</v>
      </c>
      <c r="D81" s="1" t="s">
        <v>78</v>
      </c>
      <c r="E81" s="21">
        <v>1.909</v>
      </c>
      <c r="F81" s="24" t="s">
        <v>97</v>
      </c>
      <c r="G81" s="1" t="s">
        <v>950</v>
      </c>
      <c r="H81" s="18" t="s">
        <v>704</v>
      </c>
      <c r="I81" s="16">
        <v>45092</v>
      </c>
    </row>
    <row r="82" spans="1:9">
      <c r="A82" s="15" t="s">
        <v>951</v>
      </c>
      <c r="B82" s="16">
        <v>45110</v>
      </c>
      <c r="C82" s="6" t="s">
        <v>942</v>
      </c>
      <c r="D82" s="1" t="s">
        <v>78</v>
      </c>
      <c r="E82" s="21">
        <v>5.8959999999999999</v>
      </c>
      <c r="F82" s="24" t="s">
        <v>116</v>
      </c>
      <c r="G82" s="1" t="s">
        <v>953</v>
      </c>
      <c r="H82" s="18" t="s">
        <v>704</v>
      </c>
      <c r="I82" s="16">
        <v>45092</v>
      </c>
    </row>
    <row r="83" spans="1:9">
      <c r="A83" s="15" t="s">
        <v>951</v>
      </c>
      <c r="B83" s="16">
        <v>45110</v>
      </c>
      <c r="C83" s="6" t="s">
        <v>948</v>
      </c>
      <c r="D83" s="1" t="s">
        <v>78</v>
      </c>
      <c r="E83" s="21">
        <f>14.81+4.263</f>
        <v>19.073</v>
      </c>
      <c r="F83" s="24" t="s">
        <v>116</v>
      </c>
      <c r="G83" s="1" t="s">
        <v>953</v>
      </c>
      <c r="H83" s="18" t="s">
        <v>704</v>
      </c>
      <c r="I83" s="16">
        <v>45092</v>
      </c>
    </row>
    <row r="84" spans="1:9">
      <c r="A84" s="15" t="s">
        <v>951</v>
      </c>
      <c r="B84" s="16">
        <v>45110</v>
      </c>
      <c r="C84" s="6" t="s">
        <v>952</v>
      </c>
      <c r="D84" s="1" t="s">
        <v>78</v>
      </c>
      <c r="E84" s="21">
        <v>7.569</v>
      </c>
      <c r="F84" s="24" t="s">
        <v>116</v>
      </c>
      <c r="G84" s="1" t="s">
        <v>953</v>
      </c>
      <c r="H84" s="18" t="s">
        <v>704</v>
      </c>
      <c r="I84" s="16">
        <v>45092</v>
      </c>
    </row>
    <row r="85" spans="1:9">
      <c r="A85" s="15"/>
      <c r="B85" s="16"/>
      <c r="C85" s="6"/>
      <c r="D85" s="1"/>
      <c r="E85" s="41">
        <f>SUM(E72:E84)</f>
        <v>114.825</v>
      </c>
      <c r="F85" s="24"/>
      <c r="G85" s="1"/>
      <c r="H85" s="1"/>
      <c r="I85" s="3"/>
    </row>
    <row r="86" spans="1:9">
      <c r="A86" s="15" t="s">
        <v>954</v>
      </c>
      <c r="B86" s="16">
        <v>45111</v>
      </c>
      <c r="C86" s="6" t="s">
        <v>948</v>
      </c>
      <c r="D86" s="1" t="s">
        <v>11</v>
      </c>
      <c r="E86" s="21">
        <f>17.111+0.7</f>
        <v>17.811</v>
      </c>
      <c r="F86" s="24" t="s">
        <v>955</v>
      </c>
      <c r="G86" s="1" t="s">
        <v>956</v>
      </c>
      <c r="H86" s="18" t="s">
        <v>936</v>
      </c>
      <c r="I86" s="16">
        <v>45097</v>
      </c>
    </row>
    <row r="87" spans="1:9">
      <c r="A87" s="15" t="s">
        <v>954</v>
      </c>
      <c r="B87" s="16">
        <v>45111</v>
      </c>
      <c r="C87" s="6" t="s">
        <v>943</v>
      </c>
      <c r="D87" s="1" t="s">
        <v>11</v>
      </c>
      <c r="E87" s="21">
        <v>2.194</v>
      </c>
      <c r="F87" s="24" t="s">
        <v>955</v>
      </c>
      <c r="G87" s="1" t="s">
        <v>956</v>
      </c>
      <c r="H87" s="18" t="s">
        <v>936</v>
      </c>
      <c r="I87" s="16">
        <v>45097</v>
      </c>
    </row>
    <row r="88" spans="1:9">
      <c r="A88" s="15" t="s">
        <v>957</v>
      </c>
      <c r="B88" s="16">
        <v>45111</v>
      </c>
      <c r="C88" s="6" t="s">
        <v>958</v>
      </c>
      <c r="D88" s="1" t="s">
        <v>11</v>
      </c>
      <c r="E88" s="21">
        <v>5.3460000000000001</v>
      </c>
      <c r="F88" s="24" t="s">
        <v>955</v>
      </c>
      <c r="G88" s="1" t="s">
        <v>959</v>
      </c>
      <c r="H88" s="18" t="s">
        <v>730</v>
      </c>
      <c r="I88" s="16">
        <v>45092</v>
      </c>
    </row>
    <row r="89" spans="1:9">
      <c r="A89" s="15" t="s">
        <v>960</v>
      </c>
      <c r="B89" s="16">
        <v>45111</v>
      </c>
      <c r="C89" s="6" t="s">
        <v>961</v>
      </c>
      <c r="D89" s="1" t="s">
        <v>11</v>
      </c>
      <c r="E89" s="21">
        <v>24.835999999999999</v>
      </c>
      <c r="F89" s="24" t="s">
        <v>962</v>
      </c>
      <c r="G89" s="1" t="s">
        <v>963</v>
      </c>
      <c r="H89" s="18" t="s">
        <v>936</v>
      </c>
      <c r="I89" s="16">
        <v>45097</v>
      </c>
    </row>
    <row r="90" spans="1:9">
      <c r="A90" s="15" t="s">
        <v>965</v>
      </c>
      <c r="B90" s="16">
        <v>45111</v>
      </c>
      <c r="C90" s="6" t="s">
        <v>964</v>
      </c>
      <c r="D90" s="1" t="s">
        <v>78</v>
      </c>
      <c r="E90" s="21">
        <v>14.021000000000001</v>
      </c>
      <c r="F90" s="24" t="s">
        <v>116</v>
      </c>
      <c r="G90" s="1" t="s">
        <v>966</v>
      </c>
      <c r="H90" s="18" t="s">
        <v>704</v>
      </c>
      <c r="I90" s="16">
        <v>45092</v>
      </c>
    </row>
    <row r="91" spans="1:9">
      <c r="A91" s="15" t="s">
        <v>965</v>
      </c>
      <c r="B91" s="16">
        <v>45111</v>
      </c>
      <c r="C91" s="6" t="s">
        <v>952</v>
      </c>
      <c r="D91" s="1" t="s">
        <v>78</v>
      </c>
      <c r="E91" s="21">
        <v>2.0150000000000001</v>
      </c>
      <c r="F91" s="24" t="s">
        <v>116</v>
      </c>
      <c r="G91" s="1" t="s">
        <v>966</v>
      </c>
      <c r="H91" s="18" t="s">
        <v>704</v>
      </c>
      <c r="I91" s="16">
        <v>45092</v>
      </c>
    </row>
    <row r="92" spans="1:9">
      <c r="A92" s="15" t="s">
        <v>967</v>
      </c>
      <c r="B92" s="16">
        <v>45111</v>
      </c>
      <c r="C92" s="6" t="s">
        <v>964</v>
      </c>
      <c r="D92" s="1" t="s">
        <v>78</v>
      </c>
      <c r="E92" s="21">
        <v>1.8340000000000001</v>
      </c>
      <c r="F92" s="24" t="s">
        <v>116</v>
      </c>
      <c r="G92" s="14" t="s">
        <v>966</v>
      </c>
      <c r="H92" s="18" t="s">
        <v>787</v>
      </c>
      <c r="I92" s="16">
        <v>45092</v>
      </c>
    </row>
    <row r="93" spans="1:9">
      <c r="A93" s="15" t="s">
        <v>968</v>
      </c>
      <c r="B93" s="16">
        <v>45111</v>
      </c>
      <c r="C93" s="6" t="s">
        <v>475</v>
      </c>
      <c r="D93" s="1" t="s">
        <v>78</v>
      </c>
      <c r="E93" s="21">
        <f>2.934+0.603</f>
        <v>3.5369999999999999</v>
      </c>
      <c r="F93" s="24" t="s">
        <v>116</v>
      </c>
      <c r="G93" s="1" t="s">
        <v>970</v>
      </c>
      <c r="H93" s="18" t="s">
        <v>971</v>
      </c>
      <c r="I93" s="16">
        <v>45111</v>
      </c>
    </row>
    <row r="94" spans="1:9">
      <c r="A94" s="15" t="s">
        <v>968</v>
      </c>
      <c r="B94" s="16">
        <v>45111</v>
      </c>
      <c r="C94" s="6" t="s">
        <v>260</v>
      </c>
      <c r="D94" s="1" t="s">
        <v>78</v>
      </c>
      <c r="E94" s="21">
        <v>1.716</v>
      </c>
      <c r="F94" s="24" t="s">
        <v>116</v>
      </c>
      <c r="G94" s="1" t="s">
        <v>970</v>
      </c>
      <c r="H94" s="18" t="s">
        <v>971</v>
      </c>
      <c r="I94" s="16">
        <v>45111</v>
      </c>
    </row>
    <row r="95" spans="1:9">
      <c r="A95" s="15" t="s">
        <v>968</v>
      </c>
      <c r="B95" s="16">
        <v>45111</v>
      </c>
      <c r="C95" s="6" t="s">
        <v>224</v>
      </c>
      <c r="D95" s="1" t="s">
        <v>78</v>
      </c>
      <c r="E95" s="21">
        <v>1.054</v>
      </c>
      <c r="F95" s="24" t="s">
        <v>116</v>
      </c>
      <c r="G95" s="1" t="s">
        <v>970</v>
      </c>
      <c r="H95" s="18" t="s">
        <v>971</v>
      </c>
      <c r="I95" s="16">
        <v>45111</v>
      </c>
    </row>
    <row r="96" spans="1:9">
      <c r="A96" s="15" t="s">
        <v>968</v>
      </c>
      <c r="B96" s="16">
        <v>45111</v>
      </c>
      <c r="C96" s="6" t="s">
        <v>969</v>
      </c>
      <c r="D96" s="1" t="s">
        <v>78</v>
      </c>
      <c r="E96" s="21">
        <f>0.835+0.044</f>
        <v>0.879</v>
      </c>
      <c r="F96" s="24" t="s">
        <v>116</v>
      </c>
      <c r="G96" s="1" t="s">
        <v>970</v>
      </c>
      <c r="H96" s="18" t="s">
        <v>971</v>
      </c>
      <c r="I96" s="16">
        <v>45111</v>
      </c>
    </row>
    <row r="97" spans="1:9">
      <c r="A97" s="15" t="s">
        <v>968</v>
      </c>
      <c r="B97" s="16">
        <v>45111</v>
      </c>
      <c r="C97" s="6" t="s">
        <v>699</v>
      </c>
      <c r="D97" s="1" t="s">
        <v>78</v>
      </c>
      <c r="E97" s="21">
        <v>3.609</v>
      </c>
      <c r="F97" s="24" t="s">
        <v>116</v>
      </c>
      <c r="G97" s="1" t="s">
        <v>970</v>
      </c>
      <c r="H97" s="18" t="s">
        <v>971</v>
      </c>
      <c r="I97" s="16">
        <v>45111</v>
      </c>
    </row>
    <row r="98" spans="1:9">
      <c r="A98" s="15" t="s">
        <v>968</v>
      </c>
      <c r="B98" s="16">
        <v>45111</v>
      </c>
      <c r="C98" s="6" t="s">
        <v>891</v>
      </c>
      <c r="D98" s="1" t="s">
        <v>78</v>
      </c>
      <c r="E98" s="21">
        <v>2.7290000000000001</v>
      </c>
      <c r="F98" s="24" t="s">
        <v>116</v>
      </c>
      <c r="G98" s="1" t="s">
        <v>970</v>
      </c>
      <c r="H98" s="18" t="s">
        <v>971</v>
      </c>
      <c r="I98" s="16">
        <v>45111</v>
      </c>
    </row>
    <row r="99" spans="1:9">
      <c r="A99" s="15"/>
      <c r="B99" s="16"/>
      <c r="C99" s="6"/>
      <c r="D99" s="1"/>
      <c r="E99" s="58">
        <f>SUM(E86:E98)</f>
        <v>81.581000000000003</v>
      </c>
      <c r="F99" s="24"/>
      <c r="G99" s="1"/>
      <c r="H99" s="1"/>
      <c r="I99" s="16"/>
    </row>
    <row r="100" spans="1:9">
      <c r="A100" s="15" t="s">
        <v>978</v>
      </c>
      <c r="B100" s="16">
        <v>45113</v>
      </c>
      <c r="C100" s="6" t="s">
        <v>344</v>
      </c>
      <c r="D100" s="1" t="s">
        <v>11</v>
      </c>
      <c r="E100" s="21">
        <f>22.607+2.485</f>
        <v>25.091999999999999</v>
      </c>
      <c r="F100" s="24" t="s">
        <v>522</v>
      </c>
      <c r="G100" s="1" t="s">
        <v>979</v>
      </c>
      <c r="H100" s="18" t="s">
        <v>936</v>
      </c>
      <c r="I100" s="16">
        <v>45097</v>
      </c>
    </row>
    <row r="101" spans="1:9">
      <c r="A101" s="15" t="s">
        <v>980</v>
      </c>
      <c r="B101" s="16">
        <v>45113</v>
      </c>
      <c r="C101" s="6" t="s">
        <v>226</v>
      </c>
      <c r="D101" s="1" t="s">
        <v>11</v>
      </c>
      <c r="E101" s="21">
        <v>10.545999999999999</v>
      </c>
      <c r="F101" s="24" t="s">
        <v>598</v>
      </c>
      <c r="G101" s="1" t="s">
        <v>981</v>
      </c>
      <c r="H101" s="18" t="s">
        <v>936</v>
      </c>
      <c r="I101" s="16">
        <v>45097</v>
      </c>
    </row>
    <row r="102" spans="1:9">
      <c r="A102" s="66" t="s">
        <v>980</v>
      </c>
      <c r="B102" s="67">
        <v>45113</v>
      </c>
      <c r="C102" s="6" t="s">
        <v>344</v>
      </c>
      <c r="D102" s="6" t="s">
        <v>11</v>
      </c>
      <c r="E102" s="21">
        <v>6.1970000000000001</v>
      </c>
      <c r="F102" s="27" t="s">
        <v>598</v>
      </c>
      <c r="G102" s="6" t="s">
        <v>981</v>
      </c>
      <c r="H102" s="68" t="s">
        <v>936</v>
      </c>
      <c r="I102" s="67">
        <v>45097</v>
      </c>
    </row>
    <row r="103" spans="1:9">
      <c r="A103" s="69" t="s">
        <v>980</v>
      </c>
      <c r="B103" s="70">
        <v>45113</v>
      </c>
      <c r="C103" s="71" t="s">
        <v>699</v>
      </c>
      <c r="D103" s="71" t="s">
        <v>11</v>
      </c>
      <c r="E103" s="56">
        <v>8.33</v>
      </c>
      <c r="F103" s="72" t="s">
        <v>598</v>
      </c>
      <c r="G103" s="71" t="s">
        <v>981</v>
      </c>
      <c r="H103" s="73" t="s">
        <v>936</v>
      </c>
      <c r="I103" s="70">
        <v>45097</v>
      </c>
    </row>
    <row r="104" spans="1:9">
      <c r="A104" s="15" t="s">
        <v>982</v>
      </c>
      <c r="B104" s="16">
        <v>45113</v>
      </c>
      <c r="C104" s="6" t="s">
        <v>310</v>
      </c>
      <c r="D104" s="1" t="s">
        <v>78</v>
      </c>
      <c r="E104" s="21">
        <f>1.431+15.834</f>
        <v>17.265000000000001</v>
      </c>
      <c r="F104" s="24" t="s">
        <v>116</v>
      </c>
      <c r="G104" s="1" t="s">
        <v>983</v>
      </c>
      <c r="H104" s="18" t="s">
        <v>704</v>
      </c>
      <c r="I104" s="16">
        <v>45092</v>
      </c>
    </row>
    <row r="105" spans="1:9">
      <c r="A105" s="15" t="s">
        <v>982</v>
      </c>
      <c r="B105" s="16">
        <v>45113</v>
      </c>
      <c r="C105" s="6" t="s">
        <v>196</v>
      </c>
      <c r="D105" s="1" t="s">
        <v>78</v>
      </c>
      <c r="E105" s="21">
        <v>2.0840000000000001</v>
      </c>
      <c r="F105" s="24" t="s">
        <v>116</v>
      </c>
      <c r="G105" s="1" t="s">
        <v>983</v>
      </c>
      <c r="H105" s="18" t="s">
        <v>704</v>
      </c>
      <c r="I105" s="16">
        <v>45092</v>
      </c>
    </row>
    <row r="106" spans="1:9">
      <c r="A106" s="15" t="s">
        <v>982</v>
      </c>
      <c r="B106" s="16">
        <v>45113</v>
      </c>
      <c r="C106" s="6" t="s">
        <v>282</v>
      </c>
      <c r="D106" s="1" t="s">
        <v>78</v>
      </c>
      <c r="E106" s="21">
        <v>2.8959999999999999</v>
      </c>
      <c r="F106" s="24" t="s">
        <v>116</v>
      </c>
      <c r="G106" s="1" t="s">
        <v>983</v>
      </c>
      <c r="H106" s="18" t="s">
        <v>704</v>
      </c>
      <c r="I106" s="16">
        <v>45092</v>
      </c>
    </row>
    <row r="107" spans="1:9">
      <c r="A107" s="15" t="s">
        <v>982</v>
      </c>
      <c r="B107" s="16">
        <v>45113</v>
      </c>
      <c r="C107" s="6" t="s">
        <v>227</v>
      </c>
      <c r="D107" s="1" t="s">
        <v>78</v>
      </c>
      <c r="E107" s="21">
        <v>2.8679999999999999</v>
      </c>
      <c r="F107" s="24" t="s">
        <v>116</v>
      </c>
      <c r="G107" s="1" t="s">
        <v>983</v>
      </c>
      <c r="H107" s="18" t="s">
        <v>704</v>
      </c>
      <c r="I107" s="16">
        <v>45092</v>
      </c>
    </row>
    <row r="108" spans="1:9">
      <c r="A108" s="15" t="s">
        <v>984</v>
      </c>
      <c r="B108" s="16">
        <v>45113</v>
      </c>
      <c r="C108" s="6" t="s">
        <v>227</v>
      </c>
      <c r="D108" s="1" t="s">
        <v>78</v>
      </c>
      <c r="E108" s="21">
        <v>1.1000000000000001</v>
      </c>
      <c r="F108" s="24" t="s">
        <v>116</v>
      </c>
      <c r="G108" s="1" t="s">
        <v>985</v>
      </c>
      <c r="H108" s="18" t="s">
        <v>701</v>
      </c>
      <c r="I108" s="16">
        <v>45092</v>
      </c>
    </row>
    <row r="109" spans="1:9">
      <c r="A109" s="15" t="s">
        <v>986</v>
      </c>
      <c r="B109" s="16">
        <v>45113</v>
      </c>
      <c r="C109" s="6" t="s">
        <v>226</v>
      </c>
      <c r="D109" s="1" t="s">
        <v>78</v>
      </c>
      <c r="E109" s="21">
        <v>1.413</v>
      </c>
      <c r="F109" s="24" t="s">
        <v>116</v>
      </c>
      <c r="G109" s="1" t="s">
        <v>987</v>
      </c>
      <c r="H109" s="18" t="s">
        <v>787</v>
      </c>
      <c r="I109" s="16">
        <v>45092</v>
      </c>
    </row>
    <row r="110" spans="1:9">
      <c r="A110" s="15" t="s">
        <v>986</v>
      </c>
      <c r="B110" s="16">
        <v>45113</v>
      </c>
      <c r="C110" s="6" t="s">
        <v>310</v>
      </c>
      <c r="D110" s="1" t="s">
        <v>78</v>
      </c>
      <c r="E110" s="21">
        <v>1.2589999999999999</v>
      </c>
      <c r="F110" s="24" t="s">
        <v>116</v>
      </c>
      <c r="G110" s="1" t="s">
        <v>987</v>
      </c>
      <c r="H110" s="18" t="s">
        <v>787</v>
      </c>
      <c r="I110" s="16">
        <v>45092</v>
      </c>
    </row>
    <row r="111" spans="1:9">
      <c r="A111" s="15" t="s">
        <v>986</v>
      </c>
      <c r="B111" s="16">
        <v>45113</v>
      </c>
      <c r="C111" s="6" t="s">
        <v>254</v>
      </c>
      <c r="D111" s="1" t="s">
        <v>78</v>
      </c>
      <c r="E111" s="21">
        <f>1.544+0.649</f>
        <v>2.1930000000000001</v>
      </c>
      <c r="F111" s="24" t="s">
        <v>116</v>
      </c>
      <c r="G111" s="1" t="s">
        <v>987</v>
      </c>
      <c r="H111" s="18" t="s">
        <v>787</v>
      </c>
      <c r="I111" s="16">
        <v>45092</v>
      </c>
    </row>
    <row r="112" spans="1:9">
      <c r="A112" s="15" t="s">
        <v>990</v>
      </c>
      <c r="B112" s="16">
        <v>45113</v>
      </c>
      <c r="C112" s="6" t="s">
        <v>578</v>
      </c>
      <c r="D112" s="1" t="s">
        <v>11</v>
      </c>
      <c r="E112" s="21">
        <v>3.4020000000000001</v>
      </c>
      <c r="F112" s="24" t="s">
        <v>228</v>
      </c>
      <c r="G112" s="1" t="s">
        <v>991</v>
      </c>
      <c r="H112" s="18" t="s">
        <v>936</v>
      </c>
      <c r="I112" s="16">
        <v>45097</v>
      </c>
    </row>
    <row r="113" spans="1:9">
      <c r="A113" s="15" t="s">
        <v>990</v>
      </c>
      <c r="B113" s="16">
        <v>45113</v>
      </c>
      <c r="C113" s="6" t="s">
        <v>578</v>
      </c>
      <c r="D113" s="1" t="s">
        <v>11</v>
      </c>
      <c r="E113" s="21">
        <v>20.852</v>
      </c>
      <c r="F113" s="24" t="s">
        <v>228</v>
      </c>
      <c r="G113" s="1" t="s">
        <v>991</v>
      </c>
      <c r="H113" s="18" t="s">
        <v>936</v>
      </c>
      <c r="I113" s="16">
        <v>45097</v>
      </c>
    </row>
    <row r="114" spans="1:9">
      <c r="A114" s="15" t="s">
        <v>990</v>
      </c>
      <c r="B114" s="16">
        <v>45113</v>
      </c>
      <c r="C114" s="6" t="s">
        <v>200</v>
      </c>
      <c r="D114" s="1" t="s">
        <v>11</v>
      </c>
      <c r="E114" s="21">
        <v>0.48699999999999999</v>
      </c>
      <c r="F114" s="24" t="s">
        <v>228</v>
      </c>
      <c r="G114" s="1" t="s">
        <v>991</v>
      </c>
      <c r="H114" s="18" t="s">
        <v>936</v>
      </c>
      <c r="I114" s="16">
        <v>45097</v>
      </c>
    </row>
    <row r="115" spans="1:9">
      <c r="A115" s="15"/>
      <c r="B115" s="16"/>
      <c r="C115" s="6"/>
      <c r="D115" s="1"/>
      <c r="E115" s="58">
        <f>SUM(E100:E114)</f>
        <v>105.98399999999999</v>
      </c>
      <c r="F115" s="24"/>
      <c r="G115" s="1"/>
      <c r="H115" s="18"/>
      <c r="I115" s="16"/>
    </row>
    <row r="116" spans="1:9">
      <c r="A116" s="15" t="s">
        <v>1002</v>
      </c>
      <c r="B116" s="16">
        <v>45114</v>
      </c>
      <c r="C116" s="6" t="s">
        <v>301</v>
      </c>
      <c r="D116" s="1" t="s">
        <v>11</v>
      </c>
      <c r="E116" s="32">
        <f>3.608+2.375</f>
        <v>5.9830000000000005</v>
      </c>
      <c r="F116" s="24" t="s">
        <v>522</v>
      </c>
      <c r="G116" s="1" t="s">
        <v>1003</v>
      </c>
      <c r="H116" s="18" t="s">
        <v>936</v>
      </c>
      <c r="I116" s="16">
        <v>45097</v>
      </c>
    </row>
    <row r="117" spans="1:9">
      <c r="A117" s="15" t="s">
        <v>1002</v>
      </c>
      <c r="B117" s="16">
        <v>45114</v>
      </c>
      <c r="C117" s="6" t="s">
        <v>344</v>
      </c>
      <c r="D117" s="1" t="s">
        <v>11</v>
      </c>
      <c r="E117" s="32">
        <v>14.31</v>
      </c>
      <c r="F117" s="24" t="s">
        <v>522</v>
      </c>
      <c r="G117" s="1" t="s">
        <v>1003</v>
      </c>
      <c r="H117" s="18" t="s">
        <v>936</v>
      </c>
      <c r="I117" s="16">
        <v>45097</v>
      </c>
    </row>
    <row r="118" spans="1:9">
      <c r="A118" s="15" t="s">
        <v>1004</v>
      </c>
      <c r="B118" s="16">
        <v>45114</v>
      </c>
      <c r="C118" s="6" t="s">
        <v>254</v>
      </c>
      <c r="D118" s="1" t="s">
        <v>11</v>
      </c>
      <c r="E118" s="32">
        <v>4.423</v>
      </c>
      <c r="F118" s="24" t="s">
        <v>522</v>
      </c>
      <c r="G118" s="1" t="s">
        <v>1005</v>
      </c>
      <c r="H118" s="18" t="s">
        <v>730</v>
      </c>
      <c r="I118" s="16">
        <v>45092</v>
      </c>
    </row>
    <row r="119" spans="1:9">
      <c r="A119" s="15" t="s">
        <v>1006</v>
      </c>
      <c r="B119" s="16">
        <v>45114</v>
      </c>
      <c r="C119" s="6" t="s">
        <v>225</v>
      </c>
      <c r="D119" s="1" t="s">
        <v>11</v>
      </c>
      <c r="E119" s="32">
        <v>3.109</v>
      </c>
      <c r="F119" s="24" t="s">
        <v>598</v>
      </c>
      <c r="G119" s="1" t="s">
        <v>1007</v>
      </c>
      <c r="H119" s="18" t="s">
        <v>687</v>
      </c>
      <c r="I119" s="16">
        <v>45064</v>
      </c>
    </row>
    <row r="120" spans="1:9">
      <c r="A120" s="15" t="s">
        <v>1008</v>
      </c>
      <c r="B120" s="16">
        <v>45114</v>
      </c>
      <c r="C120" s="6" t="s">
        <v>377</v>
      </c>
      <c r="D120" s="1" t="s">
        <v>11</v>
      </c>
      <c r="E120" s="32">
        <v>3.012</v>
      </c>
      <c r="F120" s="24" t="s">
        <v>598</v>
      </c>
      <c r="G120" s="1" t="s">
        <v>1007</v>
      </c>
      <c r="H120" s="18" t="s">
        <v>730</v>
      </c>
      <c r="I120" s="16">
        <v>45092</v>
      </c>
    </row>
    <row r="121" spans="1:9">
      <c r="A121" s="15" t="s">
        <v>1009</v>
      </c>
      <c r="B121" s="16">
        <v>45114</v>
      </c>
      <c r="C121" s="6" t="s">
        <v>301</v>
      </c>
      <c r="D121" s="1" t="s">
        <v>11</v>
      </c>
      <c r="E121" s="32">
        <f>1.806+5.433</f>
        <v>7.2389999999999999</v>
      </c>
      <c r="F121" s="24" t="s">
        <v>598</v>
      </c>
      <c r="G121" s="1" t="s">
        <v>1010</v>
      </c>
      <c r="H121" s="18" t="s">
        <v>936</v>
      </c>
      <c r="I121" s="16">
        <v>45097</v>
      </c>
    </row>
    <row r="122" spans="1:9">
      <c r="A122" s="15" t="s">
        <v>1009</v>
      </c>
      <c r="B122" s="16">
        <v>45114</v>
      </c>
      <c r="C122" s="6" t="s">
        <v>699</v>
      </c>
      <c r="D122" s="1" t="s">
        <v>11</v>
      </c>
      <c r="E122" s="32">
        <v>7.7409999999999997</v>
      </c>
      <c r="F122" s="24" t="s">
        <v>598</v>
      </c>
      <c r="G122" s="1" t="s">
        <v>1010</v>
      </c>
      <c r="H122" s="18" t="s">
        <v>936</v>
      </c>
      <c r="I122" s="16">
        <v>45097</v>
      </c>
    </row>
    <row r="123" spans="1:9">
      <c r="A123" s="15" t="s">
        <v>1009</v>
      </c>
      <c r="B123" s="16">
        <v>45114</v>
      </c>
      <c r="C123" s="6" t="s">
        <v>344</v>
      </c>
      <c r="D123" s="1" t="s">
        <v>11</v>
      </c>
      <c r="E123" s="32">
        <v>3.4660000000000002</v>
      </c>
      <c r="F123" s="24" t="s">
        <v>598</v>
      </c>
      <c r="G123" s="1" t="s">
        <v>1010</v>
      </c>
      <c r="H123" s="18" t="s">
        <v>936</v>
      </c>
      <c r="I123" s="16">
        <v>45097</v>
      </c>
    </row>
    <row r="124" spans="1:9">
      <c r="A124" s="15" t="s">
        <v>1011</v>
      </c>
      <c r="B124" s="16">
        <v>45114</v>
      </c>
      <c r="C124" s="6" t="s">
        <v>255</v>
      </c>
      <c r="D124" s="1" t="s">
        <v>78</v>
      </c>
      <c r="E124" s="32">
        <v>5.53</v>
      </c>
      <c r="F124" s="24" t="s">
        <v>116</v>
      </c>
      <c r="G124" s="1" t="s">
        <v>1012</v>
      </c>
      <c r="H124" s="18" t="s">
        <v>704</v>
      </c>
      <c r="I124" s="16">
        <v>45092</v>
      </c>
    </row>
    <row r="125" spans="1:9">
      <c r="A125" s="15" t="s">
        <v>1011</v>
      </c>
      <c r="B125" s="16">
        <v>45114</v>
      </c>
      <c r="C125" s="6" t="s">
        <v>282</v>
      </c>
      <c r="D125" s="1" t="s">
        <v>78</v>
      </c>
      <c r="E125" s="32">
        <v>5.367</v>
      </c>
      <c r="F125" s="24" t="s">
        <v>116</v>
      </c>
      <c r="G125" s="1" t="s">
        <v>1012</v>
      </c>
      <c r="H125" s="18" t="s">
        <v>704</v>
      </c>
      <c r="I125" s="16">
        <v>45092</v>
      </c>
    </row>
    <row r="126" spans="1:9">
      <c r="A126" s="15" t="s">
        <v>1011</v>
      </c>
      <c r="B126" s="16">
        <v>45114</v>
      </c>
      <c r="C126" s="6" t="s">
        <v>205</v>
      </c>
      <c r="D126" s="1" t="s">
        <v>78</v>
      </c>
      <c r="E126" s="32">
        <f>1.497+1.795</f>
        <v>3.2919999999999998</v>
      </c>
      <c r="F126" s="24" t="s">
        <v>116</v>
      </c>
      <c r="G126" s="1" t="s">
        <v>1012</v>
      </c>
      <c r="H126" s="18" t="s">
        <v>704</v>
      </c>
      <c r="I126" s="16">
        <v>45092</v>
      </c>
    </row>
    <row r="127" spans="1:9">
      <c r="A127" s="15" t="s">
        <v>1011</v>
      </c>
      <c r="B127" s="16">
        <v>45114</v>
      </c>
      <c r="C127" s="6" t="s">
        <v>345</v>
      </c>
      <c r="D127" s="1" t="s">
        <v>78</v>
      </c>
      <c r="E127" s="32">
        <v>2.2389999999999999</v>
      </c>
      <c r="F127" s="24" t="s">
        <v>116</v>
      </c>
      <c r="G127" s="1" t="s">
        <v>1012</v>
      </c>
      <c r="H127" s="18" t="s">
        <v>704</v>
      </c>
      <c r="I127" s="16">
        <v>45092</v>
      </c>
    </row>
    <row r="128" spans="1:9">
      <c r="A128" s="15" t="s">
        <v>1011</v>
      </c>
      <c r="B128" s="16">
        <v>45114</v>
      </c>
      <c r="C128" s="6" t="s">
        <v>208</v>
      </c>
      <c r="D128" s="1" t="s">
        <v>78</v>
      </c>
      <c r="E128" s="32">
        <v>6.274</v>
      </c>
      <c r="F128" s="24" t="s">
        <v>116</v>
      </c>
      <c r="G128" s="1" t="s">
        <v>1012</v>
      </c>
      <c r="H128" s="18" t="s">
        <v>704</v>
      </c>
      <c r="I128" s="16">
        <v>45092</v>
      </c>
    </row>
    <row r="129" spans="1:9">
      <c r="A129" s="15" t="s">
        <v>1013</v>
      </c>
      <c r="B129" s="16">
        <v>45114</v>
      </c>
      <c r="C129" s="6" t="s">
        <v>227</v>
      </c>
      <c r="D129" s="1" t="s">
        <v>78</v>
      </c>
      <c r="E129" s="21">
        <v>3.6619999999999999</v>
      </c>
      <c r="F129" s="24" t="s">
        <v>116</v>
      </c>
      <c r="G129" s="1" t="s">
        <v>1014</v>
      </c>
      <c r="H129" s="18" t="s">
        <v>787</v>
      </c>
      <c r="I129" s="16">
        <v>45092</v>
      </c>
    </row>
    <row r="130" spans="1:9">
      <c r="A130" s="15" t="s">
        <v>1013</v>
      </c>
      <c r="B130" s="16">
        <v>45114</v>
      </c>
      <c r="C130" s="6" t="s">
        <v>346</v>
      </c>
      <c r="D130" s="1" t="s">
        <v>78</v>
      </c>
      <c r="E130" s="21">
        <v>2.2789999999999999</v>
      </c>
      <c r="F130" s="24" t="s">
        <v>116</v>
      </c>
      <c r="G130" s="1" t="s">
        <v>1014</v>
      </c>
      <c r="H130" s="18" t="s">
        <v>787</v>
      </c>
      <c r="I130" s="16">
        <v>45092</v>
      </c>
    </row>
    <row r="131" spans="1:9">
      <c r="A131" s="15" t="s">
        <v>1015</v>
      </c>
      <c r="B131" s="16">
        <v>45114</v>
      </c>
      <c r="C131" s="6" t="s">
        <v>301</v>
      </c>
      <c r="D131" s="1" t="s">
        <v>78</v>
      </c>
      <c r="E131" s="21">
        <v>3.4580000000000002</v>
      </c>
      <c r="F131" s="24" t="s">
        <v>116</v>
      </c>
      <c r="G131" s="1" t="s">
        <v>1014</v>
      </c>
      <c r="H131" s="18" t="s">
        <v>1016</v>
      </c>
      <c r="I131" s="16">
        <v>45109</v>
      </c>
    </row>
    <row r="132" spans="1:9">
      <c r="A132" s="15"/>
      <c r="B132" s="16"/>
      <c r="C132" s="6"/>
      <c r="D132" s="1"/>
      <c r="E132" s="58">
        <f>SUM(E116:E131)</f>
        <v>81.384</v>
      </c>
      <c r="F132" s="24"/>
      <c r="G132" s="1"/>
      <c r="H132" s="18"/>
      <c r="I132" s="16"/>
    </row>
    <row r="133" spans="1:9">
      <c r="A133" s="15" t="s">
        <v>1017</v>
      </c>
      <c r="B133" s="16">
        <v>45115</v>
      </c>
      <c r="C133" s="6" t="s">
        <v>282</v>
      </c>
      <c r="D133" s="1" t="s">
        <v>78</v>
      </c>
      <c r="E133" s="21">
        <v>4.2930000000000001</v>
      </c>
      <c r="F133" s="24" t="s">
        <v>116</v>
      </c>
      <c r="G133" s="1" t="s">
        <v>1018</v>
      </c>
      <c r="H133" s="18" t="s">
        <v>704</v>
      </c>
      <c r="I133" s="16">
        <v>45092</v>
      </c>
    </row>
    <row r="134" spans="1:9">
      <c r="A134" s="15" t="s">
        <v>1017</v>
      </c>
      <c r="B134" s="16">
        <v>45115</v>
      </c>
      <c r="C134" s="6" t="s">
        <v>205</v>
      </c>
      <c r="D134" s="1" t="s">
        <v>78</v>
      </c>
      <c r="E134" s="21">
        <v>1.579</v>
      </c>
      <c r="F134" s="24" t="s">
        <v>116</v>
      </c>
      <c r="G134" s="1" t="s">
        <v>1018</v>
      </c>
      <c r="H134" s="18" t="s">
        <v>704</v>
      </c>
      <c r="I134" s="16">
        <v>45092</v>
      </c>
    </row>
    <row r="135" spans="1:9">
      <c r="A135" s="15" t="s">
        <v>1017</v>
      </c>
      <c r="B135" s="16">
        <v>45115</v>
      </c>
      <c r="C135" s="6" t="s">
        <v>225</v>
      </c>
      <c r="D135" s="1" t="s">
        <v>78</v>
      </c>
      <c r="E135" s="21">
        <v>3.343</v>
      </c>
      <c r="F135" s="24" t="s">
        <v>116</v>
      </c>
      <c r="G135" s="1" t="s">
        <v>1018</v>
      </c>
      <c r="H135" s="18" t="s">
        <v>704</v>
      </c>
      <c r="I135" s="16">
        <v>45092</v>
      </c>
    </row>
    <row r="136" spans="1:9">
      <c r="A136" s="15" t="s">
        <v>1019</v>
      </c>
      <c r="B136" s="16">
        <v>45115</v>
      </c>
      <c r="C136" s="6" t="s">
        <v>196</v>
      </c>
      <c r="D136" s="1" t="s">
        <v>78</v>
      </c>
      <c r="E136" s="21">
        <v>0.23300000000000001</v>
      </c>
      <c r="F136" s="24" t="s">
        <v>116</v>
      </c>
      <c r="G136" s="1" t="s">
        <v>1020</v>
      </c>
      <c r="H136" s="18" t="s">
        <v>787</v>
      </c>
      <c r="I136" s="16">
        <v>45092</v>
      </c>
    </row>
    <row r="137" spans="1:9">
      <c r="A137" s="15" t="s">
        <v>1019</v>
      </c>
      <c r="B137" s="16">
        <v>45115</v>
      </c>
      <c r="C137" s="6" t="s">
        <v>282</v>
      </c>
      <c r="D137" s="1" t="s">
        <v>78</v>
      </c>
      <c r="E137" s="21">
        <f>0.258+0.12</f>
        <v>0.378</v>
      </c>
      <c r="F137" s="24" t="s">
        <v>116</v>
      </c>
      <c r="G137" s="1" t="s">
        <v>1020</v>
      </c>
      <c r="H137" s="18" t="s">
        <v>787</v>
      </c>
      <c r="I137" s="16">
        <v>45092</v>
      </c>
    </row>
    <row r="138" spans="1:9">
      <c r="A138" s="15" t="s">
        <v>1019</v>
      </c>
      <c r="B138" s="16">
        <v>45115</v>
      </c>
      <c r="C138" s="6" t="s">
        <v>205</v>
      </c>
      <c r="D138" s="1" t="s">
        <v>78</v>
      </c>
      <c r="E138" s="21">
        <v>2.4860000000000002</v>
      </c>
      <c r="F138" s="24" t="s">
        <v>116</v>
      </c>
      <c r="G138" s="1" t="s">
        <v>1020</v>
      </c>
      <c r="H138" s="18" t="s">
        <v>787</v>
      </c>
      <c r="I138" s="16">
        <v>45092</v>
      </c>
    </row>
    <row r="139" spans="1:9">
      <c r="A139" s="15" t="s">
        <v>1021</v>
      </c>
      <c r="B139" s="16">
        <v>45115</v>
      </c>
      <c r="C139" s="6" t="s">
        <v>301</v>
      </c>
      <c r="D139" s="1" t="s">
        <v>78</v>
      </c>
      <c r="E139" s="21">
        <v>20.515000000000001</v>
      </c>
      <c r="F139" s="24" t="s">
        <v>116</v>
      </c>
      <c r="G139" s="1" t="s">
        <v>1022</v>
      </c>
      <c r="H139" s="18" t="s">
        <v>1016</v>
      </c>
      <c r="I139" s="16">
        <v>45109</v>
      </c>
    </row>
    <row r="140" spans="1:9">
      <c r="A140" s="15" t="s">
        <v>1023</v>
      </c>
      <c r="B140" s="16">
        <v>45115</v>
      </c>
      <c r="C140" s="6" t="s">
        <v>226</v>
      </c>
      <c r="D140" s="1" t="s">
        <v>11</v>
      </c>
      <c r="E140" s="21">
        <v>2.0310000000000001</v>
      </c>
      <c r="F140" s="24" t="s">
        <v>386</v>
      </c>
      <c r="G140" s="1" t="s">
        <v>1024</v>
      </c>
      <c r="H140" s="18" t="s">
        <v>936</v>
      </c>
      <c r="I140" s="16">
        <v>45097</v>
      </c>
    </row>
    <row r="141" spans="1:9">
      <c r="A141" s="15" t="s">
        <v>1023</v>
      </c>
      <c r="B141" s="16">
        <v>45115</v>
      </c>
      <c r="C141" s="6" t="s">
        <v>578</v>
      </c>
      <c r="D141" s="1" t="s">
        <v>11</v>
      </c>
      <c r="E141" s="21">
        <v>2.577</v>
      </c>
      <c r="F141" s="24" t="s">
        <v>386</v>
      </c>
      <c r="G141" s="1" t="s">
        <v>1024</v>
      </c>
      <c r="H141" s="18" t="s">
        <v>936</v>
      </c>
      <c r="I141" s="16">
        <v>45097</v>
      </c>
    </row>
    <row r="142" spans="1:9">
      <c r="A142" s="15" t="s">
        <v>1023</v>
      </c>
      <c r="B142" s="16">
        <v>45115</v>
      </c>
      <c r="C142" s="6" t="s">
        <v>344</v>
      </c>
      <c r="D142" s="1" t="s">
        <v>11</v>
      </c>
      <c r="E142" s="21">
        <f>1.683+1.469</f>
        <v>3.1520000000000001</v>
      </c>
      <c r="F142" s="24" t="s">
        <v>386</v>
      </c>
      <c r="G142" s="1" t="s">
        <v>1024</v>
      </c>
      <c r="H142" s="18" t="s">
        <v>936</v>
      </c>
      <c r="I142" s="16">
        <v>45097</v>
      </c>
    </row>
    <row r="143" spans="1:9">
      <c r="A143" s="15" t="s">
        <v>1023</v>
      </c>
      <c r="B143" s="16">
        <v>45115</v>
      </c>
      <c r="C143" s="6" t="s">
        <v>699</v>
      </c>
      <c r="D143" s="1" t="s">
        <v>11</v>
      </c>
      <c r="E143" s="21">
        <v>2.423</v>
      </c>
      <c r="F143" s="24" t="s">
        <v>386</v>
      </c>
      <c r="G143" s="1" t="s">
        <v>1024</v>
      </c>
      <c r="H143" s="18" t="s">
        <v>936</v>
      </c>
      <c r="I143" s="16">
        <v>45097</v>
      </c>
    </row>
    <row r="144" spans="1:9">
      <c r="A144" s="15" t="s">
        <v>1025</v>
      </c>
      <c r="B144" s="16">
        <v>45115</v>
      </c>
      <c r="C144" s="6" t="s">
        <v>205</v>
      </c>
      <c r="D144" s="1" t="s">
        <v>11</v>
      </c>
      <c r="E144" s="21">
        <v>14.568</v>
      </c>
      <c r="F144" s="24" t="s">
        <v>386</v>
      </c>
      <c r="G144" s="1" t="s">
        <v>1026</v>
      </c>
      <c r="H144" s="18" t="s">
        <v>730</v>
      </c>
      <c r="I144" s="16">
        <v>45092</v>
      </c>
    </row>
    <row r="145" spans="1:9">
      <c r="A145" s="15"/>
      <c r="B145" s="16"/>
      <c r="C145" s="6"/>
      <c r="D145" s="1"/>
      <c r="E145" s="58">
        <f>SUM(E133:E144)</f>
        <v>57.577999999999996</v>
      </c>
      <c r="F145" s="24"/>
      <c r="G145" s="1"/>
      <c r="H145" s="18"/>
      <c r="I145" s="16"/>
    </row>
    <row r="146" spans="1:9">
      <c r="A146" s="60" t="s">
        <v>1027</v>
      </c>
      <c r="B146" s="61">
        <v>45116</v>
      </c>
      <c r="C146" s="62" t="s">
        <v>226</v>
      </c>
      <c r="D146" s="63" t="s">
        <v>78</v>
      </c>
      <c r="E146" s="32">
        <v>8.9860000000000007</v>
      </c>
      <c r="F146" s="63" t="s">
        <v>116</v>
      </c>
      <c r="G146" s="63" t="s">
        <v>1028</v>
      </c>
      <c r="H146" s="64" t="s">
        <v>1029</v>
      </c>
      <c r="I146" s="61">
        <v>45103</v>
      </c>
    </row>
    <row r="147" spans="1:9">
      <c r="A147" s="60" t="s">
        <v>1030</v>
      </c>
      <c r="B147" s="61">
        <v>45116</v>
      </c>
      <c r="C147" s="62" t="s">
        <v>609</v>
      </c>
      <c r="D147" s="63" t="s">
        <v>78</v>
      </c>
      <c r="E147" s="32">
        <f>1.589+18.061</f>
        <v>19.649999999999999</v>
      </c>
      <c r="F147" s="63" t="s">
        <v>116</v>
      </c>
      <c r="G147" s="63" t="s">
        <v>1034</v>
      </c>
      <c r="H147" s="64" t="s">
        <v>1035</v>
      </c>
      <c r="I147" s="61">
        <v>45103</v>
      </c>
    </row>
    <row r="148" spans="1:9">
      <c r="A148" s="60" t="s">
        <v>1031</v>
      </c>
      <c r="B148" s="61">
        <v>45116</v>
      </c>
      <c r="C148" s="62" t="s">
        <v>699</v>
      </c>
      <c r="D148" s="63" t="s">
        <v>78</v>
      </c>
      <c r="E148" s="32">
        <v>0.65700000000000003</v>
      </c>
      <c r="F148" s="63" t="s">
        <v>116</v>
      </c>
      <c r="G148" s="63" t="s">
        <v>1036</v>
      </c>
      <c r="H148" s="64" t="s">
        <v>1037</v>
      </c>
      <c r="I148" s="61">
        <v>45109</v>
      </c>
    </row>
    <row r="149" spans="1:9">
      <c r="A149" s="60" t="s">
        <v>1032</v>
      </c>
      <c r="B149" s="61">
        <v>45116</v>
      </c>
      <c r="C149" s="62" t="s">
        <v>578</v>
      </c>
      <c r="D149" s="63" t="s">
        <v>78</v>
      </c>
      <c r="E149" s="32">
        <v>0.748</v>
      </c>
      <c r="F149" s="63" t="s">
        <v>116</v>
      </c>
      <c r="G149" s="63" t="s">
        <v>1036</v>
      </c>
      <c r="H149" s="64" t="s">
        <v>1016</v>
      </c>
      <c r="I149" s="61">
        <v>45109</v>
      </c>
    </row>
    <row r="150" spans="1:9">
      <c r="A150" s="60" t="s">
        <v>1033</v>
      </c>
      <c r="B150" s="61">
        <v>45116</v>
      </c>
      <c r="C150" s="62" t="s">
        <v>209</v>
      </c>
      <c r="D150" s="63" t="s">
        <v>78</v>
      </c>
      <c r="E150" s="32">
        <v>0.68400000000000005</v>
      </c>
      <c r="F150" s="63" t="s">
        <v>116</v>
      </c>
      <c r="G150" s="63" t="s">
        <v>1036</v>
      </c>
      <c r="H150" s="64" t="s">
        <v>704</v>
      </c>
      <c r="I150" s="61">
        <v>45092</v>
      </c>
    </row>
    <row r="151" spans="1:9">
      <c r="A151" s="60"/>
      <c r="B151" s="61"/>
      <c r="C151" s="62"/>
      <c r="D151" s="63"/>
      <c r="E151" s="65">
        <f>SUM(E146:E150)</f>
        <v>30.725000000000001</v>
      </c>
      <c r="F151" s="63"/>
      <c r="G151" s="63"/>
      <c r="H151" s="64"/>
      <c r="I151" s="61"/>
    </row>
    <row r="152" spans="1:9">
      <c r="A152" s="60" t="s">
        <v>1044</v>
      </c>
      <c r="B152" s="61">
        <v>45117</v>
      </c>
      <c r="C152" s="6" t="s">
        <v>227</v>
      </c>
      <c r="D152" s="1" t="s">
        <v>11</v>
      </c>
      <c r="E152" s="32">
        <v>24.920999999999999</v>
      </c>
      <c r="F152" s="24" t="s">
        <v>1045</v>
      </c>
      <c r="G152" s="1" t="s">
        <v>1046</v>
      </c>
      <c r="H152" s="18" t="s">
        <v>936</v>
      </c>
      <c r="I152" s="16">
        <v>45097</v>
      </c>
    </row>
    <row r="153" spans="1:9">
      <c r="A153" s="60" t="s">
        <v>1047</v>
      </c>
      <c r="B153" s="61">
        <v>45117</v>
      </c>
      <c r="C153" s="6" t="s">
        <v>205</v>
      </c>
      <c r="D153" s="63" t="s">
        <v>78</v>
      </c>
      <c r="E153" s="32">
        <f>13.045+5.999</f>
        <v>19.044</v>
      </c>
      <c r="F153" s="63" t="s">
        <v>116</v>
      </c>
      <c r="G153" s="1" t="s">
        <v>1048</v>
      </c>
      <c r="H153" s="64" t="s">
        <v>1029</v>
      </c>
      <c r="I153" s="61">
        <v>45103</v>
      </c>
    </row>
    <row r="154" spans="1:9">
      <c r="A154" s="60" t="s">
        <v>1047</v>
      </c>
      <c r="B154" s="61">
        <v>45117</v>
      </c>
      <c r="C154" s="6" t="s">
        <v>244</v>
      </c>
      <c r="D154" s="63" t="s">
        <v>78</v>
      </c>
      <c r="E154" s="32">
        <v>6.67</v>
      </c>
      <c r="F154" s="63" t="s">
        <v>116</v>
      </c>
      <c r="G154" s="1" t="s">
        <v>1048</v>
      </c>
      <c r="H154" s="64" t="s">
        <v>1029</v>
      </c>
      <c r="I154" s="61">
        <v>45103</v>
      </c>
    </row>
    <row r="155" spans="1:9">
      <c r="A155" s="60" t="s">
        <v>1049</v>
      </c>
      <c r="B155" s="61">
        <v>45117</v>
      </c>
      <c r="C155" s="6" t="s">
        <v>226</v>
      </c>
      <c r="D155" s="63" t="s">
        <v>78</v>
      </c>
      <c r="E155" s="32">
        <v>0.77</v>
      </c>
      <c r="F155" s="63" t="s">
        <v>116</v>
      </c>
      <c r="G155" s="1" t="s">
        <v>1050</v>
      </c>
      <c r="H155" s="64" t="s">
        <v>704</v>
      </c>
      <c r="I155" s="61">
        <v>45092</v>
      </c>
    </row>
    <row r="156" spans="1:9">
      <c r="A156" s="60" t="s">
        <v>1049</v>
      </c>
      <c r="B156" s="61">
        <v>45117</v>
      </c>
      <c r="C156" s="6" t="s">
        <v>345</v>
      </c>
      <c r="D156" s="63" t="s">
        <v>78</v>
      </c>
      <c r="E156" s="32">
        <v>1.9550000000000001</v>
      </c>
      <c r="F156" s="63" t="s">
        <v>116</v>
      </c>
      <c r="G156" s="1" t="s">
        <v>1050</v>
      </c>
      <c r="H156" s="64" t="s">
        <v>704</v>
      </c>
      <c r="I156" s="61">
        <v>45092</v>
      </c>
    </row>
    <row r="157" spans="1:9">
      <c r="A157" s="60" t="s">
        <v>1049</v>
      </c>
      <c r="B157" s="61">
        <v>45117</v>
      </c>
      <c r="C157" s="6" t="s">
        <v>891</v>
      </c>
      <c r="D157" s="63" t="s">
        <v>78</v>
      </c>
      <c r="E157" s="32">
        <v>1.135</v>
      </c>
      <c r="F157" s="63" t="s">
        <v>116</v>
      </c>
      <c r="G157" s="1" t="s">
        <v>1050</v>
      </c>
      <c r="H157" s="64" t="s">
        <v>704</v>
      </c>
      <c r="I157" s="61">
        <v>45092</v>
      </c>
    </row>
    <row r="158" spans="1:9">
      <c r="A158" s="60" t="s">
        <v>1051</v>
      </c>
      <c r="B158" s="61">
        <v>45117</v>
      </c>
      <c r="C158" s="6" t="s">
        <v>891</v>
      </c>
      <c r="D158" s="63" t="s">
        <v>78</v>
      </c>
      <c r="E158" s="32">
        <v>1.8660000000000001</v>
      </c>
      <c r="F158" s="63" t="s">
        <v>116</v>
      </c>
      <c r="G158" s="1" t="s">
        <v>1050</v>
      </c>
      <c r="H158" s="64" t="s">
        <v>787</v>
      </c>
      <c r="I158" s="61">
        <v>45092</v>
      </c>
    </row>
    <row r="159" spans="1:9">
      <c r="A159" s="60" t="s">
        <v>1052</v>
      </c>
      <c r="B159" s="61">
        <v>45117</v>
      </c>
      <c r="C159" s="6" t="s">
        <v>227</v>
      </c>
      <c r="D159" s="1" t="s">
        <v>11</v>
      </c>
      <c r="E159" s="32">
        <f>10.686+9.312</f>
        <v>19.997999999999998</v>
      </c>
      <c r="F159" s="24" t="s">
        <v>42</v>
      </c>
      <c r="G159" s="1" t="s">
        <v>1053</v>
      </c>
      <c r="H159" s="18" t="s">
        <v>936</v>
      </c>
      <c r="I159" s="16">
        <v>45097</v>
      </c>
    </row>
    <row r="160" spans="1:9">
      <c r="A160" s="60" t="s">
        <v>1054</v>
      </c>
      <c r="B160" s="61">
        <v>45117</v>
      </c>
      <c r="C160" s="6" t="s">
        <v>205</v>
      </c>
      <c r="D160" s="1" t="s">
        <v>11</v>
      </c>
      <c r="E160" s="32">
        <v>4.7539999999999996</v>
      </c>
      <c r="F160" s="24" t="s">
        <v>42</v>
      </c>
      <c r="G160" s="1" t="s">
        <v>1055</v>
      </c>
      <c r="H160" s="18" t="s">
        <v>730</v>
      </c>
      <c r="I160" s="16">
        <v>45092</v>
      </c>
    </row>
    <row r="161" spans="1:9">
      <c r="A161" s="60" t="s">
        <v>1056</v>
      </c>
      <c r="B161" s="61">
        <v>45117</v>
      </c>
      <c r="C161" s="6" t="s">
        <v>196</v>
      </c>
      <c r="D161" s="63" t="s">
        <v>78</v>
      </c>
      <c r="E161" s="32">
        <f>15.273+17.549</f>
        <v>32.822000000000003</v>
      </c>
      <c r="F161" s="24" t="s">
        <v>83</v>
      </c>
      <c r="G161" s="1" t="s">
        <v>1057</v>
      </c>
      <c r="H161" s="64" t="s">
        <v>1029</v>
      </c>
      <c r="I161" s="61">
        <v>45103</v>
      </c>
    </row>
    <row r="162" spans="1:9">
      <c r="A162" s="15"/>
      <c r="B162" s="61"/>
      <c r="C162" s="6"/>
      <c r="D162" s="1"/>
      <c r="E162" s="65">
        <f>SUM(E152:E161)</f>
        <v>113.93500000000002</v>
      </c>
      <c r="F162" s="24"/>
      <c r="G162" s="1"/>
      <c r="H162" s="18"/>
      <c r="I162" s="16"/>
    </row>
    <row r="163" spans="1:9">
      <c r="A163" s="60" t="s">
        <v>1058</v>
      </c>
      <c r="B163" s="61">
        <v>45118</v>
      </c>
      <c r="C163" s="6" t="s">
        <v>345</v>
      </c>
      <c r="D163" s="1" t="s">
        <v>11</v>
      </c>
      <c r="E163" s="21">
        <f>11.79+1.092</f>
        <v>12.882</v>
      </c>
      <c r="F163" s="24" t="s">
        <v>630</v>
      </c>
      <c r="G163" s="1" t="s">
        <v>1059</v>
      </c>
      <c r="H163" s="18" t="s">
        <v>936</v>
      </c>
      <c r="I163" s="16">
        <v>45097</v>
      </c>
    </row>
    <row r="164" spans="1:9">
      <c r="A164" s="60" t="s">
        <v>1058</v>
      </c>
      <c r="B164" s="61">
        <v>45118</v>
      </c>
      <c r="C164" s="6" t="s">
        <v>263</v>
      </c>
      <c r="D164" s="1" t="s">
        <v>11</v>
      </c>
      <c r="E164" s="21">
        <v>11.824999999999999</v>
      </c>
      <c r="F164" s="24" t="s">
        <v>630</v>
      </c>
      <c r="G164" s="1" t="s">
        <v>1059</v>
      </c>
      <c r="H164" s="18" t="s">
        <v>936</v>
      </c>
      <c r="I164" s="16">
        <v>45097</v>
      </c>
    </row>
    <row r="165" spans="1:9">
      <c r="A165" s="60" t="s">
        <v>1060</v>
      </c>
      <c r="B165" s="61">
        <v>45118</v>
      </c>
      <c r="C165" s="6" t="s">
        <v>227</v>
      </c>
      <c r="D165" s="63" t="s">
        <v>78</v>
      </c>
      <c r="E165" s="21">
        <v>28.259</v>
      </c>
      <c r="F165" s="24" t="s">
        <v>83</v>
      </c>
      <c r="G165" s="1" t="s">
        <v>1061</v>
      </c>
      <c r="H165" s="64" t="s">
        <v>1035</v>
      </c>
      <c r="I165" s="61">
        <v>45103</v>
      </c>
    </row>
    <row r="166" spans="1:9">
      <c r="A166" s="60" t="s">
        <v>1062</v>
      </c>
      <c r="B166" s="61">
        <v>45118</v>
      </c>
      <c r="C166" s="6" t="s">
        <v>398</v>
      </c>
      <c r="D166" s="63" t="s">
        <v>78</v>
      </c>
      <c r="E166" s="21">
        <v>3.1680000000000001</v>
      </c>
      <c r="F166" s="24" t="s">
        <v>83</v>
      </c>
      <c r="G166" s="1" t="s">
        <v>1063</v>
      </c>
      <c r="H166" s="64" t="s">
        <v>1029</v>
      </c>
      <c r="I166" s="61">
        <v>45103</v>
      </c>
    </row>
    <row r="167" spans="1:9">
      <c r="A167" s="60" t="s">
        <v>1064</v>
      </c>
      <c r="B167" s="61">
        <v>45118</v>
      </c>
      <c r="C167" s="6" t="s">
        <v>301</v>
      </c>
      <c r="D167" s="63" t="s">
        <v>78</v>
      </c>
      <c r="E167" s="21">
        <f>13.782+1.277</f>
        <v>15.058999999999999</v>
      </c>
      <c r="F167" s="24" t="s">
        <v>116</v>
      </c>
      <c r="G167" s="1" t="s">
        <v>1065</v>
      </c>
      <c r="H167" s="64" t="s">
        <v>787</v>
      </c>
      <c r="I167" s="61">
        <v>45092</v>
      </c>
    </row>
    <row r="168" spans="1:9">
      <c r="A168" s="60" t="s">
        <v>1064</v>
      </c>
      <c r="B168" s="61">
        <v>45118</v>
      </c>
      <c r="C168" s="6" t="s">
        <v>699</v>
      </c>
      <c r="D168" s="63" t="s">
        <v>78</v>
      </c>
      <c r="E168" s="21">
        <v>1.464</v>
      </c>
      <c r="F168" s="24" t="s">
        <v>116</v>
      </c>
      <c r="G168" s="1" t="s">
        <v>1065</v>
      </c>
      <c r="H168" s="64" t="s">
        <v>787</v>
      </c>
      <c r="I168" s="61">
        <v>45092</v>
      </c>
    </row>
    <row r="169" spans="1:9">
      <c r="A169" s="60" t="s">
        <v>1064</v>
      </c>
      <c r="B169" s="61">
        <v>45118</v>
      </c>
      <c r="C169" s="6" t="s">
        <v>578</v>
      </c>
      <c r="D169" s="63" t="s">
        <v>78</v>
      </c>
      <c r="E169" s="21">
        <f>0.174+1.096</f>
        <v>1.27</v>
      </c>
      <c r="F169" s="24" t="s">
        <v>116</v>
      </c>
      <c r="G169" s="1" t="s">
        <v>1065</v>
      </c>
      <c r="H169" s="64" t="s">
        <v>787</v>
      </c>
      <c r="I169" s="61">
        <v>45092</v>
      </c>
    </row>
    <row r="170" spans="1:9">
      <c r="A170" s="60" t="s">
        <v>1066</v>
      </c>
      <c r="B170" s="61">
        <v>45118</v>
      </c>
      <c r="C170" s="6" t="s">
        <v>699</v>
      </c>
      <c r="D170" s="63" t="s">
        <v>78</v>
      </c>
      <c r="E170" s="21">
        <v>1.1859999999999999</v>
      </c>
      <c r="F170" s="24" t="s">
        <v>116</v>
      </c>
      <c r="G170" s="1" t="s">
        <v>1067</v>
      </c>
      <c r="H170" s="64" t="s">
        <v>1068</v>
      </c>
      <c r="I170" s="61">
        <v>45109</v>
      </c>
    </row>
    <row r="171" spans="1:9">
      <c r="A171" s="60" t="s">
        <v>1069</v>
      </c>
      <c r="B171" s="61">
        <v>45118</v>
      </c>
      <c r="C171" s="6" t="s">
        <v>255</v>
      </c>
      <c r="D171" s="63" t="s">
        <v>78</v>
      </c>
      <c r="E171" s="21">
        <v>2.6480000000000001</v>
      </c>
      <c r="F171" s="24" t="s">
        <v>116</v>
      </c>
      <c r="G171" s="1" t="s">
        <v>1067</v>
      </c>
      <c r="H171" s="64" t="s">
        <v>704</v>
      </c>
      <c r="I171" s="61">
        <v>45092</v>
      </c>
    </row>
    <row r="172" spans="1:9">
      <c r="A172" s="60" t="s">
        <v>1069</v>
      </c>
      <c r="B172" s="61">
        <v>45118</v>
      </c>
      <c r="C172" s="6" t="s">
        <v>342</v>
      </c>
      <c r="D172" s="63" t="s">
        <v>78</v>
      </c>
      <c r="E172" s="21">
        <v>0.247</v>
      </c>
      <c r="F172" s="24" t="s">
        <v>116</v>
      </c>
      <c r="G172" s="1" t="s">
        <v>1067</v>
      </c>
      <c r="H172" s="64" t="s">
        <v>704</v>
      </c>
      <c r="I172" s="61">
        <v>45092</v>
      </c>
    </row>
    <row r="173" spans="1:9">
      <c r="A173" s="60" t="s">
        <v>1070</v>
      </c>
      <c r="B173" s="61">
        <v>45118</v>
      </c>
      <c r="C173" s="6" t="s">
        <v>227</v>
      </c>
      <c r="D173" s="63" t="s">
        <v>78</v>
      </c>
      <c r="E173" s="21">
        <v>12.347</v>
      </c>
      <c r="F173" s="24" t="s">
        <v>116</v>
      </c>
      <c r="G173" s="1" t="s">
        <v>1067</v>
      </c>
      <c r="H173" s="64" t="s">
        <v>1035</v>
      </c>
      <c r="I173" s="61">
        <v>45103</v>
      </c>
    </row>
    <row r="174" spans="1:9">
      <c r="A174" s="15"/>
      <c r="B174" s="16"/>
      <c r="C174" s="6"/>
      <c r="D174" s="1"/>
      <c r="E174" s="58">
        <f>SUM(E163:E173)</f>
        <v>90.35499999999999</v>
      </c>
      <c r="F174" s="24"/>
      <c r="G174" s="1"/>
      <c r="H174" s="18"/>
      <c r="I174" s="16"/>
    </row>
    <row r="175" spans="1:9">
      <c r="A175" s="60" t="s">
        <v>1076</v>
      </c>
      <c r="B175" s="61">
        <v>45119</v>
      </c>
      <c r="C175" s="6" t="s">
        <v>345</v>
      </c>
      <c r="D175" s="63" t="s">
        <v>78</v>
      </c>
      <c r="E175" s="21">
        <v>7.1470000000000002</v>
      </c>
      <c r="F175" s="24" t="s">
        <v>116</v>
      </c>
      <c r="G175" s="1" t="s">
        <v>1077</v>
      </c>
      <c r="H175" s="64" t="s">
        <v>1029</v>
      </c>
      <c r="I175" s="61">
        <v>45103</v>
      </c>
    </row>
    <row r="176" spans="1:9">
      <c r="A176" s="74" t="s">
        <v>1078</v>
      </c>
      <c r="B176" s="75">
        <v>45119</v>
      </c>
      <c r="C176" s="71" t="s">
        <v>227</v>
      </c>
      <c r="D176" s="76" t="s">
        <v>78</v>
      </c>
      <c r="E176" s="56">
        <f>1.624+0.119</f>
        <v>1.7430000000000001</v>
      </c>
      <c r="F176" s="72" t="s">
        <v>116</v>
      </c>
      <c r="G176" s="71" t="s">
        <v>1079</v>
      </c>
      <c r="H176" s="77" t="s">
        <v>1035</v>
      </c>
      <c r="I176" s="75">
        <v>45103</v>
      </c>
    </row>
    <row r="177" spans="1:9">
      <c r="A177" s="60" t="s">
        <v>1080</v>
      </c>
      <c r="B177" s="61">
        <v>45119</v>
      </c>
      <c r="C177" s="6" t="s">
        <v>344</v>
      </c>
      <c r="D177" s="63" t="s">
        <v>78</v>
      </c>
      <c r="E177" s="21">
        <v>0.624</v>
      </c>
      <c r="F177" s="24" t="s">
        <v>116</v>
      </c>
      <c r="G177" s="1" t="s">
        <v>1081</v>
      </c>
      <c r="H177" s="64" t="s">
        <v>1068</v>
      </c>
      <c r="I177" s="61">
        <v>45109</v>
      </c>
    </row>
    <row r="178" spans="1:9">
      <c r="A178" s="60" t="s">
        <v>1082</v>
      </c>
      <c r="B178" s="61">
        <v>45119</v>
      </c>
      <c r="C178" s="6" t="s">
        <v>345</v>
      </c>
      <c r="D178" s="63" t="s">
        <v>78</v>
      </c>
      <c r="E178" s="21">
        <v>22.292000000000002</v>
      </c>
      <c r="F178" s="24" t="s">
        <v>116</v>
      </c>
      <c r="G178" s="1" t="s">
        <v>1081</v>
      </c>
      <c r="H178" s="64" t="s">
        <v>1083</v>
      </c>
      <c r="I178" s="61">
        <v>45111</v>
      </c>
    </row>
    <row r="179" spans="1:9">
      <c r="A179" s="60" t="s">
        <v>1084</v>
      </c>
      <c r="B179" s="61">
        <v>45119</v>
      </c>
      <c r="C179" s="6" t="s">
        <v>227</v>
      </c>
      <c r="D179" s="63" t="s">
        <v>78</v>
      </c>
      <c r="E179" s="21">
        <f>6.175+7.502</f>
        <v>13.677</v>
      </c>
      <c r="F179" s="24" t="s">
        <v>267</v>
      </c>
      <c r="G179" s="1" t="s">
        <v>1085</v>
      </c>
      <c r="H179" s="64" t="s">
        <v>1035</v>
      </c>
      <c r="I179" s="61">
        <v>45103</v>
      </c>
    </row>
    <row r="180" spans="1:9">
      <c r="A180" s="60" t="s">
        <v>1086</v>
      </c>
      <c r="B180" s="61">
        <v>45119</v>
      </c>
      <c r="C180" s="6" t="s">
        <v>227</v>
      </c>
      <c r="D180" s="63" t="s">
        <v>78</v>
      </c>
      <c r="E180" s="21">
        <v>0.39800000000000002</v>
      </c>
      <c r="F180" s="24" t="s">
        <v>267</v>
      </c>
      <c r="G180" s="1" t="s">
        <v>1087</v>
      </c>
      <c r="H180" s="64" t="s">
        <v>1029</v>
      </c>
      <c r="I180" s="61">
        <v>45103</v>
      </c>
    </row>
    <row r="181" spans="1:9">
      <c r="A181" s="60" t="s">
        <v>1086</v>
      </c>
      <c r="B181" s="61">
        <v>45119</v>
      </c>
      <c r="C181" s="6" t="s">
        <v>345</v>
      </c>
      <c r="D181" s="63" t="s">
        <v>78</v>
      </c>
      <c r="E181" s="21">
        <v>9.6620000000000008</v>
      </c>
      <c r="F181" s="24" t="s">
        <v>267</v>
      </c>
      <c r="G181" s="1" t="s">
        <v>1087</v>
      </c>
      <c r="H181" s="64" t="s">
        <v>1029</v>
      </c>
      <c r="I181" s="61">
        <v>45103</v>
      </c>
    </row>
    <row r="182" spans="1:9">
      <c r="A182" s="60" t="s">
        <v>1086</v>
      </c>
      <c r="B182" s="61">
        <v>45119</v>
      </c>
      <c r="C182" s="6" t="s">
        <v>263</v>
      </c>
      <c r="D182" s="63" t="s">
        <v>78</v>
      </c>
      <c r="E182" s="21">
        <v>6.2320000000000002</v>
      </c>
      <c r="F182" s="24" t="s">
        <v>267</v>
      </c>
      <c r="G182" s="1" t="s">
        <v>1087</v>
      </c>
      <c r="H182" s="64" t="s">
        <v>1029</v>
      </c>
      <c r="I182" s="61">
        <v>45103</v>
      </c>
    </row>
    <row r="183" spans="1:9">
      <c r="A183" s="60" t="s">
        <v>1088</v>
      </c>
      <c r="B183" s="61">
        <v>45119</v>
      </c>
      <c r="C183" s="6" t="s">
        <v>1089</v>
      </c>
      <c r="D183" s="63" t="s">
        <v>78</v>
      </c>
      <c r="E183" s="21">
        <v>2.351</v>
      </c>
      <c r="F183" s="24" t="s">
        <v>267</v>
      </c>
      <c r="G183" s="1" t="s">
        <v>1087</v>
      </c>
      <c r="H183" s="64" t="s">
        <v>1083</v>
      </c>
      <c r="I183" s="61">
        <v>45111</v>
      </c>
    </row>
    <row r="184" spans="1:9">
      <c r="A184" s="60"/>
      <c r="B184" s="61"/>
      <c r="C184" s="6"/>
      <c r="D184" s="63"/>
      <c r="E184" s="58">
        <f>SUM(E175:E183)</f>
        <v>64.126000000000005</v>
      </c>
      <c r="F184" s="24"/>
      <c r="G184" s="1"/>
      <c r="H184" s="18"/>
      <c r="I184" s="16"/>
    </row>
    <row r="185" spans="1:9">
      <c r="A185" s="60" t="s">
        <v>1090</v>
      </c>
      <c r="B185" s="61">
        <v>45120</v>
      </c>
      <c r="C185" s="6" t="s">
        <v>345</v>
      </c>
      <c r="D185" s="1" t="s">
        <v>11</v>
      </c>
      <c r="E185" s="21">
        <f>3.709+9.584</f>
        <v>13.292999999999999</v>
      </c>
      <c r="F185" s="24" t="s">
        <v>19</v>
      </c>
      <c r="G185" s="1" t="s">
        <v>1091</v>
      </c>
      <c r="H185" s="18" t="s">
        <v>936</v>
      </c>
      <c r="I185" s="16">
        <v>45097</v>
      </c>
    </row>
    <row r="186" spans="1:9">
      <c r="A186" s="60" t="s">
        <v>1090</v>
      </c>
      <c r="B186" s="61">
        <v>45120</v>
      </c>
      <c r="C186" s="6" t="s">
        <v>263</v>
      </c>
      <c r="D186" s="1" t="s">
        <v>11</v>
      </c>
      <c r="E186" s="21">
        <v>3.3820000000000001</v>
      </c>
      <c r="F186" s="24" t="s">
        <v>19</v>
      </c>
      <c r="G186" s="1" t="s">
        <v>1091</v>
      </c>
      <c r="H186" s="18" t="s">
        <v>936</v>
      </c>
      <c r="I186" s="16">
        <v>45097</v>
      </c>
    </row>
    <row r="187" spans="1:9">
      <c r="A187" s="60" t="s">
        <v>1090</v>
      </c>
      <c r="B187" s="61">
        <v>45120</v>
      </c>
      <c r="C187" s="6" t="s">
        <v>345</v>
      </c>
      <c r="D187" s="1" t="s">
        <v>11</v>
      </c>
      <c r="E187" s="21">
        <v>2.331</v>
      </c>
      <c r="F187" s="24" t="s">
        <v>19</v>
      </c>
      <c r="G187" s="1" t="s">
        <v>1091</v>
      </c>
      <c r="H187" s="18" t="s">
        <v>936</v>
      </c>
      <c r="I187" s="16">
        <v>45097</v>
      </c>
    </row>
    <row r="188" spans="1:9">
      <c r="A188" s="60" t="s">
        <v>1090</v>
      </c>
      <c r="B188" s="61">
        <v>45120</v>
      </c>
      <c r="C188" s="6" t="s">
        <v>1089</v>
      </c>
      <c r="D188" s="1" t="s">
        <v>11</v>
      </c>
      <c r="E188" s="21">
        <v>1.853</v>
      </c>
      <c r="F188" s="24" t="s">
        <v>19</v>
      </c>
      <c r="G188" s="1" t="s">
        <v>1091</v>
      </c>
      <c r="H188" s="18" t="s">
        <v>936</v>
      </c>
      <c r="I188" s="16">
        <v>45097</v>
      </c>
    </row>
    <row r="189" spans="1:9">
      <c r="A189" s="60" t="s">
        <v>1090</v>
      </c>
      <c r="B189" s="61">
        <v>45120</v>
      </c>
      <c r="C189" s="6" t="s">
        <v>452</v>
      </c>
      <c r="D189" s="1" t="s">
        <v>11</v>
      </c>
      <c r="E189" s="21">
        <v>3.0270000000000001</v>
      </c>
      <c r="F189" s="24" t="s">
        <v>19</v>
      </c>
      <c r="G189" s="1" t="s">
        <v>1091</v>
      </c>
      <c r="H189" s="18" t="s">
        <v>936</v>
      </c>
      <c r="I189" s="16">
        <v>45097</v>
      </c>
    </row>
    <row r="190" spans="1:9">
      <c r="A190" s="60" t="s">
        <v>1090</v>
      </c>
      <c r="B190" s="61">
        <v>45120</v>
      </c>
      <c r="C190" s="6" t="s">
        <v>344</v>
      </c>
      <c r="D190" s="1" t="s">
        <v>11</v>
      </c>
      <c r="E190" s="21">
        <v>0.374</v>
      </c>
      <c r="F190" s="24" t="s">
        <v>19</v>
      </c>
      <c r="G190" s="1" t="s">
        <v>1091</v>
      </c>
      <c r="H190" s="18" t="s">
        <v>936</v>
      </c>
      <c r="I190" s="16">
        <v>45097</v>
      </c>
    </row>
    <row r="191" spans="1:9">
      <c r="A191" s="60" t="s">
        <v>1092</v>
      </c>
      <c r="B191" s="61">
        <v>45120</v>
      </c>
      <c r="C191" s="6" t="s">
        <v>286</v>
      </c>
      <c r="D191" s="63" t="s">
        <v>78</v>
      </c>
      <c r="E191" s="21">
        <f>9.303+18.311</f>
        <v>27.614000000000001</v>
      </c>
      <c r="F191" s="24" t="s">
        <v>83</v>
      </c>
      <c r="G191" s="1" t="s">
        <v>1093</v>
      </c>
      <c r="H191" s="64" t="s">
        <v>1083</v>
      </c>
      <c r="I191" s="61">
        <v>45111</v>
      </c>
    </row>
    <row r="192" spans="1:9">
      <c r="A192" s="60" t="s">
        <v>1092</v>
      </c>
      <c r="B192" s="61">
        <v>45120</v>
      </c>
      <c r="C192" s="6" t="s">
        <v>255</v>
      </c>
      <c r="D192" s="63" t="s">
        <v>78</v>
      </c>
      <c r="E192" s="21">
        <v>3.9470000000000001</v>
      </c>
      <c r="F192" s="24" t="s">
        <v>83</v>
      </c>
      <c r="G192" s="1" t="s">
        <v>1093</v>
      </c>
      <c r="H192" s="64" t="s">
        <v>1083</v>
      </c>
      <c r="I192" s="61">
        <v>45111</v>
      </c>
    </row>
    <row r="193" spans="1:9">
      <c r="A193" s="60" t="s">
        <v>1094</v>
      </c>
      <c r="B193" s="61">
        <v>45120</v>
      </c>
      <c r="C193" s="6" t="s">
        <v>345</v>
      </c>
      <c r="D193" s="63" t="s">
        <v>78</v>
      </c>
      <c r="E193" s="21">
        <f>7.274+23.925</f>
        <v>31.199000000000002</v>
      </c>
      <c r="F193" s="24" t="s">
        <v>116</v>
      </c>
      <c r="G193" s="1" t="s">
        <v>1095</v>
      </c>
      <c r="H193" s="64" t="s">
        <v>1083</v>
      </c>
      <c r="I193" s="61">
        <v>45111</v>
      </c>
    </row>
    <row r="194" spans="1:9">
      <c r="A194" s="60"/>
      <c r="B194" s="61"/>
      <c r="C194" s="6"/>
      <c r="D194" s="63"/>
      <c r="E194" s="58">
        <f>SUM(E185:E193)</f>
        <v>87.02000000000001</v>
      </c>
      <c r="F194" s="24"/>
      <c r="G194" s="1"/>
      <c r="H194" s="18"/>
      <c r="I194" s="16"/>
    </row>
    <row r="195" spans="1:9">
      <c r="A195" s="60" t="s">
        <v>1102</v>
      </c>
      <c r="B195" s="61">
        <v>45121</v>
      </c>
      <c r="C195" s="6" t="s">
        <v>286</v>
      </c>
      <c r="D195" s="63" t="s">
        <v>78</v>
      </c>
      <c r="E195" s="21">
        <f>5.607+14.875</f>
        <v>20.481999999999999</v>
      </c>
      <c r="F195" s="24" t="s">
        <v>83</v>
      </c>
      <c r="G195" s="1" t="s">
        <v>1105</v>
      </c>
      <c r="H195" s="64" t="s">
        <v>1083</v>
      </c>
      <c r="I195" s="61">
        <v>45111</v>
      </c>
    </row>
    <row r="196" spans="1:9">
      <c r="A196" s="60" t="s">
        <v>1102</v>
      </c>
      <c r="B196" s="61">
        <v>45121</v>
      </c>
      <c r="C196" s="6" t="s">
        <v>303</v>
      </c>
      <c r="D196" s="63" t="s">
        <v>78</v>
      </c>
      <c r="E196" s="21">
        <v>0.251</v>
      </c>
      <c r="F196" s="24" t="s">
        <v>83</v>
      </c>
      <c r="G196" s="1" t="s">
        <v>1104</v>
      </c>
      <c r="H196" s="64" t="s">
        <v>1083</v>
      </c>
      <c r="I196" s="61">
        <v>45111</v>
      </c>
    </row>
    <row r="197" spans="1:9">
      <c r="A197" s="60" t="s">
        <v>1107</v>
      </c>
      <c r="B197" s="61">
        <v>45121</v>
      </c>
      <c r="C197" s="6" t="s">
        <v>1103</v>
      </c>
      <c r="D197" s="63" t="s">
        <v>78</v>
      </c>
      <c r="E197" s="21">
        <v>4.702</v>
      </c>
      <c r="F197" s="24" t="s">
        <v>83</v>
      </c>
      <c r="G197" s="1" t="s">
        <v>1104</v>
      </c>
      <c r="H197" s="64" t="s">
        <v>1106</v>
      </c>
      <c r="I197" s="61">
        <v>45103</v>
      </c>
    </row>
    <row r="198" spans="1:9">
      <c r="A198" s="60" t="s">
        <v>1108</v>
      </c>
      <c r="B198" s="61">
        <v>45121</v>
      </c>
      <c r="C198" s="6" t="s">
        <v>196</v>
      </c>
      <c r="D198" s="63" t="s">
        <v>78</v>
      </c>
      <c r="E198" s="21">
        <v>1.954</v>
      </c>
      <c r="F198" s="24" t="s">
        <v>83</v>
      </c>
      <c r="G198" s="1" t="s">
        <v>1104</v>
      </c>
      <c r="H198" s="64" t="s">
        <v>1029</v>
      </c>
      <c r="I198" s="61">
        <v>45103</v>
      </c>
    </row>
    <row r="199" spans="1:9">
      <c r="A199" s="60" t="s">
        <v>1101</v>
      </c>
      <c r="B199" s="61">
        <v>45121</v>
      </c>
      <c r="C199" s="6" t="s">
        <v>345</v>
      </c>
      <c r="D199" s="63" t="s">
        <v>78</v>
      </c>
      <c r="E199" s="21">
        <v>0.67400000000000004</v>
      </c>
      <c r="F199" s="24" t="s">
        <v>83</v>
      </c>
      <c r="G199" s="1" t="s">
        <v>1104</v>
      </c>
      <c r="H199" s="64" t="s">
        <v>1068</v>
      </c>
      <c r="I199" s="61">
        <v>45109</v>
      </c>
    </row>
    <row r="200" spans="1:9">
      <c r="A200" s="60" t="s">
        <v>1101</v>
      </c>
      <c r="B200" s="61">
        <v>45121</v>
      </c>
      <c r="C200" s="6" t="s">
        <v>303</v>
      </c>
      <c r="D200" s="63" t="s">
        <v>78</v>
      </c>
      <c r="E200" s="21">
        <v>0.55800000000000005</v>
      </c>
      <c r="F200" s="24" t="s">
        <v>83</v>
      </c>
      <c r="G200" s="1" t="s">
        <v>1104</v>
      </c>
      <c r="H200" s="64" t="s">
        <v>1068</v>
      </c>
      <c r="I200" s="61">
        <v>45109</v>
      </c>
    </row>
    <row r="201" spans="1:9">
      <c r="A201" s="60" t="s">
        <v>1109</v>
      </c>
      <c r="B201" s="61">
        <v>45121</v>
      </c>
      <c r="C201" s="6" t="s">
        <v>200</v>
      </c>
      <c r="D201" s="63" t="s">
        <v>78</v>
      </c>
      <c r="E201" s="21">
        <v>0.85299999999999998</v>
      </c>
      <c r="F201" s="24" t="s">
        <v>83</v>
      </c>
      <c r="G201" s="1" t="s">
        <v>1104</v>
      </c>
      <c r="H201" s="64" t="s">
        <v>1110</v>
      </c>
      <c r="I201" s="61">
        <v>45107</v>
      </c>
    </row>
    <row r="202" spans="1:9">
      <c r="A202" s="60" t="s">
        <v>1111</v>
      </c>
      <c r="B202" s="61">
        <v>45121</v>
      </c>
      <c r="C202" s="6" t="s">
        <v>286</v>
      </c>
      <c r="D202" s="63" t="s">
        <v>78</v>
      </c>
      <c r="E202" s="21">
        <v>2.1589999999999998</v>
      </c>
      <c r="F202" s="24" t="s">
        <v>83</v>
      </c>
      <c r="G202" s="1" t="s">
        <v>1104</v>
      </c>
      <c r="H202" s="64" t="s">
        <v>1112</v>
      </c>
      <c r="I202" s="61">
        <v>45111</v>
      </c>
    </row>
    <row r="203" spans="1:9">
      <c r="A203" s="60" t="s">
        <v>1113</v>
      </c>
      <c r="B203" s="61">
        <v>45121</v>
      </c>
      <c r="C203" s="6" t="s">
        <v>255</v>
      </c>
      <c r="D203" s="63" t="s">
        <v>78</v>
      </c>
      <c r="E203" s="21">
        <f>2.522+15.716</f>
        <v>18.238</v>
      </c>
      <c r="F203" s="24" t="s">
        <v>97</v>
      </c>
      <c r="G203" s="1" t="s">
        <v>1114</v>
      </c>
      <c r="H203" s="64" t="s">
        <v>1115</v>
      </c>
      <c r="I203" s="61">
        <v>45111</v>
      </c>
    </row>
    <row r="204" spans="1:9">
      <c r="A204" s="60" t="s">
        <v>1116</v>
      </c>
      <c r="B204" s="61">
        <v>45121</v>
      </c>
      <c r="C204" s="6" t="s">
        <v>263</v>
      </c>
      <c r="D204" s="63" t="s">
        <v>78</v>
      </c>
      <c r="E204" s="21">
        <v>11.545</v>
      </c>
      <c r="F204" s="24" t="s">
        <v>97</v>
      </c>
      <c r="G204" s="1" t="s">
        <v>1117</v>
      </c>
      <c r="H204" s="64" t="s">
        <v>1083</v>
      </c>
      <c r="I204" s="61">
        <v>45111</v>
      </c>
    </row>
    <row r="205" spans="1:9">
      <c r="A205" s="60" t="s">
        <v>1118</v>
      </c>
      <c r="B205" s="61">
        <v>45121</v>
      </c>
      <c r="C205" s="6" t="s">
        <v>1103</v>
      </c>
      <c r="D205" s="63" t="s">
        <v>78</v>
      </c>
      <c r="E205" s="21">
        <v>2.1360000000000001</v>
      </c>
      <c r="F205" s="24" t="s">
        <v>97</v>
      </c>
      <c r="G205" s="1" t="s">
        <v>1117</v>
      </c>
      <c r="H205" s="64" t="s">
        <v>1083</v>
      </c>
      <c r="I205" s="61">
        <v>45111</v>
      </c>
    </row>
    <row r="206" spans="1:9">
      <c r="A206" s="15"/>
      <c r="B206" s="16"/>
      <c r="C206" s="6"/>
      <c r="D206" s="1"/>
      <c r="E206" s="41">
        <f>SUM(E195:E205)</f>
        <v>63.552000000000007</v>
      </c>
      <c r="F206" s="24"/>
      <c r="G206" s="1"/>
      <c r="H206" s="1"/>
      <c r="I206" s="3"/>
    </row>
    <row r="207" spans="1:9">
      <c r="A207" s="60" t="s">
        <v>1119</v>
      </c>
      <c r="B207" s="61">
        <v>45122</v>
      </c>
      <c r="C207" s="6" t="s">
        <v>205</v>
      </c>
      <c r="D207" s="1" t="s">
        <v>11</v>
      </c>
      <c r="E207" s="21">
        <f>1.119+0.449</f>
        <v>1.5680000000000001</v>
      </c>
      <c r="F207" s="24" t="s">
        <v>137</v>
      </c>
      <c r="G207" s="1" t="s">
        <v>1120</v>
      </c>
      <c r="H207" s="1" t="s">
        <v>730</v>
      </c>
      <c r="I207" s="61">
        <v>45092</v>
      </c>
    </row>
    <row r="208" spans="1:9">
      <c r="A208" s="60" t="s">
        <v>1121</v>
      </c>
      <c r="B208" s="61">
        <v>45122</v>
      </c>
      <c r="C208" s="6" t="s">
        <v>225</v>
      </c>
      <c r="D208" s="1" t="s">
        <v>11</v>
      </c>
      <c r="E208" s="21">
        <v>1.1659999999999999</v>
      </c>
      <c r="F208" s="24" t="s">
        <v>137</v>
      </c>
      <c r="G208" s="1" t="s">
        <v>1122</v>
      </c>
      <c r="H208" s="18" t="s">
        <v>687</v>
      </c>
      <c r="I208" s="16">
        <v>45064</v>
      </c>
    </row>
    <row r="209" spans="1:9">
      <c r="A209" s="60" t="s">
        <v>1123</v>
      </c>
      <c r="B209" s="61">
        <v>45122</v>
      </c>
      <c r="C209" s="6" t="s">
        <v>301</v>
      </c>
      <c r="D209" s="1" t="s">
        <v>11</v>
      </c>
      <c r="E209" s="21">
        <v>0.99399999999999999</v>
      </c>
      <c r="F209" s="24" t="s">
        <v>137</v>
      </c>
      <c r="G209" s="1" t="s">
        <v>1122</v>
      </c>
      <c r="H209" s="18" t="s">
        <v>936</v>
      </c>
      <c r="I209" s="61">
        <v>45097</v>
      </c>
    </row>
    <row r="210" spans="1:9">
      <c r="A210" s="60" t="s">
        <v>1123</v>
      </c>
      <c r="B210" s="61">
        <v>45122</v>
      </c>
      <c r="C210" s="6" t="s">
        <v>263</v>
      </c>
      <c r="D210" s="1" t="s">
        <v>11</v>
      </c>
      <c r="E210" s="21">
        <v>0.442</v>
      </c>
      <c r="F210" s="24" t="s">
        <v>137</v>
      </c>
      <c r="G210" s="1" t="s">
        <v>1122</v>
      </c>
      <c r="H210" s="18" t="s">
        <v>936</v>
      </c>
      <c r="I210" s="61">
        <v>45097</v>
      </c>
    </row>
    <row r="211" spans="1:9">
      <c r="A211" s="60" t="s">
        <v>1123</v>
      </c>
      <c r="B211" s="61">
        <v>45122</v>
      </c>
      <c r="C211" s="6" t="s">
        <v>345</v>
      </c>
      <c r="D211" s="1" t="s">
        <v>11</v>
      </c>
      <c r="E211" s="21">
        <v>0.309</v>
      </c>
      <c r="F211" s="24" t="s">
        <v>137</v>
      </c>
      <c r="G211" s="1" t="s">
        <v>1122</v>
      </c>
      <c r="H211" s="18" t="s">
        <v>936</v>
      </c>
      <c r="I211" s="61">
        <v>45097</v>
      </c>
    </row>
    <row r="212" spans="1:9">
      <c r="A212" s="60" t="s">
        <v>1123</v>
      </c>
      <c r="B212" s="61">
        <v>45122</v>
      </c>
      <c r="C212" s="6" t="s">
        <v>227</v>
      </c>
      <c r="D212" s="1" t="s">
        <v>11</v>
      </c>
      <c r="E212" s="21">
        <v>0.53700000000000003</v>
      </c>
      <c r="F212" s="24" t="s">
        <v>137</v>
      </c>
      <c r="G212" s="1" t="s">
        <v>1122</v>
      </c>
      <c r="H212" s="18" t="s">
        <v>936</v>
      </c>
      <c r="I212" s="61">
        <v>45097</v>
      </c>
    </row>
    <row r="213" spans="1:9">
      <c r="A213" s="60" t="s">
        <v>1123</v>
      </c>
      <c r="B213" s="61">
        <v>45122</v>
      </c>
      <c r="C213" s="6" t="s">
        <v>227</v>
      </c>
      <c r="D213" s="1" t="s">
        <v>11</v>
      </c>
      <c r="E213" s="21">
        <v>0.498</v>
      </c>
      <c r="F213" s="24" t="s">
        <v>137</v>
      </c>
      <c r="G213" s="1" t="s">
        <v>1122</v>
      </c>
      <c r="H213" s="18" t="s">
        <v>936</v>
      </c>
      <c r="I213" s="61">
        <v>45097</v>
      </c>
    </row>
    <row r="214" spans="1:9">
      <c r="A214" s="60" t="s">
        <v>1123</v>
      </c>
      <c r="B214" s="61">
        <v>45122</v>
      </c>
      <c r="C214" s="6" t="s">
        <v>452</v>
      </c>
      <c r="D214" s="1" t="s">
        <v>11</v>
      </c>
      <c r="E214" s="21">
        <v>0.60499999999999998</v>
      </c>
      <c r="F214" s="24" t="s">
        <v>137</v>
      </c>
      <c r="G214" s="1" t="s">
        <v>1122</v>
      </c>
      <c r="H214" s="18" t="s">
        <v>936</v>
      </c>
      <c r="I214" s="61">
        <v>45097</v>
      </c>
    </row>
    <row r="215" spans="1:9">
      <c r="A215" s="60" t="s">
        <v>1124</v>
      </c>
      <c r="B215" s="61">
        <v>45122</v>
      </c>
      <c r="C215" s="6" t="s">
        <v>286</v>
      </c>
      <c r="D215" s="1" t="s">
        <v>11</v>
      </c>
      <c r="E215" s="21">
        <v>1.869</v>
      </c>
      <c r="F215" s="24" t="s">
        <v>137</v>
      </c>
      <c r="G215" s="1" t="s">
        <v>1122</v>
      </c>
      <c r="H215" s="18" t="s">
        <v>1125</v>
      </c>
      <c r="I215" s="61">
        <v>45113</v>
      </c>
    </row>
    <row r="216" spans="1:9">
      <c r="A216" s="60" t="s">
        <v>1124</v>
      </c>
      <c r="B216" s="61">
        <v>45122</v>
      </c>
      <c r="C216" s="6" t="s">
        <v>255</v>
      </c>
      <c r="D216" s="1" t="s">
        <v>11</v>
      </c>
      <c r="E216" s="21">
        <v>5.4569999999999999</v>
      </c>
      <c r="F216" s="24" t="s">
        <v>137</v>
      </c>
      <c r="G216" s="1" t="s">
        <v>1122</v>
      </c>
      <c r="H216" s="18" t="s">
        <v>1125</v>
      </c>
      <c r="I216" s="61">
        <v>45113</v>
      </c>
    </row>
    <row r="217" spans="1:9">
      <c r="A217" s="60" t="s">
        <v>1124</v>
      </c>
      <c r="B217" s="61">
        <v>45122</v>
      </c>
      <c r="C217" s="6" t="s">
        <v>286</v>
      </c>
      <c r="D217" s="1" t="s">
        <v>11</v>
      </c>
      <c r="E217" s="21">
        <v>4.968</v>
      </c>
      <c r="F217" s="24" t="s">
        <v>137</v>
      </c>
      <c r="G217" s="1" t="s">
        <v>1122</v>
      </c>
      <c r="H217" s="18" t="s">
        <v>1125</v>
      </c>
      <c r="I217" s="61">
        <v>45113</v>
      </c>
    </row>
    <row r="218" spans="1:9">
      <c r="A218" s="60" t="s">
        <v>1124</v>
      </c>
      <c r="B218" s="61">
        <v>45122</v>
      </c>
      <c r="C218" s="6" t="s">
        <v>255</v>
      </c>
      <c r="D218" s="1" t="s">
        <v>11</v>
      </c>
      <c r="E218" s="32">
        <v>6.452</v>
      </c>
      <c r="F218" s="24" t="s">
        <v>137</v>
      </c>
      <c r="G218" s="1" t="s">
        <v>1122</v>
      </c>
      <c r="H218" s="18" t="s">
        <v>1125</v>
      </c>
      <c r="I218" s="61">
        <v>45113</v>
      </c>
    </row>
    <row r="219" spans="1:9">
      <c r="A219" s="60" t="s">
        <v>1136</v>
      </c>
      <c r="B219" s="61">
        <v>45122</v>
      </c>
      <c r="C219" s="6" t="s">
        <v>255</v>
      </c>
      <c r="D219" s="63" t="s">
        <v>78</v>
      </c>
      <c r="E219" s="32">
        <f>6.39+6.072</f>
        <v>12.462</v>
      </c>
      <c r="F219" s="24" t="s">
        <v>116</v>
      </c>
      <c r="G219" s="1" t="s">
        <v>1137</v>
      </c>
      <c r="H219" s="18" t="s">
        <v>1115</v>
      </c>
      <c r="I219" s="61">
        <v>45111</v>
      </c>
    </row>
    <row r="220" spans="1:9">
      <c r="A220" s="60" t="s">
        <v>1136</v>
      </c>
      <c r="B220" s="61">
        <v>45122</v>
      </c>
      <c r="C220" s="6" t="s">
        <v>286</v>
      </c>
      <c r="D220" s="63" t="s">
        <v>78</v>
      </c>
      <c r="E220" s="32">
        <v>2.6160000000000001</v>
      </c>
      <c r="F220" s="24" t="s">
        <v>116</v>
      </c>
      <c r="G220" s="1" t="s">
        <v>1137</v>
      </c>
      <c r="H220" s="18" t="s">
        <v>1115</v>
      </c>
      <c r="I220" s="61">
        <v>45111</v>
      </c>
    </row>
    <row r="221" spans="1:9">
      <c r="A221" s="60" t="s">
        <v>1138</v>
      </c>
      <c r="B221" s="61">
        <v>45122</v>
      </c>
      <c r="C221" s="6" t="s">
        <v>255</v>
      </c>
      <c r="D221" s="63" t="s">
        <v>78</v>
      </c>
      <c r="E221" s="32">
        <v>4.8010000000000002</v>
      </c>
      <c r="F221" s="24" t="s">
        <v>116</v>
      </c>
      <c r="G221" s="1" t="s">
        <v>1139</v>
      </c>
      <c r="H221" s="18" t="s">
        <v>1083</v>
      </c>
      <c r="I221" s="61">
        <v>45111</v>
      </c>
    </row>
    <row r="222" spans="1:9">
      <c r="A222" s="60" t="s">
        <v>1140</v>
      </c>
      <c r="B222" s="61">
        <v>45122</v>
      </c>
      <c r="C222" s="6" t="s">
        <v>286</v>
      </c>
      <c r="D222" s="63" t="s">
        <v>78</v>
      </c>
      <c r="E222" s="32">
        <v>11.618</v>
      </c>
      <c r="F222" s="24" t="s">
        <v>116</v>
      </c>
      <c r="G222" s="1" t="s">
        <v>1139</v>
      </c>
      <c r="H222" s="18" t="s">
        <v>1112</v>
      </c>
      <c r="I222" s="61">
        <v>45111</v>
      </c>
    </row>
    <row r="223" spans="1:9">
      <c r="A223" s="60" t="s">
        <v>1141</v>
      </c>
      <c r="B223" s="61">
        <v>45122</v>
      </c>
      <c r="C223" s="6" t="s">
        <v>699</v>
      </c>
      <c r="D223" s="63" t="s">
        <v>78</v>
      </c>
      <c r="E223" s="32">
        <v>0.23100000000000001</v>
      </c>
      <c r="F223" s="24" t="s">
        <v>116</v>
      </c>
      <c r="G223" s="1" t="s">
        <v>1139</v>
      </c>
      <c r="H223" s="64" t="s">
        <v>1068</v>
      </c>
      <c r="I223" s="61">
        <v>45109</v>
      </c>
    </row>
    <row r="224" spans="1:9">
      <c r="A224" s="60" t="s">
        <v>1142</v>
      </c>
      <c r="B224" s="61">
        <v>45122</v>
      </c>
      <c r="C224" s="6" t="s">
        <v>301</v>
      </c>
      <c r="D224" s="63" t="s">
        <v>78</v>
      </c>
      <c r="E224" s="32">
        <v>1.621</v>
      </c>
      <c r="F224" s="24" t="s">
        <v>97</v>
      </c>
      <c r="G224" s="1" t="s">
        <v>1143</v>
      </c>
      <c r="H224" s="64" t="s">
        <v>1016</v>
      </c>
      <c r="I224" s="61">
        <v>45109</v>
      </c>
    </row>
    <row r="225" spans="1:9">
      <c r="A225" s="60" t="s">
        <v>1144</v>
      </c>
      <c r="B225" s="61">
        <v>45122</v>
      </c>
      <c r="C225" s="6" t="s">
        <v>345</v>
      </c>
      <c r="D225" s="63" t="s">
        <v>78</v>
      </c>
      <c r="E225" s="32">
        <v>1.2909999999999999</v>
      </c>
      <c r="F225" s="24" t="s">
        <v>97</v>
      </c>
      <c r="G225" s="1" t="s">
        <v>1143</v>
      </c>
      <c r="H225" s="64" t="s">
        <v>1068</v>
      </c>
      <c r="I225" s="61">
        <v>45109</v>
      </c>
    </row>
    <row r="226" spans="1:9">
      <c r="A226" s="60" t="s">
        <v>1145</v>
      </c>
      <c r="B226" s="61">
        <v>45122</v>
      </c>
      <c r="C226" s="6" t="s">
        <v>345</v>
      </c>
      <c r="D226" s="63" t="s">
        <v>78</v>
      </c>
      <c r="E226" s="32">
        <v>0.71299999999999997</v>
      </c>
      <c r="F226" s="24" t="s">
        <v>97</v>
      </c>
      <c r="G226" s="1" t="s">
        <v>1146</v>
      </c>
      <c r="H226" s="18" t="s">
        <v>1083</v>
      </c>
      <c r="I226" s="61">
        <v>45111</v>
      </c>
    </row>
    <row r="227" spans="1:9">
      <c r="A227" s="60" t="s">
        <v>1145</v>
      </c>
      <c r="B227" s="61">
        <v>45122</v>
      </c>
      <c r="C227" s="6" t="s">
        <v>255</v>
      </c>
      <c r="D227" s="63" t="s">
        <v>78</v>
      </c>
      <c r="E227" s="32">
        <v>10.827</v>
      </c>
      <c r="F227" s="24" t="s">
        <v>97</v>
      </c>
      <c r="G227" s="1" t="s">
        <v>1146</v>
      </c>
      <c r="H227" s="18" t="s">
        <v>1083</v>
      </c>
      <c r="I227" s="61">
        <v>45111</v>
      </c>
    </row>
    <row r="228" spans="1:9">
      <c r="A228" s="60" t="s">
        <v>1145</v>
      </c>
      <c r="B228" s="61">
        <v>45122</v>
      </c>
      <c r="C228" s="6" t="s">
        <v>263</v>
      </c>
      <c r="D228" s="63" t="s">
        <v>78</v>
      </c>
      <c r="E228" s="32">
        <v>5.9160000000000004</v>
      </c>
      <c r="F228" s="24" t="s">
        <v>97</v>
      </c>
      <c r="G228" s="1" t="s">
        <v>1146</v>
      </c>
      <c r="H228" s="18" t="s">
        <v>1083</v>
      </c>
      <c r="I228" s="61">
        <v>45111</v>
      </c>
    </row>
    <row r="229" spans="1:9">
      <c r="A229" s="60" t="s">
        <v>1148</v>
      </c>
      <c r="B229" s="61">
        <v>45122</v>
      </c>
      <c r="C229" s="6" t="s">
        <v>255</v>
      </c>
      <c r="D229" s="63" t="s">
        <v>78</v>
      </c>
      <c r="E229" s="32">
        <v>3.782</v>
      </c>
      <c r="F229" s="24" t="s">
        <v>97</v>
      </c>
      <c r="G229" s="1" t="s">
        <v>1146</v>
      </c>
      <c r="H229" s="18" t="s">
        <v>1115</v>
      </c>
      <c r="I229" s="61">
        <v>45111</v>
      </c>
    </row>
    <row r="230" spans="1:9">
      <c r="A230" s="60" t="s">
        <v>1147</v>
      </c>
      <c r="B230" s="61">
        <v>45122</v>
      </c>
      <c r="C230" s="6" t="s">
        <v>263</v>
      </c>
      <c r="D230" s="63" t="s">
        <v>78</v>
      </c>
      <c r="E230" s="32">
        <v>4.7759999999999998</v>
      </c>
      <c r="F230" s="24" t="s">
        <v>97</v>
      </c>
      <c r="G230" s="1" t="s">
        <v>1146</v>
      </c>
      <c r="H230" s="18" t="s">
        <v>1106</v>
      </c>
      <c r="I230" s="61">
        <v>45111</v>
      </c>
    </row>
    <row r="231" spans="1:9">
      <c r="A231" s="60" t="s">
        <v>1149</v>
      </c>
      <c r="B231" s="61">
        <v>45122</v>
      </c>
      <c r="C231" s="6" t="s">
        <v>452</v>
      </c>
      <c r="D231" s="63" t="s">
        <v>78</v>
      </c>
      <c r="E231" s="32">
        <v>0.80700000000000005</v>
      </c>
      <c r="F231" s="24" t="s">
        <v>97</v>
      </c>
      <c r="G231" s="1" t="s">
        <v>1146</v>
      </c>
      <c r="H231" s="18" t="s">
        <v>1035</v>
      </c>
      <c r="I231" s="61">
        <v>45111</v>
      </c>
    </row>
    <row r="232" spans="1:9">
      <c r="A232" s="60" t="s">
        <v>1150</v>
      </c>
      <c r="B232" s="61">
        <v>45122</v>
      </c>
      <c r="C232" s="6" t="s">
        <v>286</v>
      </c>
      <c r="D232" s="63" t="s">
        <v>78</v>
      </c>
      <c r="E232" s="32">
        <v>1.782</v>
      </c>
      <c r="F232" s="24" t="s">
        <v>97</v>
      </c>
      <c r="G232" s="1" t="s">
        <v>1146</v>
      </c>
      <c r="H232" s="18" t="s">
        <v>1112</v>
      </c>
      <c r="I232" s="61">
        <v>45111</v>
      </c>
    </row>
    <row r="233" spans="1:9">
      <c r="A233" s="15"/>
      <c r="B233" s="16"/>
      <c r="C233" s="6"/>
      <c r="D233" s="1"/>
      <c r="E233" s="54">
        <f>SUM(E207:E232)</f>
        <v>88.10799999999999</v>
      </c>
      <c r="F233" s="24"/>
      <c r="G233" s="1"/>
      <c r="H233" s="1"/>
      <c r="I233" s="3"/>
    </row>
    <row r="234" spans="1:9">
      <c r="A234" s="60" t="s">
        <v>1151</v>
      </c>
      <c r="B234" s="61">
        <v>45123</v>
      </c>
      <c r="C234" s="6" t="s">
        <v>200</v>
      </c>
      <c r="D234" s="1" t="s">
        <v>11</v>
      </c>
      <c r="E234" s="21">
        <v>1.0189999999999999</v>
      </c>
      <c r="F234" s="24" t="s">
        <v>1045</v>
      </c>
      <c r="G234" s="1" t="s">
        <v>1152</v>
      </c>
      <c r="H234" s="18" t="s">
        <v>936</v>
      </c>
      <c r="I234" s="61">
        <v>45097</v>
      </c>
    </row>
    <row r="235" spans="1:9">
      <c r="A235" s="60" t="s">
        <v>1153</v>
      </c>
      <c r="B235" s="61">
        <v>45123</v>
      </c>
      <c r="C235" s="6" t="s">
        <v>255</v>
      </c>
      <c r="D235" s="1" t="s">
        <v>11</v>
      </c>
      <c r="E235" s="21">
        <f>2.664+5.274</f>
        <v>7.9380000000000006</v>
      </c>
      <c r="F235" s="24" t="s">
        <v>1045</v>
      </c>
      <c r="G235" s="1" t="s">
        <v>1154</v>
      </c>
      <c r="H235" s="18" t="s">
        <v>1125</v>
      </c>
      <c r="I235" s="61">
        <v>45113</v>
      </c>
    </row>
    <row r="236" spans="1:9">
      <c r="A236" s="60" t="s">
        <v>1153</v>
      </c>
      <c r="B236" s="61">
        <v>45123</v>
      </c>
      <c r="C236" s="6" t="s">
        <v>255</v>
      </c>
      <c r="D236" s="1" t="s">
        <v>11</v>
      </c>
      <c r="E236" s="21">
        <v>15.647</v>
      </c>
      <c r="F236" s="24" t="s">
        <v>1045</v>
      </c>
      <c r="G236" s="1" t="s">
        <v>1154</v>
      </c>
      <c r="H236" s="18" t="s">
        <v>1125</v>
      </c>
      <c r="I236" s="61">
        <v>45113</v>
      </c>
    </row>
    <row r="237" spans="1:9">
      <c r="A237" s="60" t="s">
        <v>1155</v>
      </c>
      <c r="B237" s="61">
        <v>45123</v>
      </c>
      <c r="C237" s="6" t="s">
        <v>263</v>
      </c>
      <c r="D237" s="63" t="s">
        <v>78</v>
      </c>
      <c r="E237" s="21">
        <v>0.48299999999999998</v>
      </c>
      <c r="F237" s="24" t="s">
        <v>1156</v>
      </c>
      <c r="G237" s="1" t="s">
        <v>1157</v>
      </c>
      <c r="H237" s="18" t="s">
        <v>1083</v>
      </c>
      <c r="I237" s="61">
        <v>45111</v>
      </c>
    </row>
    <row r="238" spans="1:9">
      <c r="A238" s="60" t="s">
        <v>1155</v>
      </c>
      <c r="B238" s="61">
        <v>45123</v>
      </c>
      <c r="C238" s="6" t="s">
        <v>200</v>
      </c>
      <c r="D238" s="63" t="s">
        <v>78</v>
      </c>
      <c r="E238" s="21">
        <f>6.788+7.643</f>
        <v>14.431000000000001</v>
      </c>
      <c r="F238" s="24" t="s">
        <v>1156</v>
      </c>
      <c r="G238" s="1" t="s">
        <v>1157</v>
      </c>
      <c r="H238" s="18" t="s">
        <v>1083</v>
      </c>
      <c r="I238" s="61">
        <v>45111</v>
      </c>
    </row>
    <row r="239" spans="1:9">
      <c r="A239" s="60" t="s">
        <v>1158</v>
      </c>
      <c r="B239" s="61">
        <v>45123</v>
      </c>
      <c r="C239" s="6" t="s">
        <v>196</v>
      </c>
      <c r="D239" s="63" t="s">
        <v>78</v>
      </c>
      <c r="E239" s="21">
        <v>2.3199999999999998</v>
      </c>
      <c r="F239" s="24" t="s">
        <v>1156</v>
      </c>
      <c r="G239" s="1" t="s">
        <v>1159</v>
      </c>
      <c r="H239" s="64" t="s">
        <v>1029</v>
      </c>
      <c r="I239" s="61">
        <v>45103</v>
      </c>
    </row>
    <row r="240" spans="1:9">
      <c r="A240" s="60" t="s">
        <v>1160</v>
      </c>
      <c r="B240" s="61">
        <v>45123</v>
      </c>
      <c r="C240" s="6" t="s">
        <v>200</v>
      </c>
      <c r="D240" s="63" t="s">
        <v>78</v>
      </c>
      <c r="E240" s="21">
        <v>6.9429999999999996</v>
      </c>
      <c r="F240" s="24" t="s">
        <v>1156</v>
      </c>
      <c r="G240" s="1" t="s">
        <v>1159</v>
      </c>
      <c r="H240" s="18" t="s">
        <v>1115</v>
      </c>
      <c r="I240" s="61">
        <v>45111</v>
      </c>
    </row>
    <row r="241" spans="1:9">
      <c r="A241" s="60" t="s">
        <v>1160</v>
      </c>
      <c r="B241" s="61">
        <v>45123</v>
      </c>
      <c r="C241" s="6" t="s">
        <v>255</v>
      </c>
      <c r="D241" s="63" t="s">
        <v>78</v>
      </c>
      <c r="E241" s="21">
        <v>7.5620000000000003</v>
      </c>
      <c r="F241" s="24" t="s">
        <v>1156</v>
      </c>
      <c r="G241" s="1" t="s">
        <v>1159</v>
      </c>
      <c r="H241" s="18" t="s">
        <v>1115</v>
      </c>
      <c r="I241" s="61">
        <v>45111</v>
      </c>
    </row>
    <row r="242" spans="1:9">
      <c r="A242" s="60" t="s">
        <v>1161</v>
      </c>
      <c r="B242" s="61">
        <v>45123</v>
      </c>
      <c r="C242" s="6" t="s">
        <v>255</v>
      </c>
      <c r="D242" s="63" t="s">
        <v>78</v>
      </c>
      <c r="E242" s="21">
        <v>0.22</v>
      </c>
      <c r="F242" s="24" t="s">
        <v>1156</v>
      </c>
      <c r="G242" s="1" t="s">
        <v>1159</v>
      </c>
      <c r="H242" s="18" t="s">
        <v>1170</v>
      </c>
      <c r="I242" s="61">
        <v>45111</v>
      </c>
    </row>
    <row r="243" spans="1:9">
      <c r="A243" s="60" t="s">
        <v>1162</v>
      </c>
      <c r="B243" s="61">
        <v>45123</v>
      </c>
      <c r="C243" s="6" t="s">
        <v>283</v>
      </c>
      <c r="D243" s="63" t="s">
        <v>78</v>
      </c>
      <c r="E243" s="21">
        <f>4.476+2.643</f>
        <v>7.1189999999999998</v>
      </c>
      <c r="F243" s="24" t="s">
        <v>267</v>
      </c>
      <c r="G243" s="1" t="s">
        <v>1163</v>
      </c>
      <c r="H243" s="18" t="s">
        <v>1083</v>
      </c>
      <c r="I243" s="61">
        <v>45111</v>
      </c>
    </row>
    <row r="244" spans="1:9">
      <c r="A244" s="60" t="s">
        <v>1162</v>
      </c>
      <c r="B244" s="61">
        <v>45123</v>
      </c>
      <c r="C244" s="6" t="s">
        <v>200</v>
      </c>
      <c r="D244" s="63" t="s">
        <v>78</v>
      </c>
      <c r="E244" s="21">
        <v>8.1379999999999999</v>
      </c>
      <c r="F244" s="24" t="s">
        <v>267</v>
      </c>
      <c r="G244" s="1" t="s">
        <v>1163</v>
      </c>
      <c r="H244" s="18" t="s">
        <v>1083</v>
      </c>
      <c r="I244" s="61">
        <v>45111</v>
      </c>
    </row>
    <row r="245" spans="1:9">
      <c r="A245" s="60" t="s">
        <v>1164</v>
      </c>
      <c r="B245" s="61">
        <v>45123</v>
      </c>
      <c r="C245" s="6" t="s">
        <v>283</v>
      </c>
      <c r="D245" s="63" t="s">
        <v>78</v>
      </c>
      <c r="E245" s="21">
        <v>3.9590000000000001</v>
      </c>
      <c r="F245" s="24" t="s">
        <v>267</v>
      </c>
      <c r="G245" s="1" t="s">
        <v>1165</v>
      </c>
      <c r="H245" s="18" t="s">
        <v>1112</v>
      </c>
      <c r="I245" s="61">
        <v>45111</v>
      </c>
    </row>
    <row r="246" spans="1:9">
      <c r="A246" s="60" t="s">
        <v>1164</v>
      </c>
      <c r="B246" s="61">
        <v>45123</v>
      </c>
      <c r="C246" s="6" t="s">
        <v>286</v>
      </c>
      <c r="D246" s="63" t="s">
        <v>78</v>
      </c>
      <c r="E246" s="21">
        <v>1.3320000000000001</v>
      </c>
      <c r="F246" s="24" t="s">
        <v>267</v>
      </c>
      <c r="G246" s="1" t="s">
        <v>1165</v>
      </c>
      <c r="H246" s="18" t="s">
        <v>1112</v>
      </c>
      <c r="I246" s="61">
        <v>45111</v>
      </c>
    </row>
    <row r="247" spans="1:9">
      <c r="A247" s="60" t="s">
        <v>1166</v>
      </c>
      <c r="B247" s="61">
        <v>45123</v>
      </c>
      <c r="C247" s="6" t="s">
        <v>200</v>
      </c>
      <c r="D247" s="63" t="s">
        <v>78</v>
      </c>
      <c r="E247" s="21">
        <v>9.8770000000000007</v>
      </c>
      <c r="F247" s="24" t="s">
        <v>267</v>
      </c>
      <c r="G247" s="1" t="s">
        <v>1165</v>
      </c>
      <c r="H247" s="18" t="s">
        <v>1115</v>
      </c>
      <c r="I247" s="61">
        <v>45111</v>
      </c>
    </row>
    <row r="248" spans="1:9">
      <c r="A248" s="60" t="s">
        <v>1166</v>
      </c>
      <c r="B248" s="61">
        <v>45123</v>
      </c>
      <c r="C248" s="6" t="s">
        <v>286</v>
      </c>
      <c r="D248" s="63" t="s">
        <v>78</v>
      </c>
      <c r="E248" s="21">
        <v>0.51800000000000002</v>
      </c>
      <c r="F248" s="24" t="s">
        <v>267</v>
      </c>
      <c r="G248" s="1" t="s">
        <v>1165</v>
      </c>
      <c r="H248" s="18" t="s">
        <v>1115</v>
      </c>
      <c r="I248" s="61">
        <v>45111</v>
      </c>
    </row>
    <row r="249" spans="1:9">
      <c r="A249" s="60" t="s">
        <v>1167</v>
      </c>
      <c r="B249" s="61">
        <v>45123</v>
      </c>
      <c r="C249" s="6" t="s">
        <v>263</v>
      </c>
      <c r="D249" s="63" t="s">
        <v>78</v>
      </c>
      <c r="E249" s="21">
        <v>0.98</v>
      </c>
      <c r="F249" s="24" t="s">
        <v>267</v>
      </c>
      <c r="G249" s="1" t="s">
        <v>1165</v>
      </c>
      <c r="H249" s="18" t="s">
        <v>1106</v>
      </c>
      <c r="I249" s="61">
        <v>45111</v>
      </c>
    </row>
    <row r="250" spans="1:9">
      <c r="A250" s="60" t="s">
        <v>1168</v>
      </c>
      <c r="B250" s="61">
        <v>45123</v>
      </c>
      <c r="C250" s="6" t="s">
        <v>263</v>
      </c>
      <c r="D250" s="63" t="s">
        <v>78</v>
      </c>
      <c r="E250" s="21">
        <v>6.9000000000000006E-2</v>
      </c>
      <c r="F250" s="24" t="s">
        <v>1156</v>
      </c>
      <c r="G250" s="1" t="s">
        <v>1169</v>
      </c>
      <c r="H250" s="18" t="s">
        <v>1083</v>
      </c>
      <c r="I250" s="61">
        <v>45111</v>
      </c>
    </row>
    <row r="251" spans="1:9">
      <c r="A251" s="15"/>
      <c r="B251" s="16"/>
      <c r="C251" s="6"/>
      <c r="D251" s="1"/>
      <c r="E251" s="54">
        <f>SUM(E234:E250)</f>
        <v>88.554999999999993</v>
      </c>
      <c r="F251" s="24"/>
      <c r="G251" s="1"/>
      <c r="H251" s="1"/>
      <c r="I251" s="3"/>
    </row>
    <row r="252" spans="1:9">
      <c r="A252" s="60" t="s">
        <v>1171</v>
      </c>
      <c r="B252" s="61">
        <v>45124</v>
      </c>
      <c r="C252" s="6" t="s">
        <v>283</v>
      </c>
      <c r="D252" s="63" t="s">
        <v>78</v>
      </c>
      <c r="E252" s="32">
        <f>14.738+1.648</f>
        <v>16.385999999999999</v>
      </c>
      <c r="F252" s="24" t="s">
        <v>83</v>
      </c>
      <c r="G252" s="1" t="s">
        <v>1172</v>
      </c>
      <c r="H252" s="18" t="s">
        <v>1083</v>
      </c>
      <c r="I252" s="61">
        <v>45111</v>
      </c>
    </row>
    <row r="253" spans="1:9">
      <c r="A253" s="60" t="s">
        <v>1171</v>
      </c>
      <c r="B253" s="61">
        <v>45124</v>
      </c>
      <c r="C253" s="6" t="s">
        <v>255</v>
      </c>
      <c r="D253" s="63" t="s">
        <v>78</v>
      </c>
      <c r="E253" s="32">
        <v>2.593</v>
      </c>
      <c r="F253" s="24" t="s">
        <v>83</v>
      </c>
      <c r="G253" s="1" t="s">
        <v>1172</v>
      </c>
      <c r="H253" s="18" t="s">
        <v>1083</v>
      </c>
      <c r="I253" s="61">
        <v>45111</v>
      </c>
    </row>
    <row r="254" spans="1:9">
      <c r="A254" s="60" t="s">
        <v>1171</v>
      </c>
      <c r="B254" s="61">
        <v>45124</v>
      </c>
      <c r="C254" s="6" t="s">
        <v>200</v>
      </c>
      <c r="D254" s="63" t="s">
        <v>78</v>
      </c>
      <c r="E254" s="32">
        <v>1.605</v>
      </c>
      <c r="F254" s="24" t="s">
        <v>83</v>
      </c>
      <c r="G254" s="1" t="s">
        <v>1172</v>
      </c>
      <c r="H254" s="18" t="s">
        <v>1083</v>
      </c>
      <c r="I254" s="61">
        <v>45111</v>
      </c>
    </row>
    <row r="255" spans="1:9">
      <c r="A255" s="60" t="s">
        <v>1173</v>
      </c>
      <c r="B255" s="61">
        <v>45124</v>
      </c>
      <c r="C255" s="6" t="s">
        <v>283</v>
      </c>
      <c r="D255" s="63" t="s">
        <v>78</v>
      </c>
      <c r="E255" s="32">
        <f>10.09+0.751</f>
        <v>10.840999999999999</v>
      </c>
      <c r="F255" s="24" t="s">
        <v>83</v>
      </c>
      <c r="G255" s="1" t="s">
        <v>1174</v>
      </c>
      <c r="H255" s="18" t="s">
        <v>1112</v>
      </c>
      <c r="I255" s="61">
        <v>45111</v>
      </c>
    </row>
    <row r="256" spans="1:9">
      <c r="A256" s="60" t="s">
        <v>1175</v>
      </c>
      <c r="B256" s="61">
        <v>45124</v>
      </c>
      <c r="C256" s="6" t="s">
        <v>200</v>
      </c>
      <c r="D256" s="63" t="s">
        <v>78</v>
      </c>
      <c r="E256" s="32">
        <v>0.95899999999999996</v>
      </c>
      <c r="F256" s="24" t="s">
        <v>83</v>
      </c>
      <c r="G256" s="1" t="s">
        <v>1176</v>
      </c>
      <c r="H256" s="18" t="s">
        <v>1115</v>
      </c>
      <c r="I256" s="61">
        <v>45111</v>
      </c>
    </row>
    <row r="257" spans="1:9">
      <c r="A257" s="60" t="s">
        <v>1177</v>
      </c>
      <c r="B257" s="61">
        <v>45124</v>
      </c>
      <c r="C257" s="6" t="s">
        <v>226</v>
      </c>
      <c r="D257" s="63" t="s">
        <v>78</v>
      </c>
      <c r="E257" s="32">
        <v>0.35299999999999998</v>
      </c>
      <c r="F257" s="24" t="s">
        <v>116</v>
      </c>
      <c r="G257" s="1" t="s">
        <v>1178</v>
      </c>
      <c r="H257" s="18" t="s">
        <v>1179</v>
      </c>
      <c r="I257" s="61">
        <v>45106</v>
      </c>
    </row>
    <row r="258" spans="1:9">
      <c r="A258" s="60" t="s">
        <v>1180</v>
      </c>
      <c r="B258" s="61">
        <v>45124</v>
      </c>
      <c r="C258" s="6" t="s">
        <v>1181</v>
      </c>
      <c r="D258" s="63" t="s">
        <v>78</v>
      </c>
      <c r="E258" s="32">
        <v>9.5000000000000001E-2</v>
      </c>
      <c r="F258" s="24" t="s">
        <v>116</v>
      </c>
      <c r="G258" s="1" t="s">
        <v>1178</v>
      </c>
      <c r="H258" s="18" t="s">
        <v>1106</v>
      </c>
      <c r="I258" s="61">
        <v>45106</v>
      </c>
    </row>
    <row r="259" spans="1:9">
      <c r="A259" s="60" t="s">
        <v>1182</v>
      </c>
      <c r="B259" s="61">
        <v>45124</v>
      </c>
      <c r="C259" s="6" t="s">
        <v>283</v>
      </c>
      <c r="D259" s="63" t="s">
        <v>78</v>
      </c>
      <c r="E259" s="32">
        <v>10.81</v>
      </c>
      <c r="F259" s="24" t="s">
        <v>116</v>
      </c>
      <c r="G259" s="1" t="s">
        <v>1178</v>
      </c>
      <c r="H259" s="18" t="s">
        <v>1083</v>
      </c>
      <c r="I259" s="61">
        <v>45111</v>
      </c>
    </row>
    <row r="260" spans="1:9">
      <c r="A260" s="60" t="s">
        <v>1182</v>
      </c>
      <c r="B260" s="61">
        <v>45124</v>
      </c>
      <c r="C260" s="6" t="s">
        <v>255</v>
      </c>
      <c r="D260" s="63" t="s">
        <v>78</v>
      </c>
      <c r="E260" s="32">
        <v>0.622</v>
      </c>
      <c r="F260" s="24" t="s">
        <v>116</v>
      </c>
      <c r="G260" s="1" t="s">
        <v>1178</v>
      </c>
      <c r="H260" s="18" t="s">
        <v>1083</v>
      </c>
      <c r="I260" s="61">
        <v>45111</v>
      </c>
    </row>
    <row r="261" spans="1:9">
      <c r="A261" s="60" t="s">
        <v>1183</v>
      </c>
      <c r="B261" s="61">
        <v>45124</v>
      </c>
      <c r="C261" s="6" t="s">
        <v>283</v>
      </c>
      <c r="D261" s="63" t="s">
        <v>78</v>
      </c>
      <c r="E261" s="32">
        <v>14.67</v>
      </c>
      <c r="F261" s="24" t="s">
        <v>116</v>
      </c>
      <c r="G261" s="1" t="s">
        <v>1184</v>
      </c>
      <c r="H261" s="18" t="s">
        <v>1112</v>
      </c>
      <c r="I261" s="61">
        <v>45111</v>
      </c>
    </row>
    <row r="262" spans="1:9">
      <c r="A262" s="60" t="s">
        <v>1183</v>
      </c>
      <c r="B262" s="61">
        <v>45124</v>
      </c>
      <c r="C262" s="6" t="s">
        <v>862</v>
      </c>
      <c r="D262" s="63" t="s">
        <v>78</v>
      </c>
      <c r="E262" s="32">
        <f>0.677+0.619</f>
        <v>1.296</v>
      </c>
      <c r="F262" s="24" t="s">
        <v>116</v>
      </c>
      <c r="G262" s="1" t="s">
        <v>1184</v>
      </c>
      <c r="H262" s="18" t="s">
        <v>1112</v>
      </c>
      <c r="I262" s="61">
        <v>45111</v>
      </c>
    </row>
    <row r="263" spans="1:9">
      <c r="A263" s="60" t="s">
        <v>1185</v>
      </c>
      <c r="B263" s="61">
        <v>45124</v>
      </c>
      <c r="C263" s="6" t="s">
        <v>862</v>
      </c>
      <c r="D263" s="63" t="s">
        <v>78</v>
      </c>
      <c r="E263" s="32">
        <v>1.7889999999999999</v>
      </c>
      <c r="F263" s="24" t="s">
        <v>116</v>
      </c>
      <c r="G263" s="1" t="s">
        <v>1186</v>
      </c>
      <c r="H263" s="18" t="s">
        <v>1187</v>
      </c>
      <c r="I263" s="61">
        <v>45111</v>
      </c>
    </row>
    <row r="264" spans="1:9">
      <c r="A264" s="60" t="s">
        <v>1185</v>
      </c>
      <c r="B264" s="61">
        <v>45124</v>
      </c>
      <c r="C264" s="6" t="s">
        <v>891</v>
      </c>
      <c r="D264" s="63" t="s">
        <v>78</v>
      </c>
      <c r="E264" s="32">
        <v>1.97</v>
      </c>
      <c r="F264" s="24" t="s">
        <v>116</v>
      </c>
      <c r="G264" s="1" t="s">
        <v>1186</v>
      </c>
      <c r="H264" s="18" t="s">
        <v>1187</v>
      </c>
      <c r="I264" s="61">
        <v>45111</v>
      </c>
    </row>
    <row r="265" spans="1:9">
      <c r="A265" s="15"/>
      <c r="B265" s="16"/>
      <c r="C265" s="6"/>
      <c r="D265" s="1"/>
      <c r="E265" s="41">
        <f>SUM(E252:E264)</f>
        <v>63.989000000000004</v>
      </c>
      <c r="F265" s="24"/>
      <c r="G265" s="1"/>
      <c r="H265" s="1"/>
      <c r="I265" s="3"/>
    </row>
    <row r="266" spans="1:9">
      <c r="A266" s="60" t="s">
        <v>1188</v>
      </c>
      <c r="B266" s="61">
        <v>45125</v>
      </c>
      <c r="C266" s="6" t="s">
        <v>200</v>
      </c>
      <c r="D266" s="63" t="s">
        <v>78</v>
      </c>
      <c r="E266" s="21">
        <f>0.089+0.555</f>
        <v>0.64400000000000002</v>
      </c>
      <c r="F266" s="24" t="s">
        <v>267</v>
      </c>
      <c r="G266" s="1" t="s">
        <v>1189</v>
      </c>
      <c r="H266" s="18" t="s">
        <v>1190</v>
      </c>
      <c r="I266" s="61">
        <v>45111</v>
      </c>
    </row>
    <row r="267" spans="1:9">
      <c r="A267" s="60" t="s">
        <v>1191</v>
      </c>
      <c r="B267" s="61">
        <v>45125</v>
      </c>
      <c r="C267" s="6" t="s">
        <v>244</v>
      </c>
      <c r="D267" s="63" t="s">
        <v>78</v>
      </c>
      <c r="E267" s="21">
        <v>1.53</v>
      </c>
      <c r="F267" s="24" t="s">
        <v>267</v>
      </c>
      <c r="G267" s="1" t="s">
        <v>1192</v>
      </c>
      <c r="H267" s="18" t="s">
        <v>1179</v>
      </c>
      <c r="I267" s="61">
        <v>45106</v>
      </c>
    </row>
    <row r="268" spans="1:9">
      <c r="A268" s="60" t="s">
        <v>1193</v>
      </c>
      <c r="B268" s="61">
        <v>45125</v>
      </c>
      <c r="C268" s="6" t="s">
        <v>200</v>
      </c>
      <c r="D268" s="63" t="s">
        <v>78</v>
      </c>
      <c r="E268" s="21">
        <v>3.601</v>
      </c>
      <c r="F268" s="24" t="s">
        <v>267</v>
      </c>
      <c r="G268" s="1" t="s">
        <v>1192</v>
      </c>
      <c r="H268" s="18" t="s">
        <v>1083</v>
      </c>
      <c r="I268" s="61">
        <v>45111</v>
      </c>
    </row>
    <row r="269" spans="1:9">
      <c r="A269" s="60" t="s">
        <v>1193</v>
      </c>
      <c r="B269" s="61">
        <v>45125</v>
      </c>
      <c r="C269" s="6" t="s">
        <v>255</v>
      </c>
      <c r="D269" s="63" t="s">
        <v>78</v>
      </c>
      <c r="E269" s="21">
        <v>1.8720000000000001</v>
      </c>
      <c r="F269" s="24" t="s">
        <v>267</v>
      </c>
      <c r="G269" s="1" t="s">
        <v>1192</v>
      </c>
      <c r="H269" s="18" t="s">
        <v>1083</v>
      </c>
      <c r="I269" s="61">
        <v>45111</v>
      </c>
    </row>
    <row r="270" spans="1:9">
      <c r="A270" s="60" t="s">
        <v>1194</v>
      </c>
      <c r="B270" s="61">
        <v>45125</v>
      </c>
      <c r="C270" s="6" t="s">
        <v>255</v>
      </c>
      <c r="D270" s="63" t="s">
        <v>78</v>
      </c>
      <c r="E270" s="21">
        <v>2.9449999999999998</v>
      </c>
      <c r="F270" s="24" t="s">
        <v>267</v>
      </c>
      <c r="G270" s="1" t="s">
        <v>1192</v>
      </c>
      <c r="H270" s="18" t="s">
        <v>1115</v>
      </c>
      <c r="I270" s="61">
        <v>45111</v>
      </c>
    </row>
    <row r="271" spans="1:9">
      <c r="A271" s="60" t="s">
        <v>1195</v>
      </c>
      <c r="B271" s="61">
        <v>45125</v>
      </c>
      <c r="C271" s="6" t="s">
        <v>200</v>
      </c>
      <c r="D271" s="63" t="s">
        <v>78</v>
      </c>
      <c r="E271" s="21">
        <v>0.85699999999999998</v>
      </c>
      <c r="F271" s="24" t="s">
        <v>267</v>
      </c>
      <c r="G271" s="1" t="s">
        <v>1192</v>
      </c>
      <c r="H271" s="18" t="s">
        <v>1170</v>
      </c>
      <c r="I271" s="61">
        <v>45111</v>
      </c>
    </row>
    <row r="272" spans="1:9">
      <c r="A272" s="60" t="s">
        <v>1196</v>
      </c>
      <c r="B272" s="61">
        <v>45125</v>
      </c>
      <c r="C272" s="6" t="s">
        <v>255</v>
      </c>
      <c r="D272" s="63" t="s">
        <v>78</v>
      </c>
      <c r="E272" s="21">
        <f>7.379+1.322</f>
        <v>8.7010000000000005</v>
      </c>
      <c r="F272" s="24" t="s">
        <v>267</v>
      </c>
      <c r="G272" s="1" t="s">
        <v>1197</v>
      </c>
      <c r="H272" s="18" t="s">
        <v>1187</v>
      </c>
      <c r="I272" s="61">
        <v>45111</v>
      </c>
    </row>
    <row r="273" spans="1:9">
      <c r="A273" s="60" t="s">
        <v>1198</v>
      </c>
      <c r="B273" s="61">
        <v>45125</v>
      </c>
      <c r="C273" s="6" t="s">
        <v>255</v>
      </c>
      <c r="D273" s="63" t="s">
        <v>78</v>
      </c>
      <c r="E273" s="21">
        <v>0.41499999999999998</v>
      </c>
      <c r="F273" s="24" t="s">
        <v>267</v>
      </c>
      <c r="G273" s="1" t="s">
        <v>1200</v>
      </c>
      <c r="H273" s="18" t="s">
        <v>1112</v>
      </c>
      <c r="I273" s="61">
        <v>45111</v>
      </c>
    </row>
    <row r="274" spans="1:9">
      <c r="A274" s="60" t="s">
        <v>1199</v>
      </c>
      <c r="B274" s="61">
        <v>45125</v>
      </c>
      <c r="C274" s="6" t="s">
        <v>891</v>
      </c>
      <c r="D274" s="63" t="s">
        <v>78</v>
      </c>
      <c r="E274" s="21">
        <v>0.81100000000000005</v>
      </c>
      <c r="F274" s="24" t="s">
        <v>83</v>
      </c>
      <c r="G274" s="25" t="s">
        <v>1201</v>
      </c>
      <c r="H274" s="18" t="s">
        <v>1202</v>
      </c>
      <c r="I274" s="61">
        <v>45111</v>
      </c>
    </row>
    <row r="275" spans="1:9">
      <c r="A275" s="60" t="s">
        <v>1203</v>
      </c>
      <c r="B275" s="61">
        <v>45125</v>
      </c>
      <c r="C275" s="6" t="s">
        <v>255</v>
      </c>
      <c r="D275" s="63" t="s">
        <v>78</v>
      </c>
      <c r="E275" s="21">
        <f>10.766+5.454</f>
        <v>16.22</v>
      </c>
      <c r="F275" s="24" t="s">
        <v>83</v>
      </c>
      <c r="G275" s="1" t="s">
        <v>1204</v>
      </c>
      <c r="H275" s="18" t="s">
        <v>1112</v>
      </c>
      <c r="I275" s="61">
        <v>45111</v>
      </c>
    </row>
    <row r="276" spans="1:9">
      <c r="A276" s="60" t="s">
        <v>1205</v>
      </c>
      <c r="B276" s="61">
        <v>45125</v>
      </c>
      <c r="C276" s="6" t="s">
        <v>255</v>
      </c>
      <c r="D276" s="63" t="s">
        <v>78</v>
      </c>
      <c r="E276" s="21">
        <f>7.86+7.257</f>
        <v>15.117000000000001</v>
      </c>
      <c r="F276" s="24" t="s">
        <v>83</v>
      </c>
      <c r="G276" s="1" t="s">
        <v>1206</v>
      </c>
      <c r="H276" s="18" t="s">
        <v>1187</v>
      </c>
      <c r="I276" s="61">
        <v>45111</v>
      </c>
    </row>
    <row r="277" spans="1:9">
      <c r="A277" s="60"/>
      <c r="B277" s="61"/>
      <c r="C277" s="6"/>
      <c r="D277" s="63"/>
      <c r="E277" s="58">
        <f>SUM(E266:E276)</f>
        <v>52.712999999999994</v>
      </c>
      <c r="F277" s="24"/>
      <c r="G277" s="1"/>
      <c r="H277" s="18"/>
      <c r="I277" s="61"/>
    </row>
    <row r="278" spans="1:9">
      <c r="A278" s="60" t="s">
        <v>1207</v>
      </c>
      <c r="B278" s="61">
        <v>45127</v>
      </c>
      <c r="C278" s="6" t="s">
        <v>283</v>
      </c>
      <c r="D278" s="63" t="s">
        <v>78</v>
      </c>
      <c r="E278" s="21">
        <v>3.2210000000000001</v>
      </c>
      <c r="F278" s="24" t="s">
        <v>1208</v>
      </c>
      <c r="G278" s="1" t="s">
        <v>1209</v>
      </c>
      <c r="H278" s="18" t="s">
        <v>1083</v>
      </c>
      <c r="I278" s="61">
        <v>45111</v>
      </c>
    </row>
    <row r="279" spans="1:9">
      <c r="A279" s="60" t="s">
        <v>1210</v>
      </c>
      <c r="B279" s="61">
        <v>45127</v>
      </c>
      <c r="C279" s="6" t="s">
        <v>283</v>
      </c>
      <c r="D279" s="63" t="s">
        <v>78</v>
      </c>
      <c r="E279" s="21">
        <v>1.778</v>
      </c>
      <c r="F279" s="24" t="s">
        <v>1208</v>
      </c>
      <c r="G279" s="1" t="s">
        <v>1209</v>
      </c>
      <c r="H279" s="18" t="s">
        <v>1359</v>
      </c>
      <c r="I279" s="61">
        <v>45111</v>
      </c>
    </row>
    <row r="280" spans="1:9">
      <c r="A280" s="60" t="s">
        <v>1210</v>
      </c>
      <c r="B280" s="61">
        <v>45127</v>
      </c>
      <c r="C280" s="6" t="s">
        <v>200</v>
      </c>
      <c r="D280" s="63" t="s">
        <v>78</v>
      </c>
      <c r="E280" s="21">
        <v>0.77300000000000002</v>
      </c>
      <c r="F280" s="24" t="s">
        <v>1208</v>
      </c>
      <c r="G280" s="1" t="s">
        <v>1209</v>
      </c>
      <c r="H280" s="18" t="s">
        <v>1359</v>
      </c>
      <c r="I280" s="61">
        <v>45111</v>
      </c>
    </row>
    <row r="281" spans="1:9">
      <c r="A281" s="60" t="s">
        <v>1211</v>
      </c>
      <c r="B281" s="61">
        <v>45127</v>
      </c>
      <c r="C281" s="6" t="s">
        <v>283</v>
      </c>
      <c r="D281" s="63" t="s">
        <v>78</v>
      </c>
      <c r="E281" s="21">
        <v>1.2629999999999999</v>
      </c>
      <c r="F281" s="24" t="s">
        <v>1208</v>
      </c>
      <c r="G281" s="1" t="s">
        <v>1209</v>
      </c>
      <c r="H281" s="18" t="s">
        <v>1112</v>
      </c>
      <c r="I281" s="61">
        <v>45111</v>
      </c>
    </row>
    <row r="282" spans="1:9">
      <c r="A282" s="60" t="s">
        <v>1211</v>
      </c>
      <c r="B282" s="61">
        <v>45127</v>
      </c>
      <c r="C282" s="6" t="s">
        <v>255</v>
      </c>
      <c r="D282" s="63" t="s">
        <v>78</v>
      </c>
      <c r="E282" s="21">
        <v>0.99299999999999999</v>
      </c>
      <c r="F282" s="24" t="s">
        <v>1208</v>
      </c>
      <c r="G282" s="1" t="s">
        <v>1209</v>
      </c>
      <c r="H282" s="18" t="s">
        <v>1112</v>
      </c>
      <c r="I282" s="61">
        <v>45111</v>
      </c>
    </row>
    <row r="283" spans="1:9">
      <c r="A283" s="60" t="s">
        <v>1211</v>
      </c>
      <c r="B283" s="61">
        <v>45127</v>
      </c>
      <c r="C283" s="6" t="s">
        <v>862</v>
      </c>
      <c r="D283" s="63" t="s">
        <v>78</v>
      </c>
      <c r="E283" s="21">
        <v>9.8000000000000004E-2</v>
      </c>
      <c r="F283" s="24" t="s">
        <v>1208</v>
      </c>
      <c r="G283" s="1" t="s">
        <v>1209</v>
      </c>
      <c r="H283" s="18" t="s">
        <v>1112</v>
      </c>
      <c r="I283" s="61">
        <v>45111</v>
      </c>
    </row>
    <row r="284" spans="1:9">
      <c r="A284" s="60" t="s">
        <v>1212</v>
      </c>
      <c r="B284" s="61">
        <v>45127</v>
      </c>
      <c r="C284" s="6" t="s">
        <v>255</v>
      </c>
      <c r="D284" s="63" t="s">
        <v>78</v>
      </c>
      <c r="E284" s="21">
        <v>0.78700000000000003</v>
      </c>
      <c r="F284" s="24" t="s">
        <v>1208</v>
      </c>
      <c r="G284" s="1" t="s">
        <v>1209</v>
      </c>
      <c r="H284" s="18" t="s">
        <v>1187</v>
      </c>
      <c r="I284" s="61">
        <v>45111</v>
      </c>
    </row>
    <row r="285" spans="1:9">
      <c r="A285" s="60" t="s">
        <v>1213</v>
      </c>
      <c r="B285" s="61">
        <v>45127</v>
      </c>
      <c r="C285" s="6" t="s">
        <v>208</v>
      </c>
      <c r="D285" s="63" t="s">
        <v>78</v>
      </c>
      <c r="E285" s="21">
        <v>3.2160000000000002</v>
      </c>
      <c r="F285" s="24" t="s">
        <v>1208</v>
      </c>
      <c r="G285" s="1" t="s">
        <v>1209</v>
      </c>
      <c r="H285" s="18" t="s">
        <v>1214</v>
      </c>
      <c r="I285" s="61">
        <v>45111</v>
      </c>
    </row>
    <row r="286" spans="1:9">
      <c r="A286" s="60" t="s">
        <v>1215</v>
      </c>
      <c r="B286" s="61">
        <v>45127</v>
      </c>
      <c r="C286" s="6" t="s">
        <v>208</v>
      </c>
      <c r="D286" s="63" t="s">
        <v>78</v>
      </c>
      <c r="E286" s="21">
        <f>3.707+13.314+1.287</f>
        <v>18.308</v>
      </c>
      <c r="F286" s="24" t="s">
        <v>1208</v>
      </c>
      <c r="G286" s="1" t="s">
        <v>1216</v>
      </c>
      <c r="H286" s="18" t="s">
        <v>1217</v>
      </c>
      <c r="I286" s="61">
        <v>45111</v>
      </c>
    </row>
    <row r="287" spans="1:9">
      <c r="A287" s="60" t="s">
        <v>1218</v>
      </c>
      <c r="B287" s="61">
        <v>45127</v>
      </c>
      <c r="C287" s="6" t="s">
        <v>227</v>
      </c>
      <c r="D287" s="63" t="s">
        <v>78</v>
      </c>
      <c r="E287" s="21">
        <v>0.92800000000000005</v>
      </c>
      <c r="F287" s="24" t="s">
        <v>1208</v>
      </c>
      <c r="G287" s="1" t="s">
        <v>1219</v>
      </c>
      <c r="H287" s="18" t="s">
        <v>1179</v>
      </c>
      <c r="I287" s="61">
        <v>45111</v>
      </c>
    </row>
    <row r="288" spans="1:9">
      <c r="A288" s="60" t="s">
        <v>1220</v>
      </c>
      <c r="B288" s="61">
        <v>45127</v>
      </c>
      <c r="C288" s="6" t="s">
        <v>862</v>
      </c>
      <c r="D288" s="63" t="s">
        <v>78</v>
      </c>
      <c r="E288" s="21">
        <v>0.65</v>
      </c>
      <c r="F288" s="24" t="s">
        <v>1208</v>
      </c>
      <c r="G288" s="1" t="s">
        <v>1219</v>
      </c>
      <c r="H288" s="18" t="s">
        <v>1190</v>
      </c>
      <c r="I288" s="61">
        <v>45111</v>
      </c>
    </row>
    <row r="289" spans="1:9">
      <c r="A289" s="60" t="s">
        <v>1221</v>
      </c>
      <c r="B289" s="61">
        <v>45127</v>
      </c>
      <c r="C289" s="6" t="s">
        <v>891</v>
      </c>
      <c r="D289" s="63" t="s">
        <v>78</v>
      </c>
      <c r="E289" s="21">
        <v>0.42899999999999999</v>
      </c>
      <c r="F289" s="24" t="s">
        <v>1208</v>
      </c>
      <c r="G289" s="1" t="s">
        <v>1219</v>
      </c>
      <c r="H289" s="1" t="s">
        <v>787</v>
      </c>
      <c r="I289" s="61">
        <v>45184</v>
      </c>
    </row>
    <row r="290" spans="1:9">
      <c r="A290" s="15"/>
      <c r="B290" s="16"/>
      <c r="C290" s="6"/>
      <c r="D290" s="1"/>
      <c r="E290" s="41">
        <f>SUM(E278:E289)</f>
        <v>32.444000000000003</v>
      </c>
      <c r="F290" s="24"/>
      <c r="G290" s="1"/>
      <c r="H290" s="1"/>
      <c r="I290" s="3"/>
    </row>
    <row r="291" spans="1:9">
      <c r="A291" s="60" t="s">
        <v>1222</v>
      </c>
      <c r="B291" s="61">
        <v>45128</v>
      </c>
      <c r="C291" s="6" t="s">
        <v>1223</v>
      </c>
      <c r="D291" s="1" t="s">
        <v>11</v>
      </c>
      <c r="E291" s="21">
        <v>1.8380000000000001</v>
      </c>
      <c r="F291" s="24" t="s">
        <v>16</v>
      </c>
      <c r="G291" s="1" t="s">
        <v>1224</v>
      </c>
      <c r="H291" s="1" t="s">
        <v>1125</v>
      </c>
      <c r="I291" s="61">
        <v>45113</v>
      </c>
    </row>
    <row r="292" spans="1:9">
      <c r="A292" s="60" t="s">
        <v>1222</v>
      </c>
      <c r="B292" s="61">
        <v>45128</v>
      </c>
      <c r="C292" s="6" t="s">
        <v>1223</v>
      </c>
      <c r="D292" s="1" t="s">
        <v>11</v>
      </c>
      <c r="E292" s="21">
        <f>18.004+5.311</f>
        <v>23.315000000000001</v>
      </c>
      <c r="F292" s="24" t="s">
        <v>16</v>
      </c>
      <c r="G292" s="1" t="s">
        <v>1224</v>
      </c>
      <c r="H292" s="1" t="s">
        <v>1125</v>
      </c>
      <c r="I292" s="61">
        <v>45113</v>
      </c>
    </row>
    <row r="293" spans="1:9">
      <c r="A293" s="60" t="s">
        <v>1225</v>
      </c>
      <c r="B293" s="61">
        <v>45128</v>
      </c>
      <c r="C293" s="6" t="s">
        <v>1226</v>
      </c>
      <c r="D293" s="63" t="s">
        <v>78</v>
      </c>
      <c r="E293" s="21">
        <v>5.4509999999999996</v>
      </c>
      <c r="F293" s="24" t="s">
        <v>267</v>
      </c>
      <c r="G293" s="1" t="s">
        <v>1228</v>
      </c>
      <c r="H293" s="18" t="s">
        <v>1217</v>
      </c>
      <c r="I293" s="61">
        <v>45111</v>
      </c>
    </row>
    <row r="294" spans="1:9">
      <c r="A294" s="60" t="s">
        <v>1225</v>
      </c>
      <c r="B294" s="61">
        <v>45128</v>
      </c>
      <c r="C294" s="6" t="s">
        <v>1227</v>
      </c>
      <c r="D294" s="63" t="s">
        <v>78</v>
      </c>
      <c r="E294" s="21">
        <f>0.888+11.049</f>
        <v>11.936999999999999</v>
      </c>
      <c r="F294" s="24" t="s">
        <v>267</v>
      </c>
      <c r="G294" s="1" t="s">
        <v>1228</v>
      </c>
      <c r="H294" s="18" t="s">
        <v>1217</v>
      </c>
      <c r="I294" s="61">
        <v>45111</v>
      </c>
    </row>
    <row r="295" spans="1:9">
      <c r="A295" s="60" t="s">
        <v>1229</v>
      </c>
      <c r="B295" s="61">
        <v>45128</v>
      </c>
      <c r="C295" s="6" t="s">
        <v>1226</v>
      </c>
      <c r="D295" s="63" t="s">
        <v>78</v>
      </c>
      <c r="E295" s="21">
        <v>2.734</v>
      </c>
      <c r="F295" s="24" t="s">
        <v>267</v>
      </c>
      <c r="G295" s="1" t="s">
        <v>1230</v>
      </c>
      <c r="H295" s="18" t="s">
        <v>1359</v>
      </c>
      <c r="I295" s="61">
        <v>45111</v>
      </c>
    </row>
    <row r="296" spans="1:9">
      <c r="A296" s="60" t="s">
        <v>1231</v>
      </c>
      <c r="B296" s="61">
        <v>45128</v>
      </c>
      <c r="C296" s="6" t="s">
        <v>1226</v>
      </c>
      <c r="D296" s="63" t="s">
        <v>78</v>
      </c>
      <c r="E296" s="21">
        <f>2.632+1.664+8.421</f>
        <v>12.716999999999999</v>
      </c>
      <c r="F296" s="24" t="s">
        <v>267</v>
      </c>
      <c r="G296" s="1" t="s">
        <v>1232</v>
      </c>
      <c r="H296" s="18" t="s">
        <v>1112</v>
      </c>
      <c r="I296" s="61">
        <v>45111</v>
      </c>
    </row>
    <row r="297" spans="1:9">
      <c r="A297" s="60" t="s">
        <v>1233</v>
      </c>
      <c r="B297" s="61">
        <v>45128</v>
      </c>
      <c r="C297" s="6" t="s">
        <v>1223</v>
      </c>
      <c r="D297" s="63" t="s">
        <v>78</v>
      </c>
      <c r="E297" s="21">
        <v>8.4600000000000009</v>
      </c>
      <c r="F297" s="30" t="s">
        <v>1243</v>
      </c>
      <c r="G297" s="14" t="s">
        <v>1244</v>
      </c>
      <c r="H297" s="18" t="s">
        <v>1217</v>
      </c>
      <c r="I297" s="61">
        <v>45111</v>
      </c>
    </row>
    <row r="298" spans="1:9">
      <c r="A298" s="60" t="s">
        <v>1233</v>
      </c>
      <c r="B298" s="61">
        <v>45128</v>
      </c>
      <c r="C298" s="6" t="s">
        <v>1227</v>
      </c>
      <c r="D298" s="63" t="s">
        <v>78</v>
      </c>
      <c r="E298" s="21">
        <v>8.1959999999999997</v>
      </c>
      <c r="F298" s="30" t="s">
        <v>1243</v>
      </c>
      <c r="G298" s="14" t="s">
        <v>1244</v>
      </c>
      <c r="H298" s="18" t="s">
        <v>1217</v>
      </c>
      <c r="I298" s="61">
        <v>45111</v>
      </c>
    </row>
    <row r="299" spans="1:9">
      <c r="A299" s="60" t="s">
        <v>1233</v>
      </c>
      <c r="B299" s="61">
        <v>45128</v>
      </c>
      <c r="C299" s="6" t="s">
        <v>1242</v>
      </c>
      <c r="D299" s="63" t="s">
        <v>78</v>
      </c>
      <c r="E299" s="21">
        <v>0.84</v>
      </c>
      <c r="F299" s="30" t="s">
        <v>1243</v>
      </c>
      <c r="G299" s="14" t="s">
        <v>1244</v>
      </c>
      <c r="H299" s="18" t="s">
        <v>1217</v>
      </c>
      <c r="I299" s="61">
        <v>45111</v>
      </c>
    </row>
    <row r="300" spans="1:9">
      <c r="A300" s="60" t="s">
        <v>1246</v>
      </c>
      <c r="B300" s="61">
        <v>45128</v>
      </c>
      <c r="C300" s="6" t="s">
        <v>1245</v>
      </c>
      <c r="D300" s="63" t="s">
        <v>78</v>
      </c>
      <c r="E300" s="21">
        <v>0.47399999999999998</v>
      </c>
      <c r="F300" s="30" t="s">
        <v>1243</v>
      </c>
      <c r="G300" s="14" t="s">
        <v>1247</v>
      </c>
      <c r="H300" s="18" t="s">
        <v>1112</v>
      </c>
      <c r="I300" s="61">
        <v>45111</v>
      </c>
    </row>
    <row r="301" spans="1:9">
      <c r="A301" s="60" t="s">
        <v>1246</v>
      </c>
      <c r="B301" s="61">
        <v>45128</v>
      </c>
      <c r="C301" s="6" t="s">
        <v>1227</v>
      </c>
      <c r="D301" s="63" t="s">
        <v>78</v>
      </c>
      <c r="E301" s="21">
        <f>3.267+7.805</f>
        <v>11.071999999999999</v>
      </c>
      <c r="F301" s="30" t="s">
        <v>1243</v>
      </c>
      <c r="G301" s="14" t="s">
        <v>1247</v>
      </c>
      <c r="H301" s="18" t="s">
        <v>1112</v>
      </c>
      <c r="I301" s="61">
        <v>45111</v>
      </c>
    </row>
    <row r="302" spans="1:9">
      <c r="A302" s="60" t="s">
        <v>1248</v>
      </c>
      <c r="B302" s="61">
        <v>45128</v>
      </c>
      <c r="C302" s="6" t="s">
        <v>1227</v>
      </c>
      <c r="D302" s="63" t="s">
        <v>78</v>
      </c>
      <c r="E302" s="21">
        <v>2.266</v>
      </c>
      <c r="F302" s="30" t="s">
        <v>1243</v>
      </c>
      <c r="G302" s="14" t="s">
        <v>1247</v>
      </c>
      <c r="H302" s="18" t="s">
        <v>1249</v>
      </c>
      <c r="I302" s="61">
        <v>45111</v>
      </c>
    </row>
    <row r="303" spans="1:9">
      <c r="A303" s="15"/>
      <c r="B303" s="16"/>
      <c r="C303" s="6"/>
      <c r="D303" s="1"/>
      <c r="E303" s="41">
        <f>SUM(E291:E302)</f>
        <v>89.300000000000011</v>
      </c>
      <c r="F303" s="24"/>
      <c r="G303" s="1"/>
      <c r="H303" s="1"/>
      <c r="I303" s="3"/>
    </row>
    <row r="304" spans="1:9">
      <c r="A304" s="60" t="s">
        <v>1250</v>
      </c>
      <c r="B304" s="61">
        <v>45129</v>
      </c>
      <c r="C304" s="6" t="s">
        <v>1223</v>
      </c>
      <c r="D304" s="1" t="s">
        <v>11</v>
      </c>
      <c r="E304" s="21">
        <v>2.6150000000000002</v>
      </c>
      <c r="F304" s="24" t="s">
        <v>51</v>
      </c>
      <c r="G304" s="1" t="s">
        <v>1252</v>
      </c>
      <c r="H304" s="1" t="s">
        <v>1125</v>
      </c>
      <c r="I304" s="61">
        <v>45113</v>
      </c>
    </row>
    <row r="305" spans="1:9">
      <c r="A305" s="60" t="s">
        <v>1250</v>
      </c>
      <c r="B305" s="61">
        <v>45129</v>
      </c>
      <c r="C305" s="6" t="s">
        <v>1223</v>
      </c>
      <c r="D305" s="1" t="s">
        <v>11</v>
      </c>
      <c r="E305" s="21">
        <v>16.175000000000001</v>
      </c>
      <c r="F305" s="24" t="s">
        <v>51</v>
      </c>
      <c r="G305" s="1" t="s">
        <v>1252</v>
      </c>
      <c r="H305" s="1" t="s">
        <v>1125</v>
      </c>
      <c r="I305" s="61">
        <v>45113</v>
      </c>
    </row>
    <row r="306" spans="1:9">
      <c r="A306" s="60" t="s">
        <v>1250</v>
      </c>
      <c r="B306" s="61">
        <v>45129</v>
      </c>
      <c r="C306" s="6" t="s">
        <v>1251</v>
      </c>
      <c r="D306" s="1" t="s">
        <v>11</v>
      </c>
      <c r="E306" s="21">
        <v>5.8410000000000002</v>
      </c>
      <c r="F306" s="24" t="s">
        <v>51</v>
      </c>
      <c r="G306" s="1" t="s">
        <v>1252</v>
      </c>
      <c r="H306" s="1" t="s">
        <v>1125</v>
      </c>
      <c r="I306" s="61">
        <v>45113</v>
      </c>
    </row>
    <row r="307" spans="1:9">
      <c r="A307" s="60" t="s">
        <v>1253</v>
      </c>
      <c r="B307" s="61">
        <v>45129</v>
      </c>
      <c r="C307" s="6" t="s">
        <v>1223</v>
      </c>
      <c r="D307" s="63" t="s">
        <v>78</v>
      </c>
      <c r="E307" s="21">
        <v>9.8339999999999996</v>
      </c>
      <c r="F307" s="24" t="s">
        <v>267</v>
      </c>
      <c r="G307" s="1" t="s">
        <v>1254</v>
      </c>
      <c r="H307" s="18" t="s">
        <v>1217</v>
      </c>
      <c r="I307" s="61">
        <v>45111</v>
      </c>
    </row>
    <row r="308" spans="1:9">
      <c r="A308" s="60" t="s">
        <v>1253</v>
      </c>
      <c r="B308" s="61">
        <v>45129</v>
      </c>
      <c r="C308" s="6" t="s">
        <v>1227</v>
      </c>
      <c r="D308" s="63" t="s">
        <v>78</v>
      </c>
      <c r="E308" s="21">
        <v>3.1030000000000002</v>
      </c>
      <c r="F308" s="24" t="s">
        <v>267</v>
      </c>
      <c r="G308" s="1" t="s">
        <v>1254</v>
      </c>
      <c r="H308" s="18" t="s">
        <v>1217</v>
      </c>
      <c r="I308" s="61">
        <v>45111</v>
      </c>
    </row>
    <row r="309" spans="1:9">
      <c r="A309" s="60" t="s">
        <v>1257</v>
      </c>
      <c r="B309" s="61">
        <v>45129</v>
      </c>
      <c r="C309" s="6" t="s">
        <v>1227</v>
      </c>
      <c r="D309" s="63" t="s">
        <v>78</v>
      </c>
      <c r="E309" s="21">
        <v>1.1539999999999999</v>
      </c>
      <c r="F309" s="24" t="s">
        <v>267</v>
      </c>
      <c r="G309" s="1" t="s">
        <v>1258</v>
      </c>
      <c r="H309" s="18" t="s">
        <v>1112</v>
      </c>
      <c r="I309" s="61">
        <v>45111</v>
      </c>
    </row>
    <row r="310" spans="1:9">
      <c r="A310" s="60" t="s">
        <v>1257</v>
      </c>
      <c r="B310" s="61">
        <v>45129</v>
      </c>
      <c r="C310" s="6" t="s">
        <v>1255</v>
      </c>
      <c r="D310" s="63" t="s">
        <v>78</v>
      </c>
      <c r="E310" s="21">
        <v>1.381</v>
      </c>
      <c r="F310" s="24" t="s">
        <v>267</v>
      </c>
      <c r="G310" s="1" t="s">
        <v>1258</v>
      </c>
      <c r="H310" s="18" t="s">
        <v>1112</v>
      </c>
      <c r="I310" s="61">
        <v>45111</v>
      </c>
    </row>
    <row r="311" spans="1:9">
      <c r="A311" s="60" t="s">
        <v>1257</v>
      </c>
      <c r="B311" s="61">
        <v>45129</v>
      </c>
      <c r="C311" s="6" t="s">
        <v>1256</v>
      </c>
      <c r="D311" s="63" t="s">
        <v>78</v>
      </c>
      <c r="E311" s="21">
        <v>1.097</v>
      </c>
      <c r="F311" s="24" t="s">
        <v>267</v>
      </c>
      <c r="G311" s="1" t="s">
        <v>1258</v>
      </c>
      <c r="H311" s="18" t="s">
        <v>1112</v>
      </c>
      <c r="I311" s="61">
        <v>45111</v>
      </c>
    </row>
    <row r="312" spans="1:9">
      <c r="A312" s="60" t="s">
        <v>1259</v>
      </c>
      <c r="B312" s="61">
        <v>45129</v>
      </c>
      <c r="C312" s="6" t="s">
        <v>1260</v>
      </c>
      <c r="D312" s="63" t="s">
        <v>78</v>
      </c>
      <c r="E312" s="21">
        <v>0.57299999999999995</v>
      </c>
      <c r="F312" s="24" t="s">
        <v>267</v>
      </c>
      <c r="G312" s="1" t="s">
        <v>1258</v>
      </c>
      <c r="H312" s="18" t="s">
        <v>1202</v>
      </c>
      <c r="I312" s="61">
        <v>45111</v>
      </c>
    </row>
    <row r="313" spans="1:9">
      <c r="A313" s="60" t="s">
        <v>1261</v>
      </c>
      <c r="B313" s="61">
        <v>45129</v>
      </c>
      <c r="C313" s="6" t="s">
        <v>1260</v>
      </c>
      <c r="D313" s="63" t="s">
        <v>78</v>
      </c>
      <c r="E313" s="21">
        <v>7.9020000000000001</v>
      </c>
      <c r="F313" s="24" t="s">
        <v>267</v>
      </c>
      <c r="G313" s="1" t="s">
        <v>1258</v>
      </c>
      <c r="H313" s="18" t="s">
        <v>1187</v>
      </c>
      <c r="I313" s="61">
        <v>45111</v>
      </c>
    </row>
    <row r="314" spans="1:9">
      <c r="A314" s="60" t="s">
        <v>1261</v>
      </c>
      <c r="B314" s="61">
        <v>45129</v>
      </c>
      <c r="C314" s="6" t="s">
        <v>1256</v>
      </c>
      <c r="D314" s="63" t="s">
        <v>78</v>
      </c>
      <c r="E314" s="21">
        <v>3.17</v>
      </c>
      <c r="F314" s="24" t="s">
        <v>267</v>
      </c>
      <c r="G314" s="1" t="s">
        <v>1258</v>
      </c>
      <c r="H314" s="18" t="s">
        <v>1187</v>
      </c>
      <c r="I314" s="61">
        <v>45111</v>
      </c>
    </row>
    <row r="315" spans="1:9">
      <c r="A315" s="60" t="s">
        <v>1262</v>
      </c>
      <c r="B315" s="61">
        <v>45129</v>
      </c>
      <c r="C315" s="6" t="s">
        <v>1260</v>
      </c>
      <c r="D315" s="63" t="s">
        <v>78</v>
      </c>
      <c r="E315" s="21">
        <v>1.998</v>
      </c>
      <c r="F315" s="24" t="s">
        <v>267</v>
      </c>
      <c r="G315" s="1" t="s">
        <v>1258</v>
      </c>
      <c r="H315" s="18" t="s">
        <v>1263</v>
      </c>
      <c r="I315" s="61">
        <v>45111</v>
      </c>
    </row>
    <row r="316" spans="1:9">
      <c r="A316" s="60" t="s">
        <v>1262</v>
      </c>
      <c r="B316" s="61">
        <v>45129</v>
      </c>
      <c r="C316" s="6" t="s">
        <v>1256</v>
      </c>
      <c r="D316" s="63" t="s">
        <v>78</v>
      </c>
      <c r="E316" s="21">
        <v>1.2649999999999999</v>
      </c>
      <c r="F316" s="24" t="s">
        <v>267</v>
      </c>
      <c r="G316" s="1" t="s">
        <v>1258</v>
      </c>
      <c r="H316" s="18" t="s">
        <v>1263</v>
      </c>
      <c r="I316" s="61">
        <v>45111</v>
      </c>
    </row>
    <row r="317" spans="1:9">
      <c r="A317" s="60" t="s">
        <v>1264</v>
      </c>
      <c r="B317" s="61">
        <v>45129</v>
      </c>
      <c r="C317" s="6" t="s">
        <v>1245</v>
      </c>
      <c r="D317" s="63" t="s">
        <v>78</v>
      </c>
      <c r="E317" s="21">
        <v>0.32300000000000001</v>
      </c>
      <c r="F317" s="24" t="s">
        <v>267</v>
      </c>
      <c r="G317" s="1" t="s">
        <v>1258</v>
      </c>
      <c r="H317" s="18" t="s">
        <v>1249</v>
      </c>
      <c r="I317" s="61">
        <v>45111</v>
      </c>
    </row>
    <row r="318" spans="1:9">
      <c r="A318" s="60"/>
      <c r="B318" s="61"/>
      <c r="C318" s="6"/>
      <c r="D318" s="63"/>
      <c r="E318" s="58">
        <f>SUM(E304:E317)</f>
        <v>56.431000000000012</v>
      </c>
      <c r="F318" s="24"/>
      <c r="G318" s="1"/>
      <c r="H318" s="18"/>
      <c r="I318" s="61"/>
    </row>
    <row r="319" spans="1:9">
      <c r="A319" s="60" t="s">
        <v>1273</v>
      </c>
      <c r="B319" s="61">
        <v>45130</v>
      </c>
      <c r="C319" s="6" t="s">
        <v>1271</v>
      </c>
      <c r="D319" s="63" t="s">
        <v>78</v>
      </c>
      <c r="E319" s="21">
        <f>8.068+4.357</f>
        <v>12.425000000000001</v>
      </c>
      <c r="F319" s="24" t="s">
        <v>97</v>
      </c>
      <c r="G319" s="1" t="s">
        <v>1274</v>
      </c>
      <c r="H319" s="18" t="s">
        <v>1217</v>
      </c>
      <c r="I319" s="61">
        <v>45111</v>
      </c>
    </row>
    <row r="320" spans="1:9">
      <c r="A320" s="60" t="s">
        <v>1273</v>
      </c>
      <c r="B320" s="61">
        <v>45130</v>
      </c>
      <c r="C320" s="6" t="s">
        <v>1272</v>
      </c>
      <c r="D320" s="63" t="s">
        <v>78</v>
      </c>
      <c r="E320" s="21">
        <f>1.703+1.664+1.664+2.789</f>
        <v>7.82</v>
      </c>
      <c r="F320" s="24" t="s">
        <v>97</v>
      </c>
      <c r="G320" s="1" t="s">
        <v>1274</v>
      </c>
      <c r="H320" s="18" t="s">
        <v>1217</v>
      </c>
      <c r="I320" s="61">
        <v>45111</v>
      </c>
    </row>
    <row r="321" spans="1:9">
      <c r="A321" s="60" t="s">
        <v>1275</v>
      </c>
      <c r="B321" s="61">
        <v>45130</v>
      </c>
      <c r="C321" s="6" t="s">
        <v>1271</v>
      </c>
      <c r="D321" s="63" t="s">
        <v>78</v>
      </c>
      <c r="E321" s="21">
        <f>3.677+1.317</f>
        <v>4.9939999999999998</v>
      </c>
      <c r="F321" s="24" t="s">
        <v>97</v>
      </c>
      <c r="G321" s="1" t="s">
        <v>1276</v>
      </c>
      <c r="H321" s="18" t="s">
        <v>1112</v>
      </c>
      <c r="I321" s="61">
        <v>45111</v>
      </c>
    </row>
    <row r="322" spans="1:9">
      <c r="A322" s="60" t="s">
        <v>1275</v>
      </c>
      <c r="B322" s="61">
        <v>45130</v>
      </c>
      <c r="C322" s="6" t="s">
        <v>1272</v>
      </c>
      <c r="D322" s="63" t="s">
        <v>78</v>
      </c>
      <c r="E322" s="32">
        <v>7.6210000000000004</v>
      </c>
      <c r="F322" s="24" t="s">
        <v>97</v>
      </c>
      <c r="G322" s="1" t="s">
        <v>1276</v>
      </c>
      <c r="H322" s="18" t="s">
        <v>1112</v>
      </c>
      <c r="I322" s="61">
        <v>45111</v>
      </c>
    </row>
    <row r="323" spans="1:9">
      <c r="A323" s="60" t="s">
        <v>1277</v>
      </c>
      <c r="B323" s="61">
        <v>45130</v>
      </c>
      <c r="C323" s="6" t="s">
        <v>1271</v>
      </c>
      <c r="D323" s="63" t="s">
        <v>78</v>
      </c>
      <c r="E323" s="32">
        <v>7.0179999999999998</v>
      </c>
      <c r="F323" s="24" t="s">
        <v>1243</v>
      </c>
      <c r="G323" s="1" t="s">
        <v>1278</v>
      </c>
      <c r="H323" s="18" t="s">
        <v>1217</v>
      </c>
      <c r="I323" s="61">
        <v>45111</v>
      </c>
    </row>
    <row r="324" spans="1:9">
      <c r="A324" s="60" t="s">
        <v>1277</v>
      </c>
      <c r="B324" s="61">
        <v>45130</v>
      </c>
      <c r="C324" s="6" t="s">
        <v>1272</v>
      </c>
      <c r="D324" s="63" t="s">
        <v>78</v>
      </c>
      <c r="E324" s="32">
        <v>5.7489999999999997</v>
      </c>
      <c r="F324" s="24" t="s">
        <v>1243</v>
      </c>
      <c r="G324" s="1" t="s">
        <v>1278</v>
      </c>
      <c r="H324" s="18" t="s">
        <v>1217</v>
      </c>
      <c r="I324" s="61">
        <v>45111</v>
      </c>
    </row>
    <row r="325" spans="1:9">
      <c r="A325" s="60" t="s">
        <v>1279</v>
      </c>
      <c r="B325" s="61">
        <v>45130</v>
      </c>
      <c r="C325" s="6" t="s">
        <v>1271</v>
      </c>
      <c r="D325" s="63" t="s">
        <v>78</v>
      </c>
      <c r="E325" s="32">
        <v>2.0110000000000001</v>
      </c>
      <c r="F325" s="24" t="s">
        <v>1243</v>
      </c>
      <c r="G325" s="1" t="s">
        <v>1280</v>
      </c>
      <c r="H325" s="18" t="s">
        <v>1112</v>
      </c>
      <c r="I325" s="61">
        <v>45111</v>
      </c>
    </row>
    <row r="326" spans="1:9">
      <c r="A326" s="60" t="s">
        <v>1279</v>
      </c>
      <c r="B326" s="61">
        <v>45130</v>
      </c>
      <c r="C326" s="6" t="s">
        <v>1272</v>
      </c>
      <c r="D326" s="63" t="s">
        <v>78</v>
      </c>
      <c r="E326" s="32">
        <f>2.912+1.989</f>
        <v>4.9009999999999998</v>
      </c>
      <c r="F326" s="24" t="s">
        <v>1243</v>
      </c>
      <c r="G326" s="1" t="s">
        <v>1280</v>
      </c>
      <c r="H326" s="18" t="s">
        <v>1112</v>
      </c>
      <c r="I326" s="61">
        <v>45111</v>
      </c>
    </row>
    <row r="327" spans="1:9">
      <c r="A327" s="60" t="s">
        <v>1281</v>
      </c>
      <c r="B327" s="61">
        <v>45130</v>
      </c>
      <c r="C327" s="6" t="s">
        <v>1271</v>
      </c>
      <c r="D327" s="63" t="s">
        <v>78</v>
      </c>
      <c r="E327" s="32">
        <v>13.414999999999999</v>
      </c>
      <c r="F327" s="24" t="s">
        <v>1243</v>
      </c>
      <c r="G327" s="1" t="s">
        <v>1282</v>
      </c>
      <c r="H327" s="18" t="s">
        <v>1249</v>
      </c>
      <c r="I327" s="61">
        <v>45111</v>
      </c>
    </row>
    <row r="328" spans="1:9">
      <c r="A328" s="60"/>
      <c r="B328" s="61"/>
      <c r="C328" s="6"/>
      <c r="D328" s="63"/>
      <c r="E328" s="58">
        <f>SUM(E319:E327)</f>
        <v>65.954000000000008</v>
      </c>
      <c r="F328" s="24"/>
      <c r="G328" s="1"/>
      <c r="H328" s="18"/>
      <c r="I328" s="61"/>
    </row>
    <row r="329" spans="1:9">
      <c r="A329" s="60" t="s">
        <v>1293</v>
      </c>
      <c r="B329" s="61">
        <v>45131</v>
      </c>
      <c r="C329" s="6" t="s">
        <v>1271</v>
      </c>
      <c r="D329" s="63" t="s">
        <v>78</v>
      </c>
      <c r="E329" s="21">
        <v>11.097</v>
      </c>
      <c r="F329" s="24" t="s">
        <v>97</v>
      </c>
      <c r="G329" s="1" t="s">
        <v>1295</v>
      </c>
      <c r="H329" s="18" t="s">
        <v>1115</v>
      </c>
      <c r="I329" s="61">
        <v>45111</v>
      </c>
    </row>
    <row r="330" spans="1:9">
      <c r="A330" s="60" t="s">
        <v>1293</v>
      </c>
      <c r="B330" s="61">
        <v>45131</v>
      </c>
      <c r="C330" s="6" t="s">
        <v>1294</v>
      </c>
      <c r="D330" s="63" t="s">
        <v>78</v>
      </c>
      <c r="E330" s="21">
        <v>20.015999999999998</v>
      </c>
      <c r="F330" s="24" t="s">
        <v>97</v>
      </c>
      <c r="G330" s="1" t="s">
        <v>1295</v>
      </c>
      <c r="H330" s="18" t="s">
        <v>1115</v>
      </c>
      <c r="I330" s="61">
        <v>45111</v>
      </c>
    </row>
    <row r="331" spans="1:9">
      <c r="A331" s="60" t="s">
        <v>1296</v>
      </c>
      <c r="B331" s="61">
        <v>45131</v>
      </c>
      <c r="C331" s="6" t="s">
        <v>1294</v>
      </c>
      <c r="D331" s="63" t="s">
        <v>78</v>
      </c>
      <c r="E331" s="21">
        <v>1.1519999999999999</v>
      </c>
      <c r="F331" s="24" t="s">
        <v>97</v>
      </c>
      <c r="G331" s="1" t="s">
        <v>1295</v>
      </c>
      <c r="H331" s="18" t="s">
        <v>1297</v>
      </c>
      <c r="I331" s="61">
        <v>45111</v>
      </c>
    </row>
    <row r="332" spans="1:9">
      <c r="A332" s="60" t="s">
        <v>1298</v>
      </c>
      <c r="B332" s="61">
        <v>45131</v>
      </c>
      <c r="C332" s="6" t="s">
        <v>1294</v>
      </c>
      <c r="D332" s="63" t="s">
        <v>78</v>
      </c>
      <c r="E332" s="21">
        <f>4.139+9.115</f>
        <v>13.254000000000001</v>
      </c>
      <c r="F332" s="24" t="s">
        <v>1243</v>
      </c>
      <c r="G332" s="1" t="s">
        <v>1299</v>
      </c>
      <c r="H332" s="18" t="s">
        <v>1115</v>
      </c>
      <c r="I332" s="61">
        <v>45111</v>
      </c>
    </row>
    <row r="333" spans="1:9">
      <c r="A333" s="60" t="s">
        <v>1300</v>
      </c>
      <c r="B333" s="61">
        <v>45131</v>
      </c>
      <c r="C333" s="6" t="s">
        <v>1294</v>
      </c>
      <c r="D333" s="63" t="s">
        <v>78</v>
      </c>
      <c r="E333" s="21">
        <v>4.1669999999999998</v>
      </c>
      <c r="F333" s="24" t="s">
        <v>1243</v>
      </c>
      <c r="G333" s="1" t="s">
        <v>1301</v>
      </c>
      <c r="H333" s="18" t="s">
        <v>1217</v>
      </c>
      <c r="I333" s="61">
        <v>45111</v>
      </c>
    </row>
    <row r="334" spans="1:9">
      <c r="A334" s="60" t="s">
        <v>1302</v>
      </c>
      <c r="B334" s="61">
        <v>45131</v>
      </c>
      <c r="C334" s="6" t="s">
        <v>1294</v>
      </c>
      <c r="D334" s="63" t="s">
        <v>78</v>
      </c>
      <c r="E334" s="21">
        <v>9.5239999999999991</v>
      </c>
      <c r="F334" s="24" t="s">
        <v>1243</v>
      </c>
      <c r="G334" s="1" t="s">
        <v>1301</v>
      </c>
      <c r="H334" s="18" t="s">
        <v>1112</v>
      </c>
      <c r="I334" s="61">
        <v>45111</v>
      </c>
    </row>
    <row r="335" spans="1:9">
      <c r="A335" s="60" t="s">
        <v>1302</v>
      </c>
      <c r="B335" s="61">
        <v>45131</v>
      </c>
      <c r="C335" s="6" t="s">
        <v>1260</v>
      </c>
      <c r="D335" s="63" t="s">
        <v>78</v>
      </c>
      <c r="E335" s="21">
        <v>0.39800000000000002</v>
      </c>
      <c r="F335" s="24" t="s">
        <v>1243</v>
      </c>
      <c r="G335" s="1" t="s">
        <v>1301</v>
      </c>
      <c r="H335" s="18" t="s">
        <v>1112</v>
      </c>
      <c r="I335" s="61">
        <v>45111</v>
      </c>
    </row>
    <row r="336" spans="1:9">
      <c r="A336" s="60" t="s">
        <v>1304</v>
      </c>
      <c r="B336" s="61">
        <v>45131</v>
      </c>
      <c r="C336" s="6" t="s">
        <v>1303</v>
      </c>
      <c r="D336" s="63" t="s">
        <v>78</v>
      </c>
      <c r="E336" s="21">
        <f>1.489+1.001</f>
        <v>2.4900000000000002</v>
      </c>
      <c r="F336" s="24" t="s">
        <v>1243</v>
      </c>
      <c r="G336" s="1" t="s">
        <v>1305</v>
      </c>
      <c r="H336" s="18" t="s">
        <v>1187</v>
      </c>
      <c r="I336" s="61">
        <v>45111</v>
      </c>
    </row>
    <row r="337" spans="1:9">
      <c r="A337" s="60" t="s">
        <v>1306</v>
      </c>
      <c r="B337" s="61">
        <v>45131</v>
      </c>
      <c r="C337" s="6" t="s">
        <v>1245</v>
      </c>
      <c r="D337" s="63" t="s">
        <v>78</v>
      </c>
      <c r="E337" s="21">
        <v>0.49</v>
      </c>
      <c r="F337" s="24" t="s">
        <v>1243</v>
      </c>
      <c r="G337" s="1" t="s">
        <v>1307</v>
      </c>
      <c r="H337" s="18" t="s">
        <v>1359</v>
      </c>
      <c r="I337" s="61">
        <v>45111</v>
      </c>
    </row>
    <row r="338" spans="1:9">
      <c r="A338" s="60" t="s">
        <v>1308</v>
      </c>
      <c r="B338" s="61">
        <v>45131</v>
      </c>
      <c r="C338" s="6" t="s">
        <v>1223</v>
      </c>
      <c r="D338" s="63" t="s">
        <v>78</v>
      </c>
      <c r="E338" s="21">
        <v>0.19900000000000001</v>
      </c>
      <c r="F338" s="24" t="s">
        <v>1243</v>
      </c>
      <c r="G338" s="1" t="s">
        <v>1307</v>
      </c>
      <c r="H338" s="18" t="s">
        <v>1249</v>
      </c>
      <c r="I338" s="61">
        <v>45111</v>
      </c>
    </row>
    <row r="339" spans="1:9">
      <c r="A339" s="60" t="s">
        <v>1308</v>
      </c>
      <c r="B339" s="61">
        <v>45131</v>
      </c>
      <c r="C339" s="6" t="s">
        <v>1272</v>
      </c>
      <c r="D339" s="63" t="s">
        <v>78</v>
      </c>
      <c r="E339" s="21">
        <v>0.54500000000000004</v>
      </c>
      <c r="F339" s="24" t="s">
        <v>1243</v>
      </c>
      <c r="G339" s="1" t="s">
        <v>1307</v>
      </c>
      <c r="H339" s="18" t="s">
        <v>1249</v>
      </c>
      <c r="I339" s="61">
        <v>45111</v>
      </c>
    </row>
    <row r="340" spans="1:9">
      <c r="A340" s="60" t="s">
        <v>1308</v>
      </c>
      <c r="B340" s="61">
        <v>45131</v>
      </c>
      <c r="C340" s="6" t="s">
        <v>1294</v>
      </c>
      <c r="D340" s="63" t="s">
        <v>78</v>
      </c>
      <c r="E340" s="21">
        <v>1.1819999999999999</v>
      </c>
      <c r="F340" s="24" t="s">
        <v>1243</v>
      </c>
      <c r="G340" s="1" t="s">
        <v>1307</v>
      </c>
      <c r="H340" s="18" t="s">
        <v>1249</v>
      </c>
      <c r="I340" s="61">
        <v>45111</v>
      </c>
    </row>
    <row r="341" spans="1:9">
      <c r="A341" s="15"/>
      <c r="B341" s="16"/>
      <c r="C341" s="6"/>
      <c r="D341" s="1"/>
      <c r="E341" s="41">
        <f>SUM(E329:E340)</f>
        <v>64.51400000000001</v>
      </c>
      <c r="F341" s="24"/>
      <c r="G341" s="1"/>
      <c r="H341" s="1"/>
      <c r="I341" s="3"/>
    </row>
    <row r="342" spans="1:9">
      <c r="A342" s="60" t="s">
        <v>1316</v>
      </c>
      <c r="B342" s="61">
        <v>45132</v>
      </c>
      <c r="C342" s="6" t="s">
        <v>1223</v>
      </c>
      <c r="D342" s="1" t="s">
        <v>11</v>
      </c>
      <c r="E342" s="21">
        <v>3.984</v>
      </c>
      <c r="F342" s="24" t="s">
        <v>598</v>
      </c>
      <c r="G342" s="1" t="s">
        <v>1318</v>
      </c>
      <c r="H342" s="1" t="s">
        <v>1125</v>
      </c>
      <c r="I342" s="61">
        <v>45113</v>
      </c>
    </row>
    <row r="343" spans="1:9">
      <c r="A343" s="60" t="s">
        <v>1316</v>
      </c>
      <c r="B343" s="61">
        <v>45132</v>
      </c>
      <c r="C343" s="6" t="s">
        <v>1223</v>
      </c>
      <c r="D343" s="1" t="s">
        <v>11</v>
      </c>
      <c r="E343" s="21">
        <f>1.971+17.731</f>
        <v>19.702000000000002</v>
      </c>
      <c r="F343" s="24" t="s">
        <v>598</v>
      </c>
      <c r="G343" s="1" t="s">
        <v>1318</v>
      </c>
      <c r="H343" s="1" t="s">
        <v>1125</v>
      </c>
      <c r="I343" s="61">
        <v>45113</v>
      </c>
    </row>
    <row r="344" spans="1:9">
      <c r="A344" s="60" t="s">
        <v>1316</v>
      </c>
      <c r="B344" s="61">
        <v>45132</v>
      </c>
      <c r="C344" s="6" t="s">
        <v>1317</v>
      </c>
      <c r="D344" s="1" t="s">
        <v>11</v>
      </c>
      <c r="E344" s="21">
        <v>1.0760000000000001</v>
      </c>
      <c r="F344" s="24" t="s">
        <v>598</v>
      </c>
      <c r="G344" s="1" t="s">
        <v>1318</v>
      </c>
      <c r="H344" s="1" t="s">
        <v>1125</v>
      </c>
      <c r="I344" s="61">
        <v>45113</v>
      </c>
    </row>
    <row r="345" spans="1:9">
      <c r="A345" s="60" t="s">
        <v>1319</v>
      </c>
      <c r="B345" s="61">
        <v>45132</v>
      </c>
      <c r="C345" s="6" t="s">
        <v>1223</v>
      </c>
      <c r="D345" s="1" t="s">
        <v>11</v>
      </c>
      <c r="E345" s="21">
        <f>6.827+2.416</f>
        <v>9.2430000000000003</v>
      </c>
      <c r="F345" s="24" t="s">
        <v>386</v>
      </c>
      <c r="G345" s="1" t="s">
        <v>1320</v>
      </c>
      <c r="H345" s="1" t="s">
        <v>1125</v>
      </c>
      <c r="I345" s="61">
        <v>45113</v>
      </c>
    </row>
    <row r="346" spans="1:9">
      <c r="A346" s="60" t="s">
        <v>1319</v>
      </c>
      <c r="B346" s="61">
        <v>45132</v>
      </c>
      <c r="C346" s="6" t="s">
        <v>1271</v>
      </c>
      <c r="D346" s="1" t="s">
        <v>11</v>
      </c>
      <c r="E346" s="21">
        <v>12.177</v>
      </c>
      <c r="F346" s="24" t="s">
        <v>386</v>
      </c>
      <c r="G346" s="1" t="s">
        <v>1320</v>
      </c>
      <c r="H346" s="1" t="s">
        <v>1125</v>
      </c>
      <c r="I346" s="61">
        <v>45113</v>
      </c>
    </row>
    <row r="347" spans="1:9">
      <c r="A347" s="60" t="s">
        <v>1322</v>
      </c>
      <c r="B347" s="61">
        <v>45132</v>
      </c>
      <c r="C347" s="6" t="s">
        <v>1321</v>
      </c>
      <c r="D347" s="1" t="s">
        <v>11</v>
      </c>
      <c r="E347" s="21">
        <v>2.7320000000000002</v>
      </c>
      <c r="F347" s="24" t="s">
        <v>386</v>
      </c>
      <c r="G347" s="1" t="s">
        <v>1323</v>
      </c>
      <c r="H347" s="1" t="s">
        <v>622</v>
      </c>
      <c r="I347" s="61">
        <v>45082</v>
      </c>
    </row>
    <row r="348" spans="1:9">
      <c r="A348" s="60" t="s">
        <v>1324</v>
      </c>
      <c r="B348" s="61">
        <v>45132</v>
      </c>
      <c r="C348" s="6" t="s">
        <v>1294</v>
      </c>
      <c r="D348" s="63" t="s">
        <v>78</v>
      </c>
      <c r="E348" s="21">
        <v>1.976</v>
      </c>
      <c r="F348" s="24" t="s">
        <v>1325</v>
      </c>
      <c r="G348" s="1" t="s">
        <v>1326</v>
      </c>
      <c r="H348" s="18" t="s">
        <v>1217</v>
      </c>
      <c r="I348" s="61">
        <v>45111</v>
      </c>
    </row>
    <row r="349" spans="1:9">
      <c r="A349" s="60" t="s">
        <v>1327</v>
      </c>
      <c r="B349" s="61">
        <v>45132</v>
      </c>
      <c r="C349" s="6" t="s">
        <v>1294</v>
      </c>
      <c r="D349" s="63" t="s">
        <v>78</v>
      </c>
      <c r="E349" s="21">
        <v>7.8520000000000003</v>
      </c>
      <c r="F349" s="24" t="s">
        <v>1325</v>
      </c>
      <c r="G349" s="1" t="s">
        <v>1326</v>
      </c>
      <c r="H349" s="18" t="s">
        <v>1112</v>
      </c>
      <c r="I349" s="61">
        <v>45111</v>
      </c>
    </row>
    <row r="350" spans="1:9">
      <c r="A350" s="60" t="s">
        <v>1329</v>
      </c>
      <c r="B350" s="61">
        <v>45132</v>
      </c>
      <c r="C350" s="6" t="s">
        <v>1328</v>
      </c>
      <c r="D350" s="63" t="s">
        <v>78</v>
      </c>
      <c r="E350" s="21">
        <f>0.935+3.379</f>
        <v>4.3140000000000001</v>
      </c>
      <c r="F350" s="24" t="s">
        <v>1325</v>
      </c>
      <c r="G350" s="1" t="s">
        <v>1330</v>
      </c>
      <c r="H350" s="18" t="s">
        <v>1187</v>
      </c>
      <c r="I350" s="61">
        <v>45111</v>
      </c>
    </row>
    <row r="351" spans="1:9">
      <c r="A351" s="60" t="s">
        <v>1329</v>
      </c>
      <c r="B351" s="61">
        <v>45132</v>
      </c>
      <c r="C351" s="6" t="s">
        <v>1303</v>
      </c>
      <c r="D351" s="63" t="s">
        <v>78</v>
      </c>
      <c r="E351" s="21">
        <v>16.78</v>
      </c>
      <c r="F351" s="24" t="s">
        <v>1325</v>
      </c>
      <c r="G351" s="1" t="s">
        <v>1330</v>
      </c>
      <c r="H351" s="18" t="s">
        <v>1187</v>
      </c>
      <c r="I351" s="61">
        <v>45111</v>
      </c>
    </row>
    <row r="352" spans="1:9">
      <c r="A352" s="60" t="s">
        <v>1331</v>
      </c>
      <c r="B352" s="61">
        <v>45132</v>
      </c>
      <c r="C352" s="6" t="s">
        <v>1303</v>
      </c>
      <c r="D352" s="63" t="s">
        <v>78</v>
      </c>
      <c r="E352" s="21">
        <v>1.0920000000000001</v>
      </c>
      <c r="F352" s="24" t="s">
        <v>1325</v>
      </c>
      <c r="G352" s="1" t="s">
        <v>1332</v>
      </c>
      <c r="H352" s="18" t="s">
        <v>1202</v>
      </c>
      <c r="I352" s="61">
        <v>45111</v>
      </c>
    </row>
    <row r="353" spans="1:9">
      <c r="A353" s="60" t="s">
        <v>1333</v>
      </c>
      <c r="B353" s="61">
        <v>45132</v>
      </c>
      <c r="C353" s="6" t="s">
        <v>1334</v>
      </c>
      <c r="D353" s="63" t="s">
        <v>78</v>
      </c>
      <c r="E353" s="21">
        <f>13.538+1.17</f>
        <v>14.708</v>
      </c>
      <c r="F353" s="24" t="s">
        <v>1243</v>
      </c>
      <c r="G353" s="1" t="s">
        <v>1335</v>
      </c>
      <c r="H353" s="18" t="s">
        <v>1115</v>
      </c>
      <c r="I353" s="61">
        <v>45111</v>
      </c>
    </row>
    <row r="354" spans="1:9">
      <c r="A354" s="60" t="s">
        <v>1336</v>
      </c>
      <c r="B354" s="61">
        <v>45132</v>
      </c>
      <c r="C354" s="6" t="s">
        <v>1334</v>
      </c>
      <c r="D354" s="63" t="s">
        <v>78</v>
      </c>
      <c r="E354" s="21">
        <v>1.6</v>
      </c>
      <c r="F354" s="24" t="s">
        <v>1243</v>
      </c>
      <c r="G354" s="1" t="s">
        <v>1337</v>
      </c>
      <c r="H354" s="18" t="s">
        <v>1217</v>
      </c>
      <c r="I354" s="61">
        <v>45111</v>
      </c>
    </row>
    <row r="355" spans="1:9">
      <c r="A355" s="60" t="s">
        <v>1338</v>
      </c>
      <c r="B355" s="61">
        <v>45132</v>
      </c>
      <c r="C355" s="6" t="s">
        <v>1334</v>
      </c>
      <c r="D355" s="63" t="s">
        <v>78</v>
      </c>
      <c r="E355" s="21">
        <v>15.472</v>
      </c>
      <c r="F355" s="24" t="s">
        <v>1243</v>
      </c>
      <c r="G355" s="1" t="s">
        <v>1337</v>
      </c>
      <c r="H355" s="18" t="s">
        <v>1112</v>
      </c>
      <c r="I355" s="61">
        <v>45111</v>
      </c>
    </row>
    <row r="356" spans="1:9">
      <c r="A356" s="60" t="s">
        <v>1339</v>
      </c>
      <c r="B356" s="61">
        <v>45132</v>
      </c>
      <c r="C356" s="6" t="s">
        <v>1271</v>
      </c>
      <c r="D356" s="1" t="s">
        <v>11</v>
      </c>
      <c r="E356" s="21">
        <v>23.091999999999999</v>
      </c>
      <c r="F356" s="24" t="s">
        <v>105</v>
      </c>
      <c r="G356" s="1" t="s">
        <v>1340</v>
      </c>
      <c r="H356" s="1" t="s">
        <v>1125</v>
      </c>
      <c r="I356" s="61">
        <v>45113</v>
      </c>
    </row>
    <row r="357" spans="1:9">
      <c r="A357" s="60" t="s">
        <v>1339</v>
      </c>
      <c r="B357" s="61">
        <v>45132</v>
      </c>
      <c r="C357" s="6" t="s">
        <v>1271</v>
      </c>
      <c r="D357" s="1" t="s">
        <v>11</v>
      </c>
      <c r="E357" s="21">
        <v>1.887</v>
      </c>
      <c r="F357" s="24" t="s">
        <v>105</v>
      </c>
      <c r="G357" s="1" t="s">
        <v>1340</v>
      </c>
      <c r="H357" s="1" t="s">
        <v>1125</v>
      </c>
      <c r="I357" s="61">
        <v>45113</v>
      </c>
    </row>
    <row r="358" spans="1:9">
      <c r="A358" s="15"/>
      <c r="B358" s="61"/>
      <c r="C358" s="6"/>
      <c r="D358" s="1"/>
      <c r="E358" s="41">
        <f>SUM(E342:E357)</f>
        <v>137.68700000000001</v>
      </c>
      <c r="F358" s="24"/>
      <c r="G358" s="1"/>
      <c r="H358" s="1"/>
      <c r="I358" s="3"/>
    </row>
    <row r="359" spans="1:9">
      <c r="A359" s="60" t="s">
        <v>1343</v>
      </c>
      <c r="B359" s="61">
        <v>45133</v>
      </c>
      <c r="C359" s="6" t="s">
        <v>1341</v>
      </c>
      <c r="D359" s="63" t="s">
        <v>78</v>
      </c>
      <c r="E359" s="21">
        <f>8.179+1.429</f>
        <v>9.6080000000000005</v>
      </c>
      <c r="F359" s="24" t="s">
        <v>83</v>
      </c>
      <c r="G359" s="1" t="s">
        <v>1344</v>
      </c>
      <c r="H359" s="1" t="s">
        <v>1360</v>
      </c>
      <c r="I359" s="61">
        <v>45111</v>
      </c>
    </row>
    <row r="360" spans="1:9">
      <c r="A360" s="60" t="s">
        <v>1343</v>
      </c>
      <c r="B360" s="61">
        <v>45133</v>
      </c>
      <c r="C360" s="6" t="s">
        <v>1342</v>
      </c>
      <c r="D360" s="63" t="s">
        <v>78</v>
      </c>
      <c r="E360" s="21">
        <f>3.087+10.258</f>
        <v>13.344999999999999</v>
      </c>
      <c r="F360" s="24" t="s">
        <v>83</v>
      </c>
      <c r="G360" s="1" t="s">
        <v>1344</v>
      </c>
      <c r="H360" s="1" t="s">
        <v>1360</v>
      </c>
      <c r="I360" s="61">
        <v>45111</v>
      </c>
    </row>
    <row r="361" spans="1:9">
      <c r="A361" s="60" t="s">
        <v>1345</v>
      </c>
      <c r="B361" s="61">
        <v>45133</v>
      </c>
      <c r="C361" s="6" t="s">
        <v>1341</v>
      </c>
      <c r="D361" s="63" t="s">
        <v>78</v>
      </c>
      <c r="E361" s="21">
        <v>1.778</v>
      </c>
      <c r="F361" s="24" t="s">
        <v>83</v>
      </c>
      <c r="G361" s="1" t="s">
        <v>1346</v>
      </c>
      <c r="H361" s="1" t="s">
        <v>1362</v>
      </c>
      <c r="I361" s="61">
        <v>45111</v>
      </c>
    </row>
    <row r="362" spans="1:9">
      <c r="A362" s="60" t="s">
        <v>1345</v>
      </c>
      <c r="B362" s="61">
        <v>45133</v>
      </c>
      <c r="C362" s="6" t="s">
        <v>1342</v>
      </c>
      <c r="D362" s="63" t="s">
        <v>78</v>
      </c>
      <c r="E362" s="21">
        <v>0.77300000000000002</v>
      </c>
      <c r="F362" s="24" t="s">
        <v>83</v>
      </c>
      <c r="G362" s="1" t="s">
        <v>1346</v>
      </c>
      <c r="H362" s="1" t="s">
        <v>1362</v>
      </c>
      <c r="I362" s="61">
        <v>45111</v>
      </c>
    </row>
    <row r="363" spans="1:9">
      <c r="A363" s="60" t="s">
        <v>1347</v>
      </c>
      <c r="B363" s="61">
        <v>45133</v>
      </c>
      <c r="C363" s="6" t="s">
        <v>1341</v>
      </c>
      <c r="D363" s="63" t="s">
        <v>78</v>
      </c>
      <c r="E363" s="21">
        <v>0.55600000000000005</v>
      </c>
      <c r="F363" s="24" t="s">
        <v>83</v>
      </c>
      <c r="G363" s="1" t="s">
        <v>1346</v>
      </c>
      <c r="H363" s="1" t="s">
        <v>1361</v>
      </c>
      <c r="I363" s="61">
        <v>45111</v>
      </c>
    </row>
    <row r="364" spans="1:9">
      <c r="A364" s="60" t="s">
        <v>1348</v>
      </c>
      <c r="B364" s="61">
        <v>45133</v>
      </c>
      <c r="C364" s="6" t="s">
        <v>1341</v>
      </c>
      <c r="D364" s="63" t="s">
        <v>78</v>
      </c>
      <c r="E364" s="21">
        <v>5.7779999999999996</v>
      </c>
      <c r="F364" s="24" t="s">
        <v>83</v>
      </c>
      <c r="G364" s="1" t="s">
        <v>1346</v>
      </c>
      <c r="H364" s="1" t="s">
        <v>1363</v>
      </c>
      <c r="I364" s="61">
        <v>45111</v>
      </c>
    </row>
    <row r="365" spans="1:9">
      <c r="A365" s="60" t="s">
        <v>1348</v>
      </c>
      <c r="B365" s="61">
        <v>45133</v>
      </c>
      <c r="C365" s="6" t="s">
        <v>1342</v>
      </c>
      <c r="D365" s="63" t="s">
        <v>78</v>
      </c>
      <c r="E365" s="21">
        <v>0.51500000000000001</v>
      </c>
      <c r="F365" s="24" t="s">
        <v>83</v>
      </c>
      <c r="G365" s="1" t="s">
        <v>1346</v>
      </c>
      <c r="H365" s="1" t="s">
        <v>1363</v>
      </c>
      <c r="I365" s="61">
        <v>45111</v>
      </c>
    </row>
    <row r="366" spans="1:9">
      <c r="A366" s="15"/>
      <c r="B366" s="16"/>
      <c r="C366" s="6"/>
      <c r="D366" s="1"/>
      <c r="E366" s="41">
        <f>SUM(E359:E365)</f>
        <v>32.352999999999994</v>
      </c>
      <c r="F366" s="24"/>
      <c r="G366" s="1"/>
      <c r="H366" s="1"/>
      <c r="I366" s="3"/>
    </row>
    <row r="367" spans="1:9">
      <c r="A367" s="60" t="s">
        <v>1349</v>
      </c>
      <c r="B367" s="61">
        <v>45134</v>
      </c>
      <c r="C367" s="6" t="s">
        <v>1341</v>
      </c>
      <c r="D367" s="63" t="s">
        <v>78</v>
      </c>
      <c r="E367" s="21">
        <v>6.8760000000000003</v>
      </c>
      <c r="F367" s="24" t="s">
        <v>97</v>
      </c>
      <c r="G367" s="1" t="s">
        <v>1351</v>
      </c>
      <c r="H367" s="1" t="s">
        <v>1360</v>
      </c>
      <c r="I367" s="61">
        <v>45111</v>
      </c>
    </row>
    <row r="368" spans="1:9" ht="14.25" customHeight="1">
      <c r="A368" s="60" t="s">
        <v>1349</v>
      </c>
      <c r="B368" s="61">
        <v>45134</v>
      </c>
      <c r="C368" s="6" t="s">
        <v>1342</v>
      </c>
      <c r="D368" s="63" t="s">
        <v>78</v>
      </c>
      <c r="E368" s="21">
        <v>2.5</v>
      </c>
      <c r="F368" s="24" t="s">
        <v>97</v>
      </c>
      <c r="G368" s="1" t="s">
        <v>1351</v>
      </c>
      <c r="H368" s="1" t="s">
        <v>1360</v>
      </c>
      <c r="I368" s="61">
        <v>45111</v>
      </c>
    </row>
    <row r="369" spans="1:9">
      <c r="A369" s="60" t="s">
        <v>1349</v>
      </c>
      <c r="B369" s="61">
        <v>45134</v>
      </c>
      <c r="C369" s="6" t="s">
        <v>1251</v>
      </c>
      <c r="D369" s="63" t="s">
        <v>78</v>
      </c>
      <c r="E369" s="21">
        <f>2.581+2.71</f>
        <v>5.2910000000000004</v>
      </c>
      <c r="F369" s="24" t="s">
        <v>97</v>
      </c>
      <c r="G369" s="1" t="s">
        <v>1351</v>
      </c>
      <c r="H369" s="1" t="s">
        <v>1360</v>
      </c>
      <c r="I369" s="61">
        <v>45111</v>
      </c>
    </row>
    <row r="370" spans="1:9">
      <c r="A370" s="60" t="s">
        <v>1349</v>
      </c>
      <c r="B370" s="61">
        <v>45134</v>
      </c>
      <c r="C370" s="6" t="s">
        <v>1350</v>
      </c>
      <c r="D370" s="63" t="s">
        <v>78</v>
      </c>
      <c r="E370" s="21">
        <v>1.333</v>
      </c>
      <c r="F370" s="24" t="s">
        <v>97</v>
      </c>
      <c r="G370" s="1" t="s">
        <v>1351</v>
      </c>
      <c r="H370" s="1" t="s">
        <v>1360</v>
      </c>
      <c r="I370" s="61">
        <v>45111</v>
      </c>
    </row>
    <row r="371" spans="1:9">
      <c r="A371" s="60" t="s">
        <v>1353</v>
      </c>
      <c r="B371" s="61">
        <v>45134</v>
      </c>
      <c r="C371" s="6" t="s">
        <v>1342</v>
      </c>
      <c r="D371" s="63" t="s">
        <v>78</v>
      </c>
      <c r="E371" s="21">
        <v>0.64400000000000002</v>
      </c>
      <c r="F371" s="24" t="s">
        <v>97</v>
      </c>
      <c r="G371" s="1" t="s">
        <v>1354</v>
      </c>
      <c r="H371" s="1" t="s">
        <v>1361</v>
      </c>
      <c r="I371" s="61">
        <v>45111</v>
      </c>
    </row>
    <row r="372" spans="1:9">
      <c r="A372" s="60" t="s">
        <v>1353</v>
      </c>
      <c r="B372" s="61">
        <v>45134</v>
      </c>
      <c r="C372" s="6" t="s">
        <v>1251</v>
      </c>
      <c r="D372" s="63" t="s">
        <v>78</v>
      </c>
      <c r="E372" s="21">
        <v>0.73099999999999998</v>
      </c>
      <c r="F372" s="24" t="s">
        <v>97</v>
      </c>
      <c r="G372" s="1" t="s">
        <v>1354</v>
      </c>
      <c r="H372" s="1" t="s">
        <v>1361</v>
      </c>
      <c r="I372" s="61">
        <v>45111</v>
      </c>
    </row>
    <row r="373" spans="1:9">
      <c r="A373" s="60" t="s">
        <v>1353</v>
      </c>
      <c r="B373" s="61">
        <v>45134</v>
      </c>
      <c r="C373" s="6" t="s">
        <v>1350</v>
      </c>
      <c r="D373" s="63" t="s">
        <v>78</v>
      </c>
      <c r="E373" s="21">
        <v>0.55600000000000005</v>
      </c>
      <c r="F373" s="24" t="s">
        <v>97</v>
      </c>
      <c r="G373" s="1" t="s">
        <v>1354</v>
      </c>
      <c r="H373" s="1" t="s">
        <v>1361</v>
      </c>
      <c r="I373" s="61">
        <v>45111</v>
      </c>
    </row>
    <row r="374" spans="1:9">
      <c r="A374" s="60" t="s">
        <v>1353</v>
      </c>
      <c r="B374" s="61">
        <v>45134</v>
      </c>
      <c r="C374" s="6" t="s">
        <v>1352</v>
      </c>
      <c r="D374" s="63" t="s">
        <v>78</v>
      </c>
      <c r="E374" s="21">
        <v>0.90200000000000002</v>
      </c>
      <c r="F374" s="24" t="s">
        <v>97</v>
      </c>
      <c r="G374" s="1" t="s">
        <v>1354</v>
      </c>
      <c r="H374" s="1" t="s">
        <v>1361</v>
      </c>
      <c r="I374" s="61">
        <v>45111</v>
      </c>
    </row>
    <row r="375" spans="1:9">
      <c r="A375" s="60" t="s">
        <v>1356</v>
      </c>
      <c r="B375" s="61">
        <v>45134</v>
      </c>
      <c r="C375" s="6" t="s">
        <v>1355</v>
      </c>
      <c r="D375" s="63" t="s">
        <v>78</v>
      </c>
      <c r="E375" s="21">
        <f>1.551+9.851</f>
        <v>11.402000000000001</v>
      </c>
      <c r="F375" s="24" t="s">
        <v>97</v>
      </c>
      <c r="G375" s="1" t="s">
        <v>1357</v>
      </c>
      <c r="H375" s="1" t="s">
        <v>1217</v>
      </c>
      <c r="I375" s="61">
        <v>45111</v>
      </c>
    </row>
    <row r="376" spans="1:9">
      <c r="A376" s="60" t="s">
        <v>1358</v>
      </c>
      <c r="B376" s="61">
        <v>45134</v>
      </c>
      <c r="C376" s="6" t="s">
        <v>1355</v>
      </c>
      <c r="D376" s="63" t="s">
        <v>78</v>
      </c>
      <c r="E376" s="21">
        <v>1.226</v>
      </c>
      <c r="F376" s="24" t="s">
        <v>97</v>
      </c>
      <c r="G376" s="1" t="s">
        <v>1357</v>
      </c>
      <c r="H376" s="1" t="s">
        <v>1112</v>
      </c>
      <c r="I376" s="61">
        <v>45111</v>
      </c>
    </row>
    <row r="377" spans="1:9">
      <c r="A377" s="15"/>
      <c r="B377" s="16"/>
      <c r="C377" s="6"/>
      <c r="D377" s="1"/>
      <c r="E377" s="41">
        <f>SUM(E367:E376)</f>
        <v>31.461000000000002</v>
      </c>
      <c r="F377" s="24"/>
      <c r="G377" s="1"/>
      <c r="H377" s="1"/>
      <c r="I377" s="3"/>
    </row>
    <row r="378" spans="1:9">
      <c r="A378" s="60" t="s">
        <v>1364</v>
      </c>
      <c r="B378" s="61">
        <v>45135</v>
      </c>
      <c r="C378" s="6" t="s">
        <v>1365</v>
      </c>
      <c r="D378" s="63" t="s">
        <v>78</v>
      </c>
      <c r="E378" s="21">
        <v>1.474</v>
      </c>
      <c r="F378" s="24" t="s">
        <v>86</v>
      </c>
      <c r="G378" s="1" t="s">
        <v>1368</v>
      </c>
      <c r="H378" s="1" t="s">
        <v>1249</v>
      </c>
      <c r="I378" s="61">
        <v>45111</v>
      </c>
    </row>
    <row r="379" spans="1:9" ht="14.25" customHeight="1">
      <c r="A379" s="60" t="s">
        <v>1364</v>
      </c>
      <c r="B379" s="61">
        <v>45135</v>
      </c>
      <c r="C379" s="6" t="s">
        <v>1366</v>
      </c>
      <c r="D379" s="63" t="s">
        <v>78</v>
      </c>
      <c r="E379" s="21">
        <v>0.85299999999999998</v>
      </c>
      <c r="F379" s="24" t="s">
        <v>86</v>
      </c>
      <c r="G379" s="1" t="s">
        <v>1368</v>
      </c>
      <c r="H379" s="1" t="s">
        <v>1249</v>
      </c>
      <c r="I379" s="61">
        <v>45111</v>
      </c>
    </row>
    <row r="380" spans="1:9">
      <c r="A380" s="60" t="s">
        <v>1364</v>
      </c>
      <c r="B380" s="61">
        <v>45135</v>
      </c>
      <c r="C380" s="6" t="s">
        <v>1367</v>
      </c>
      <c r="D380" s="63" t="s">
        <v>78</v>
      </c>
      <c r="E380" s="21">
        <v>0.97899999999999998</v>
      </c>
      <c r="F380" s="24" t="s">
        <v>86</v>
      </c>
      <c r="G380" s="1" t="s">
        <v>1368</v>
      </c>
      <c r="H380" s="1" t="s">
        <v>1249</v>
      </c>
      <c r="I380" s="61">
        <v>45111</v>
      </c>
    </row>
    <row r="381" spans="1:9">
      <c r="A381" s="60" t="s">
        <v>1369</v>
      </c>
      <c r="B381" s="61">
        <v>45135</v>
      </c>
      <c r="C381" s="6" t="s">
        <v>1370</v>
      </c>
      <c r="D381" s="63" t="s">
        <v>78</v>
      </c>
      <c r="E381" s="21">
        <v>5.4279999999999999</v>
      </c>
      <c r="F381" s="24" t="s">
        <v>86</v>
      </c>
      <c r="G381" s="1" t="s">
        <v>1368</v>
      </c>
      <c r="H381" s="1" t="s">
        <v>1371</v>
      </c>
      <c r="I381" s="61">
        <v>45111</v>
      </c>
    </row>
    <row r="382" spans="1:9">
      <c r="A382" s="60" t="s">
        <v>1372</v>
      </c>
      <c r="B382" s="61">
        <v>45135</v>
      </c>
      <c r="C382" s="6" t="s">
        <v>1334</v>
      </c>
      <c r="D382" s="63" t="s">
        <v>78</v>
      </c>
      <c r="E382" s="21">
        <f>9.684+0.192</f>
        <v>9.8759999999999994</v>
      </c>
      <c r="F382" s="24" t="s">
        <v>86</v>
      </c>
      <c r="G382" s="1" t="s">
        <v>1373</v>
      </c>
      <c r="H382" s="1" t="s">
        <v>1112</v>
      </c>
      <c r="I382" s="61">
        <v>45111</v>
      </c>
    </row>
    <row r="383" spans="1:9">
      <c r="A383" s="60" t="s">
        <v>1374</v>
      </c>
      <c r="B383" s="61">
        <v>45135</v>
      </c>
      <c r="C383" s="6" t="s">
        <v>1334</v>
      </c>
      <c r="D383" s="63" t="s">
        <v>78</v>
      </c>
      <c r="E383" s="21">
        <v>7.7119999999999997</v>
      </c>
      <c r="F383" s="24" t="s">
        <v>86</v>
      </c>
      <c r="G383" s="1" t="s">
        <v>1375</v>
      </c>
      <c r="H383" s="1" t="s">
        <v>1115</v>
      </c>
      <c r="I383" s="61">
        <v>45111</v>
      </c>
    </row>
    <row r="384" spans="1:9">
      <c r="A384" s="60" t="s">
        <v>1376</v>
      </c>
      <c r="B384" s="61">
        <v>45135</v>
      </c>
      <c r="C384" s="6" t="s">
        <v>1377</v>
      </c>
      <c r="D384" s="63" t="s">
        <v>78</v>
      </c>
      <c r="E384" s="21">
        <v>5.899</v>
      </c>
      <c r="F384" s="24" t="s">
        <v>86</v>
      </c>
      <c r="G384" s="1" t="s">
        <v>1375</v>
      </c>
      <c r="H384" s="1" t="s">
        <v>1217</v>
      </c>
      <c r="I384" s="61">
        <v>45111</v>
      </c>
    </row>
    <row r="385" spans="1:9">
      <c r="A385" s="15"/>
      <c r="B385" s="16"/>
      <c r="C385" s="6"/>
      <c r="D385" s="1"/>
      <c r="E385" s="41">
        <f>SUM(E378:E384)</f>
        <v>32.220999999999997</v>
      </c>
      <c r="F385" s="24"/>
      <c r="G385" s="1"/>
      <c r="H385" s="1"/>
      <c r="I385" s="3"/>
    </row>
    <row r="386" spans="1:9">
      <c r="A386" s="60" t="s">
        <v>1378</v>
      </c>
      <c r="B386" s="61">
        <v>45136</v>
      </c>
      <c r="C386" s="6" t="s">
        <v>1328</v>
      </c>
      <c r="D386" s="1" t="s">
        <v>11</v>
      </c>
      <c r="E386" s="21">
        <v>0.441</v>
      </c>
      <c r="F386" s="24" t="s">
        <v>137</v>
      </c>
      <c r="G386" s="1" t="s">
        <v>1380</v>
      </c>
      <c r="H386" s="1" t="s">
        <v>1125</v>
      </c>
      <c r="I386" s="61">
        <v>45113</v>
      </c>
    </row>
    <row r="387" spans="1:9">
      <c r="A387" s="60" t="s">
        <v>1378</v>
      </c>
      <c r="B387" s="61">
        <v>45136</v>
      </c>
      <c r="C387" s="6" t="s">
        <v>1223</v>
      </c>
      <c r="D387" s="1" t="s">
        <v>11</v>
      </c>
      <c r="E387" s="21">
        <f>2.445+1.983</f>
        <v>4.4279999999999999</v>
      </c>
      <c r="F387" s="24" t="s">
        <v>137</v>
      </c>
      <c r="G387" s="1" t="s">
        <v>1380</v>
      </c>
      <c r="H387" s="1" t="s">
        <v>1125</v>
      </c>
      <c r="I387" s="61">
        <v>45113</v>
      </c>
    </row>
    <row r="388" spans="1:9">
      <c r="A388" s="60" t="s">
        <v>1378</v>
      </c>
      <c r="B388" s="61">
        <v>45136</v>
      </c>
      <c r="C388" s="6" t="s">
        <v>1271</v>
      </c>
      <c r="D388" s="1" t="s">
        <v>11</v>
      </c>
      <c r="E388" s="21">
        <v>3.03</v>
      </c>
      <c r="F388" s="24" t="s">
        <v>137</v>
      </c>
      <c r="G388" s="1" t="s">
        <v>1380</v>
      </c>
      <c r="H388" s="1" t="s">
        <v>1125</v>
      </c>
      <c r="I388" s="61">
        <v>45113</v>
      </c>
    </row>
    <row r="389" spans="1:9">
      <c r="A389" s="60" t="s">
        <v>1378</v>
      </c>
      <c r="B389" s="61">
        <v>45136</v>
      </c>
      <c r="C389" s="6" t="s">
        <v>1251</v>
      </c>
      <c r="D389" s="1" t="s">
        <v>11</v>
      </c>
      <c r="E389" s="21">
        <v>1.768</v>
      </c>
      <c r="F389" s="24" t="s">
        <v>137</v>
      </c>
      <c r="G389" s="1" t="s">
        <v>1380</v>
      </c>
      <c r="H389" s="1" t="s">
        <v>1125</v>
      </c>
      <c r="I389" s="61">
        <v>45113</v>
      </c>
    </row>
    <row r="390" spans="1:9">
      <c r="A390" s="60" t="s">
        <v>1378</v>
      </c>
      <c r="B390" s="61">
        <v>45136</v>
      </c>
      <c r="C390" s="6" t="s">
        <v>1251</v>
      </c>
      <c r="D390" s="1" t="s">
        <v>11</v>
      </c>
      <c r="E390" s="21">
        <v>1.095</v>
      </c>
      <c r="F390" s="24" t="s">
        <v>137</v>
      </c>
      <c r="G390" s="1" t="s">
        <v>1380</v>
      </c>
      <c r="H390" s="1" t="s">
        <v>1125</v>
      </c>
      <c r="I390" s="61">
        <v>45113</v>
      </c>
    </row>
    <row r="391" spans="1:9">
      <c r="A391" s="60" t="s">
        <v>1378</v>
      </c>
      <c r="B391" s="61">
        <v>45136</v>
      </c>
      <c r="C391" s="6" t="s">
        <v>1223</v>
      </c>
      <c r="D391" s="1" t="s">
        <v>11</v>
      </c>
      <c r="E391" s="21">
        <v>3.6019999999999999</v>
      </c>
      <c r="F391" s="24" t="s">
        <v>137</v>
      </c>
      <c r="G391" s="1" t="s">
        <v>1380</v>
      </c>
      <c r="H391" s="1" t="s">
        <v>1125</v>
      </c>
      <c r="I391" s="61">
        <v>45113</v>
      </c>
    </row>
    <row r="392" spans="1:9">
      <c r="A392" s="60" t="s">
        <v>1378</v>
      </c>
      <c r="B392" s="61">
        <v>45136</v>
      </c>
      <c r="C392" s="6" t="s">
        <v>1379</v>
      </c>
      <c r="D392" s="1" t="s">
        <v>11</v>
      </c>
      <c r="E392" s="21">
        <v>1.2809999999999999</v>
      </c>
      <c r="F392" s="24" t="s">
        <v>137</v>
      </c>
      <c r="G392" s="1" t="s">
        <v>1380</v>
      </c>
      <c r="H392" s="1" t="s">
        <v>1125</v>
      </c>
      <c r="I392" s="61">
        <v>45113</v>
      </c>
    </row>
    <row r="393" spans="1:9">
      <c r="A393" s="60" t="s">
        <v>1378</v>
      </c>
      <c r="B393" s="61">
        <v>45136</v>
      </c>
      <c r="C393" s="6" t="s">
        <v>1226</v>
      </c>
      <c r="D393" s="1" t="s">
        <v>11</v>
      </c>
      <c r="E393" s="49">
        <v>0.85799999999999998</v>
      </c>
      <c r="F393" s="24" t="s">
        <v>137</v>
      </c>
      <c r="G393" s="1" t="s">
        <v>1380</v>
      </c>
      <c r="H393" s="1" t="s">
        <v>1125</v>
      </c>
      <c r="I393" s="61">
        <v>45113</v>
      </c>
    </row>
    <row r="394" spans="1:9">
      <c r="A394" s="60" t="s">
        <v>1381</v>
      </c>
      <c r="B394" s="61">
        <v>45136</v>
      </c>
      <c r="C394" s="6" t="s">
        <v>1328</v>
      </c>
      <c r="D394" s="1" t="s">
        <v>11</v>
      </c>
      <c r="E394" s="21">
        <v>0.92600000000000005</v>
      </c>
      <c r="F394" s="24" t="s">
        <v>137</v>
      </c>
      <c r="G394" s="1" t="s">
        <v>1382</v>
      </c>
      <c r="H394" s="1" t="s">
        <v>622</v>
      </c>
      <c r="I394" s="61">
        <v>45082</v>
      </c>
    </row>
    <row r="395" spans="1:9">
      <c r="A395" s="60" t="s">
        <v>1383</v>
      </c>
      <c r="B395" s="61">
        <v>45136</v>
      </c>
      <c r="C395" s="6" t="s">
        <v>1321</v>
      </c>
      <c r="D395" s="1" t="s">
        <v>11</v>
      </c>
      <c r="E395" s="21">
        <f>6.525+0.797</f>
        <v>7.3220000000000001</v>
      </c>
      <c r="F395" s="24" t="s">
        <v>137</v>
      </c>
      <c r="G395" s="1" t="s">
        <v>1384</v>
      </c>
      <c r="H395" s="1" t="s">
        <v>1385</v>
      </c>
      <c r="I395" s="61">
        <v>45125</v>
      </c>
    </row>
    <row r="396" spans="1:9">
      <c r="A396" s="60"/>
      <c r="B396" s="61"/>
      <c r="C396" s="6"/>
      <c r="D396" s="1"/>
      <c r="E396" s="58">
        <f>SUM(E386:E395)</f>
        <v>24.750999999999998</v>
      </c>
      <c r="F396" s="24"/>
      <c r="G396" s="1"/>
      <c r="H396" s="1"/>
      <c r="I396" s="61"/>
    </row>
    <row r="397" spans="1:9">
      <c r="A397" s="15"/>
      <c r="B397" s="61"/>
      <c r="C397" s="6"/>
      <c r="D397" s="1"/>
      <c r="E397" s="41"/>
      <c r="F397" s="24"/>
      <c r="G397" s="1"/>
      <c r="H397" s="1"/>
      <c r="I397" s="3"/>
    </row>
    <row r="398" spans="1:9">
      <c r="A398" s="15"/>
      <c r="B398" s="16"/>
      <c r="C398" s="6"/>
      <c r="D398" s="1"/>
      <c r="E398" s="41"/>
      <c r="F398" s="24"/>
      <c r="G398" s="1"/>
      <c r="H398" s="1"/>
      <c r="I398" s="3"/>
    </row>
    <row r="399" spans="1:9">
      <c r="A399" s="15"/>
      <c r="B399" s="16"/>
      <c r="C399" s="6"/>
      <c r="D399" s="1"/>
      <c r="E399" s="54"/>
      <c r="F399" s="24"/>
      <c r="G399" s="1"/>
      <c r="H399" s="1"/>
      <c r="I399" s="3"/>
    </row>
    <row r="400" spans="1:9">
      <c r="A400" s="1"/>
      <c r="B400" s="16"/>
      <c r="C400" s="1"/>
      <c r="D400" s="2" t="s">
        <v>877</v>
      </c>
      <c r="E400" s="20">
        <f>SUM(E36:E399)/2</f>
        <v>1929.2580000000007</v>
      </c>
      <c r="F400" s="24"/>
      <c r="G400" s="1"/>
      <c r="H400" s="1"/>
      <c r="I400" s="3"/>
    </row>
    <row r="401" spans="1:11">
      <c r="A401" s="1"/>
      <c r="B401" s="16"/>
      <c r="C401" s="1"/>
      <c r="D401" s="1"/>
      <c r="E401" s="54"/>
      <c r="F401" s="24"/>
      <c r="G401" s="1"/>
      <c r="H401" s="1"/>
      <c r="I401" s="3"/>
    </row>
    <row r="402" spans="1:11">
      <c r="A402" s="1"/>
      <c r="B402" s="3"/>
      <c r="C402" s="1"/>
      <c r="D402" s="2" t="s">
        <v>876</v>
      </c>
      <c r="E402" s="20">
        <f>+E35+E9</f>
        <v>208.92500000000001</v>
      </c>
      <c r="F402" s="24"/>
      <c r="G402" s="1"/>
      <c r="H402" s="1"/>
      <c r="I402" s="3"/>
    </row>
    <row r="403" spans="1:11">
      <c r="A403" s="1"/>
      <c r="B403" s="3"/>
      <c r="C403" s="1"/>
      <c r="D403" s="1"/>
      <c r="E403" s="55"/>
      <c r="F403" s="24"/>
      <c r="G403" s="1"/>
      <c r="H403" s="1"/>
      <c r="I403" s="3"/>
    </row>
    <row r="404" spans="1:11">
      <c r="A404" s="1"/>
      <c r="B404" s="3"/>
      <c r="C404" s="1"/>
      <c r="D404" s="2"/>
      <c r="E404" s="20">
        <f>+E402+E400</f>
        <v>2138.1830000000009</v>
      </c>
      <c r="F404" s="24"/>
      <c r="G404" s="1"/>
      <c r="H404" s="1"/>
      <c r="I404" s="3"/>
      <c r="K404">
        <v>5</v>
      </c>
    </row>
    <row r="405" spans="1:11">
      <c r="A405" s="1"/>
      <c r="B405" s="3"/>
      <c r="C405" s="1"/>
      <c r="D405" s="2"/>
      <c r="E405" s="54"/>
      <c r="F405" s="24"/>
      <c r="G405" s="1"/>
      <c r="H405" s="1"/>
      <c r="I405" s="3"/>
    </row>
    <row r="406" spans="1:11">
      <c r="A406" s="1"/>
      <c r="B406" s="3"/>
      <c r="C406" s="1"/>
      <c r="D406" s="1"/>
      <c r="E406" s="2"/>
      <c r="F406" s="24"/>
      <c r="G406" s="1"/>
      <c r="H406" s="1"/>
      <c r="I406" s="3"/>
    </row>
    <row r="407" spans="1:11">
      <c r="A407" s="1"/>
      <c r="B407" s="3"/>
      <c r="C407" s="1"/>
      <c r="D407" s="1"/>
      <c r="E407" s="2"/>
      <c r="F407" s="24"/>
      <c r="G407" s="1"/>
      <c r="H407" s="1"/>
      <c r="I407" s="3"/>
    </row>
    <row r="408" spans="1:11">
      <c r="A408" s="1"/>
      <c r="B408" s="3"/>
      <c r="C408" s="1"/>
      <c r="D408" s="1"/>
      <c r="E408" s="2"/>
      <c r="F408" s="24"/>
      <c r="G408" s="1"/>
      <c r="H408" s="1"/>
      <c r="I408" s="3"/>
    </row>
    <row r="409" spans="1:11">
      <c r="A409" s="1"/>
      <c r="B409" s="3"/>
      <c r="C409" s="1"/>
      <c r="D409" s="1"/>
      <c r="E409" s="2"/>
      <c r="F409" s="24"/>
      <c r="G409" s="1"/>
      <c r="H409" s="1"/>
      <c r="I409" s="3"/>
    </row>
    <row r="410" spans="1:11">
      <c r="A410" s="1"/>
      <c r="B410" s="3"/>
      <c r="C410" s="1"/>
      <c r="D410" s="1"/>
      <c r="E410" s="2"/>
      <c r="F410" s="24"/>
      <c r="G410" s="1"/>
      <c r="H410" s="1"/>
      <c r="I410" s="3"/>
    </row>
    <row r="411" spans="1:11">
      <c r="A411" s="1"/>
      <c r="B411" s="1"/>
      <c r="C411" s="1"/>
      <c r="D411" s="1"/>
      <c r="E411" s="2"/>
      <c r="F411" s="24"/>
      <c r="G411" s="1"/>
      <c r="H411" s="1"/>
      <c r="I411" s="1"/>
    </row>
  </sheetData>
  <autoFilter ref="A1:K377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1"/>
  <sheetViews>
    <sheetView topLeftCell="A19" workbookViewId="0">
      <selection activeCell="E39" sqref="E39"/>
    </sheetView>
  </sheetViews>
  <sheetFormatPr defaultRowHeight="15"/>
  <cols>
    <col min="1" max="1" width="18.28515625" customWidth="1"/>
    <col min="2" max="2" width="10.28515625" bestFit="1" customWidth="1"/>
    <col min="3" max="3" width="24" bestFit="1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15" t="s">
        <v>715</v>
      </c>
      <c r="B2" s="16">
        <v>45099</v>
      </c>
      <c r="C2" s="6" t="s">
        <v>543</v>
      </c>
      <c r="D2" s="1" t="s">
        <v>716</v>
      </c>
      <c r="E2" s="56">
        <v>9.1440000000000001</v>
      </c>
      <c r="F2" s="24" t="s">
        <v>717</v>
      </c>
      <c r="G2" s="1" t="s">
        <v>718</v>
      </c>
      <c r="H2" s="18" t="s">
        <v>546</v>
      </c>
      <c r="I2" s="16">
        <v>45064</v>
      </c>
    </row>
    <row r="3" spans="1:9">
      <c r="A3" s="15" t="s">
        <v>719</v>
      </c>
      <c r="B3" s="16">
        <v>45099</v>
      </c>
      <c r="C3" s="6" t="s">
        <v>720</v>
      </c>
      <c r="D3" s="1" t="s">
        <v>716</v>
      </c>
      <c r="E3" s="56">
        <v>0.65500000000000003</v>
      </c>
      <c r="F3" s="24" t="s">
        <v>717</v>
      </c>
      <c r="G3" s="1" t="s">
        <v>718</v>
      </c>
      <c r="H3" s="18" t="s">
        <v>721</v>
      </c>
      <c r="I3" s="16">
        <v>45092</v>
      </c>
    </row>
    <row r="4" spans="1:9">
      <c r="A4" s="15" t="s">
        <v>722</v>
      </c>
      <c r="B4" s="16">
        <v>45099</v>
      </c>
      <c r="C4" s="6" t="s">
        <v>664</v>
      </c>
      <c r="D4" s="1" t="s">
        <v>716</v>
      </c>
      <c r="E4" s="56">
        <v>2.3559999999999999</v>
      </c>
      <c r="F4" s="24" t="s">
        <v>717</v>
      </c>
      <c r="G4" s="1" t="s">
        <v>718</v>
      </c>
      <c r="H4" s="18" t="s">
        <v>723</v>
      </c>
      <c r="I4" s="16">
        <v>45092</v>
      </c>
    </row>
    <row r="5" spans="1:9">
      <c r="A5" s="15" t="s">
        <v>722</v>
      </c>
      <c r="B5" s="16">
        <v>45099</v>
      </c>
      <c r="C5" s="6" t="s">
        <v>699</v>
      </c>
      <c r="D5" s="1" t="s">
        <v>716</v>
      </c>
      <c r="E5" s="56">
        <v>2.3580000000000001</v>
      </c>
      <c r="F5" s="24" t="s">
        <v>717</v>
      </c>
      <c r="G5" s="1" t="s">
        <v>718</v>
      </c>
      <c r="H5" s="18" t="s">
        <v>723</v>
      </c>
      <c r="I5" s="16">
        <v>45092</v>
      </c>
    </row>
    <row r="6" spans="1:9">
      <c r="A6" s="15" t="s">
        <v>722</v>
      </c>
      <c r="B6" s="16">
        <v>45099</v>
      </c>
      <c r="C6" s="6" t="s">
        <v>578</v>
      </c>
      <c r="D6" s="1" t="s">
        <v>716</v>
      </c>
      <c r="E6" s="56">
        <v>2.7919999999999998</v>
      </c>
      <c r="F6" s="24" t="s">
        <v>717</v>
      </c>
      <c r="G6" s="1" t="s">
        <v>718</v>
      </c>
      <c r="H6" s="18" t="s">
        <v>723</v>
      </c>
      <c r="I6" s="16">
        <v>45092</v>
      </c>
    </row>
    <row r="7" spans="1:9">
      <c r="A7" s="1"/>
      <c r="B7" s="16"/>
      <c r="C7" s="6"/>
      <c r="D7" s="1"/>
      <c r="E7" s="57">
        <f>SUM(E2:E6)</f>
        <v>17.305</v>
      </c>
      <c r="F7" s="24"/>
      <c r="G7" s="1"/>
      <c r="H7" s="1"/>
      <c r="I7" s="3"/>
    </row>
    <row r="8" spans="1:9">
      <c r="A8" s="15" t="s">
        <v>899</v>
      </c>
      <c r="B8" s="16">
        <v>45108</v>
      </c>
      <c r="C8" s="47" t="s">
        <v>891</v>
      </c>
      <c r="D8" s="1" t="s">
        <v>716</v>
      </c>
      <c r="E8" s="51">
        <v>0.89500000000000002</v>
      </c>
      <c r="F8" s="24" t="s">
        <v>892</v>
      </c>
      <c r="G8" s="1" t="s">
        <v>893</v>
      </c>
      <c r="H8" s="18" t="s">
        <v>723</v>
      </c>
      <c r="I8" s="16">
        <v>45092</v>
      </c>
    </row>
    <row r="9" spans="1:9">
      <c r="A9" s="1"/>
      <c r="B9" s="16"/>
      <c r="C9" s="6"/>
      <c r="D9" s="1"/>
      <c r="E9" s="41">
        <f>SUM(E8)</f>
        <v>0.89500000000000002</v>
      </c>
      <c r="F9" s="24"/>
      <c r="G9" s="1"/>
      <c r="H9" s="1"/>
      <c r="I9" s="3"/>
    </row>
    <row r="10" spans="1:9">
      <c r="A10" s="15" t="s">
        <v>905</v>
      </c>
      <c r="B10" s="16">
        <v>45109</v>
      </c>
      <c r="C10" s="6" t="s">
        <v>346</v>
      </c>
      <c r="D10" s="1" t="s">
        <v>716</v>
      </c>
      <c r="E10" s="21">
        <v>1.03</v>
      </c>
      <c r="F10" s="24" t="s">
        <v>906</v>
      </c>
      <c r="G10" s="1" t="s">
        <v>907</v>
      </c>
      <c r="H10" s="18" t="s">
        <v>897</v>
      </c>
      <c r="I10" s="16">
        <v>45095</v>
      </c>
    </row>
    <row r="11" spans="1:9">
      <c r="A11" s="15" t="s">
        <v>908</v>
      </c>
      <c r="B11" s="16">
        <v>45109</v>
      </c>
      <c r="C11" s="6" t="s">
        <v>346</v>
      </c>
      <c r="D11" s="1" t="s">
        <v>716</v>
      </c>
      <c r="E11" s="21">
        <v>0.77300000000000002</v>
      </c>
      <c r="F11" s="24" t="s">
        <v>906</v>
      </c>
      <c r="G11" s="1" t="s">
        <v>907</v>
      </c>
      <c r="H11" s="18" t="s">
        <v>723</v>
      </c>
      <c r="I11" s="16">
        <v>45092</v>
      </c>
    </row>
    <row r="12" spans="1:9">
      <c r="A12" s="15" t="s">
        <v>929</v>
      </c>
      <c r="B12" s="16">
        <v>45109</v>
      </c>
      <c r="C12" s="6" t="s">
        <v>346</v>
      </c>
      <c r="D12" s="1" t="s">
        <v>716</v>
      </c>
      <c r="E12" s="21">
        <v>1.1559999999999999</v>
      </c>
      <c r="F12" s="24" t="s">
        <v>906</v>
      </c>
      <c r="G12" s="1" t="s">
        <v>907</v>
      </c>
      <c r="H12" s="18" t="s">
        <v>895</v>
      </c>
      <c r="I12" s="16">
        <v>45095</v>
      </c>
    </row>
    <row r="13" spans="1:9">
      <c r="A13" s="15" t="s">
        <v>930</v>
      </c>
      <c r="B13" s="16">
        <v>45109</v>
      </c>
      <c r="C13" s="6" t="s">
        <v>543</v>
      </c>
      <c r="D13" s="1" t="s">
        <v>716</v>
      </c>
      <c r="E13" s="21">
        <f>3.762+18.882</f>
        <v>22.644000000000002</v>
      </c>
      <c r="F13" s="24" t="s">
        <v>906</v>
      </c>
      <c r="G13" s="1" t="s">
        <v>909</v>
      </c>
      <c r="H13" s="18" t="s">
        <v>721</v>
      </c>
      <c r="I13" s="16">
        <v>45092</v>
      </c>
    </row>
    <row r="14" spans="1:9">
      <c r="A14" s="15" t="s">
        <v>918</v>
      </c>
      <c r="B14" s="16">
        <v>45109</v>
      </c>
      <c r="C14" s="6" t="s">
        <v>543</v>
      </c>
      <c r="D14" s="1" t="s">
        <v>716</v>
      </c>
      <c r="E14" s="21">
        <v>29.556000000000001</v>
      </c>
      <c r="F14" s="24" t="s">
        <v>919</v>
      </c>
      <c r="G14" s="1" t="s">
        <v>920</v>
      </c>
      <c r="H14" s="18" t="s">
        <v>721</v>
      </c>
      <c r="I14" s="16">
        <v>45092</v>
      </c>
    </row>
    <row r="15" spans="1:9">
      <c r="A15" s="1"/>
      <c r="B15" s="16"/>
      <c r="C15" s="6"/>
      <c r="D15" s="1"/>
      <c r="E15" s="41">
        <f>SUM(E10:E14)</f>
        <v>55.159000000000006</v>
      </c>
      <c r="F15" s="24"/>
      <c r="G15" s="1"/>
      <c r="H15" s="1"/>
      <c r="I15" s="3"/>
    </row>
    <row r="16" spans="1:9">
      <c r="A16" s="15" t="s">
        <v>937</v>
      </c>
      <c r="B16" s="16">
        <v>45110</v>
      </c>
      <c r="C16" s="6" t="s">
        <v>891</v>
      </c>
      <c r="D16" s="1" t="s">
        <v>716</v>
      </c>
      <c r="E16" s="21">
        <v>1.72</v>
      </c>
      <c r="F16" s="24" t="s">
        <v>926</v>
      </c>
      <c r="G16" s="1" t="s">
        <v>938</v>
      </c>
      <c r="H16" s="18" t="s">
        <v>895</v>
      </c>
      <c r="I16" s="16">
        <v>45095</v>
      </c>
    </row>
    <row r="17" spans="1:9">
      <c r="A17" s="15" t="s">
        <v>939</v>
      </c>
      <c r="B17" s="16">
        <v>45110</v>
      </c>
      <c r="C17" s="6" t="s">
        <v>543</v>
      </c>
      <c r="D17" s="1" t="s">
        <v>716</v>
      </c>
      <c r="E17" s="21">
        <v>1.728</v>
      </c>
      <c r="F17" s="24" t="s">
        <v>926</v>
      </c>
      <c r="G17" s="1" t="s">
        <v>941</v>
      </c>
      <c r="H17" s="18" t="s">
        <v>721</v>
      </c>
      <c r="I17" s="16">
        <v>45092</v>
      </c>
    </row>
    <row r="18" spans="1:9">
      <c r="A18" s="15" t="s">
        <v>939</v>
      </c>
      <c r="B18" s="16">
        <v>45110</v>
      </c>
      <c r="C18" s="6" t="s">
        <v>940</v>
      </c>
      <c r="D18" s="1" t="s">
        <v>716</v>
      </c>
      <c r="E18" s="21">
        <f>3.826+21.123</f>
        <v>24.949000000000002</v>
      </c>
      <c r="F18" s="24" t="s">
        <v>926</v>
      </c>
      <c r="G18" s="1" t="s">
        <v>941</v>
      </c>
      <c r="H18" s="18" t="s">
        <v>721</v>
      </c>
      <c r="I18" s="16">
        <v>45092</v>
      </c>
    </row>
    <row r="19" spans="1:9">
      <c r="A19" s="1"/>
      <c r="B19" s="16"/>
      <c r="C19" s="6"/>
      <c r="D19" s="1"/>
      <c r="E19" s="41">
        <f>SUM(E16:E18)</f>
        <v>28.397000000000002</v>
      </c>
      <c r="F19" s="24"/>
      <c r="G19" s="1"/>
      <c r="H19" s="1"/>
      <c r="I19" s="3"/>
    </row>
    <row r="20" spans="1:9">
      <c r="A20" s="15" t="s">
        <v>972</v>
      </c>
      <c r="B20" s="16">
        <v>45112</v>
      </c>
      <c r="C20" s="6" t="s">
        <v>543</v>
      </c>
      <c r="D20" s="1" t="s">
        <v>716</v>
      </c>
      <c r="E20" s="21">
        <v>0.82399999999999995</v>
      </c>
      <c r="F20" s="24" t="s">
        <v>973</v>
      </c>
      <c r="G20" s="1" t="s">
        <v>974</v>
      </c>
      <c r="H20" s="18" t="s">
        <v>975</v>
      </c>
      <c r="I20" s="16">
        <v>45092</v>
      </c>
    </row>
    <row r="21" spans="1:9">
      <c r="A21" s="15" t="s">
        <v>976</v>
      </c>
      <c r="B21" s="16">
        <v>45112</v>
      </c>
      <c r="C21" s="6" t="s">
        <v>720</v>
      </c>
      <c r="D21" s="1" t="s">
        <v>716</v>
      </c>
      <c r="E21" s="21">
        <v>2.4079999999999999</v>
      </c>
      <c r="F21" s="24" t="s">
        <v>973</v>
      </c>
      <c r="G21" s="1" t="s">
        <v>974</v>
      </c>
      <c r="H21" s="18" t="s">
        <v>721</v>
      </c>
      <c r="I21" s="16">
        <v>45092</v>
      </c>
    </row>
    <row r="22" spans="1:9">
      <c r="A22" s="15" t="s">
        <v>977</v>
      </c>
      <c r="B22" s="16">
        <v>45112</v>
      </c>
      <c r="C22" s="6" t="s">
        <v>227</v>
      </c>
      <c r="D22" s="1" t="s">
        <v>716</v>
      </c>
      <c r="E22" s="21">
        <v>2.9569999999999999</v>
      </c>
      <c r="F22" s="24" t="s">
        <v>973</v>
      </c>
      <c r="G22" s="1" t="s">
        <v>974</v>
      </c>
      <c r="H22" s="18" t="s">
        <v>723</v>
      </c>
      <c r="I22" s="16">
        <v>45092</v>
      </c>
    </row>
    <row r="23" spans="1:9">
      <c r="A23" s="15" t="s">
        <v>977</v>
      </c>
      <c r="B23" s="16">
        <v>45112</v>
      </c>
      <c r="C23" s="6" t="s">
        <v>699</v>
      </c>
      <c r="D23" s="1" t="s">
        <v>716</v>
      </c>
      <c r="E23" s="21">
        <v>0.55400000000000005</v>
      </c>
      <c r="F23" s="24" t="s">
        <v>973</v>
      </c>
      <c r="G23" s="1" t="s">
        <v>974</v>
      </c>
      <c r="H23" s="18" t="s">
        <v>723</v>
      </c>
      <c r="I23" s="16">
        <v>45092</v>
      </c>
    </row>
    <row r="24" spans="1:9">
      <c r="A24" s="1"/>
      <c r="B24" s="16"/>
      <c r="C24" s="6"/>
      <c r="D24" s="1"/>
      <c r="E24" s="41">
        <f>SUM(E20:E23)</f>
        <v>6.7430000000000003</v>
      </c>
      <c r="F24" s="24"/>
      <c r="G24" s="1"/>
      <c r="H24" s="1"/>
      <c r="I24" s="3"/>
    </row>
    <row r="25" spans="1:9">
      <c r="A25" s="15" t="s">
        <v>1038</v>
      </c>
      <c r="B25" s="16">
        <v>45117</v>
      </c>
      <c r="C25" s="6" t="s">
        <v>543</v>
      </c>
      <c r="D25" s="1" t="s">
        <v>716</v>
      </c>
      <c r="E25" s="21">
        <v>1.4039999999999999</v>
      </c>
      <c r="F25" s="24" t="s">
        <v>551</v>
      </c>
      <c r="G25" s="1" t="s">
        <v>1040</v>
      </c>
      <c r="H25" s="18" t="s">
        <v>721</v>
      </c>
      <c r="I25" s="16">
        <v>45092</v>
      </c>
    </row>
    <row r="26" spans="1:9">
      <c r="A26" s="15" t="s">
        <v>1039</v>
      </c>
      <c r="B26" s="16">
        <v>45117</v>
      </c>
      <c r="C26" s="6" t="s">
        <v>578</v>
      </c>
      <c r="D26" s="1" t="s">
        <v>716</v>
      </c>
      <c r="E26" s="21">
        <v>0.16500000000000001</v>
      </c>
      <c r="F26" s="24" t="s">
        <v>551</v>
      </c>
      <c r="G26" s="1" t="s">
        <v>1040</v>
      </c>
      <c r="H26" s="18" t="s">
        <v>975</v>
      </c>
      <c r="I26" s="16">
        <v>45092</v>
      </c>
    </row>
    <row r="27" spans="1:9">
      <c r="A27" s="1"/>
      <c r="B27" s="16"/>
      <c r="C27" s="6"/>
      <c r="D27" s="1"/>
      <c r="E27" s="41">
        <f>SUM(E25:E26)</f>
        <v>1.569</v>
      </c>
      <c r="F27" s="24"/>
      <c r="G27" s="1"/>
      <c r="H27" s="1"/>
      <c r="I27" s="3"/>
    </row>
    <row r="28" spans="1:9">
      <c r="A28" s="1"/>
      <c r="B28" s="16"/>
      <c r="C28" s="6"/>
      <c r="D28" s="1"/>
      <c r="E28" s="41"/>
      <c r="F28" s="24"/>
      <c r="G28" s="1"/>
      <c r="H28" s="1"/>
      <c r="I28" s="3"/>
    </row>
    <row r="29" spans="1:9">
      <c r="A29" s="1"/>
      <c r="B29" s="16"/>
      <c r="C29" s="6"/>
      <c r="D29" s="1"/>
      <c r="E29" s="41"/>
      <c r="F29" s="24"/>
      <c r="G29" s="1"/>
      <c r="H29" s="1"/>
      <c r="I29" s="3"/>
    </row>
    <row r="30" spans="1:9">
      <c r="A30" s="1"/>
      <c r="B30" s="16"/>
      <c r="C30" s="6"/>
      <c r="D30" s="1"/>
      <c r="E30" s="41"/>
      <c r="F30" s="24"/>
      <c r="G30" s="1"/>
      <c r="H30" s="1"/>
      <c r="I30" s="3"/>
    </row>
    <row r="31" spans="1:9">
      <c r="A31" s="1"/>
      <c r="B31" s="16"/>
      <c r="C31" s="6"/>
      <c r="D31" s="1"/>
      <c r="E31" s="41"/>
      <c r="F31" s="24"/>
      <c r="G31" s="1"/>
      <c r="H31" s="1"/>
      <c r="I31" s="3"/>
    </row>
    <row r="32" spans="1:9">
      <c r="A32" s="1"/>
      <c r="B32" s="16"/>
      <c r="C32" s="6"/>
      <c r="D32" s="1"/>
      <c r="E32" s="41"/>
      <c r="F32" s="24"/>
      <c r="G32" s="1"/>
      <c r="H32" s="1"/>
      <c r="I32" s="3"/>
    </row>
    <row r="33" spans="1:9">
      <c r="A33" s="1"/>
      <c r="B33" s="16"/>
      <c r="C33" s="6"/>
      <c r="D33" s="1"/>
      <c r="E33" s="41"/>
      <c r="F33" s="24"/>
      <c r="G33" s="1"/>
      <c r="H33" s="1"/>
      <c r="I33" s="3"/>
    </row>
    <row r="34" spans="1:9">
      <c r="A34" s="1"/>
      <c r="B34" s="16"/>
      <c r="C34" s="6"/>
      <c r="D34" s="1"/>
      <c r="E34" s="41"/>
      <c r="F34" s="24"/>
      <c r="G34" s="1"/>
      <c r="H34" s="1"/>
      <c r="I34" s="3"/>
    </row>
    <row r="35" spans="1:9">
      <c r="A35" s="1"/>
      <c r="B35" s="16"/>
      <c r="C35" s="6"/>
      <c r="D35" s="1"/>
      <c r="E35" s="41"/>
      <c r="F35" s="24"/>
      <c r="G35" s="1"/>
      <c r="H35" s="1"/>
      <c r="I35" s="3"/>
    </row>
    <row r="36" spans="1:9">
      <c r="A36" s="1"/>
      <c r="B36" s="16"/>
      <c r="C36" s="6"/>
      <c r="D36" s="1"/>
      <c r="E36" s="41"/>
      <c r="F36" s="24"/>
      <c r="G36" s="1"/>
      <c r="H36" s="1"/>
      <c r="I36" s="3"/>
    </row>
    <row r="37" spans="1:9">
      <c r="A37" s="1"/>
      <c r="B37" s="16"/>
      <c r="C37" s="6"/>
      <c r="D37" s="1"/>
      <c r="E37" s="41"/>
      <c r="F37" s="24"/>
      <c r="G37" s="1"/>
      <c r="H37" s="1"/>
      <c r="I37" s="3"/>
    </row>
    <row r="38" spans="1:9">
      <c r="A38" s="1"/>
      <c r="B38" s="3"/>
      <c r="C38" s="1"/>
      <c r="D38" s="1"/>
      <c r="E38" s="2"/>
      <c r="F38" s="24"/>
      <c r="G38" s="1"/>
      <c r="H38" s="1"/>
      <c r="I38" s="3"/>
    </row>
    <row r="39" spans="1:9">
      <c r="A39" s="1"/>
      <c r="B39" s="3"/>
      <c r="C39" s="1"/>
      <c r="D39" s="2" t="s">
        <v>877</v>
      </c>
      <c r="E39" s="20">
        <f>SUM(E8:E38)/2</f>
        <v>92.762999999999977</v>
      </c>
      <c r="F39" s="24"/>
      <c r="G39" s="1"/>
      <c r="H39" s="1"/>
      <c r="I39" s="3"/>
    </row>
    <row r="40" spans="1:9">
      <c r="A40" s="1"/>
      <c r="B40" s="3"/>
      <c r="C40" s="1"/>
      <c r="D40" s="1"/>
      <c r="E40" s="54"/>
      <c r="F40" s="24"/>
      <c r="G40" s="1"/>
      <c r="H40" s="1"/>
      <c r="I40" s="3"/>
    </row>
    <row r="41" spans="1:9">
      <c r="A41" s="1"/>
      <c r="B41" s="3"/>
      <c r="C41" s="1"/>
      <c r="D41" s="2" t="s">
        <v>876</v>
      </c>
      <c r="E41" s="20">
        <f>+E7</f>
        <v>17.305</v>
      </c>
      <c r="F41" s="24"/>
      <c r="G41" s="1"/>
      <c r="H41" s="1"/>
      <c r="I41" s="3"/>
    </row>
    <row r="42" spans="1:9">
      <c r="A42" s="1"/>
      <c r="B42" s="3"/>
      <c r="C42" s="1"/>
      <c r="D42" s="1"/>
      <c r="E42" s="55"/>
      <c r="F42" s="24"/>
      <c r="G42" s="1"/>
      <c r="H42" s="1"/>
      <c r="I42" s="3"/>
    </row>
    <row r="43" spans="1:9">
      <c r="A43" s="1"/>
      <c r="B43" s="3"/>
      <c r="C43" s="1"/>
      <c r="D43" s="2"/>
      <c r="E43" s="20">
        <f>+E41+E39</f>
        <v>110.06799999999998</v>
      </c>
      <c r="F43" s="24"/>
      <c r="G43" s="1"/>
      <c r="H43" s="1"/>
      <c r="I43" s="3"/>
    </row>
    <row r="44" spans="1:9">
      <c r="A44" s="1"/>
      <c r="B44" s="3"/>
      <c r="C44" s="1"/>
      <c r="D44" s="1"/>
      <c r="E44" s="2"/>
      <c r="F44" s="24"/>
      <c r="G44" s="1"/>
      <c r="H44" s="1"/>
      <c r="I44" s="3"/>
    </row>
    <row r="45" spans="1:9">
      <c r="A45" s="1"/>
      <c r="B45" s="1"/>
      <c r="C45" s="1"/>
      <c r="D45" s="1"/>
      <c r="E45" s="2"/>
      <c r="F45" s="24"/>
      <c r="G45" s="1"/>
      <c r="H45" s="1"/>
      <c r="I45" s="1"/>
    </row>
    <row r="50" spans="1:11" s="31" customFormat="1">
      <c r="A50"/>
      <c r="B50"/>
      <c r="C50"/>
      <c r="D50"/>
      <c r="E50" s="23"/>
      <c r="G50"/>
      <c r="H50"/>
      <c r="I50"/>
      <c r="J50"/>
      <c r="K50"/>
    </row>
    <row r="51" spans="1:11" s="31" customFormat="1">
      <c r="A51"/>
      <c r="B51"/>
      <c r="C51"/>
      <c r="D51"/>
      <c r="E51"/>
      <c r="G51"/>
      <c r="H51"/>
      <c r="I51"/>
      <c r="J51"/>
      <c r="K5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6"/>
  <sheetViews>
    <sheetView topLeftCell="A149" workbookViewId="0">
      <selection activeCell="E166" sqref="E166"/>
    </sheetView>
  </sheetViews>
  <sheetFormatPr defaultRowHeight="15"/>
  <cols>
    <col min="1" max="1" width="17.28515625" customWidth="1"/>
    <col min="2" max="2" width="10.7109375" bestFit="1" customWidth="1"/>
    <col min="3" max="3" width="26.5703125" bestFit="1" customWidth="1"/>
    <col min="4" max="4" width="37.28515625" bestFit="1" customWidth="1"/>
    <col min="5" max="5" width="15" bestFit="1" customWidth="1"/>
    <col min="6" max="6" width="15" customWidth="1"/>
    <col min="7" max="7" width="8.5703125" bestFit="1" customWidth="1"/>
    <col min="8" max="8" width="10.7109375" bestFit="1" customWidth="1"/>
    <col min="9" max="9" width="23.5703125" customWidth="1"/>
  </cols>
  <sheetData>
    <row r="1" spans="1:9">
      <c r="A1" s="1" t="s">
        <v>5</v>
      </c>
      <c r="B1" s="1" t="s">
        <v>6</v>
      </c>
      <c r="C1" s="1" t="s">
        <v>7</v>
      </c>
      <c r="D1" s="1" t="s">
        <v>0</v>
      </c>
      <c r="E1" s="1" t="s">
        <v>873</v>
      </c>
      <c r="F1" s="1" t="s">
        <v>2</v>
      </c>
      <c r="G1" s="1" t="s">
        <v>4</v>
      </c>
      <c r="H1" s="1" t="s">
        <v>874</v>
      </c>
      <c r="I1" s="5" t="s">
        <v>10</v>
      </c>
    </row>
    <row r="2" spans="1:9">
      <c r="A2" s="1" t="s">
        <v>894</v>
      </c>
      <c r="B2" s="3">
        <v>45108</v>
      </c>
      <c r="C2" s="6" t="s">
        <v>862</v>
      </c>
      <c r="D2" s="9" t="s">
        <v>875</v>
      </c>
      <c r="E2" s="6">
        <v>6.1120000000000001</v>
      </c>
      <c r="F2" s="6" t="s">
        <v>892</v>
      </c>
      <c r="G2" s="6" t="s">
        <v>895</v>
      </c>
      <c r="H2" s="10">
        <v>45095</v>
      </c>
      <c r="I2" s="9">
        <v>72230</v>
      </c>
    </row>
    <row r="3" spans="1:9">
      <c r="A3" s="1" t="s">
        <v>896</v>
      </c>
      <c r="B3" s="3">
        <v>45108</v>
      </c>
      <c r="C3" s="6" t="s">
        <v>263</v>
      </c>
      <c r="D3" s="9" t="s">
        <v>875</v>
      </c>
      <c r="E3" s="6">
        <v>6.4580000000000002</v>
      </c>
      <c r="F3" s="6" t="s">
        <v>892</v>
      </c>
      <c r="G3" s="6" t="s">
        <v>897</v>
      </c>
      <c r="H3" s="10">
        <v>45095</v>
      </c>
      <c r="I3" s="9">
        <v>75670</v>
      </c>
    </row>
    <row r="4" spans="1:9">
      <c r="A4" s="1" t="s">
        <v>896</v>
      </c>
      <c r="B4" s="3">
        <v>45108</v>
      </c>
      <c r="C4" s="6" t="s">
        <v>231</v>
      </c>
      <c r="D4" s="9" t="s">
        <v>875</v>
      </c>
      <c r="E4" s="6">
        <v>2.407</v>
      </c>
      <c r="F4" s="6" t="s">
        <v>892</v>
      </c>
      <c r="G4" s="6" t="s">
        <v>897</v>
      </c>
      <c r="H4" s="10">
        <v>45095</v>
      </c>
      <c r="I4" s="9">
        <v>51120</v>
      </c>
    </row>
    <row r="5" spans="1:9">
      <c r="A5" s="1" t="s">
        <v>896</v>
      </c>
      <c r="B5" s="3">
        <v>45108</v>
      </c>
      <c r="C5" s="6" t="s">
        <v>283</v>
      </c>
      <c r="D5" s="9" t="s">
        <v>875</v>
      </c>
      <c r="E5" s="6">
        <v>3.556</v>
      </c>
      <c r="F5" s="6" t="s">
        <v>892</v>
      </c>
      <c r="G5" s="6" t="s">
        <v>897</v>
      </c>
      <c r="H5" s="10">
        <v>45095</v>
      </c>
      <c r="I5" s="9">
        <v>75670</v>
      </c>
    </row>
    <row r="6" spans="1:9">
      <c r="A6" s="1" t="s">
        <v>896</v>
      </c>
      <c r="B6" s="3">
        <v>45108</v>
      </c>
      <c r="C6" s="6" t="s">
        <v>200</v>
      </c>
      <c r="D6" s="9" t="s">
        <v>875</v>
      </c>
      <c r="E6" s="6">
        <v>2.5750000000000002</v>
      </c>
      <c r="F6" s="6" t="s">
        <v>892</v>
      </c>
      <c r="G6" s="6" t="s">
        <v>897</v>
      </c>
      <c r="H6" s="10">
        <v>45095</v>
      </c>
      <c r="I6" s="9">
        <v>75670</v>
      </c>
    </row>
    <row r="7" spans="1:9">
      <c r="A7" s="1" t="s">
        <v>896</v>
      </c>
      <c r="B7" s="3">
        <v>45108</v>
      </c>
      <c r="C7" s="6" t="s">
        <v>345</v>
      </c>
      <c r="D7" s="9" t="s">
        <v>875</v>
      </c>
      <c r="E7" s="6">
        <v>5.7910000000000004</v>
      </c>
      <c r="F7" s="6" t="s">
        <v>892</v>
      </c>
      <c r="G7" s="6" t="s">
        <v>897</v>
      </c>
      <c r="H7" s="10">
        <v>45095</v>
      </c>
      <c r="I7" s="9">
        <v>75670</v>
      </c>
    </row>
    <row r="8" spans="1:9">
      <c r="A8" s="1" t="s">
        <v>898</v>
      </c>
      <c r="B8" s="3">
        <v>45108</v>
      </c>
      <c r="C8" s="6" t="s">
        <v>230</v>
      </c>
      <c r="D8" s="9" t="s">
        <v>875</v>
      </c>
      <c r="E8" s="6">
        <v>2.3879999999999999</v>
      </c>
      <c r="F8" s="6" t="s">
        <v>892</v>
      </c>
      <c r="G8" s="6" t="s">
        <v>723</v>
      </c>
      <c r="H8" s="10">
        <v>45095</v>
      </c>
      <c r="I8" s="9">
        <v>51120</v>
      </c>
    </row>
    <row r="9" spans="1:9">
      <c r="A9" s="1" t="s">
        <v>898</v>
      </c>
      <c r="B9" s="3">
        <v>45108</v>
      </c>
      <c r="C9" s="6" t="s">
        <v>345</v>
      </c>
      <c r="D9" s="9" t="s">
        <v>875</v>
      </c>
      <c r="E9" s="6">
        <v>0.76500000000000001</v>
      </c>
      <c r="F9" s="6" t="s">
        <v>892</v>
      </c>
      <c r="G9" s="6" t="s">
        <v>723</v>
      </c>
      <c r="H9" s="10">
        <v>45095</v>
      </c>
      <c r="I9" s="9">
        <v>75670</v>
      </c>
    </row>
    <row r="10" spans="1:9">
      <c r="A10" s="1" t="s">
        <v>898</v>
      </c>
      <c r="B10" s="3">
        <v>45108</v>
      </c>
      <c r="C10" s="6" t="s">
        <v>344</v>
      </c>
      <c r="D10" s="9" t="s">
        <v>875</v>
      </c>
      <c r="E10" s="6">
        <v>1.262</v>
      </c>
      <c r="F10" s="6" t="s">
        <v>892</v>
      </c>
      <c r="G10" s="6" t="s">
        <v>723</v>
      </c>
      <c r="H10" s="10">
        <v>45095</v>
      </c>
      <c r="I10" s="9">
        <v>75670</v>
      </c>
    </row>
    <row r="11" spans="1:9">
      <c r="A11" s="1" t="s">
        <v>898</v>
      </c>
      <c r="B11" s="3">
        <v>45108</v>
      </c>
      <c r="C11" s="6" t="s">
        <v>255</v>
      </c>
      <c r="D11" s="9" t="s">
        <v>875</v>
      </c>
      <c r="E11" s="6">
        <v>0.57899999999999996</v>
      </c>
      <c r="F11" s="6" t="s">
        <v>892</v>
      </c>
      <c r="G11" s="6" t="s">
        <v>723</v>
      </c>
      <c r="H11" s="10">
        <v>45095</v>
      </c>
      <c r="I11" s="9">
        <v>75670</v>
      </c>
    </row>
    <row r="12" spans="1:9">
      <c r="A12" s="1"/>
      <c r="B12" s="3"/>
      <c r="C12" s="1"/>
      <c r="D12" s="9"/>
      <c r="E12" s="11">
        <f>SUM(E2:E11)</f>
        <v>31.893000000000001</v>
      </c>
      <c r="F12" s="6"/>
      <c r="G12" s="6"/>
      <c r="H12" s="10"/>
      <c r="I12" s="9"/>
    </row>
    <row r="13" spans="1:9">
      <c r="A13" s="1" t="s">
        <v>921</v>
      </c>
      <c r="B13" s="3">
        <v>45109</v>
      </c>
      <c r="C13" s="6" t="s">
        <v>200</v>
      </c>
      <c r="D13" s="9" t="s">
        <v>875</v>
      </c>
      <c r="E13" s="6">
        <v>1.03</v>
      </c>
      <c r="F13" s="6" t="s">
        <v>906</v>
      </c>
      <c r="G13" s="6" t="s">
        <v>897</v>
      </c>
      <c r="H13" s="10">
        <v>45095</v>
      </c>
      <c r="I13" s="9">
        <v>75670</v>
      </c>
    </row>
    <row r="14" spans="1:9">
      <c r="A14" s="1" t="s">
        <v>921</v>
      </c>
      <c r="B14" s="3">
        <v>45109</v>
      </c>
      <c r="C14" s="6" t="s">
        <v>255</v>
      </c>
      <c r="D14" s="9" t="s">
        <v>875</v>
      </c>
      <c r="E14" s="6">
        <v>1.462</v>
      </c>
      <c r="F14" s="6" t="s">
        <v>906</v>
      </c>
      <c r="G14" s="6" t="s">
        <v>897</v>
      </c>
      <c r="H14" s="10">
        <v>45095</v>
      </c>
      <c r="I14" s="9">
        <v>75670</v>
      </c>
    </row>
    <row r="15" spans="1:9">
      <c r="A15" s="1" t="s">
        <v>921</v>
      </c>
      <c r="B15" s="3">
        <v>45109</v>
      </c>
      <c r="C15" s="6" t="s">
        <v>231</v>
      </c>
      <c r="D15" s="9" t="s">
        <v>875</v>
      </c>
      <c r="E15" s="6">
        <v>1.9890000000000001</v>
      </c>
      <c r="F15" s="6" t="s">
        <v>906</v>
      </c>
      <c r="G15" s="6" t="s">
        <v>897</v>
      </c>
      <c r="H15" s="10">
        <v>45095</v>
      </c>
      <c r="I15" s="9">
        <v>51120</v>
      </c>
    </row>
    <row r="16" spans="1:9">
      <c r="A16" s="1" t="s">
        <v>922</v>
      </c>
      <c r="B16" s="3">
        <v>45109</v>
      </c>
      <c r="C16" s="6" t="s">
        <v>255</v>
      </c>
      <c r="D16" s="9" t="s">
        <v>875</v>
      </c>
      <c r="E16" s="6">
        <v>0.46300000000000002</v>
      </c>
      <c r="F16" s="6" t="s">
        <v>906</v>
      </c>
      <c r="G16" s="6" t="s">
        <v>723</v>
      </c>
      <c r="H16" s="10">
        <v>45095</v>
      </c>
      <c r="I16" s="9">
        <v>75670</v>
      </c>
    </row>
    <row r="17" spans="1:9">
      <c r="A17" s="1" t="s">
        <v>922</v>
      </c>
      <c r="B17" s="3">
        <v>45109</v>
      </c>
      <c r="C17" s="6" t="s">
        <v>344</v>
      </c>
      <c r="D17" s="9" t="s">
        <v>875</v>
      </c>
      <c r="E17" s="6">
        <v>0.41199999999999998</v>
      </c>
      <c r="F17" s="6" t="s">
        <v>906</v>
      </c>
      <c r="G17" s="6" t="s">
        <v>723</v>
      </c>
      <c r="H17" s="10">
        <v>45095</v>
      </c>
      <c r="I17" s="9">
        <v>75670</v>
      </c>
    </row>
    <row r="18" spans="1:9">
      <c r="A18" s="1" t="s">
        <v>922</v>
      </c>
      <c r="B18" s="3">
        <v>45109</v>
      </c>
      <c r="C18" s="6" t="s">
        <v>768</v>
      </c>
      <c r="D18" s="9" t="s">
        <v>875</v>
      </c>
      <c r="E18" s="6">
        <v>0.46</v>
      </c>
      <c r="F18" s="6" t="s">
        <v>906</v>
      </c>
      <c r="G18" s="6" t="s">
        <v>723</v>
      </c>
      <c r="H18" s="10">
        <v>45095</v>
      </c>
      <c r="I18" s="9">
        <v>57090</v>
      </c>
    </row>
    <row r="19" spans="1:9">
      <c r="A19" s="1" t="s">
        <v>922</v>
      </c>
      <c r="B19" s="3">
        <v>45109</v>
      </c>
      <c r="C19" s="6" t="s">
        <v>769</v>
      </c>
      <c r="D19" s="9" t="s">
        <v>875</v>
      </c>
      <c r="E19" s="6">
        <v>0.22700000000000001</v>
      </c>
      <c r="F19" s="6" t="s">
        <v>906</v>
      </c>
      <c r="G19" s="6" t="s">
        <v>723</v>
      </c>
      <c r="H19" s="10">
        <v>45095</v>
      </c>
      <c r="I19" s="9">
        <v>57090</v>
      </c>
    </row>
    <row r="20" spans="1:9">
      <c r="A20" s="1" t="s">
        <v>922</v>
      </c>
      <c r="B20" s="3">
        <v>45109</v>
      </c>
      <c r="C20" s="6" t="s">
        <v>200</v>
      </c>
      <c r="D20" s="9" t="s">
        <v>875</v>
      </c>
      <c r="E20" s="6">
        <v>0.94899999999999995</v>
      </c>
      <c r="F20" s="6" t="s">
        <v>906</v>
      </c>
      <c r="G20" s="6" t="s">
        <v>723</v>
      </c>
      <c r="H20" s="10">
        <v>45095</v>
      </c>
      <c r="I20" s="9">
        <v>75670</v>
      </c>
    </row>
    <row r="21" spans="1:9">
      <c r="A21" s="1" t="s">
        <v>923</v>
      </c>
      <c r="B21" s="3">
        <v>45109</v>
      </c>
      <c r="C21" s="6" t="s">
        <v>227</v>
      </c>
      <c r="D21" s="9" t="s">
        <v>875</v>
      </c>
      <c r="E21" s="6">
        <v>2.988</v>
      </c>
      <c r="F21" s="6" t="s">
        <v>919</v>
      </c>
      <c r="G21" s="6" t="s">
        <v>895</v>
      </c>
      <c r="H21" s="10">
        <v>45095</v>
      </c>
      <c r="I21" s="9">
        <v>72230</v>
      </c>
    </row>
    <row r="22" spans="1:9">
      <c r="A22" s="6"/>
      <c r="B22" s="10"/>
      <c r="C22" s="6"/>
      <c r="D22" s="1"/>
      <c r="E22" s="11">
        <f>SUM(E13:E21)</f>
        <v>9.98</v>
      </c>
      <c r="F22" s="6"/>
      <c r="G22" s="1"/>
      <c r="H22" s="12"/>
      <c r="I22" s="9"/>
    </row>
    <row r="23" spans="1:9">
      <c r="A23" s="1" t="s">
        <v>927</v>
      </c>
      <c r="B23" s="3">
        <v>45110</v>
      </c>
      <c r="C23" s="6" t="s">
        <v>925</v>
      </c>
      <c r="D23" s="9" t="s">
        <v>875</v>
      </c>
      <c r="E23" s="6">
        <v>1.673</v>
      </c>
      <c r="F23" s="6" t="s">
        <v>926</v>
      </c>
      <c r="G23" s="6" t="s">
        <v>897</v>
      </c>
      <c r="H23" s="10">
        <v>45095</v>
      </c>
      <c r="I23" s="9">
        <v>72230</v>
      </c>
    </row>
    <row r="24" spans="1:9">
      <c r="A24" s="1" t="s">
        <v>928</v>
      </c>
      <c r="B24" s="3">
        <v>45110</v>
      </c>
      <c r="C24" s="6" t="s">
        <v>227</v>
      </c>
      <c r="D24" s="9" t="s">
        <v>875</v>
      </c>
      <c r="E24" s="6">
        <v>2.4900000000000002</v>
      </c>
      <c r="F24" s="6" t="s">
        <v>926</v>
      </c>
      <c r="G24" s="6" t="s">
        <v>895</v>
      </c>
      <c r="H24" s="10">
        <v>45095</v>
      </c>
      <c r="I24" s="9">
        <v>72230</v>
      </c>
    </row>
    <row r="25" spans="1:9">
      <c r="A25" s="1"/>
      <c r="B25" s="1"/>
      <c r="C25" s="1"/>
      <c r="D25" s="1"/>
      <c r="E25" s="2">
        <f>SUM(E23:E24)</f>
        <v>4.1630000000000003</v>
      </c>
      <c r="F25" s="1"/>
      <c r="G25" s="1"/>
      <c r="H25" s="1"/>
      <c r="I25" s="1"/>
    </row>
    <row r="26" spans="1:9">
      <c r="A26" s="1" t="s">
        <v>988</v>
      </c>
      <c r="B26" s="3">
        <v>45112</v>
      </c>
      <c r="C26" s="6" t="s">
        <v>254</v>
      </c>
      <c r="D26" s="9" t="s">
        <v>875</v>
      </c>
      <c r="E26" s="1">
        <v>1.5249999999999999</v>
      </c>
      <c r="F26" s="1" t="s">
        <v>973</v>
      </c>
      <c r="G26" s="6" t="s">
        <v>723</v>
      </c>
      <c r="H26" s="10">
        <v>45095</v>
      </c>
      <c r="I26" s="24">
        <v>51120</v>
      </c>
    </row>
    <row r="27" spans="1:9">
      <c r="A27" s="1" t="s">
        <v>988</v>
      </c>
      <c r="B27" s="3">
        <v>45112</v>
      </c>
      <c r="C27" s="6" t="s">
        <v>260</v>
      </c>
      <c r="D27" s="9" t="s">
        <v>875</v>
      </c>
      <c r="E27" s="1">
        <v>0.51300000000000001</v>
      </c>
      <c r="F27" s="1" t="s">
        <v>973</v>
      </c>
      <c r="G27" s="6" t="s">
        <v>723</v>
      </c>
      <c r="H27" s="10">
        <v>45095</v>
      </c>
      <c r="I27" s="24">
        <v>51120</v>
      </c>
    </row>
    <row r="28" spans="1:9">
      <c r="A28" s="1" t="s">
        <v>988</v>
      </c>
      <c r="B28" s="3">
        <v>45112</v>
      </c>
      <c r="C28" s="6" t="s">
        <v>196</v>
      </c>
      <c r="D28" s="9" t="s">
        <v>875</v>
      </c>
      <c r="E28" s="1">
        <v>1.0880000000000001</v>
      </c>
      <c r="F28" s="1" t="s">
        <v>973</v>
      </c>
      <c r="G28" s="6" t="s">
        <v>723</v>
      </c>
      <c r="H28" s="10">
        <v>45095</v>
      </c>
      <c r="I28" s="24">
        <v>51120</v>
      </c>
    </row>
    <row r="29" spans="1:9">
      <c r="A29" s="1" t="s">
        <v>988</v>
      </c>
      <c r="B29" s="3">
        <v>45112</v>
      </c>
      <c r="C29" s="6" t="s">
        <v>226</v>
      </c>
      <c r="D29" s="9" t="s">
        <v>875</v>
      </c>
      <c r="E29" s="1">
        <v>1.409</v>
      </c>
      <c r="F29" s="1" t="s">
        <v>973</v>
      </c>
      <c r="G29" s="6" t="s">
        <v>723</v>
      </c>
      <c r="H29" s="10">
        <v>45095</v>
      </c>
      <c r="I29" s="24">
        <v>57340</v>
      </c>
    </row>
    <row r="30" spans="1:9">
      <c r="A30" s="1" t="s">
        <v>989</v>
      </c>
      <c r="B30" s="3">
        <v>45112</v>
      </c>
      <c r="C30" s="6" t="s">
        <v>208</v>
      </c>
      <c r="D30" s="9" t="s">
        <v>875</v>
      </c>
      <c r="E30" s="1">
        <v>3.419</v>
      </c>
      <c r="F30" s="1" t="s">
        <v>973</v>
      </c>
      <c r="G30" s="6" t="s">
        <v>897</v>
      </c>
      <c r="H30" s="10">
        <v>45095</v>
      </c>
      <c r="I30" s="24">
        <v>51120</v>
      </c>
    </row>
    <row r="31" spans="1:9">
      <c r="A31" s="1" t="s">
        <v>989</v>
      </c>
      <c r="B31" s="3">
        <v>45112</v>
      </c>
      <c r="C31" s="6" t="s">
        <v>260</v>
      </c>
      <c r="D31" s="9" t="s">
        <v>875</v>
      </c>
      <c r="E31" s="1">
        <v>1.407</v>
      </c>
      <c r="F31" s="1" t="s">
        <v>973</v>
      </c>
      <c r="G31" s="6" t="s">
        <v>897</v>
      </c>
      <c r="H31" s="10">
        <v>45095</v>
      </c>
      <c r="I31" s="24">
        <v>51120</v>
      </c>
    </row>
    <row r="32" spans="1:9">
      <c r="A32" s="1" t="s">
        <v>989</v>
      </c>
      <c r="B32" s="3">
        <v>45112</v>
      </c>
      <c r="C32" s="6" t="s">
        <v>282</v>
      </c>
      <c r="D32" s="9" t="s">
        <v>875</v>
      </c>
      <c r="E32" s="1">
        <v>3.5640000000000001</v>
      </c>
      <c r="F32" s="1" t="s">
        <v>973</v>
      </c>
      <c r="G32" s="6" t="s">
        <v>897</v>
      </c>
      <c r="H32" s="10">
        <v>45095</v>
      </c>
      <c r="I32" s="24">
        <v>51120</v>
      </c>
    </row>
    <row r="33" spans="1:9">
      <c r="A33" s="1" t="s">
        <v>989</v>
      </c>
      <c r="B33" s="3">
        <v>45112</v>
      </c>
      <c r="C33" s="6" t="s">
        <v>310</v>
      </c>
      <c r="D33" s="9" t="s">
        <v>875</v>
      </c>
      <c r="E33" s="1">
        <v>3.258</v>
      </c>
      <c r="F33" s="1" t="s">
        <v>973</v>
      </c>
      <c r="G33" s="6" t="s">
        <v>897</v>
      </c>
      <c r="H33" s="10">
        <v>45095</v>
      </c>
      <c r="I33" s="24">
        <v>75670</v>
      </c>
    </row>
    <row r="34" spans="1:9">
      <c r="A34" s="1" t="s">
        <v>989</v>
      </c>
      <c r="B34" s="3">
        <v>45112</v>
      </c>
      <c r="C34" s="6" t="s">
        <v>226</v>
      </c>
      <c r="D34" s="9" t="s">
        <v>875</v>
      </c>
      <c r="E34" s="1">
        <v>6.1820000000000004</v>
      </c>
      <c r="F34" s="1" t="s">
        <v>973</v>
      </c>
      <c r="G34" s="6" t="s">
        <v>897</v>
      </c>
      <c r="H34" s="10">
        <v>45095</v>
      </c>
      <c r="I34" s="24">
        <v>75670</v>
      </c>
    </row>
    <row r="35" spans="1:9">
      <c r="A35" s="1" t="s">
        <v>989</v>
      </c>
      <c r="B35" s="3">
        <v>45112</v>
      </c>
      <c r="C35" s="6" t="s">
        <v>303</v>
      </c>
      <c r="D35" s="9" t="s">
        <v>875</v>
      </c>
      <c r="E35" s="1">
        <v>2.9940000000000002</v>
      </c>
      <c r="F35" s="1" t="s">
        <v>973</v>
      </c>
      <c r="G35" s="6" t="s">
        <v>897</v>
      </c>
      <c r="H35" s="10">
        <v>45095</v>
      </c>
      <c r="I35" s="24">
        <v>75670</v>
      </c>
    </row>
    <row r="36" spans="1:9">
      <c r="A36" s="1"/>
      <c r="B36" s="1"/>
      <c r="C36" s="1"/>
      <c r="D36" s="1"/>
      <c r="E36" s="2">
        <f>SUM(E26:E35)</f>
        <v>25.359000000000002</v>
      </c>
      <c r="F36" s="1"/>
      <c r="G36" s="1"/>
      <c r="H36" s="1"/>
      <c r="I36" s="1"/>
    </row>
    <row r="37" spans="1:9">
      <c r="A37" s="1" t="s">
        <v>992</v>
      </c>
      <c r="B37" s="3">
        <v>45113</v>
      </c>
      <c r="C37" s="6" t="s">
        <v>609</v>
      </c>
      <c r="D37" s="9" t="s">
        <v>875</v>
      </c>
      <c r="E37" s="4">
        <v>3.6989999999999998</v>
      </c>
      <c r="F37" s="1" t="s">
        <v>993</v>
      </c>
      <c r="G37" s="1" t="s">
        <v>994</v>
      </c>
      <c r="H37" s="10">
        <v>45106</v>
      </c>
      <c r="I37" s="24">
        <v>59920</v>
      </c>
    </row>
    <row r="38" spans="1:9">
      <c r="A38" s="1" t="s">
        <v>995</v>
      </c>
      <c r="B38" s="3">
        <v>45113</v>
      </c>
      <c r="C38" s="6" t="s">
        <v>609</v>
      </c>
      <c r="D38" s="9" t="s">
        <v>875</v>
      </c>
      <c r="E38" s="4">
        <v>0.747</v>
      </c>
      <c r="F38" s="1" t="s">
        <v>993</v>
      </c>
      <c r="G38" s="1" t="s">
        <v>996</v>
      </c>
      <c r="H38" s="10">
        <v>45106</v>
      </c>
      <c r="I38" s="24">
        <v>59920</v>
      </c>
    </row>
    <row r="39" spans="1:9">
      <c r="A39" s="1" t="s">
        <v>995</v>
      </c>
      <c r="B39" s="3">
        <v>45113</v>
      </c>
      <c r="C39" s="6" t="s">
        <v>310</v>
      </c>
      <c r="D39" s="9" t="s">
        <v>875</v>
      </c>
      <c r="E39" s="4">
        <v>4.2409999999999997</v>
      </c>
      <c r="F39" s="1" t="s">
        <v>993</v>
      </c>
      <c r="G39" s="1" t="s">
        <v>996</v>
      </c>
      <c r="H39" s="10">
        <v>45106</v>
      </c>
      <c r="I39" s="24">
        <v>75670</v>
      </c>
    </row>
    <row r="40" spans="1:9">
      <c r="A40" s="1" t="s">
        <v>999</v>
      </c>
      <c r="B40" s="3">
        <v>45113</v>
      </c>
      <c r="C40" s="6" t="s">
        <v>578</v>
      </c>
      <c r="D40" s="9" t="s">
        <v>875</v>
      </c>
      <c r="E40" s="4">
        <v>1.9730000000000001</v>
      </c>
      <c r="F40" s="1" t="s">
        <v>993</v>
      </c>
      <c r="G40" s="1" t="s">
        <v>1000</v>
      </c>
      <c r="H40" s="10">
        <v>45109</v>
      </c>
      <c r="I40" s="24">
        <v>59920</v>
      </c>
    </row>
    <row r="41" spans="1:9">
      <c r="A41" s="1" t="s">
        <v>1001</v>
      </c>
      <c r="B41" s="3">
        <v>45113</v>
      </c>
      <c r="C41" s="6" t="s">
        <v>196</v>
      </c>
      <c r="D41" s="9" t="s">
        <v>875</v>
      </c>
      <c r="E41" s="4">
        <v>2.3660000000000001</v>
      </c>
      <c r="F41" s="1" t="s">
        <v>993</v>
      </c>
      <c r="G41" s="1" t="s">
        <v>897</v>
      </c>
      <c r="H41" s="10">
        <v>45095</v>
      </c>
      <c r="I41" s="24">
        <v>51120</v>
      </c>
    </row>
    <row r="42" spans="1:9">
      <c r="A42" s="1" t="s">
        <v>998</v>
      </c>
      <c r="B42" s="3">
        <v>45113</v>
      </c>
      <c r="C42" s="6" t="s">
        <v>344</v>
      </c>
      <c r="D42" s="9" t="s">
        <v>875</v>
      </c>
      <c r="E42" s="4">
        <v>3.2930000000000001</v>
      </c>
      <c r="F42" s="1" t="s">
        <v>993</v>
      </c>
      <c r="G42" s="1" t="s">
        <v>997</v>
      </c>
      <c r="H42" s="10">
        <v>45109</v>
      </c>
      <c r="I42" s="24">
        <v>75670</v>
      </c>
    </row>
    <row r="43" spans="1:9">
      <c r="A43" s="1" t="s">
        <v>998</v>
      </c>
      <c r="B43" s="3">
        <v>45113</v>
      </c>
      <c r="C43" s="6" t="s">
        <v>301</v>
      </c>
      <c r="D43" s="9" t="s">
        <v>875</v>
      </c>
      <c r="E43" s="4">
        <v>2.8889999999999998</v>
      </c>
      <c r="F43" s="1" t="s">
        <v>993</v>
      </c>
      <c r="G43" s="1" t="s">
        <v>997</v>
      </c>
      <c r="H43" s="10">
        <v>45109</v>
      </c>
      <c r="I43" s="24">
        <v>75670</v>
      </c>
    </row>
    <row r="44" spans="1:9">
      <c r="A44" s="1" t="s">
        <v>998</v>
      </c>
      <c r="B44" s="3">
        <v>45113</v>
      </c>
      <c r="C44" s="6" t="s">
        <v>699</v>
      </c>
      <c r="D44" s="9" t="s">
        <v>875</v>
      </c>
      <c r="E44" s="4">
        <v>0.46400000000000002</v>
      </c>
      <c r="F44" s="1" t="s">
        <v>993</v>
      </c>
      <c r="G44" s="1" t="s">
        <v>997</v>
      </c>
      <c r="H44" s="10">
        <v>45109</v>
      </c>
      <c r="I44" s="24">
        <v>59920</v>
      </c>
    </row>
    <row r="45" spans="1:9">
      <c r="A45" s="1"/>
      <c r="B45" s="1"/>
      <c r="C45" s="1"/>
      <c r="D45" s="1"/>
      <c r="E45" s="2">
        <f>SUM(E37:E44)</f>
        <v>19.671999999999997</v>
      </c>
      <c r="F45" s="1"/>
      <c r="G45" s="1"/>
      <c r="H45" s="1"/>
      <c r="I45" s="24"/>
    </row>
    <row r="46" spans="1:9">
      <c r="A46" s="1" t="s">
        <v>1041</v>
      </c>
      <c r="B46" s="3">
        <v>45117</v>
      </c>
      <c r="C46" s="6" t="s">
        <v>227</v>
      </c>
      <c r="D46" s="9" t="s">
        <v>875</v>
      </c>
      <c r="E46" s="4">
        <v>1.5940000000000001</v>
      </c>
      <c r="F46" s="1" t="s">
        <v>551</v>
      </c>
      <c r="G46" s="1" t="s">
        <v>994</v>
      </c>
      <c r="H46" s="10">
        <v>45106</v>
      </c>
      <c r="I46" s="24">
        <v>59920</v>
      </c>
    </row>
    <row r="47" spans="1:9">
      <c r="A47" s="1" t="s">
        <v>1042</v>
      </c>
      <c r="B47" s="3">
        <v>45117</v>
      </c>
      <c r="C47" s="6" t="s">
        <v>227</v>
      </c>
      <c r="D47" s="9" t="s">
        <v>875</v>
      </c>
      <c r="E47" s="4">
        <v>4.9859999999999998</v>
      </c>
      <c r="F47" s="1" t="s">
        <v>551</v>
      </c>
      <c r="G47" s="1" t="s">
        <v>996</v>
      </c>
      <c r="H47" s="10">
        <v>45106</v>
      </c>
      <c r="I47" s="24">
        <v>59920</v>
      </c>
    </row>
    <row r="48" spans="1:9">
      <c r="A48" s="1" t="s">
        <v>1042</v>
      </c>
      <c r="B48" s="3">
        <v>45117</v>
      </c>
      <c r="C48" s="6" t="s">
        <v>226</v>
      </c>
      <c r="D48" s="9" t="s">
        <v>875</v>
      </c>
      <c r="E48" s="4">
        <v>1.9059999999999999</v>
      </c>
      <c r="F48" s="1" t="s">
        <v>551</v>
      </c>
      <c r="G48" s="1" t="s">
        <v>996</v>
      </c>
      <c r="H48" s="10">
        <v>45106</v>
      </c>
      <c r="I48" s="24">
        <v>75670</v>
      </c>
    </row>
    <row r="49" spans="1:9">
      <c r="A49" s="1" t="s">
        <v>1043</v>
      </c>
      <c r="B49" s="3">
        <v>45117</v>
      </c>
      <c r="C49" s="6" t="s">
        <v>578</v>
      </c>
      <c r="D49" s="9" t="s">
        <v>875</v>
      </c>
      <c r="E49" s="4">
        <v>0.41199999999999998</v>
      </c>
      <c r="F49" s="1" t="s">
        <v>551</v>
      </c>
      <c r="G49" s="18" t="s">
        <v>721</v>
      </c>
      <c r="H49" s="16">
        <v>45092</v>
      </c>
      <c r="I49" s="24">
        <v>59920</v>
      </c>
    </row>
    <row r="50" spans="1:9">
      <c r="A50" s="1" t="s">
        <v>1043</v>
      </c>
      <c r="B50" s="3">
        <v>45117</v>
      </c>
      <c r="C50" s="6" t="s">
        <v>720</v>
      </c>
      <c r="D50" s="9" t="s">
        <v>875</v>
      </c>
      <c r="E50" s="4">
        <v>0.78600000000000003</v>
      </c>
      <c r="F50" s="1" t="s">
        <v>551</v>
      </c>
      <c r="G50" s="18" t="s">
        <v>721</v>
      </c>
      <c r="H50" s="16">
        <v>45092</v>
      </c>
      <c r="I50" s="24">
        <v>59920</v>
      </c>
    </row>
    <row r="51" spans="1:9">
      <c r="A51" s="1"/>
      <c r="B51" s="1"/>
      <c r="C51" s="1"/>
      <c r="D51" s="1"/>
      <c r="E51" s="2">
        <f>SUM(E46:E50)</f>
        <v>9.6840000000000011</v>
      </c>
      <c r="F51" s="1"/>
      <c r="G51" s="1"/>
      <c r="H51" s="1"/>
      <c r="I51" s="24"/>
    </row>
    <row r="52" spans="1:9">
      <c r="A52" s="1" t="s">
        <v>1071</v>
      </c>
      <c r="B52" s="3">
        <v>45118</v>
      </c>
      <c r="C52" s="6" t="s">
        <v>310</v>
      </c>
      <c r="D52" s="9" t="s">
        <v>875</v>
      </c>
      <c r="E52" s="4">
        <v>3.5720000000000001</v>
      </c>
      <c r="F52" s="1" t="s">
        <v>1072</v>
      </c>
      <c r="G52" s="1" t="s">
        <v>996</v>
      </c>
      <c r="H52" s="10">
        <v>45106</v>
      </c>
      <c r="I52" s="24">
        <v>75670</v>
      </c>
    </row>
    <row r="53" spans="1:9">
      <c r="A53" s="1" t="s">
        <v>1071</v>
      </c>
      <c r="B53" s="3">
        <v>45118</v>
      </c>
      <c r="C53" s="6" t="s">
        <v>226</v>
      </c>
      <c r="D53" s="9" t="s">
        <v>875</v>
      </c>
      <c r="E53" s="4">
        <v>5.9290000000000003</v>
      </c>
      <c r="F53" s="1" t="s">
        <v>1072</v>
      </c>
      <c r="G53" s="1" t="s">
        <v>996</v>
      </c>
      <c r="H53" s="10">
        <v>45106</v>
      </c>
      <c r="I53" s="24">
        <v>75670</v>
      </c>
    </row>
    <row r="54" spans="1:9">
      <c r="A54" s="1" t="s">
        <v>1071</v>
      </c>
      <c r="B54" s="3">
        <v>45118</v>
      </c>
      <c r="C54" s="6" t="s">
        <v>609</v>
      </c>
      <c r="D54" s="9" t="s">
        <v>875</v>
      </c>
      <c r="E54" s="4">
        <v>0.107</v>
      </c>
      <c r="F54" s="1" t="s">
        <v>1072</v>
      </c>
      <c r="G54" s="1" t="s">
        <v>996</v>
      </c>
      <c r="H54" s="10">
        <v>45106</v>
      </c>
      <c r="I54" s="24">
        <v>59920</v>
      </c>
    </row>
    <row r="55" spans="1:9">
      <c r="A55" s="1" t="s">
        <v>1071</v>
      </c>
      <c r="B55" s="3">
        <v>45118</v>
      </c>
      <c r="C55" s="6" t="s">
        <v>227</v>
      </c>
      <c r="D55" s="9" t="s">
        <v>875</v>
      </c>
      <c r="E55" s="4">
        <v>1.569</v>
      </c>
      <c r="F55" s="1" t="s">
        <v>1072</v>
      </c>
      <c r="G55" s="1" t="s">
        <v>996</v>
      </c>
      <c r="H55" s="10">
        <v>45106</v>
      </c>
      <c r="I55" s="24">
        <v>59920</v>
      </c>
    </row>
    <row r="56" spans="1:9">
      <c r="A56" s="1" t="s">
        <v>1073</v>
      </c>
      <c r="B56" s="3">
        <v>45118</v>
      </c>
      <c r="C56" s="6" t="s">
        <v>699</v>
      </c>
      <c r="D56" s="9" t="s">
        <v>875</v>
      </c>
      <c r="E56" s="4">
        <v>2.7650000000000001</v>
      </c>
      <c r="F56" s="1" t="s">
        <v>1072</v>
      </c>
      <c r="G56" s="1" t="s">
        <v>1000</v>
      </c>
      <c r="H56" s="10">
        <v>45106</v>
      </c>
      <c r="I56" s="24">
        <v>59920</v>
      </c>
    </row>
    <row r="57" spans="1:9">
      <c r="A57" s="1" t="s">
        <v>1074</v>
      </c>
      <c r="B57" s="3">
        <v>45118</v>
      </c>
      <c r="C57" s="6" t="s">
        <v>345</v>
      </c>
      <c r="D57" s="9" t="s">
        <v>875</v>
      </c>
      <c r="E57" s="4">
        <v>8.6479999999999997</v>
      </c>
      <c r="F57" s="1" t="s">
        <v>1072</v>
      </c>
      <c r="G57" s="1" t="s">
        <v>997</v>
      </c>
      <c r="H57" s="10">
        <v>45109</v>
      </c>
      <c r="I57" s="24">
        <v>56570</v>
      </c>
    </row>
    <row r="58" spans="1:9">
      <c r="A58" s="1" t="s">
        <v>1074</v>
      </c>
      <c r="B58" s="3">
        <v>45118</v>
      </c>
      <c r="C58" s="6" t="s">
        <v>578</v>
      </c>
      <c r="D58" s="9" t="s">
        <v>875</v>
      </c>
      <c r="E58" s="4">
        <v>2.206</v>
      </c>
      <c r="F58" s="1" t="s">
        <v>1072</v>
      </c>
      <c r="G58" s="1" t="s">
        <v>997</v>
      </c>
      <c r="H58" s="10">
        <v>45109</v>
      </c>
      <c r="I58" s="24">
        <v>59920</v>
      </c>
    </row>
    <row r="59" spans="1:9">
      <c r="A59" s="1" t="s">
        <v>1075</v>
      </c>
      <c r="B59" s="3">
        <v>45118</v>
      </c>
      <c r="C59" s="6" t="s">
        <v>227</v>
      </c>
      <c r="D59" s="9" t="s">
        <v>875</v>
      </c>
      <c r="E59" s="4">
        <v>6.1749999999999998</v>
      </c>
      <c r="F59" s="1" t="s">
        <v>1072</v>
      </c>
      <c r="G59" s="1" t="s">
        <v>994</v>
      </c>
      <c r="H59" s="10">
        <v>45106</v>
      </c>
      <c r="I59" s="24">
        <v>59920</v>
      </c>
    </row>
    <row r="60" spans="1:9">
      <c r="A60" s="1"/>
      <c r="B60" s="1"/>
      <c r="C60" s="1"/>
      <c r="D60" s="1"/>
      <c r="E60" s="2">
        <f>SUM(E52:E59)</f>
        <v>30.971</v>
      </c>
      <c r="F60" s="1"/>
      <c r="G60" s="1"/>
      <c r="H60" s="1"/>
      <c r="I60" s="24"/>
    </row>
    <row r="61" spans="1:9">
      <c r="A61" s="1" t="s">
        <v>1096</v>
      </c>
      <c r="B61" s="3">
        <v>45120</v>
      </c>
      <c r="C61" s="6" t="s">
        <v>301</v>
      </c>
      <c r="D61" s="9" t="s">
        <v>875</v>
      </c>
      <c r="E61" s="4">
        <v>4.2000000000000003E-2</v>
      </c>
      <c r="F61" s="1" t="s">
        <v>573</v>
      </c>
      <c r="G61" s="6" t="s">
        <v>723</v>
      </c>
      <c r="H61" s="10">
        <v>45095</v>
      </c>
      <c r="I61" s="24">
        <v>75670</v>
      </c>
    </row>
    <row r="62" spans="1:9">
      <c r="A62" s="1" t="s">
        <v>1096</v>
      </c>
      <c r="B62" s="3">
        <v>45120</v>
      </c>
      <c r="C62" s="6" t="s">
        <v>263</v>
      </c>
      <c r="D62" s="9" t="s">
        <v>875</v>
      </c>
      <c r="E62" s="4">
        <v>0.57299999999999995</v>
      </c>
      <c r="F62" s="1" t="s">
        <v>573</v>
      </c>
      <c r="G62" s="6" t="s">
        <v>723</v>
      </c>
      <c r="H62" s="10">
        <v>45095</v>
      </c>
      <c r="I62" s="24">
        <v>75670</v>
      </c>
    </row>
    <row r="63" spans="1:9">
      <c r="A63" s="1" t="s">
        <v>1096</v>
      </c>
      <c r="B63" s="3">
        <v>45120</v>
      </c>
      <c r="C63" s="6" t="s">
        <v>1089</v>
      </c>
      <c r="D63" s="9" t="s">
        <v>875</v>
      </c>
      <c r="E63" s="4">
        <v>1.002</v>
      </c>
      <c r="F63" s="1" t="s">
        <v>573</v>
      </c>
      <c r="G63" s="6" t="s">
        <v>723</v>
      </c>
      <c r="H63" s="10">
        <v>45095</v>
      </c>
      <c r="I63" s="24">
        <v>75670</v>
      </c>
    </row>
    <row r="64" spans="1:9">
      <c r="A64" s="1" t="s">
        <v>1097</v>
      </c>
      <c r="B64" s="3">
        <v>45120</v>
      </c>
      <c r="C64" s="6" t="s">
        <v>282</v>
      </c>
      <c r="D64" s="9" t="s">
        <v>875</v>
      </c>
      <c r="E64" s="4">
        <v>0.57399999999999995</v>
      </c>
      <c r="F64" s="1" t="s">
        <v>573</v>
      </c>
      <c r="G64" s="6" t="s">
        <v>897</v>
      </c>
      <c r="H64" s="10">
        <v>45095</v>
      </c>
      <c r="I64" s="24">
        <v>51120</v>
      </c>
    </row>
    <row r="65" spans="1:9">
      <c r="A65" s="1" t="s">
        <v>1097</v>
      </c>
      <c r="B65" s="3">
        <v>45120</v>
      </c>
      <c r="C65" s="6" t="s">
        <v>205</v>
      </c>
      <c r="D65" s="9" t="s">
        <v>875</v>
      </c>
      <c r="E65" s="4">
        <v>0.77800000000000002</v>
      </c>
      <c r="F65" s="1" t="s">
        <v>573</v>
      </c>
      <c r="G65" s="6" t="s">
        <v>897</v>
      </c>
      <c r="H65" s="10">
        <v>45095</v>
      </c>
      <c r="I65" s="24">
        <v>51120</v>
      </c>
    </row>
    <row r="66" spans="1:9">
      <c r="A66" s="1" t="s">
        <v>1097</v>
      </c>
      <c r="B66" s="3">
        <v>45120</v>
      </c>
      <c r="C66" s="6" t="s">
        <v>303</v>
      </c>
      <c r="D66" s="9" t="s">
        <v>875</v>
      </c>
      <c r="E66" s="4">
        <v>0.251</v>
      </c>
      <c r="F66" s="1" t="s">
        <v>573</v>
      </c>
      <c r="G66" s="6" t="s">
        <v>897</v>
      </c>
      <c r="H66" s="10">
        <v>45095</v>
      </c>
      <c r="I66" s="24">
        <v>75670</v>
      </c>
    </row>
    <row r="67" spans="1:9">
      <c r="A67" s="1" t="s">
        <v>1097</v>
      </c>
      <c r="B67" s="3">
        <v>45120</v>
      </c>
      <c r="C67" s="6" t="s">
        <v>234</v>
      </c>
      <c r="D67" s="9" t="s">
        <v>875</v>
      </c>
      <c r="E67" s="4">
        <v>1.5369999999999999</v>
      </c>
      <c r="F67" s="1" t="s">
        <v>573</v>
      </c>
      <c r="G67" s="6" t="s">
        <v>897</v>
      </c>
      <c r="H67" s="10">
        <v>45095</v>
      </c>
      <c r="I67" s="24">
        <v>51120</v>
      </c>
    </row>
    <row r="68" spans="1:9">
      <c r="A68" s="1" t="s">
        <v>1098</v>
      </c>
      <c r="B68" s="3">
        <v>45120</v>
      </c>
      <c r="C68" s="6" t="s">
        <v>310</v>
      </c>
      <c r="D68" s="9" t="s">
        <v>875</v>
      </c>
      <c r="E68" s="4">
        <v>0.97099999999999997</v>
      </c>
      <c r="F68" s="1" t="s">
        <v>573</v>
      </c>
      <c r="G68" s="6" t="s">
        <v>996</v>
      </c>
      <c r="H68" s="10">
        <v>45106</v>
      </c>
      <c r="I68" s="24">
        <v>75670</v>
      </c>
    </row>
    <row r="69" spans="1:9">
      <c r="A69" s="1" t="s">
        <v>1098</v>
      </c>
      <c r="B69" s="3">
        <v>45120</v>
      </c>
      <c r="C69" s="6" t="s">
        <v>226</v>
      </c>
      <c r="D69" s="9" t="s">
        <v>875</v>
      </c>
      <c r="E69" s="4">
        <v>0.17699999999999999</v>
      </c>
      <c r="F69" s="1" t="s">
        <v>573</v>
      </c>
      <c r="G69" s="6" t="s">
        <v>996</v>
      </c>
      <c r="H69" s="10">
        <v>45106</v>
      </c>
      <c r="I69" s="24">
        <v>75670</v>
      </c>
    </row>
    <row r="70" spans="1:9">
      <c r="A70" s="1" t="s">
        <v>1098</v>
      </c>
      <c r="B70" s="3">
        <v>45120</v>
      </c>
      <c r="C70" s="6" t="s">
        <v>925</v>
      </c>
      <c r="D70" s="9" t="s">
        <v>875</v>
      </c>
      <c r="E70" s="4">
        <v>3.9609999999999999</v>
      </c>
      <c r="F70" s="1" t="s">
        <v>573</v>
      </c>
      <c r="G70" s="6" t="s">
        <v>996</v>
      </c>
      <c r="H70" s="10">
        <v>45106</v>
      </c>
      <c r="I70" s="24">
        <v>59920</v>
      </c>
    </row>
    <row r="71" spans="1:9">
      <c r="A71" s="1" t="s">
        <v>1099</v>
      </c>
      <c r="B71" s="3">
        <v>45120</v>
      </c>
      <c r="C71" s="6" t="s">
        <v>578</v>
      </c>
      <c r="D71" s="9" t="s">
        <v>875</v>
      </c>
      <c r="E71" s="4">
        <v>1.804</v>
      </c>
      <c r="F71" s="1" t="s">
        <v>573</v>
      </c>
      <c r="G71" s="1" t="s">
        <v>1000</v>
      </c>
      <c r="H71" s="10">
        <v>45106</v>
      </c>
      <c r="I71" s="24">
        <v>59920</v>
      </c>
    </row>
    <row r="72" spans="1:9">
      <c r="A72" s="1" t="s">
        <v>1100</v>
      </c>
      <c r="B72" s="3">
        <v>45120</v>
      </c>
      <c r="C72" s="6" t="s">
        <v>301</v>
      </c>
      <c r="D72" s="9" t="s">
        <v>875</v>
      </c>
      <c r="E72" s="4">
        <v>2.7469999999999999</v>
      </c>
      <c r="F72" s="1" t="s">
        <v>573</v>
      </c>
      <c r="G72" s="1" t="s">
        <v>997</v>
      </c>
      <c r="H72" s="10">
        <v>45109</v>
      </c>
      <c r="I72" s="24">
        <v>75670</v>
      </c>
    </row>
    <row r="73" spans="1:9">
      <c r="A73" s="1" t="s">
        <v>1100</v>
      </c>
      <c r="B73" s="3">
        <v>45120</v>
      </c>
      <c r="C73" s="6" t="s">
        <v>344</v>
      </c>
      <c r="D73" s="9" t="s">
        <v>875</v>
      </c>
      <c r="E73" s="4">
        <v>0.161</v>
      </c>
      <c r="F73" s="1" t="s">
        <v>573</v>
      </c>
      <c r="G73" s="1" t="s">
        <v>997</v>
      </c>
      <c r="H73" s="10">
        <v>45109</v>
      </c>
      <c r="I73" s="24">
        <v>75670</v>
      </c>
    </row>
    <row r="74" spans="1:9">
      <c r="A74" s="1" t="s">
        <v>1100</v>
      </c>
      <c r="B74" s="3">
        <v>45120</v>
      </c>
      <c r="C74" s="6" t="s">
        <v>303</v>
      </c>
      <c r="D74" s="9" t="s">
        <v>875</v>
      </c>
      <c r="E74" s="4">
        <v>8.0489999999999995</v>
      </c>
      <c r="F74" s="1" t="s">
        <v>573</v>
      </c>
      <c r="G74" s="1" t="s">
        <v>997</v>
      </c>
      <c r="H74" s="10">
        <v>45109</v>
      </c>
      <c r="I74" s="24">
        <v>56570</v>
      </c>
    </row>
    <row r="75" spans="1:9">
      <c r="A75" s="1" t="s">
        <v>1100</v>
      </c>
      <c r="B75" s="3">
        <v>45120</v>
      </c>
      <c r="C75" s="6" t="s">
        <v>345</v>
      </c>
      <c r="D75" s="9" t="s">
        <v>875</v>
      </c>
      <c r="E75" s="4">
        <v>5.1710000000000003</v>
      </c>
      <c r="F75" s="1" t="s">
        <v>573</v>
      </c>
      <c r="G75" s="1" t="s">
        <v>997</v>
      </c>
      <c r="H75" s="10">
        <v>45109</v>
      </c>
      <c r="I75" s="24">
        <v>56570</v>
      </c>
    </row>
    <row r="76" spans="1:9">
      <c r="A76" s="1" t="s">
        <v>1100</v>
      </c>
      <c r="B76" s="3">
        <v>45120</v>
      </c>
      <c r="C76" s="6" t="s">
        <v>263</v>
      </c>
      <c r="D76" s="9" t="s">
        <v>875</v>
      </c>
      <c r="E76" s="4">
        <v>4.4619999999999997</v>
      </c>
      <c r="F76" s="1" t="s">
        <v>573</v>
      </c>
      <c r="G76" s="1" t="s">
        <v>997</v>
      </c>
      <c r="H76" s="10">
        <v>45109</v>
      </c>
      <c r="I76" s="24">
        <v>56570</v>
      </c>
    </row>
    <row r="77" spans="1:9">
      <c r="A77" s="1"/>
      <c r="B77" s="1"/>
      <c r="C77" s="1"/>
      <c r="D77" s="1"/>
      <c r="E77" s="2">
        <f>SUM(E61:E76)</f>
        <v>32.26</v>
      </c>
      <c r="F77" s="1"/>
      <c r="G77" s="1"/>
      <c r="H77" s="1"/>
      <c r="I77" s="24"/>
    </row>
    <row r="78" spans="1:9">
      <c r="A78" s="1" t="s">
        <v>1126</v>
      </c>
      <c r="B78" s="3">
        <v>45122</v>
      </c>
      <c r="C78" s="6" t="s">
        <v>224</v>
      </c>
      <c r="D78" s="9" t="s">
        <v>875</v>
      </c>
      <c r="E78" s="4">
        <v>0.72899999999999998</v>
      </c>
      <c r="F78" s="1" t="s">
        <v>1127</v>
      </c>
      <c r="G78" s="1" t="s">
        <v>723</v>
      </c>
      <c r="H78" s="10">
        <v>45095</v>
      </c>
      <c r="I78" s="24">
        <v>51520</v>
      </c>
    </row>
    <row r="79" spans="1:9">
      <c r="A79" s="1" t="s">
        <v>1126</v>
      </c>
      <c r="B79" s="3">
        <v>45122</v>
      </c>
      <c r="C79" s="6" t="s">
        <v>862</v>
      </c>
      <c r="D79" s="9" t="s">
        <v>875</v>
      </c>
      <c r="E79" s="4">
        <v>0.85</v>
      </c>
      <c r="F79" s="1" t="s">
        <v>1127</v>
      </c>
      <c r="G79" s="1" t="s">
        <v>723</v>
      </c>
      <c r="H79" s="10">
        <v>45095</v>
      </c>
      <c r="I79" s="24">
        <v>59920</v>
      </c>
    </row>
    <row r="80" spans="1:9">
      <c r="A80" s="1" t="s">
        <v>1128</v>
      </c>
      <c r="B80" s="3">
        <v>45122</v>
      </c>
      <c r="C80" s="6" t="s">
        <v>195</v>
      </c>
      <c r="D80" s="9" t="s">
        <v>875</v>
      </c>
      <c r="E80" s="4">
        <v>1.3660000000000001</v>
      </c>
      <c r="F80" s="1" t="s">
        <v>1127</v>
      </c>
      <c r="G80" s="6" t="s">
        <v>897</v>
      </c>
      <c r="H80" s="10">
        <v>45095</v>
      </c>
      <c r="I80" s="24">
        <v>51120</v>
      </c>
    </row>
    <row r="81" spans="1:9">
      <c r="A81" s="1" t="s">
        <v>1129</v>
      </c>
      <c r="B81" s="3">
        <v>45122</v>
      </c>
      <c r="C81" s="6" t="s">
        <v>205</v>
      </c>
      <c r="D81" s="9" t="s">
        <v>875</v>
      </c>
      <c r="E81" s="4">
        <v>3.2040000000000002</v>
      </c>
      <c r="F81" s="1" t="s">
        <v>1127</v>
      </c>
      <c r="G81" s="6" t="s">
        <v>996</v>
      </c>
      <c r="H81" s="10">
        <v>45106</v>
      </c>
      <c r="I81" s="24">
        <v>51120</v>
      </c>
    </row>
    <row r="82" spans="1:9">
      <c r="A82" s="1" t="s">
        <v>1129</v>
      </c>
      <c r="B82" s="3">
        <v>45122</v>
      </c>
      <c r="C82" s="6" t="s">
        <v>1130</v>
      </c>
      <c r="D82" s="9" t="s">
        <v>875</v>
      </c>
      <c r="E82" s="4">
        <v>0.21299999999999999</v>
      </c>
      <c r="F82" s="1" t="s">
        <v>1127</v>
      </c>
      <c r="G82" s="6" t="s">
        <v>996</v>
      </c>
      <c r="H82" s="10">
        <v>45106</v>
      </c>
      <c r="I82" s="24">
        <v>59920</v>
      </c>
    </row>
    <row r="83" spans="1:9">
      <c r="A83" s="1" t="s">
        <v>1129</v>
      </c>
      <c r="B83" s="3">
        <v>45122</v>
      </c>
      <c r="C83" s="6" t="s">
        <v>925</v>
      </c>
      <c r="D83" s="9" t="s">
        <v>875</v>
      </c>
      <c r="E83" s="4">
        <v>0.128</v>
      </c>
      <c r="F83" s="1" t="s">
        <v>1127</v>
      </c>
      <c r="G83" s="6" t="s">
        <v>996</v>
      </c>
      <c r="H83" s="10">
        <v>45106</v>
      </c>
      <c r="I83" s="24">
        <v>59920</v>
      </c>
    </row>
    <row r="84" spans="1:9">
      <c r="A84" s="1" t="s">
        <v>1131</v>
      </c>
      <c r="B84" s="3">
        <v>45122</v>
      </c>
      <c r="C84" s="6" t="s">
        <v>263</v>
      </c>
      <c r="D84" s="9" t="s">
        <v>875</v>
      </c>
      <c r="E84" s="4">
        <v>1.0269999999999999</v>
      </c>
      <c r="F84" s="1" t="s">
        <v>1127</v>
      </c>
      <c r="G84" s="1" t="s">
        <v>997</v>
      </c>
      <c r="H84" s="10">
        <v>45109</v>
      </c>
      <c r="I84" s="24">
        <v>56570</v>
      </c>
    </row>
    <row r="85" spans="1:9">
      <c r="A85" s="1" t="s">
        <v>1132</v>
      </c>
      <c r="B85" s="3">
        <v>45122</v>
      </c>
      <c r="C85" s="6" t="s">
        <v>286</v>
      </c>
      <c r="D85" s="9" t="s">
        <v>875</v>
      </c>
      <c r="E85" s="4">
        <v>0.72199999999999998</v>
      </c>
      <c r="F85" s="1" t="s">
        <v>1127</v>
      </c>
      <c r="G85" s="6" t="s">
        <v>1134</v>
      </c>
      <c r="H85" s="10">
        <v>45111</v>
      </c>
      <c r="I85" s="24">
        <v>56570</v>
      </c>
    </row>
    <row r="86" spans="1:9">
      <c r="A86" s="1" t="s">
        <v>1133</v>
      </c>
      <c r="B86" s="3">
        <v>45122</v>
      </c>
      <c r="C86" s="6" t="s">
        <v>255</v>
      </c>
      <c r="D86" s="9" t="s">
        <v>875</v>
      </c>
      <c r="E86" s="4">
        <v>5.5970000000000004</v>
      </c>
      <c r="F86" s="1" t="s">
        <v>1127</v>
      </c>
      <c r="G86" s="6" t="s">
        <v>1135</v>
      </c>
      <c r="H86" s="10">
        <v>45111</v>
      </c>
      <c r="I86" s="24">
        <v>56570</v>
      </c>
    </row>
    <row r="87" spans="1:9">
      <c r="A87" s="1"/>
      <c r="B87" s="3"/>
      <c r="C87" s="1"/>
      <c r="D87" s="1"/>
      <c r="E87" s="2">
        <f>SUM(E78:E86)</f>
        <v>13.836000000000002</v>
      </c>
      <c r="F87" s="1"/>
      <c r="G87" s="1"/>
      <c r="H87" s="1"/>
      <c r="I87" s="24"/>
    </row>
    <row r="88" spans="1:9">
      <c r="A88" s="1" t="s">
        <v>1234</v>
      </c>
      <c r="B88" s="3">
        <v>45128</v>
      </c>
      <c r="C88" s="6" t="s">
        <v>283</v>
      </c>
      <c r="D88" s="9" t="s">
        <v>875</v>
      </c>
      <c r="E88" s="4">
        <v>3.9990000000000001</v>
      </c>
      <c r="F88" s="1" t="s">
        <v>1235</v>
      </c>
      <c r="G88" s="1" t="s">
        <v>1236</v>
      </c>
      <c r="H88" s="10">
        <v>45111</v>
      </c>
      <c r="I88" s="24">
        <v>56570</v>
      </c>
    </row>
    <row r="89" spans="1:9">
      <c r="A89" s="1" t="s">
        <v>1234</v>
      </c>
      <c r="B89" s="3">
        <v>45128</v>
      </c>
      <c r="C89" s="6" t="s">
        <v>200</v>
      </c>
      <c r="D89" s="9" t="s">
        <v>875</v>
      </c>
      <c r="E89" s="4">
        <v>1.5189999999999999</v>
      </c>
      <c r="F89" s="1" t="s">
        <v>1235</v>
      </c>
      <c r="G89" s="1" t="s">
        <v>1236</v>
      </c>
      <c r="H89" s="10">
        <v>45111</v>
      </c>
      <c r="I89" s="24">
        <v>56570</v>
      </c>
    </row>
    <row r="90" spans="1:9">
      <c r="A90" s="1" t="s">
        <v>1237</v>
      </c>
      <c r="B90" s="3">
        <v>45128</v>
      </c>
      <c r="C90" s="6" t="s">
        <v>862</v>
      </c>
      <c r="D90" s="9" t="s">
        <v>875</v>
      </c>
      <c r="E90" s="4">
        <v>3.1110000000000002</v>
      </c>
      <c r="F90" s="1" t="s">
        <v>1235</v>
      </c>
      <c r="G90" s="1" t="s">
        <v>1238</v>
      </c>
      <c r="H90" s="10">
        <v>45111</v>
      </c>
      <c r="I90" s="24">
        <v>36470</v>
      </c>
    </row>
    <row r="91" spans="1:9">
      <c r="A91" s="1" t="s">
        <v>1237</v>
      </c>
      <c r="B91" s="3">
        <v>45128</v>
      </c>
      <c r="C91" s="6" t="s">
        <v>891</v>
      </c>
      <c r="D91" s="9" t="s">
        <v>875</v>
      </c>
      <c r="E91" s="4">
        <v>5.8559999999999999</v>
      </c>
      <c r="F91" s="1" t="s">
        <v>1235</v>
      </c>
      <c r="G91" s="1" t="s">
        <v>1238</v>
      </c>
      <c r="H91" s="10">
        <v>45111</v>
      </c>
      <c r="I91" s="24">
        <v>59920</v>
      </c>
    </row>
    <row r="92" spans="1:9">
      <c r="A92" s="1" t="s">
        <v>1239</v>
      </c>
      <c r="B92" s="3">
        <v>45128</v>
      </c>
      <c r="C92" s="6" t="s">
        <v>283</v>
      </c>
      <c r="D92" s="9" t="s">
        <v>875</v>
      </c>
      <c r="E92" s="4">
        <v>2.746</v>
      </c>
      <c r="F92" s="1" t="s">
        <v>1235</v>
      </c>
      <c r="G92" s="1" t="s">
        <v>1135</v>
      </c>
      <c r="H92" s="10">
        <v>45111</v>
      </c>
      <c r="I92" s="24">
        <v>56570</v>
      </c>
    </row>
    <row r="93" spans="1:9">
      <c r="A93" s="1" t="s">
        <v>1239</v>
      </c>
      <c r="B93" s="3">
        <v>45128</v>
      </c>
      <c r="C93" s="6" t="s">
        <v>200</v>
      </c>
      <c r="D93" s="9" t="s">
        <v>875</v>
      </c>
      <c r="E93" s="4">
        <v>7.4039999999999999</v>
      </c>
      <c r="F93" s="1" t="s">
        <v>1235</v>
      </c>
      <c r="G93" s="1" t="s">
        <v>1135</v>
      </c>
      <c r="H93" s="10">
        <v>45111</v>
      </c>
      <c r="I93" s="24">
        <v>56570</v>
      </c>
    </row>
    <row r="94" spans="1:9">
      <c r="A94" s="1" t="s">
        <v>1240</v>
      </c>
      <c r="B94" s="3">
        <v>45128</v>
      </c>
      <c r="C94" s="6" t="s">
        <v>234</v>
      </c>
      <c r="D94" s="9" t="s">
        <v>875</v>
      </c>
      <c r="E94" s="4">
        <v>4.3559999999999999</v>
      </c>
      <c r="F94" s="1" t="s">
        <v>1235</v>
      </c>
      <c r="G94" s="1" t="s">
        <v>1241</v>
      </c>
      <c r="H94" s="10">
        <v>45111</v>
      </c>
      <c r="I94" s="24">
        <v>51120</v>
      </c>
    </row>
    <row r="95" spans="1:9">
      <c r="A95" s="1" t="s">
        <v>1240</v>
      </c>
      <c r="B95" s="3">
        <v>45128</v>
      </c>
      <c r="C95" s="6" t="s">
        <v>224</v>
      </c>
      <c r="D95" s="9" t="s">
        <v>875</v>
      </c>
      <c r="E95" s="4">
        <v>2.351</v>
      </c>
      <c r="F95" s="1" t="s">
        <v>1235</v>
      </c>
      <c r="G95" s="1" t="s">
        <v>1241</v>
      </c>
      <c r="H95" s="10">
        <v>45111</v>
      </c>
      <c r="I95" s="24">
        <v>51520</v>
      </c>
    </row>
    <row r="96" spans="1:9">
      <c r="A96" s="1"/>
      <c r="B96" s="1"/>
      <c r="C96" s="1"/>
      <c r="D96" s="1"/>
      <c r="E96" s="2">
        <f>SUM(E88:E95)</f>
        <v>31.341999999999999</v>
      </c>
      <c r="F96" s="1"/>
      <c r="G96" s="1"/>
      <c r="H96" s="1"/>
      <c r="I96" s="24"/>
    </row>
    <row r="97" spans="1:9">
      <c r="A97" s="1" t="s">
        <v>1265</v>
      </c>
      <c r="B97" s="3">
        <v>45129</v>
      </c>
      <c r="C97" s="6" t="s">
        <v>200</v>
      </c>
      <c r="D97" s="9" t="s">
        <v>875</v>
      </c>
      <c r="E97" s="4">
        <v>6.4589999999999996</v>
      </c>
      <c r="F97" s="1" t="s">
        <v>993</v>
      </c>
      <c r="G97" s="1" t="s">
        <v>1135</v>
      </c>
      <c r="H97" s="10">
        <v>45111</v>
      </c>
      <c r="I97" s="24">
        <v>56570</v>
      </c>
    </row>
    <row r="98" spans="1:9">
      <c r="A98" s="1" t="s">
        <v>1266</v>
      </c>
      <c r="B98" s="3">
        <v>45129</v>
      </c>
      <c r="C98" s="6" t="s">
        <v>200</v>
      </c>
      <c r="D98" s="9" t="s">
        <v>875</v>
      </c>
      <c r="E98" s="4">
        <v>0.25700000000000001</v>
      </c>
      <c r="F98" s="1" t="s">
        <v>993</v>
      </c>
      <c r="G98" s="1" t="s">
        <v>1267</v>
      </c>
      <c r="H98" s="10">
        <v>45111</v>
      </c>
      <c r="I98" s="24">
        <v>56570</v>
      </c>
    </row>
    <row r="99" spans="1:9">
      <c r="A99" s="1" t="s">
        <v>1268</v>
      </c>
      <c r="B99" s="3">
        <v>45129</v>
      </c>
      <c r="C99" s="6" t="s">
        <v>231</v>
      </c>
      <c r="D99" s="9" t="s">
        <v>875</v>
      </c>
      <c r="E99" s="4">
        <v>2.177</v>
      </c>
      <c r="F99" s="1" t="s">
        <v>993</v>
      </c>
      <c r="G99" s="1" t="s">
        <v>1241</v>
      </c>
      <c r="H99" s="10">
        <v>45111</v>
      </c>
      <c r="I99" s="24">
        <v>51120</v>
      </c>
    </row>
    <row r="100" spans="1:9">
      <c r="A100" s="1" t="s">
        <v>1268</v>
      </c>
      <c r="B100" s="3">
        <v>45129</v>
      </c>
      <c r="C100" s="6" t="s">
        <v>208</v>
      </c>
      <c r="D100" s="9" t="s">
        <v>875</v>
      </c>
      <c r="E100" s="4">
        <v>6.234</v>
      </c>
      <c r="F100" s="1" t="s">
        <v>993</v>
      </c>
      <c r="G100" s="1" t="s">
        <v>1241</v>
      </c>
      <c r="H100" s="10">
        <v>45111</v>
      </c>
      <c r="I100" s="24">
        <v>51120</v>
      </c>
    </row>
    <row r="101" spans="1:9">
      <c r="A101" s="1" t="s">
        <v>1269</v>
      </c>
      <c r="B101" s="3">
        <v>45129</v>
      </c>
      <c r="C101" s="6" t="s">
        <v>231</v>
      </c>
      <c r="D101" s="9" t="s">
        <v>875</v>
      </c>
      <c r="E101" s="4">
        <v>4.8049999999999997</v>
      </c>
      <c r="F101" s="1" t="s">
        <v>993</v>
      </c>
      <c r="G101" s="1" t="s">
        <v>1236</v>
      </c>
      <c r="H101" s="10">
        <v>45111</v>
      </c>
      <c r="I101" s="24">
        <v>51120</v>
      </c>
    </row>
    <row r="102" spans="1:9">
      <c r="A102" s="1" t="s">
        <v>1269</v>
      </c>
      <c r="B102" s="3">
        <v>45129</v>
      </c>
      <c r="C102" s="6" t="s">
        <v>200</v>
      </c>
      <c r="D102" s="9" t="s">
        <v>875</v>
      </c>
      <c r="E102" s="4">
        <v>1.569</v>
      </c>
      <c r="F102" s="1" t="s">
        <v>993</v>
      </c>
      <c r="G102" s="1" t="s">
        <v>1236</v>
      </c>
      <c r="H102" s="10">
        <v>45111</v>
      </c>
      <c r="I102" s="24">
        <v>56570</v>
      </c>
    </row>
    <row r="103" spans="1:9">
      <c r="A103" s="1" t="s">
        <v>1270</v>
      </c>
      <c r="B103" s="3">
        <v>45129</v>
      </c>
      <c r="C103" s="6" t="s">
        <v>346</v>
      </c>
      <c r="D103" s="9" t="s">
        <v>875</v>
      </c>
      <c r="E103" s="4">
        <v>4.6219999999999999</v>
      </c>
      <c r="F103" s="1" t="s">
        <v>993</v>
      </c>
      <c r="G103" s="1" t="s">
        <v>1238</v>
      </c>
      <c r="H103" s="10">
        <v>45111</v>
      </c>
      <c r="I103" s="24">
        <v>36470</v>
      </c>
    </row>
    <row r="104" spans="1:9">
      <c r="A104" s="1" t="s">
        <v>1270</v>
      </c>
      <c r="B104" s="3">
        <v>45129</v>
      </c>
      <c r="C104" s="6" t="s">
        <v>891</v>
      </c>
      <c r="D104" s="9" t="s">
        <v>875</v>
      </c>
      <c r="E104" s="4">
        <v>6.5880000000000001</v>
      </c>
      <c r="F104" s="1" t="s">
        <v>993</v>
      </c>
      <c r="G104" s="1" t="s">
        <v>1238</v>
      </c>
      <c r="H104" s="10">
        <v>45111</v>
      </c>
      <c r="I104" s="24">
        <v>59920</v>
      </c>
    </row>
    <row r="105" spans="1:9">
      <c r="A105" s="1"/>
      <c r="B105" s="3"/>
      <c r="C105" s="1"/>
      <c r="D105" s="9"/>
      <c r="E105" s="2">
        <f>SUM(E97:E104)</f>
        <v>32.710999999999999</v>
      </c>
      <c r="F105" s="1"/>
      <c r="G105" s="1"/>
      <c r="H105" s="1"/>
      <c r="I105" s="24"/>
    </row>
    <row r="106" spans="1:9">
      <c r="A106" s="1" t="s">
        <v>1283</v>
      </c>
      <c r="B106" s="3">
        <v>45131</v>
      </c>
      <c r="C106" s="6" t="s">
        <v>283</v>
      </c>
      <c r="D106" s="9" t="s">
        <v>875</v>
      </c>
      <c r="E106" s="1">
        <v>4.2249999999999996</v>
      </c>
      <c r="F106" s="1" t="s">
        <v>1284</v>
      </c>
      <c r="G106" s="1" t="s">
        <v>1236</v>
      </c>
      <c r="H106" s="10">
        <v>45111</v>
      </c>
      <c r="I106" s="24">
        <v>56570</v>
      </c>
    </row>
    <row r="107" spans="1:9">
      <c r="A107" s="1" t="s">
        <v>1283</v>
      </c>
      <c r="B107" s="3">
        <v>45131</v>
      </c>
      <c r="C107" s="6" t="s">
        <v>200</v>
      </c>
      <c r="D107" s="9" t="s">
        <v>875</v>
      </c>
      <c r="E107" s="1">
        <v>0.129</v>
      </c>
      <c r="F107" s="1" t="s">
        <v>1284</v>
      </c>
      <c r="G107" s="1" t="s">
        <v>1236</v>
      </c>
      <c r="H107" s="10">
        <v>45111</v>
      </c>
      <c r="I107" s="24">
        <v>56570</v>
      </c>
    </row>
    <row r="108" spans="1:9">
      <c r="A108" s="1" t="s">
        <v>1283</v>
      </c>
      <c r="B108" s="3">
        <v>45131</v>
      </c>
      <c r="C108" s="6" t="s">
        <v>234</v>
      </c>
      <c r="D108" s="9" t="s">
        <v>875</v>
      </c>
      <c r="E108" s="1">
        <v>1.1379999999999999</v>
      </c>
      <c r="F108" s="1" t="s">
        <v>1284</v>
      </c>
      <c r="G108" s="1" t="s">
        <v>1236</v>
      </c>
      <c r="H108" s="10">
        <v>45111</v>
      </c>
      <c r="I108" s="24">
        <v>51120</v>
      </c>
    </row>
    <row r="109" spans="1:9">
      <c r="A109" s="1" t="s">
        <v>1283</v>
      </c>
      <c r="B109" s="3">
        <v>45131</v>
      </c>
      <c r="C109" s="6" t="s">
        <v>1285</v>
      </c>
      <c r="D109" s="9" t="s">
        <v>875</v>
      </c>
      <c r="E109" s="1">
        <v>3.492</v>
      </c>
      <c r="F109" s="1" t="s">
        <v>1284</v>
      </c>
      <c r="G109" s="1" t="s">
        <v>1236</v>
      </c>
      <c r="H109" s="10">
        <v>45111</v>
      </c>
      <c r="I109" s="24">
        <v>36670</v>
      </c>
    </row>
    <row r="110" spans="1:9">
      <c r="A110" s="1" t="s">
        <v>1283</v>
      </c>
      <c r="B110" s="3">
        <v>45131</v>
      </c>
      <c r="C110" s="6" t="s">
        <v>1287</v>
      </c>
      <c r="D110" s="9" t="s">
        <v>875</v>
      </c>
      <c r="E110" s="1">
        <v>1.0069999999999999</v>
      </c>
      <c r="F110" s="1" t="s">
        <v>1284</v>
      </c>
      <c r="G110" s="1" t="s">
        <v>1236</v>
      </c>
      <c r="H110" s="10">
        <v>45111</v>
      </c>
      <c r="I110" s="24">
        <v>36670</v>
      </c>
    </row>
    <row r="111" spans="1:9">
      <c r="A111" s="1" t="s">
        <v>1286</v>
      </c>
      <c r="B111" s="3">
        <v>45131</v>
      </c>
      <c r="C111" s="6" t="s">
        <v>1287</v>
      </c>
      <c r="D111" s="9" t="s">
        <v>875</v>
      </c>
      <c r="E111" s="1">
        <v>1.76</v>
      </c>
      <c r="F111" s="1" t="s">
        <v>1284</v>
      </c>
      <c r="G111" s="1" t="s">
        <v>1134</v>
      </c>
      <c r="H111" s="10">
        <v>45111</v>
      </c>
      <c r="I111" s="24">
        <v>36670</v>
      </c>
    </row>
    <row r="112" spans="1:9">
      <c r="A112" s="1" t="s">
        <v>1288</v>
      </c>
      <c r="B112" s="3">
        <v>45131</v>
      </c>
      <c r="C112" s="6" t="s">
        <v>283</v>
      </c>
      <c r="D112" s="9" t="s">
        <v>875</v>
      </c>
      <c r="E112" s="1">
        <v>4.2229999999999999</v>
      </c>
      <c r="F112" s="1" t="s">
        <v>1284</v>
      </c>
      <c r="G112" s="1" t="s">
        <v>1289</v>
      </c>
      <c r="H112" s="10">
        <v>45111</v>
      </c>
      <c r="I112" s="24">
        <v>56570</v>
      </c>
    </row>
    <row r="113" spans="1:9">
      <c r="A113" s="1" t="s">
        <v>1288</v>
      </c>
      <c r="B113" s="3">
        <v>45131</v>
      </c>
      <c r="C113" s="6" t="s">
        <v>200</v>
      </c>
      <c r="D113" s="9" t="s">
        <v>875</v>
      </c>
      <c r="E113" s="1">
        <v>2.8330000000000002</v>
      </c>
      <c r="F113" s="1" t="s">
        <v>1284</v>
      </c>
      <c r="G113" s="1" t="s">
        <v>1289</v>
      </c>
      <c r="H113" s="10">
        <v>45111</v>
      </c>
      <c r="I113" s="24">
        <v>56570</v>
      </c>
    </row>
    <row r="114" spans="1:9">
      <c r="A114" s="1" t="s">
        <v>1288</v>
      </c>
      <c r="B114" s="3">
        <v>45131</v>
      </c>
      <c r="C114" s="6" t="s">
        <v>255</v>
      </c>
      <c r="D114" s="9" t="s">
        <v>875</v>
      </c>
      <c r="E114" s="1">
        <v>0.29199999999999998</v>
      </c>
      <c r="F114" s="1" t="s">
        <v>1284</v>
      </c>
      <c r="G114" s="1" t="s">
        <v>1289</v>
      </c>
      <c r="H114" s="10">
        <v>45111</v>
      </c>
      <c r="I114" s="24">
        <v>56570</v>
      </c>
    </row>
    <row r="115" spans="1:9">
      <c r="A115" s="1" t="s">
        <v>1290</v>
      </c>
      <c r="B115" s="3">
        <v>45131</v>
      </c>
      <c r="C115" s="6" t="s">
        <v>891</v>
      </c>
      <c r="D115" s="9" t="s">
        <v>875</v>
      </c>
      <c r="E115" s="1">
        <v>1.444</v>
      </c>
      <c r="F115" s="1" t="s">
        <v>1284</v>
      </c>
      <c r="G115" s="1" t="s">
        <v>1238</v>
      </c>
      <c r="H115" s="10">
        <v>45111</v>
      </c>
      <c r="I115" s="24">
        <v>59920</v>
      </c>
    </row>
    <row r="116" spans="1:9">
      <c r="A116" s="1" t="s">
        <v>1291</v>
      </c>
      <c r="B116" s="3">
        <v>45131</v>
      </c>
      <c r="C116" s="6" t="s">
        <v>283</v>
      </c>
      <c r="D116" s="9" t="s">
        <v>875</v>
      </c>
      <c r="E116" s="1">
        <v>1.5740000000000001</v>
      </c>
      <c r="F116" s="1" t="s">
        <v>1284</v>
      </c>
      <c r="G116" s="1" t="s">
        <v>1135</v>
      </c>
      <c r="H116" s="10">
        <v>45111</v>
      </c>
      <c r="I116" s="24">
        <v>56570</v>
      </c>
    </row>
    <row r="117" spans="1:9">
      <c r="A117" s="1" t="s">
        <v>1291</v>
      </c>
      <c r="B117" s="3">
        <v>45131</v>
      </c>
      <c r="C117" s="6" t="s">
        <v>200</v>
      </c>
      <c r="D117" s="9" t="s">
        <v>875</v>
      </c>
      <c r="E117" s="1">
        <v>1.216</v>
      </c>
      <c r="F117" s="1" t="s">
        <v>1284</v>
      </c>
      <c r="G117" s="1" t="s">
        <v>1135</v>
      </c>
      <c r="H117" s="10">
        <v>45111</v>
      </c>
      <c r="I117" s="24">
        <v>56570</v>
      </c>
    </row>
    <row r="118" spans="1:9">
      <c r="A118" s="1" t="s">
        <v>1292</v>
      </c>
      <c r="B118" s="3">
        <v>45131</v>
      </c>
      <c r="C118" s="6" t="s">
        <v>230</v>
      </c>
      <c r="D118" s="9" t="s">
        <v>875</v>
      </c>
      <c r="E118" s="1">
        <v>0.995</v>
      </c>
      <c r="F118" s="1" t="s">
        <v>1284</v>
      </c>
      <c r="G118" s="1" t="s">
        <v>1241</v>
      </c>
      <c r="H118" s="10">
        <v>45111</v>
      </c>
      <c r="I118" s="24">
        <v>51120</v>
      </c>
    </row>
    <row r="119" spans="1:9">
      <c r="A119" s="1" t="s">
        <v>1292</v>
      </c>
      <c r="B119" s="3">
        <v>45131</v>
      </c>
      <c r="C119" s="6" t="s">
        <v>231</v>
      </c>
      <c r="D119" s="9" t="s">
        <v>875</v>
      </c>
      <c r="E119" s="1">
        <v>6.306</v>
      </c>
      <c r="F119" s="1" t="s">
        <v>1284</v>
      </c>
      <c r="G119" s="1" t="s">
        <v>1241</v>
      </c>
      <c r="H119" s="10">
        <v>45111</v>
      </c>
      <c r="I119" s="24">
        <v>51120</v>
      </c>
    </row>
    <row r="120" spans="1:9">
      <c r="A120" s="1" t="s">
        <v>1292</v>
      </c>
      <c r="B120" s="3">
        <v>45131</v>
      </c>
      <c r="C120" s="6" t="s">
        <v>208</v>
      </c>
      <c r="D120" s="9" t="s">
        <v>875</v>
      </c>
      <c r="E120" s="1">
        <v>1.7949999999999999</v>
      </c>
      <c r="F120" s="1" t="s">
        <v>1284</v>
      </c>
      <c r="G120" s="1" t="s">
        <v>1241</v>
      </c>
      <c r="H120" s="10">
        <v>45111</v>
      </c>
      <c r="I120" s="24">
        <v>51120</v>
      </c>
    </row>
    <row r="121" spans="1:9">
      <c r="A121" s="1"/>
      <c r="B121" s="3"/>
      <c r="C121" s="1"/>
      <c r="D121" s="9"/>
      <c r="E121" s="2">
        <f>SUM(E106:E120)</f>
        <v>32.429000000000002</v>
      </c>
      <c r="F121" s="1"/>
      <c r="G121" s="1"/>
      <c r="H121" s="1"/>
      <c r="I121" s="24"/>
    </row>
    <row r="122" spans="1:9">
      <c r="A122" s="1" t="s">
        <v>1312</v>
      </c>
      <c r="B122" s="3">
        <v>45132</v>
      </c>
      <c r="C122" s="6" t="s">
        <v>252</v>
      </c>
      <c r="D122" s="9" t="s">
        <v>875</v>
      </c>
      <c r="E122" s="1">
        <v>18.475999999999999</v>
      </c>
      <c r="F122" s="1" t="s">
        <v>1309</v>
      </c>
      <c r="G122" s="1" t="s">
        <v>1310</v>
      </c>
      <c r="H122" s="10">
        <v>45111</v>
      </c>
      <c r="I122" s="24">
        <v>36670</v>
      </c>
    </row>
    <row r="123" spans="1:9">
      <c r="A123" s="1" t="s">
        <v>1312</v>
      </c>
      <c r="B123" s="3">
        <v>45132</v>
      </c>
      <c r="C123" s="6" t="s">
        <v>619</v>
      </c>
      <c r="D123" s="9" t="s">
        <v>875</v>
      </c>
      <c r="E123" s="1">
        <v>5.94</v>
      </c>
      <c r="F123" s="1" t="s">
        <v>1309</v>
      </c>
      <c r="G123" s="1" t="s">
        <v>1310</v>
      </c>
      <c r="H123" s="10">
        <v>45111</v>
      </c>
      <c r="I123" s="24">
        <v>36670</v>
      </c>
    </row>
    <row r="124" spans="1:9">
      <c r="A124" s="1" t="s">
        <v>1312</v>
      </c>
      <c r="B124" s="3">
        <v>45132</v>
      </c>
      <c r="C124" s="6" t="s">
        <v>1311</v>
      </c>
      <c r="D124" s="9" t="s">
        <v>875</v>
      </c>
      <c r="E124" s="1">
        <v>2.1840000000000002</v>
      </c>
      <c r="F124" s="1" t="s">
        <v>1309</v>
      </c>
      <c r="G124" s="1" t="s">
        <v>1310</v>
      </c>
      <c r="H124" s="10">
        <v>45111</v>
      </c>
      <c r="I124" s="24">
        <v>36670</v>
      </c>
    </row>
    <row r="125" spans="1:9">
      <c r="A125" s="1" t="s">
        <v>1313</v>
      </c>
      <c r="B125" s="3">
        <v>45132</v>
      </c>
      <c r="C125" s="6" t="s">
        <v>234</v>
      </c>
      <c r="D125" s="9" t="s">
        <v>875</v>
      </c>
      <c r="E125" s="1">
        <v>0.49</v>
      </c>
      <c r="F125" s="1" t="s">
        <v>1309</v>
      </c>
      <c r="G125" s="1" t="s">
        <v>1289</v>
      </c>
      <c r="H125" s="10">
        <v>45111</v>
      </c>
      <c r="I125" s="24">
        <v>51120</v>
      </c>
    </row>
    <row r="126" spans="1:9">
      <c r="A126" s="1" t="s">
        <v>1313</v>
      </c>
      <c r="B126" s="3">
        <v>45132</v>
      </c>
      <c r="C126" s="6" t="s">
        <v>231</v>
      </c>
      <c r="D126" s="9" t="s">
        <v>875</v>
      </c>
      <c r="E126" s="1">
        <v>1.133</v>
      </c>
      <c r="F126" s="1" t="s">
        <v>1309</v>
      </c>
      <c r="G126" s="1" t="s">
        <v>1289</v>
      </c>
      <c r="H126" s="10">
        <v>45111</v>
      </c>
      <c r="I126" s="24">
        <v>51120</v>
      </c>
    </row>
    <row r="127" spans="1:9">
      <c r="A127" s="1" t="s">
        <v>1313</v>
      </c>
      <c r="B127" s="3">
        <v>45132</v>
      </c>
      <c r="C127" s="6" t="s">
        <v>208</v>
      </c>
      <c r="D127" s="9" t="s">
        <v>875</v>
      </c>
      <c r="E127" s="1">
        <v>1.4470000000000001</v>
      </c>
      <c r="F127" s="1" t="s">
        <v>1309</v>
      </c>
      <c r="G127" s="1" t="s">
        <v>1289</v>
      </c>
      <c r="H127" s="10">
        <v>45111</v>
      </c>
      <c r="I127" s="24">
        <v>51120</v>
      </c>
    </row>
    <row r="128" spans="1:9">
      <c r="A128" s="1" t="s">
        <v>1314</v>
      </c>
      <c r="B128" s="3">
        <v>45132</v>
      </c>
      <c r="C128" s="6" t="s">
        <v>346</v>
      </c>
      <c r="D128" s="9" t="s">
        <v>875</v>
      </c>
      <c r="E128" s="1">
        <v>0.44</v>
      </c>
      <c r="F128" s="1" t="s">
        <v>1309</v>
      </c>
      <c r="G128" s="1" t="s">
        <v>1134</v>
      </c>
      <c r="H128" s="10">
        <v>45111</v>
      </c>
      <c r="I128" s="24">
        <v>72230</v>
      </c>
    </row>
    <row r="129" spans="1:9">
      <c r="A129" s="1" t="s">
        <v>1314</v>
      </c>
      <c r="B129" s="3">
        <v>45132</v>
      </c>
      <c r="C129" s="6" t="s">
        <v>862</v>
      </c>
      <c r="D129" s="9" t="s">
        <v>875</v>
      </c>
      <c r="E129" s="1">
        <v>0.45100000000000001</v>
      </c>
      <c r="F129" s="1" t="s">
        <v>1309</v>
      </c>
      <c r="G129" s="1" t="s">
        <v>1134</v>
      </c>
      <c r="H129" s="10">
        <v>45111</v>
      </c>
      <c r="I129" s="24">
        <v>72230</v>
      </c>
    </row>
    <row r="130" spans="1:9">
      <c r="A130" s="1" t="s">
        <v>1315</v>
      </c>
      <c r="B130" s="3">
        <v>45132</v>
      </c>
      <c r="C130" s="6" t="s">
        <v>231</v>
      </c>
      <c r="D130" s="9" t="s">
        <v>875</v>
      </c>
      <c r="E130" s="1">
        <v>1.3640000000000001</v>
      </c>
      <c r="F130" s="1" t="s">
        <v>1309</v>
      </c>
      <c r="G130" s="1" t="s">
        <v>1236</v>
      </c>
      <c r="H130" s="10">
        <v>45111</v>
      </c>
      <c r="I130" s="24">
        <v>51120</v>
      </c>
    </row>
    <row r="131" spans="1:9">
      <c r="A131" s="1"/>
      <c r="B131" s="3"/>
      <c r="C131" s="1"/>
      <c r="D131" s="9"/>
      <c r="E131" s="2">
        <f>SUM(E122:E130)</f>
        <v>31.925000000000001</v>
      </c>
      <c r="F131" s="1"/>
      <c r="G131" s="1"/>
      <c r="H131" s="1"/>
      <c r="I131" s="24"/>
    </row>
    <row r="132" spans="1:9">
      <c r="A132" s="1" t="s">
        <v>1397</v>
      </c>
      <c r="B132" s="3">
        <v>45136</v>
      </c>
      <c r="C132" s="6" t="s">
        <v>231</v>
      </c>
      <c r="D132" s="9" t="s">
        <v>875</v>
      </c>
      <c r="E132" s="1">
        <v>0.82199999999999995</v>
      </c>
      <c r="F132" s="1" t="s">
        <v>544</v>
      </c>
      <c r="G132" s="1" t="s">
        <v>1236</v>
      </c>
      <c r="H132" s="10">
        <v>45111</v>
      </c>
      <c r="I132" s="24">
        <v>51120</v>
      </c>
    </row>
    <row r="133" spans="1:9">
      <c r="A133" s="1" t="s">
        <v>1397</v>
      </c>
      <c r="B133" s="3">
        <v>45136</v>
      </c>
      <c r="C133" s="6" t="s">
        <v>862</v>
      </c>
      <c r="D133" s="9" t="s">
        <v>875</v>
      </c>
      <c r="E133" s="4">
        <v>0.47499999999999998</v>
      </c>
      <c r="F133" s="1" t="s">
        <v>544</v>
      </c>
      <c r="G133" s="1" t="s">
        <v>1236</v>
      </c>
      <c r="H133" s="10">
        <v>45111</v>
      </c>
      <c r="I133" s="24">
        <v>72230</v>
      </c>
    </row>
    <row r="134" spans="1:9">
      <c r="A134" s="1" t="s">
        <v>1397</v>
      </c>
      <c r="B134" s="3">
        <v>45136</v>
      </c>
      <c r="C134" s="6" t="s">
        <v>283</v>
      </c>
      <c r="D134" s="9" t="s">
        <v>875</v>
      </c>
      <c r="E134" s="1">
        <v>0.63900000000000001</v>
      </c>
      <c r="F134" s="1" t="s">
        <v>544</v>
      </c>
      <c r="G134" s="1" t="s">
        <v>1236</v>
      </c>
      <c r="H134" s="10">
        <v>45111</v>
      </c>
      <c r="I134" s="24">
        <v>56570</v>
      </c>
    </row>
    <row r="135" spans="1:9">
      <c r="A135" s="1" t="s">
        <v>1398</v>
      </c>
      <c r="B135" s="3">
        <v>45136</v>
      </c>
      <c r="C135" s="6" t="s">
        <v>231</v>
      </c>
      <c r="D135" s="9" t="s">
        <v>875</v>
      </c>
      <c r="E135" s="1">
        <v>1.0409999999999999</v>
      </c>
      <c r="F135" s="1" t="s">
        <v>544</v>
      </c>
      <c r="G135" s="1" t="s">
        <v>1241</v>
      </c>
      <c r="H135" s="10">
        <v>45111</v>
      </c>
      <c r="I135" s="24">
        <v>51120</v>
      </c>
    </row>
    <row r="136" spans="1:9">
      <c r="A136" s="1" t="s">
        <v>1398</v>
      </c>
      <c r="B136" s="3">
        <v>45136</v>
      </c>
      <c r="C136" s="6" t="s">
        <v>230</v>
      </c>
      <c r="D136" s="9" t="s">
        <v>875</v>
      </c>
      <c r="E136" s="1">
        <v>0.56399999999999995</v>
      </c>
      <c r="F136" s="1" t="s">
        <v>544</v>
      </c>
      <c r="G136" s="1" t="s">
        <v>1241</v>
      </c>
      <c r="H136" s="10">
        <v>45111</v>
      </c>
      <c r="I136" s="24">
        <v>51120</v>
      </c>
    </row>
    <row r="137" spans="1:9">
      <c r="A137" s="1" t="s">
        <v>1398</v>
      </c>
      <c r="B137" s="3">
        <v>45136</v>
      </c>
      <c r="C137" s="6" t="s">
        <v>377</v>
      </c>
      <c r="D137" s="9" t="s">
        <v>875</v>
      </c>
      <c r="E137" s="1">
        <v>2.0430000000000001</v>
      </c>
      <c r="F137" s="1" t="s">
        <v>544</v>
      </c>
      <c r="G137" s="1" t="s">
        <v>1241</v>
      </c>
      <c r="H137" s="10">
        <v>45111</v>
      </c>
      <c r="I137" s="24">
        <v>51520</v>
      </c>
    </row>
    <row r="138" spans="1:9">
      <c r="A138" s="1" t="s">
        <v>1399</v>
      </c>
      <c r="B138" s="3">
        <v>45136</v>
      </c>
      <c r="C138" s="6" t="s">
        <v>205</v>
      </c>
      <c r="D138" s="9" t="s">
        <v>875</v>
      </c>
      <c r="E138" s="1">
        <v>0.17899999999999999</v>
      </c>
      <c r="F138" s="1" t="s">
        <v>544</v>
      </c>
      <c r="G138" s="1" t="s">
        <v>1401</v>
      </c>
      <c r="H138" s="10">
        <v>45119</v>
      </c>
      <c r="I138" s="24">
        <v>51120</v>
      </c>
    </row>
    <row r="139" spans="1:9">
      <c r="A139" s="1" t="s">
        <v>1399</v>
      </c>
      <c r="B139" s="3">
        <v>45136</v>
      </c>
      <c r="C139" s="6" t="s">
        <v>282</v>
      </c>
      <c r="D139" s="9" t="s">
        <v>875</v>
      </c>
      <c r="E139" s="1">
        <v>0.18</v>
      </c>
      <c r="F139" s="1" t="s">
        <v>544</v>
      </c>
      <c r="G139" s="1" t="s">
        <v>1401</v>
      </c>
      <c r="H139" s="10">
        <v>45119</v>
      </c>
      <c r="I139" s="24">
        <v>51120</v>
      </c>
    </row>
    <row r="140" spans="1:9">
      <c r="A140" s="1" t="s">
        <v>1399</v>
      </c>
      <c r="B140" s="3">
        <v>45136</v>
      </c>
      <c r="C140" s="6" t="s">
        <v>377</v>
      </c>
      <c r="D140" s="9" t="s">
        <v>875</v>
      </c>
      <c r="E140" s="1">
        <v>1.68</v>
      </c>
      <c r="F140" s="1" t="s">
        <v>544</v>
      </c>
      <c r="G140" s="1" t="s">
        <v>1401</v>
      </c>
      <c r="H140" s="10">
        <v>45119</v>
      </c>
      <c r="I140" s="24">
        <v>51520</v>
      </c>
    </row>
    <row r="141" spans="1:9">
      <c r="A141" s="1" t="s">
        <v>1399</v>
      </c>
      <c r="B141" s="3">
        <v>45136</v>
      </c>
      <c r="C141" s="6" t="s">
        <v>363</v>
      </c>
      <c r="D141" s="9" t="s">
        <v>875</v>
      </c>
      <c r="E141" s="1">
        <v>0.24099999999999999</v>
      </c>
      <c r="F141" s="1" t="s">
        <v>544</v>
      </c>
      <c r="G141" s="1" t="s">
        <v>1401</v>
      </c>
      <c r="H141" s="10">
        <v>45119</v>
      </c>
      <c r="I141" s="24">
        <v>51520</v>
      </c>
    </row>
    <row r="142" spans="1:9">
      <c r="A142" s="1" t="s">
        <v>1399</v>
      </c>
      <c r="B142" s="3">
        <v>45136</v>
      </c>
      <c r="C142" s="6" t="s">
        <v>303</v>
      </c>
      <c r="D142" s="9" t="s">
        <v>875</v>
      </c>
      <c r="E142" s="1">
        <v>6.6000000000000003E-2</v>
      </c>
      <c r="F142" s="1" t="s">
        <v>544</v>
      </c>
      <c r="G142" s="1" t="s">
        <v>1401</v>
      </c>
      <c r="H142" s="10">
        <v>45119</v>
      </c>
      <c r="I142" s="24">
        <v>50920</v>
      </c>
    </row>
    <row r="143" spans="1:9">
      <c r="A143" s="1" t="s">
        <v>1402</v>
      </c>
      <c r="B143" s="3">
        <v>45136</v>
      </c>
      <c r="C143" s="6" t="s">
        <v>862</v>
      </c>
      <c r="D143" s="9" t="s">
        <v>875</v>
      </c>
      <c r="E143" s="1">
        <v>1.2869999999999999</v>
      </c>
      <c r="F143" s="1" t="s">
        <v>544</v>
      </c>
      <c r="G143" s="1" t="s">
        <v>1238</v>
      </c>
      <c r="H143" s="10">
        <v>45111</v>
      </c>
      <c r="I143" s="24">
        <v>36470</v>
      </c>
    </row>
    <row r="144" spans="1:9">
      <c r="A144" s="1" t="s">
        <v>1400</v>
      </c>
      <c r="B144" s="3">
        <v>45136</v>
      </c>
      <c r="C144" s="6" t="s">
        <v>254</v>
      </c>
      <c r="D144" s="9" t="s">
        <v>875</v>
      </c>
      <c r="E144" s="1">
        <v>0.309</v>
      </c>
      <c r="F144" s="1" t="s">
        <v>544</v>
      </c>
      <c r="G144" s="1" t="s">
        <v>1267</v>
      </c>
      <c r="H144" s="10">
        <v>45111</v>
      </c>
      <c r="I144" s="24">
        <v>51120</v>
      </c>
    </row>
    <row r="145" spans="1:9">
      <c r="A145" s="1" t="s">
        <v>1400</v>
      </c>
      <c r="B145" s="3">
        <v>45136</v>
      </c>
      <c r="C145" s="6" t="s">
        <v>205</v>
      </c>
      <c r="D145" s="9" t="s">
        <v>875</v>
      </c>
      <c r="E145" s="1">
        <v>0.28299999999999997</v>
      </c>
      <c r="F145" s="1" t="s">
        <v>544</v>
      </c>
      <c r="G145" s="1" t="s">
        <v>1267</v>
      </c>
      <c r="H145" s="10">
        <v>45111</v>
      </c>
      <c r="I145" s="24">
        <v>51120</v>
      </c>
    </row>
    <row r="146" spans="1:9">
      <c r="A146" s="1" t="s">
        <v>1400</v>
      </c>
      <c r="B146" s="3">
        <v>45136</v>
      </c>
      <c r="C146" s="6" t="s">
        <v>343</v>
      </c>
      <c r="D146" s="9" t="s">
        <v>875</v>
      </c>
      <c r="E146" s="1">
        <v>1.1379999999999999</v>
      </c>
      <c r="F146" s="1" t="s">
        <v>544</v>
      </c>
      <c r="G146" s="1" t="s">
        <v>1267</v>
      </c>
      <c r="H146" s="10">
        <v>45111</v>
      </c>
      <c r="I146" s="24">
        <v>51520</v>
      </c>
    </row>
    <row r="147" spans="1:9">
      <c r="A147" s="1" t="s">
        <v>1400</v>
      </c>
      <c r="B147" s="3">
        <v>45136</v>
      </c>
      <c r="C147" s="6" t="s">
        <v>344</v>
      </c>
      <c r="D147" s="9" t="s">
        <v>875</v>
      </c>
      <c r="E147" s="1">
        <v>1.3120000000000001</v>
      </c>
      <c r="F147" s="1" t="s">
        <v>544</v>
      </c>
      <c r="G147" s="1" t="s">
        <v>1267</v>
      </c>
      <c r="H147" s="10">
        <v>45111</v>
      </c>
      <c r="I147" s="24">
        <v>50920</v>
      </c>
    </row>
    <row r="148" spans="1:9">
      <c r="A148" s="1" t="s">
        <v>1400</v>
      </c>
      <c r="B148" s="3">
        <v>45136</v>
      </c>
      <c r="C148" s="6" t="s">
        <v>345</v>
      </c>
      <c r="D148" s="9" t="s">
        <v>875</v>
      </c>
      <c r="E148" s="1">
        <v>0.28100000000000003</v>
      </c>
      <c r="F148" s="1" t="s">
        <v>544</v>
      </c>
      <c r="G148" s="1" t="s">
        <v>1267</v>
      </c>
      <c r="H148" s="10">
        <v>45111</v>
      </c>
      <c r="I148" s="24">
        <v>50920</v>
      </c>
    </row>
    <row r="149" spans="1:9">
      <c r="A149" s="1" t="s">
        <v>1400</v>
      </c>
      <c r="B149" s="3">
        <v>45136</v>
      </c>
      <c r="C149" s="6" t="s">
        <v>609</v>
      </c>
      <c r="D149" s="9" t="s">
        <v>875</v>
      </c>
      <c r="E149" s="1">
        <v>0.11600000000000001</v>
      </c>
      <c r="F149" s="1" t="s">
        <v>544</v>
      </c>
      <c r="G149" s="1" t="s">
        <v>1267</v>
      </c>
      <c r="H149" s="10">
        <v>45111</v>
      </c>
      <c r="I149" s="24">
        <v>59920</v>
      </c>
    </row>
    <row r="150" spans="1:9">
      <c r="A150" s="1"/>
      <c r="B150" s="3"/>
      <c r="C150" s="1"/>
      <c r="D150" s="9"/>
      <c r="E150" s="2">
        <f>SUM(E132:E149)</f>
        <v>12.655999999999997</v>
      </c>
      <c r="F150" s="1"/>
      <c r="G150" s="1"/>
      <c r="H150" s="1"/>
      <c r="I150" s="24"/>
    </row>
    <row r="151" spans="1:9">
      <c r="A151" s="1"/>
      <c r="B151" s="3"/>
      <c r="C151" s="1"/>
      <c r="D151" s="9"/>
      <c r="E151" s="2"/>
      <c r="F151" s="1"/>
      <c r="G151" s="1"/>
      <c r="H151" s="1"/>
      <c r="I151" s="24"/>
    </row>
    <row r="152" spans="1:9">
      <c r="A152" s="1"/>
      <c r="B152" s="3"/>
      <c r="C152" s="1"/>
      <c r="D152" s="9"/>
      <c r="E152" s="2"/>
      <c r="F152" s="1"/>
      <c r="G152" s="1"/>
      <c r="H152" s="1"/>
      <c r="I152" s="24"/>
    </row>
    <row r="153" spans="1:9">
      <c r="A153" s="1"/>
      <c r="B153" s="3"/>
      <c r="C153" s="1"/>
      <c r="D153" s="9"/>
      <c r="E153" s="2"/>
      <c r="F153" s="1"/>
      <c r="G153" s="1"/>
      <c r="H153" s="1"/>
      <c r="I153" s="24"/>
    </row>
    <row r="154" spans="1:9">
      <c r="A154" s="1"/>
      <c r="B154" s="3"/>
      <c r="C154" s="1"/>
      <c r="D154" s="9"/>
      <c r="E154" s="2"/>
      <c r="F154" s="1"/>
      <c r="G154" s="1"/>
      <c r="H154" s="1"/>
      <c r="I154" s="24"/>
    </row>
    <row r="155" spans="1:9">
      <c r="A155" s="1"/>
      <c r="B155" s="3"/>
      <c r="C155" s="1"/>
      <c r="D155" s="9"/>
      <c r="E155" s="2"/>
      <c r="F155" s="1"/>
      <c r="G155" s="1"/>
      <c r="H155" s="1"/>
      <c r="I155" s="24"/>
    </row>
    <row r="156" spans="1:9">
      <c r="A156" s="1"/>
      <c r="B156" s="3"/>
      <c r="C156" s="1"/>
      <c r="D156" s="9"/>
      <c r="E156" s="2"/>
      <c r="F156" s="1"/>
      <c r="G156" s="1"/>
      <c r="H156" s="1"/>
      <c r="I156" s="24"/>
    </row>
    <row r="157" spans="1:9">
      <c r="A157" s="1"/>
      <c r="B157" s="3"/>
      <c r="C157" s="1"/>
      <c r="D157" s="9"/>
      <c r="E157" s="2"/>
      <c r="F157" s="1"/>
      <c r="G157" s="1"/>
      <c r="H157" s="1"/>
      <c r="I157" s="24"/>
    </row>
    <row r="158" spans="1:9">
      <c r="A158" s="1"/>
      <c r="B158" s="3"/>
      <c r="C158" s="1"/>
      <c r="D158" s="9"/>
      <c r="E158" s="2"/>
      <c r="F158" s="1"/>
      <c r="G158" s="1"/>
      <c r="H158" s="1"/>
      <c r="I158" s="24"/>
    </row>
    <row r="159" spans="1:9">
      <c r="A159" s="1"/>
      <c r="B159" s="3"/>
      <c r="C159" s="1"/>
      <c r="D159" s="9"/>
      <c r="E159" s="2"/>
      <c r="F159" s="1"/>
      <c r="G159" s="1"/>
      <c r="H159" s="1"/>
      <c r="I159" s="24"/>
    </row>
    <row r="160" spans="1:9">
      <c r="A160" s="1"/>
      <c r="B160" s="3"/>
      <c r="C160" s="1"/>
      <c r="D160" s="9"/>
      <c r="E160" s="2"/>
      <c r="F160" s="1"/>
      <c r="G160" s="1"/>
      <c r="H160" s="1"/>
      <c r="I160" s="24"/>
    </row>
    <row r="161" spans="1:9">
      <c r="A161" s="1"/>
      <c r="B161" s="3"/>
      <c r="C161" s="1"/>
      <c r="D161" s="9"/>
      <c r="E161" s="2"/>
      <c r="F161" s="1"/>
      <c r="G161" s="1"/>
      <c r="H161" s="1"/>
      <c r="I161" s="24"/>
    </row>
    <row r="162" spans="1:9">
      <c r="A162" s="1"/>
      <c r="B162" s="3"/>
      <c r="C162" s="1"/>
      <c r="D162" s="9"/>
      <c r="E162" s="2"/>
      <c r="F162" s="1"/>
      <c r="G162" s="1"/>
      <c r="H162" s="1"/>
      <c r="I162" s="24"/>
    </row>
    <row r="163" spans="1:9">
      <c r="A163" s="1"/>
      <c r="B163" s="3"/>
      <c r="C163" s="1"/>
      <c r="D163" s="9"/>
      <c r="E163" s="2"/>
      <c r="F163" s="1"/>
      <c r="G163" s="1"/>
      <c r="H163" s="1"/>
      <c r="I163" s="24"/>
    </row>
    <row r="164" spans="1:9">
      <c r="A164" s="1"/>
      <c r="B164" s="3"/>
      <c r="C164" s="1"/>
      <c r="D164" s="9"/>
      <c r="E164" s="1"/>
      <c r="F164" s="1"/>
      <c r="G164" s="1"/>
      <c r="H164" s="1"/>
      <c r="I164" s="24"/>
    </row>
    <row r="165" spans="1:9">
      <c r="A165" s="1"/>
      <c r="B165" s="3"/>
      <c r="C165" s="1"/>
      <c r="D165" s="1"/>
      <c r="E165" s="1"/>
      <c r="F165" s="1"/>
      <c r="G165" s="1"/>
      <c r="H165" s="1"/>
      <c r="I165" s="24"/>
    </row>
    <row r="166" spans="1:9">
      <c r="A166" s="1"/>
      <c r="B166" s="1"/>
      <c r="C166" s="1"/>
      <c r="D166" s="59" t="s">
        <v>924</v>
      </c>
      <c r="E166" s="2">
        <f>SUM(E2:E165)/2</f>
        <v>318.88100000000003</v>
      </c>
      <c r="F166" s="1"/>
      <c r="G166" s="1"/>
      <c r="H166" s="1"/>
      <c r="I166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6"/>
  <sheetViews>
    <sheetView topLeftCell="A13" workbookViewId="0">
      <selection activeCell="G17" sqref="G17"/>
    </sheetView>
  </sheetViews>
  <sheetFormatPr defaultRowHeight="15"/>
  <cols>
    <col min="1" max="1" width="18.28515625" customWidth="1"/>
    <col min="2" max="2" width="10.28515625" bestFit="1" customWidth="1"/>
    <col min="3" max="3" width="30.5703125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60" t="s">
        <v>1386</v>
      </c>
      <c r="B2" s="61">
        <v>45136</v>
      </c>
      <c r="C2" s="6" t="s">
        <v>1387</v>
      </c>
      <c r="D2" s="63" t="s">
        <v>78</v>
      </c>
      <c r="E2" s="56">
        <f>7.63+7.147</f>
        <v>14.777000000000001</v>
      </c>
      <c r="F2" s="24" t="s">
        <v>97</v>
      </c>
      <c r="G2" s="1" t="s">
        <v>1388</v>
      </c>
      <c r="H2" s="1" t="s">
        <v>1217</v>
      </c>
      <c r="I2" s="61">
        <v>45111</v>
      </c>
    </row>
    <row r="3" spans="1:9">
      <c r="A3" s="60" t="s">
        <v>1389</v>
      </c>
      <c r="B3" s="61">
        <v>45136</v>
      </c>
      <c r="C3" s="6" t="s">
        <v>1387</v>
      </c>
      <c r="D3" s="63" t="s">
        <v>78</v>
      </c>
      <c r="E3" s="56">
        <f>9.72+7.137</f>
        <v>16.856999999999999</v>
      </c>
      <c r="F3" s="24" t="s">
        <v>97</v>
      </c>
      <c r="G3" s="1" t="s">
        <v>1390</v>
      </c>
      <c r="H3" s="1" t="s">
        <v>1112</v>
      </c>
      <c r="I3" s="61">
        <v>45111</v>
      </c>
    </row>
    <row r="4" spans="1:9">
      <c r="A4" s="60" t="s">
        <v>1392</v>
      </c>
      <c r="B4" s="61">
        <v>45136</v>
      </c>
      <c r="C4" s="6" t="s">
        <v>1391</v>
      </c>
      <c r="D4" s="63" t="s">
        <v>78</v>
      </c>
      <c r="E4" s="56">
        <v>12.41</v>
      </c>
      <c r="F4" s="24" t="s">
        <v>1393</v>
      </c>
      <c r="G4" s="1" t="s">
        <v>1394</v>
      </c>
      <c r="H4" s="1" t="s">
        <v>1217</v>
      </c>
      <c r="I4" s="61">
        <v>45111</v>
      </c>
    </row>
    <row r="5" spans="1:9">
      <c r="A5" s="60" t="s">
        <v>1392</v>
      </c>
      <c r="B5" s="61">
        <v>45136</v>
      </c>
      <c r="C5" s="6" t="s">
        <v>1355</v>
      </c>
      <c r="D5" s="63" t="s">
        <v>78</v>
      </c>
      <c r="E5" s="56">
        <v>7.7560000000000002</v>
      </c>
      <c r="F5" s="24" t="s">
        <v>1393</v>
      </c>
      <c r="G5" s="1" t="s">
        <v>1394</v>
      </c>
      <c r="H5" s="1" t="s">
        <v>1217</v>
      </c>
      <c r="I5" s="61">
        <v>45111</v>
      </c>
    </row>
    <row r="6" spans="1:9">
      <c r="A6" s="60" t="s">
        <v>1395</v>
      </c>
      <c r="B6" s="61">
        <v>45136</v>
      </c>
      <c r="C6" s="6" t="s">
        <v>1391</v>
      </c>
      <c r="D6" s="63" t="s">
        <v>78</v>
      </c>
      <c r="E6" s="56">
        <v>3</v>
      </c>
      <c r="F6" s="24" t="s">
        <v>1393</v>
      </c>
      <c r="G6" s="1" t="s">
        <v>1394</v>
      </c>
      <c r="H6" s="1" t="s">
        <v>1112</v>
      </c>
      <c r="I6" s="61">
        <v>45111</v>
      </c>
    </row>
    <row r="7" spans="1:9">
      <c r="A7" s="60" t="s">
        <v>1395</v>
      </c>
      <c r="B7" s="61">
        <v>45136</v>
      </c>
      <c r="C7" s="6" t="s">
        <v>1355</v>
      </c>
      <c r="D7" s="63" t="s">
        <v>78</v>
      </c>
      <c r="E7" s="56">
        <v>5.5140000000000002</v>
      </c>
      <c r="F7" s="24" t="s">
        <v>1393</v>
      </c>
      <c r="G7" s="1" t="s">
        <v>1394</v>
      </c>
      <c r="H7" s="1" t="s">
        <v>1112</v>
      </c>
      <c r="I7" s="61">
        <v>45111</v>
      </c>
    </row>
    <row r="8" spans="1:9">
      <c r="A8" s="60" t="s">
        <v>1396</v>
      </c>
      <c r="B8" s="61">
        <v>45136</v>
      </c>
      <c r="C8" s="6" t="s">
        <v>1294</v>
      </c>
      <c r="D8" s="63" t="s">
        <v>78</v>
      </c>
      <c r="E8" s="56">
        <v>2.5590000000000002</v>
      </c>
      <c r="F8" s="24" t="s">
        <v>1393</v>
      </c>
      <c r="G8" s="1" t="s">
        <v>1394</v>
      </c>
      <c r="H8" s="1" t="s">
        <v>1115</v>
      </c>
      <c r="I8" s="61">
        <v>45111</v>
      </c>
    </row>
    <row r="9" spans="1:9">
      <c r="A9" s="15"/>
      <c r="B9" s="61"/>
      <c r="C9" s="6"/>
      <c r="D9" s="1"/>
      <c r="E9" s="57">
        <f>SUM(E2:E8)</f>
        <v>62.872999999999998</v>
      </c>
      <c r="F9" s="24"/>
      <c r="G9" s="1"/>
      <c r="H9" s="1"/>
      <c r="I9" s="3"/>
    </row>
    <row r="10" spans="1:9">
      <c r="A10" s="60" t="s">
        <v>1403</v>
      </c>
      <c r="B10" s="61">
        <v>45137</v>
      </c>
      <c r="C10" s="6" t="s">
        <v>1387</v>
      </c>
      <c r="D10" s="63" t="s">
        <v>78</v>
      </c>
      <c r="E10" s="78">
        <f>5.504+1.384</f>
        <v>6.8879999999999999</v>
      </c>
      <c r="F10" s="24" t="s">
        <v>851</v>
      </c>
      <c r="G10" s="1" t="s">
        <v>1404</v>
      </c>
      <c r="H10" s="1" t="s">
        <v>1217</v>
      </c>
      <c r="I10" s="61">
        <v>45111</v>
      </c>
    </row>
    <row r="11" spans="1:9">
      <c r="A11" s="60" t="s">
        <v>1405</v>
      </c>
      <c r="B11" s="61">
        <v>45137</v>
      </c>
      <c r="C11" s="6" t="s">
        <v>1387</v>
      </c>
      <c r="D11" s="63" t="s">
        <v>78</v>
      </c>
      <c r="E11" s="78">
        <f>4.941+1.003</f>
        <v>5.944</v>
      </c>
      <c r="F11" s="24" t="s">
        <v>851</v>
      </c>
      <c r="G11" s="1" t="s">
        <v>1406</v>
      </c>
      <c r="H11" s="1" t="s">
        <v>1112</v>
      </c>
      <c r="I11" s="61">
        <v>45111</v>
      </c>
    </row>
    <row r="12" spans="1:9">
      <c r="A12" s="60" t="s">
        <v>1407</v>
      </c>
      <c r="B12" s="61">
        <v>45137</v>
      </c>
      <c r="C12" s="6" t="s">
        <v>1408</v>
      </c>
      <c r="D12" s="63" t="s">
        <v>78</v>
      </c>
      <c r="E12" s="78">
        <f>1.104+10.534+6.399</f>
        <v>18.037000000000003</v>
      </c>
      <c r="F12" s="24" t="s">
        <v>851</v>
      </c>
      <c r="G12" s="1" t="s">
        <v>1409</v>
      </c>
      <c r="H12" s="1" t="s">
        <v>1115</v>
      </c>
      <c r="I12" s="61">
        <v>45111</v>
      </c>
    </row>
    <row r="13" spans="1:9">
      <c r="A13" s="60" t="s">
        <v>1410</v>
      </c>
      <c r="B13" s="61">
        <v>45137</v>
      </c>
      <c r="C13" s="6" t="s">
        <v>1408</v>
      </c>
      <c r="D13" s="63" t="s">
        <v>78</v>
      </c>
      <c r="E13" s="78">
        <f>6.242+23.48</f>
        <v>29.722000000000001</v>
      </c>
      <c r="F13" s="24" t="s">
        <v>97</v>
      </c>
      <c r="G13" s="1" t="s">
        <v>1412</v>
      </c>
      <c r="H13" s="1" t="s">
        <v>1115</v>
      </c>
      <c r="I13" s="61">
        <v>45111</v>
      </c>
    </row>
    <row r="14" spans="1:9">
      <c r="A14" s="60" t="s">
        <v>1411</v>
      </c>
      <c r="B14" s="61">
        <v>45137</v>
      </c>
      <c r="C14" s="6" t="s">
        <v>1408</v>
      </c>
      <c r="D14" s="63" t="s">
        <v>78</v>
      </c>
      <c r="E14" s="78">
        <f>1.332+0.256</f>
        <v>1.5880000000000001</v>
      </c>
      <c r="F14" s="24" t="s">
        <v>97</v>
      </c>
      <c r="G14" s="1" t="s">
        <v>1413</v>
      </c>
      <c r="H14" s="1" t="s">
        <v>1187</v>
      </c>
      <c r="I14" s="61">
        <v>45111</v>
      </c>
    </row>
    <row r="15" spans="1:9">
      <c r="A15" s="60" t="s">
        <v>1414</v>
      </c>
      <c r="B15" s="61">
        <v>45137</v>
      </c>
      <c r="C15" s="6" t="s">
        <v>1408</v>
      </c>
      <c r="D15" s="63" t="s">
        <v>78</v>
      </c>
      <c r="E15" s="78">
        <f>12.059+12.641+0.236</f>
        <v>24.936</v>
      </c>
      <c r="F15" s="24" t="s">
        <v>267</v>
      </c>
      <c r="G15" s="1" t="s">
        <v>1415</v>
      </c>
      <c r="H15" s="1" t="s">
        <v>1115</v>
      </c>
      <c r="I15" s="61">
        <v>45111</v>
      </c>
    </row>
    <row r="16" spans="1:9">
      <c r="A16" s="60" t="s">
        <v>1417</v>
      </c>
      <c r="B16" s="61">
        <v>45137</v>
      </c>
      <c r="C16" s="6" t="s">
        <v>1408</v>
      </c>
      <c r="D16" s="63" t="s">
        <v>78</v>
      </c>
      <c r="E16" s="78">
        <v>3.1760000000000002</v>
      </c>
      <c r="F16" s="24" t="s">
        <v>267</v>
      </c>
      <c r="G16" s="1" t="s">
        <v>1416</v>
      </c>
      <c r="H16" s="1" t="s">
        <v>1187</v>
      </c>
      <c r="I16" s="61">
        <v>45111</v>
      </c>
    </row>
    <row r="17" spans="1:9">
      <c r="A17" s="60" t="s">
        <v>1418</v>
      </c>
      <c r="B17" s="61">
        <v>45137</v>
      </c>
      <c r="C17" s="6" t="s">
        <v>1370</v>
      </c>
      <c r="D17" s="63" t="s">
        <v>78</v>
      </c>
      <c r="E17" s="78">
        <v>3.7570000000000001</v>
      </c>
      <c r="F17" s="24" t="s">
        <v>267</v>
      </c>
      <c r="G17" s="1" t="s">
        <v>1416</v>
      </c>
      <c r="H17" s="1" t="s">
        <v>1112</v>
      </c>
      <c r="I17" s="61">
        <v>45111</v>
      </c>
    </row>
    <row r="18" spans="1:9">
      <c r="A18" s="15"/>
      <c r="B18" s="61"/>
      <c r="C18" s="6"/>
      <c r="D18" s="1"/>
      <c r="E18" s="79">
        <f>SUM(E10:E17)</f>
        <v>94.048000000000016</v>
      </c>
      <c r="F18" s="24"/>
      <c r="G18" s="1"/>
      <c r="H18" s="1"/>
      <c r="I18" s="3"/>
    </row>
    <row r="19" spans="1:9">
      <c r="A19" s="60" t="s">
        <v>1419</v>
      </c>
      <c r="B19" s="61">
        <v>45138</v>
      </c>
      <c r="C19" s="6" t="s">
        <v>1408</v>
      </c>
      <c r="D19" s="63" t="s">
        <v>78</v>
      </c>
      <c r="E19" s="56">
        <f>3.365+2.107+12.641+0.51</f>
        <v>18.623000000000001</v>
      </c>
      <c r="F19" s="24" t="s">
        <v>97</v>
      </c>
      <c r="G19" s="1" t="s">
        <v>1420</v>
      </c>
      <c r="H19" s="1" t="s">
        <v>1115</v>
      </c>
      <c r="I19" s="61">
        <v>45111</v>
      </c>
    </row>
    <row r="20" spans="1:9">
      <c r="A20" s="60" t="s">
        <v>1421</v>
      </c>
      <c r="B20" s="61">
        <v>45138</v>
      </c>
      <c r="C20" s="6" t="s">
        <v>1408</v>
      </c>
      <c r="D20" s="63" t="s">
        <v>78</v>
      </c>
      <c r="E20" s="56">
        <v>5.125</v>
      </c>
      <c r="F20" s="24" t="s">
        <v>97</v>
      </c>
      <c r="G20" s="14" t="s">
        <v>1422</v>
      </c>
      <c r="H20" s="1" t="s">
        <v>1187</v>
      </c>
      <c r="I20" s="61">
        <v>45111</v>
      </c>
    </row>
    <row r="21" spans="1:9">
      <c r="A21" s="60" t="s">
        <v>1423</v>
      </c>
      <c r="B21" s="61">
        <v>45138</v>
      </c>
      <c r="C21" s="6" t="s">
        <v>1408</v>
      </c>
      <c r="D21" s="63" t="s">
        <v>78</v>
      </c>
      <c r="E21" s="56">
        <v>2.6469999999999998</v>
      </c>
      <c r="F21" s="24" t="s">
        <v>97</v>
      </c>
      <c r="G21" s="1" t="s">
        <v>1422</v>
      </c>
      <c r="H21" s="1" t="s">
        <v>1217</v>
      </c>
      <c r="I21" s="61">
        <v>45111</v>
      </c>
    </row>
    <row r="22" spans="1:9">
      <c r="A22" s="60" t="s">
        <v>1424</v>
      </c>
      <c r="B22" s="61">
        <v>45138</v>
      </c>
      <c r="C22" s="6" t="s">
        <v>1408</v>
      </c>
      <c r="D22" s="63" t="s">
        <v>78</v>
      </c>
      <c r="E22" s="56">
        <v>1.9730000000000001</v>
      </c>
      <c r="F22" s="24" t="s">
        <v>97</v>
      </c>
      <c r="G22" s="1" t="s">
        <v>1422</v>
      </c>
      <c r="H22" s="1" t="s">
        <v>1297</v>
      </c>
      <c r="I22" s="61">
        <v>45111</v>
      </c>
    </row>
    <row r="23" spans="1:9">
      <c r="A23" s="60" t="s">
        <v>1425</v>
      </c>
      <c r="B23" s="61">
        <v>45138</v>
      </c>
      <c r="C23" s="6" t="s">
        <v>1408</v>
      </c>
      <c r="D23" s="63" t="s">
        <v>78</v>
      </c>
      <c r="E23" s="56">
        <v>3.617</v>
      </c>
      <c r="F23" s="24" t="s">
        <v>97</v>
      </c>
      <c r="G23" s="1" t="s">
        <v>1422</v>
      </c>
      <c r="H23" s="1" t="s">
        <v>1112</v>
      </c>
      <c r="I23" s="61">
        <v>45111</v>
      </c>
    </row>
    <row r="24" spans="1:9">
      <c r="A24" s="60" t="s">
        <v>1426</v>
      </c>
      <c r="B24" s="61">
        <v>45138</v>
      </c>
      <c r="C24" s="6" t="s">
        <v>1365</v>
      </c>
      <c r="D24" s="63" t="s">
        <v>78</v>
      </c>
      <c r="E24" s="56">
        <v>31.93</v>
      </c>
      <c r="F24" s="24" t="s">
        <v>83</v>
      </c>
      <c r="G24" s="1" t="s">
        <v>1427</v>
      </c>
      <c r="H24" s="1" t="s">
        <v>1112</v>
      </c>
      <c r="I24" s="61">
        <v>45111</v>
      </c>
    </row>
    <row r="25" spans="1:9">
      <c r="A25" s="15"/>
      <c r="B25" s="61"/>
      <c r="C25" s="6"/>
      <c r="D25" s="1"/>
      <c r="E25" s="57">
        <f>SUM(E19:E24)</f>
        <v>63.914999999999999</v>
      </c>
      <c r="F25" s="24"/>
      <c r="G25" s="1"/>
      <c r="H25" s="1"/>
      <c r="I25" s="3"/>
    </row>
    <row r="26" spans="1:9">
      <c r="A26" s="60" t="s">
        <v>1429</v>
      </c>
      <c r="B26" s="61">
        <v>45139</v>
      </c>
      <c r="C26" s="6" t="s">
        <v>1365</v>
      </c>
      <c r="D26" s="63" t="s">
        <v>78</v>
      </c>
      <c r="E26" s="56">
        <v>3.5960000000000001</v>
      </c>
      <c r="F26" s="24" t="s">
        <v>97</v>
      </c>
      <c r="G26" s="1" t="s">
        <v>1430</v>
      </c>
      <c r="H26" s="1" t="s">
        <v>1217</v>
      </c>
      <c r="I26" s="61">
        <v>45111</v>
      </c>
    </row>
    <row r="27" spans="1:9">
      <c r="A27" s="60" t="s">
        <v>1431</v>
      </c>
      <c r="B27" s="61">
        <v>45139</v>
      </c>
      <c r="C27" s="6" t="s">
        <v>1365</v>
      </c>
      <c r="D27" s="63" t="s">
        <v>78</v>
      </c>
      <c r="E27" s="56">
        <f>0.42+6.824</f>
        <v>7.2439999999999998</v>
      </c>
      <c r="F27" s="24" t="s">
        <v>97</v>
      </c>
      <c r="G27" s="1" t="s">
        <v>1432</v>
      </c>
      <c r="H27" s="1" t="s">
        <v>1187</v>
      </c>
      <c r="I27" s="61">
        <v>45111</v>
      </c>
    </row>
    <row r="28" spans="1:9">
      <c r="A28" s="60" t="s">
        <v>1433</v>
      </c>
      <c r="B28" s="61">
        <v>45139</v>
      </c>
      <c r="C28" s="6" t="s">
        <v>1365</v>
      </c>
      <c r="D28" s="63" t="s">
        <v>78</v>
      </c>
      <c r="E28" s="56">
        <f>5.817+12.654+3.332</f>
        <v>21.803000000000001</v>
      </c>
      <c r="F28" s="24" t="s">
        <v>97</v>
      </c>
      <c r="G28" s="1" t="s">
        <v>1434</v>
      </c>
      <c r="H28" s="1" t="s">
        <v>1112</v>
      </c>
      <c r="I28" s="61">
        <v>45111</v>
      </c>
    </row>
    <row r="29" spans="1:9">
      <c r="A29" s="60" t="s">
        <v>1435</v>
      </c>
      <c r="B29" s="61">
        <v>45139</v>
      </c>
      <c r="C29" s="6" t="s">
        <v>1365</v>
      </c>
      <c r="D29" s="1" t="s">
        <v>11</v>
      </c>
      <c r="E29" s="56">
        <f>8.906+12.628+3.344</f>
        <v>24.878</v>
      </c>
      <c r="F29" s="24" t="s">
        <v>42</v>
      </c>
      <c r="G29" s="1" t="s">
        <v>1436</v>
      </c>
      <c r="H29" s="1" t="s">
        <v>687</v>
      </c>
      <c r="I29" s="61">
        <v>45064</v>
      </c>
    </row>
    <row r="30" spans="1:9">
      <c r="A30" s="60" t="s">
        <v>1437</v>
      </c>
      <c r="B30" s="61">
        <v>45139</v>
      </c>
      <c r="C30" s="6" t="s">
        <v>1366</v>
      </c>
      <c r="D30" s="63" t="s">
        <v>78</v>
      </c>
      <c r="E30" s="56">
        <f>6.211+2.561</f>
        <v>8.7720000000000002</v>
      </c>
      <c r="F30" s="24" t="s">
        <v>267</v>
      </c>
      <c r="G30" s="1" t="s">
        <v>1438</v>
      </c>
      <c r="H30" s="1" t="s">
        <v>1112</v>
      </c>
      <c r="I30" s="61">
        <v>45111</v>
      </c>
    </row>
    <row r="31" spans="1:9">
      <c r="A31" s="60" t="s">
        <v>1437</v>
      </c>
      <c r="B31" s="61">
        <v>45139</v>
      </c>
      <c r="C31" s="6" t="s">
        <v>1365</v>
      </c>
      <c r="D31" s="63" t="s">
        <v>78</v>
      </c>
      <c r="E31" s="56">
        <v>7.2610000000000001</v>
      </c>
      <c r="F31" s="24" t="s">
        <v>267</v>
      </c>
      <c r="G31" s="1" t="s">
        <v>1438</v>
      </c>
      <c r="H31" s="1" t="s">
        <v>1112</v>
      </c>
      <c r="I31" s="61">
        <v>45111</v>
      </c>
    </row>
    <row r="32" spans="1:9">
      <c r="A32" s="60" t="s">
        <v>1437</v>
      </c>
      <c r="B32" s="61">
        <v>45139</v>
      </c>
      <c r="C32" s="6" t="s">
        <v>1377</v>
      </c>
      <c r="D32" s="63" t="s">
        <v>78</v>
      </c>
      <c r="E32" s="56">
        <v>2.0830000000000002</v>
      </c>
      <c r="F32" s="24" t="s">
        <v>267</v>
      </c>
      <c r="G32" s="1" t="s">
        <v>1438</v>
      </c>
      <c r="H32" s="1" t="s">
        <v>1112</v>
      </c>
      <c r="I32" s="61">
        <v>45111</v>
      </c>
    </row>
    <row r="33" spans="1:9">
      <c r="A33" s="60" t="s">
        <v>1439</v>
      </c>
      <c r="B33" s="61">
        <v>45139</v>
      </c>
      <c r="C33" s="6" t="s">
        <v>1366</v>
      </c>
      <c r="D33" s="63" t="s">
        <v>78</v>
      </c>
      <c r="E33" s="56">
        <v>4.5949999999999998</v>
      </c>
      <c r="F33" s="24" t="s">
        <v>267</v>
      </c>
      <c r="G33" s="1" t="s">
        <v>1440</v>
      </c>
      <c r="H33" s="1" t="s">
        <v>1217</v>
      </c>
      <c r="I33" s="61">
        <v>45111</v>
      </c>
    </row>
    <row r="34" spans="1:9">
      <c r="A34" s="60" t="s">
        <v>1439</v>
      </c>
      <c r="B34" s="61">
        <v>45139</v>
      </c>
      <c r="C34" s="6" t="s">
        <v>1377</v>
      </c>
      <c r="D34" s="63" t="s">
        <v>78</v>
      </c>
      <c r="E34" s="56">
        <v>3.431</v>
      </c>
      <c r="F34" s="24" t="s">
        <v>267</v>
      </c>
      <c r="G34" s="1" t="s">
        <v>1440</v>
      </c>
      <c r="H34" s="1" t="s">
        <v>1217</v>
      </c>
      <c r="I34" s="61">
        <v>45111</v>
      </c>
    </row>
    <row r="35" spans="1:9">
      <c r="A35" s="60" t="s">
        <v>1441</v>
      </c>
      <c r="B35" s="61">
        <v>45139</v>
      </c>
      <c r="C35" s="6" t="s">
        <v>1365</v>
      </c>
      <c r="D35" s="63" t="s">
        <v>78</v>
      </c>
      <c r="E35" s="56">
        <v>5.577</v>
      </c>
      <c r="F35" s="24" t="s">
        <v>267</v>
      </c>
      <c r="G35" s="1" t="s">
        <v>1440</v>
      </c>
      <c r="H35" s="1" t="s">
        <v>1187</v>
      </c>
      <c r="I35" s="61">
        <v>45111</v>
      </c>
    </row>
    <row r="36" spans="1:9">
      <c r="A36" s="60" t="s">
        <v>1442</v>
      </c>
      <c r="B36" s="61">
        <v>45139</v>
      </c>
      <c r="C36" s="6" t="s">
        <v>1365</v>
      </c>
      <c r="D36" s="1" t="s">
        <v>11</v>
      </c>
      <c r="E36" s="56">
        <v>19.436</v>
      </c>
      <c r="F36" s="24" t="s">
        <v>89</v>
      </c>
      <c r="G36" s="1" t="s">
        <v>1443</v>
      </c>
      <c r="H36" s="1" t="s">
        <v>687</v>
      </c>
      <c r="I36" s="61">
        <v>45064</v>
      </c>
    </row>
    <row r="37" spans="1:9">
      <c r="A37" s="60" t="s">
        <v>1444</v>
      </c>
      <c r="B37" s="61">
        <v>45139</v>
      </c>
      <c r="C37" s="6" t="s">
        <v>1365</v>
      </c>
      <c r="D37" s="1" t="s">
        <v>11</v>
      </c>
      <c r="E37" s="56">
        <v>5.7789999999999999</v>
      </c>
      <c r="F37" s="24" t="s">
        <v>89</v>
      </c>
      <c r="G37" s="1" t="s">
        <v>1443</v>
      </c>
      <c r="H37" s="1" t="s">
        <v>1385</v>
      </c>
      <c r="I37" s="61">
        <v>45125</v>
      </c>
    </row>
    <row r="38" spans="1:9">
      <c r="A38" s="60" t="s">
        <v>1445</v>
      </c>
      <c r="B38" s="61">
        <v>45139</v>
      </c>
      <c r="C38" s="6" t="s">
        <v>1366</v>
      </c>
      <c r="D38" s="63" t="s">
        <v>78</v>
      </c>
      <c r="E38" s="56">
        <v>24.581</v>
      </c>
      <c r="F38" s="24" t="s">
        <v>97</v>
      </c>
      <c r="G38" s="1" t="s">
        <v>1446</v>
      </c>
      <c r="H38" s="1" t="s">
        <v>1217</v>
      </c>
      <c r="I38" s="61">
        <v>45111</v>
      </c>
    </row>
    <row r="39" spans="1:9">
      <c r="A39" s="60" t="s">
        <v>1447</v>
      </c>
      <c r="B39" s="61">
        <v>45139</v>
      </c>
      <c r="C39" s="6" t="s">
        <v>1366</v>
      </c>
      <c r="D39" s="63" t="s">
        <v>78</v>
      </c>
      <c r="E39" s="56">
        <v>6.8310000000000004</v>
      </c>
      <c r="F39" s="24" t="s">
        <v>97</v>
      </c>
      <c r="G39" s="1" t="s">
        <v>1446</v>
      </c>
      <c r="H39" s="1" t="s">
        <v>1112</v>
      </c>
      <c r="I39" s="61">
        <v>45111</v>
      </c>
    </row>
    <row r="40" spans="1:9">
      <c r="A40" s="60"/>
      <c r="B40" s="61"/>
      <c r="C40" s="6"/>
      <c r="D40" s="63"/>
      <c r="E40" s="57">
        <f>SUM(E26:E39)</f>
        <v>145.86699999999996</v>
      </c>
      <c r="F40" s="24"/>
      <c r="G40" s="1"/>
      <c r="H40" s="1"/>
      <c r="I40" s="61"/>
    </row>
    <row r="41" spans="1:9">
      <c r="A41" s="60" t="s">
        <v>1449</v>
      </c>
      <c r="B41" s="61">
        <v>45141</v>
      </c>
      <c r="C41" s="6" t="s">
        <v>1365</v>
      </c>
      <c r="D41" s="1" t="s">
        <v>11</v>
      </c>
      <c r="E41" s="56">
        <f>4.218+6.102+1.73</f>
        <v>12.05</v>
      </c>
      <c r="F41" s="24" t="s">
        <v>598</v>
      </c>
      <c r="G41" s="1" t="s">
        <v>1450</v>
      </c>
      <c r="H41" s="1" t="s">
        <v>687</v>
      </c>
      <c r="I41" s="61">
        <v>45064</v>
      </c>
    </row>
    <row r="42" spans="1:9">
      <c r="A42" s="60" t="s">
        <v>1451</v>
      </c>
      <c r="B42" s="61">
        <v>45141</v>
      </c>
      <c r="C42" s="6" t="s">
        <v>1365</v>
      </c>
      <c r="D42" s="1" t="s">
        <v>11</v>
      </c>
      <c r="E42" s="56">
        <f>4.512+7.917</f>
        <v>12.428999999999998</v>
      </c>
      <c r="F42" s="24" t="s">
        <v>598</v>
      </c>
      <c r="G42" s="1" t="s">
        <v>1452</v>
      </c>
      <c r="H42" s="1" t="s">
        <v>1385</v>
      </c>
      <c r="I42" s="61">
        <v>45125</v>
      </c>
    </row>
    <row r="43" spans="1:9">
      <c r="A43" s="60" t="s">
        <v>1454</v>
      </c>
      <c r="B43" s="61">
        <v>45141</v>
      </c>
      <c r="C43" s="6" t="s">
        <v>1453</v>
      </c>
      <c r="D43" s="1" t="s">
        <v>11</v>
      </c>
      <c r="E43" s="56">
        <v>0.33600000000000002</v>
      </c>
      <c r="F43" s="24" t="s">
        <v>598</v>
      </c>
      <c r="G43" s="1" t="s">
        <v>1455</v>
      </c>
      <c r="H43" s="1" t="s">
        <v>622</v>
      </c>
      <c r="I43" s="61">
        <v>45082</v>
      </c>
    </row>
    <row r="44" spans="1:9">
      <c r="A44" s="60" t="s">
        <v>1456</v>
      </c>
      <c r="B44" s="61">
        <v>45141</v>
      </c>
      <c r="C44" s="6" t="s">
        <v>1391</v>
      </c>
      <c r="D44" s="63" t="s">
        <v>78</v>
      </c>
      <c r="E44" s="56">
        <v>0.20200000000000001</v>
      </c>
      <c r="F44" s="24" t="s">
        <v>1243</v>
      </c>
      <c r="G44" s="1" t="s">
        <v>1457</v>
      </c>
      <c r="H44" s="1" t="s">
        <v>1029</v>
      </c>
      <c r="I44" s="61">
        <v>45111</v>
      </c>
    </row>
    <row r="45" spans="1:9">
      <c r="A45" s="60" t="s">
        <v>1458</v>
      </c>
      <c r="B45" s="61">
        <v>45141</v>
      </c>
      <c r="C45" s="6" t="s">
        <v>1459</v>
      </c>
      <c r="D45" s="63" t="s">
        <v>78</v>
      </c>
      <c r="E45" s="56">
        <v>0.08</v>
      </c>
      <c r="F45" s="24" t="s">
        <v>1243</v>
      </c>
      <c r="G45" s="1" t="s">
        <v>1457</v>
      </c>
      <c r="H45" s="1" t="s">
        <v>1170</v>
      </c>
      <c r="I45" s="61">
        <v>45111</v>
      </c>
    </row>
    <row r="46" spans="1:9">
      <c r="A46" s="60" t="s">
        <v>1460</v>
      </c>
      <c r="B46" s="61">
        <v>45141</v>
      </c>
      <c r="C46" s="6" t="s">
        <v>1377</v>
      </c>
      <c r="D46" s="63" t="s">
        <v>78</v>
      </c>
      <c r="E46" s="56">
        <v>0.72299999999999998</v>
      </c>
      <c r="F46" s="24" t="s">
        <v>1243</v>
      </c>
      <c r="G46" s="1" t="s">
        <v>1457</v>
      </c>
      <c r="H46" s="1" t="s">
        <v>1217</v>
      </c>
      <c r="I46" s="61">
        <v>45111</v>
      </c>
    </row>
    <row r="47" spans="1:9">
      <c r="A47" s="60" t="s">
        <v>1460</v>
      </c>
      <c r="B47" s="61">
        <v>45141</v>
      </c>
      <c r="C47" s="6" t="s">
        <v>1366</v>
      </c>
      <c r="D47" s="63" t="s">
        <v>78</v>
      </c>
      <c r="E47" s="56">
        <v>17.696000000000002</v>
      </c>
      <c r="F47" s="24" t="s">
        <v>1243</v>
      </c>
      <c r="G47" s="1" t="s">
        <v>1457</v>
      </c>
      <c r="H47" s="1" t="s">
        <v>1217</v>
      </c>
      <c r="I47" s="61">
        <v>45111</v>
      </c>
    </row>
    <row r="48" spans="1:9">
      <c r="A48" s="60" t="s">
        <v>1460</v>
      </c>
      <c r="B48" s="61">
        <v>45141</v>
      </c>
      <c r="C48" s="6" t="s">
        <v>1223</v>
      </c>
      <c r="D48" s="63" t="s">
        <v>78</v>
      </c>
      <c r="E48" s="56">
        <v>1.484</v>
      </c>
      <c r="F48" s="24" t="s">
        <v>1243</v>
      </c>
      <c r="G48" s="1" t="s">
        <v>1457</v>
      </c>
      <c r="H48" s="1" t="s">
        <v>1217</v>
      </c>
      <c r="I48" s="61">
        <v>45111</v>
      </c>
    </row>
    <row r="49" spans="1:9">
      <c r="A49" s="60" t="s">
        <v>1461</v>
      </c>
      <c r="B49" s="61">
        <v>45141</v>
      </c>
      <c r="C49" s="6" t="s">
        <v>1350</v>
      </c>
      <c r="D49" s="63" t="s">
        <v>78</v>
      </c>
      <c r="E49" s="56">
        <v>1.986</v>
      </c>
      <c r="F49" s="24" t="s">
        <v>1243</v>
      </c>
      <c r="G49" s="1" t="s">
        <v>1457</v>
      </c>
      <c r="H49" s="1" t="s">
        <v>1187</v>
      </c>
      <c r="I49" s="61">
        <v>45111</v>
      </c>
    </row>
    <row r="50" spans="1:9">
      <c r="A50" s="60" t="s">
        <v>1461</v>
      </c>
      <c r="B50" s="61">
        <v>45141</v>
      </c>
      <c r="C50" s="6" t="s">
        <v>1328</v>
      </c>
      <c r="D50" s="63" t="s">
        <v>78</v>
      </c>
      <c r="E50" s="56">
        <v>1.399</v>
      </c>
      <c r="F50" s="24" t="s">
        <v>1243</v>
      </c>
      <c r="G50" s="1" t="s">
        <v>1457</v>
      </c>
      <c r="H50" s="1" t="s">
        <v>1187</v>
      </c>
      <c r="I50" s="61">
        <v>45111</v>
      </c>
    </row>
    <row r="51" spans="1:9">
      <c r="A51" s="60" t="s">
        <v>1462</v>
      </c>
      <c r="B51" s="61">
        <v>45141</v>
      </c>
      <c r="C51" s="6" t="s">
        <v>1459</v>
      </c>
      <c r="D51" s="63" t="s">
        <v>78</v>
      </c>
      <c r="E51" s="56">
        <v>1.6060000000000001</v>
      </c>
      <c r="F51" s="24" t="s">
        <v>1243</v>
      </c>
      <c r="G51" s="14" t="s">
        <v>1457</v>
      </c>
      <c r="H51" s="1" t="s">
        <v>1202</v>
      </c>
      <c r="I51" s="61">
        <v>45111</v>
      </c>
    </row>
    <row r="52" spans="1:9">
      <c r="A52" s="60" t="s">
        <v>1463</v>
      </c>
      <c r="B52" s="61">
        <v>45141</v>
      </c>
      <c r="C52" s="6" t="s">
        <v>1355</v>
      </c>
      <c r="D52" s="63" t="s">
        <v>78</v>
      </c>
      <c r="E52" s="56">
        <f>0.4+1.768</f>
        <v>2.1680000000000001</v>
      </c>
      <c r="F52" s="24" t="s">
        <v>1243</v>
      </c>
      <c r="G52" s="1" t="s">
        <v>1464</v>
      </c>
      <c r="H52" s="1" t="s">
        <v>1112</v>
      </c>
      <c r="I52" s="61">
        <v>45111</v>
      </c>
    </row>
    <row r="53" spans="1:9">
      <c r="A53" s="60" t="s">
        <v>1463</v>
      </c>
      <c r="B53" s="61">
        <v>45141</v>
      </c>
      <c r="C53" s="6" t="s">
        <v>1366</v>
      </c>
      <c r="D53" s="63" t="s">
        <v>78</v>
      </c>
      <c r="E53" s="56">
        <v>5.5359999999999996</v>
      </c>
      <c r="F53" s="24" t="s">
        <v>1243</v>
      </c>
      <c r="G53" s="1" t="s">
        <v>1464</v>
      </c>
      <c r="H53" s="1" t="s">
        <v>1112</v>
      </c>
      <c r="I53" s="61">
        <v>45111</v>
      </c>
    </row>
    <row r="54" spans="1:9">
      <c r="A54" s="60" t="s">
        <v>1465</v>
      </c>
      <c r="B54" s="61">
        <v>45141</v>
      </c>
      <c r="C54" s="6" t="s">
        <v>1366</v>
      </c>
      <c r="D54" s="63" t="s">
        <v>78</v>
      </c>
      <c r="E54" s="56">
        <v>16.774000000000001</v>
      </c>
      <c r="F54" s="24" t="s">
        <v>97</v>
      </c>
      <c r="G54" s="1" t="s">
        <v>1466</v>
      </c>
      <c r="H54" s="1" t="s">
        <v>1217</v>
      </c>
      <c r="I54" s="61">
        <v>45111</v>
      </c>
    </row>
    <row r="55" spans="1:9">
      <c r="A55" s="60" t="s">
        <v>1467</v>
      </c>
      <c r="B55" s="61">
        <v>45141</v>
      </c>
      <c r="C55" s="6" t="s">
        <v>1366</v>
      </c>
      <c r="D55" s="63" t="s">
        <v>78</v>
      </c>
      <c r="E55" s="56">
        <f>5.362+0.989</f>
        <v>6.351</v>
      </c>
      <c r="F55" s="24" t="s">
        <v>97</v>
      </c>
      <c r="G55" s="1" t="s">
        <v>1468</v>
      </c>
      <c r="H55" s="1" t="s">
        <v>1112</v>
      </c>
      <c r="I55" s="61">
        <v>45111</v>
      </c>
    </row>
    <row r="56" spans="1:9">
      <c r="A56" s="60" t="s">
        <v>1467</v>
      </c>
      <c r="B56" s="61">
        <v>45141</v>
      </c>
      <c r="C56" s="6" t="s">
        <v>1365</v>
      </c>
      <c r="D56" s="63" t="s">
        <v>78</v>
      </c>
      <c r="E56" s="56">
        <v>9.09</v>
      </c>
      <c r="F56" s="24" t="s">
        <v>97</v>
      </c>
      <c r="G56" s="1" t="s">
        <v>1468</v>
      </c>
      <c r="H56" s="1" t="s">
        <v>1112</v>
      </c>
      <c r="I56" s="61">
        <v>45111</v>
      </c>
    </row>
    <row r="57" spans="1:9">
      <c r="A57" s="60" t="s">
        <v>1469</v>
      </c>
      <c r="B57" s="61">
        <v>45141</v>
      </c>
      <c r="C57" s="6" t="s">
        <v>1470</v>
      </c>
      <c r="D57" s="63" t="s">
        <v>78</v>
      </c>
      <c r="E57" s="56">
        <f>2.593+1.955+2.107+2.12+11.139</f>
        <v>19.914000000000001</v>
      </c>
      <c r="F57" s="24" t="s">
        <v>1325</v>
      </c>
      <c r="G57" s="14" t="s">
        <v>1471</v>
      </c>
      <c r="H57" s="1" t="s">
        <v>1217</v>
      </c>
      <c r="I57" s="61">
        <v>45111</v>
      </c>
    </row>
    <row r="58" spans="1:9">
      <c r="A58" s="60" t="s">
        <v>1472</v>
      </c>
      <c r="B58" s="61">
        <v>45141</v>
      </c>
      <c r="C58" s="6" t="s">
        <v>1470</v>
      </c>
      <c r="D58" s="63" t="s">
        <v>78</v>
      </c>
      <c r="E58" s="56">
        <v>11.352</v>
      </c>
      <c r="F58" s="24" t="s">
        <v>1325</v>
      </c>
      <c r="G58" s="1" t="s">
        <v>1473</v>
      </c>
      <c r="H58" s="1" t="s">
        <v>1112</v>
      </c>
      <c r="I58" s="61">
        <v>45111</v>
      </c>
    </row>
    <row r="59" spans="1:9">
      <c r="A59" s="15"/>
      <c r="B59" s="61"/>
      <c r="C59" s="6"/>
      <c r="D59" s="1"/>
      <c r="E59" s="57">
        <f>SUM(E41:E58)</f>
        <v>121.176</v>
      </c>
      <c r="F59" s="24"/>
      <c r="G59" s="1"/>
      <c r="H59" s="1"/>
      <c r="I59" s="3"/>
    </row>
    <row r="60" spans="1:9">
      <c r="A60" s="60" t="s">
        <v>1474</v>
      </c>
      <c r="B60" s="61">
        <v>45142</v>
      </c>
      <c r="C60" s="6" t="s">
        <v>1365</v>
      </c>
      <c r="D60" s="1" t="s">
        <v>11</v>
      </c>
      <c r="E60" s="56">
        <f>2.144+4.214+0.743</f>
        <v>7.1010000000000009</v>
      </c>
      <c r="F60" s="24" t="s">
        <v>22</v>
      </c>
      <c r="G60" s="1" t="s">
        <v>1475</v>
      </c>
      <c r="H60" s="1" t="s">
        <v>1385</v>
      </c>
      <c r="I60" s="61">
        <v>45125</v>
      </c>
    </row>
    <row r="61" spans="1:9">
      <c r="A61" s="60" t="s">
        <v>1474</v>
      </c>
      <c r="B61" s="61">
        <v>45142</v>
      </c>
      <c r="C61" s="6" t="s">
        <v>1321</v>
      </c>
      <c r="D61" s="1" t="s">
        <v>11</v>
      </c>
      <c r="E61" s="56">
        <f>3.471+2.107+0.093</f>
        <v>5.6710000000000003</v>
      </c>
      <c r="F61" s="24" t="s">
        <v>22</v>
      </c>
      <c r="G61" s="1" t="s">
        <v>1475</v>
      </c>
      <c r="H61" s="1" t="s">
        <v>1385</v>
      </c>
      <c r="I61" s="61">
        <v>45125</v>
      </c>
    </row>
    <row r="62" spans="1:9">
      <c r="A62" s="60" t="s">
        <v>1474</v>
      </c>
      <c r="B62" s="61">
        <v>45142</v>
      </c>
      <c r="C62" s="6" t="s">
        <v>1365</v>
      </c>
      <c r="D62" s="1" t="s">
        <v>11</v>
      </c>
      <c r="E62" s="56">
        <f>2.019+0.306+7.73</f>
        <v>10.055</v>
      </c>
      <c r="F62" s="24" t="s">
        <v>22</v>
      </c>
      <c r="G62" s="1" t="s">
        <v>1475</v>
      </c>
      <c r="H62" s="1" t="s">
        <v>1385</v>
      </c>
      <c r="I62" s="61">
        <v>45125</v>
      </c>
    </row>
    <row r="63" spans="1:9">
      <c r="A63" s="60" t="s">
        <v>1476</v>
      </c>
      <c r="B63" s="61">
        <v>45142</v>
      </c>
      <c r="C63" s="6" t="s">
        <v>1365</v>
      </c>
      <c r="D63" s="1" t="s">
        <v>11</v>
      </c>
      <c r="E63" s="101">
        <v>0.60799999999999998</v>
      </c>
      <c r="F63" s="24" t="s">
        <v>22</v>
      </c>
      <c r="G63" s="1" t="s">
        <v>1477</v>
      </c>
      <c r="H63" s="1" t="s">
        <v>1125</v>
      </c>
      <c r="I63" s="61">
        <v>45113</v>
      </c>
    </row>
    <row r="64" spans="1:9">
      <c r="A64" s="60" t="s">
        <v>1479</v>
      </c>
      <c r="B64" s="61">
        <v>45142</v>
      </c>
      <c r="C64" s="6" t="s">
        <v>1478</v>
      </c>
      <c r="D64" s="1" t="s">
        <v>11</v>
      </c>
      <c r="E64" s="56">
        <v>1.718</v>
      </c>
      <c r="F64" s="26" t="s">
        <v>22</v>
      </c>
      <c r="G64" s="26" t="s">
        <v>1477</v>
      </c>
      <c r="H64" s="1" t="s">
        <v>936</v>
      </c>
      <c r="I64" s="61">
        <v>45098</v>
      </c>
    </row>
    <row r="65" spans="1:9">
      <c r="A65" s="60" t="s">
        <v>1480</v>
      </c>
      <c r="B65" s="61">
        <v>45142</v>
      </c>
      <c r="C65" s="6" t="s">
        <v>1227</v>
      </c>
      <c r="D65" s="63" t="s">
        <v>78</v>
      </c>
      <c r="E65" s="56">
        <f>9.495+4.119</f>
        <v>13.613999999999999</v>
      </c>
      <c r="F65" s="24" t="s">
        <v>1481</v>
      </c>
      <c r="G65" s="1" t="s">
        <v>1482</v>
      </c>
      <c r="H65" s="1" t="s">
        <v>1483</v>
      </c>
      <c r="I65" s="61">
        <v>45111</v>
      </c>
    </row>
    <row r="66" spans="1:9">
      <c r="A66" s="60" t="s">
        <v>1480</v>
      </c>
      <c r="B66" s="61">
        <v>45142</v>
      </c>
      <c r="C66" s="6" t="s">
        <v>1226</v>
      </c>
      <c r="D66" s="63" t="s">
        <v>78</v>
      </c>
      <c r="E66" s="56">
        <f>2.701+1.288</f>
        <v>3.9889999999999999</v>
      </c>
      <c r="F66" s="24" t="s">
        <v>1481</v>
      </c>
      <c r="G66" s="1" t="s">
        <v>1482</v>
      </c>
      <c r="H66" s="1" t="s">
        <v>1483</v>
      </c>
      <c r="I66" s="61">
        <v>45111</v>
      </c>
    </row>
    <row r="67" spans="1:9">
      <c r="A67" s="60" t="s">
        <v>1484</v>
      </c>
      <c r="B67" s="61">
        <v>45142</v>
      </c>
      <c r="C67" s="6" t="s">
        <v>1227</v>
      </c>
      <c r="D67" s="63" t="s">
        <v>78</v>
      </c>
      <c r="E67" s="56">
        <v>0.70799999999999996</v>
      </c>
      <c r="F67" s="24" t="s">
        <v>1481</v>
      </c>
      <c r="G67" s="1" t="s">
        <v>1485</v>
      </c>
      <c r="H67" s="1" t="s">
        <v>1486</v>
      </c>
      <c r="I67" s="61">
        <v>45111</v>
      </c>
    </row>
    <row r="68" spans="1:9">
      <c r="A68" s="60" t="s">
        <v>1484</v>
      </c>
      <c r="B68" s="61">
        <v>45142</v>
      </c>
      <c r="C68" s="6" t="s">
        <v>1226</v>
      </c>
      <c r="D68" s="63" t="s">
        <v>78</v>
      </c>
      <c r="E68" s="56">
        <v>0.80400000000000005</v>
      </c>
      <c r="F68" s="24" t="s">
        <v>1481</v>
      </c>
      <c r="G68" s="1" t="s">
        <v>1485</v>
      </c>
      <c r="H68" s="1" t="s">
        <v>1486</v>
      </c>
      <c r="I68" s="61">
        <v>45111</v>
      </c>
    </row>
    <row r="69" spans="1:9">
      <c r="A69" s="60" t="s">
        <v>1484</v>
      </c>
      <c r="B69" s="61">
        <v>45142</v>
      </c>
      <c r="C69" s="6" t="s">
        <v>1367</v>
      </c>
      <c r="D69" s="63" t="s">
        <v>78</v>
      </c>
      <c r="E69" s="56">
        <v>0.61199999999999999</v>
      </c>
      <c r="F69" s="24" t="s">
        <v>1481</v>
      </c>
      <c r="G69" s="1" t="s">
        <v>1485</v>
      </c>
      <c r="H69" s="1" t="s">
        <v>1486</v>
      </c>
      <c r="I69" s="61">
        <v>45111</v>
      </c>
    </row>
    <row r="70" spans="1:9">
      <c r="A70" s="60" t="s">
        <v>1487</v>
      </c>
      <c r="B70" s="61">
        <v>45142</v>
      </c>
      <c r="C70" s="6" t="s">
        <v>1226</v>
      </c>
      <c r="D70" s="63" t="s">
        <v>78</v>
      </c>
      <c r="E70" s="56">
        <f>0.249+0.394</f>
        <v>0.64300000000000002</v>
      </c>
      <c r="F70" s="24" t="s">
        <v>1481</v>
      </c>
      <c r="G70" s="1" t="s">
        <v>1488</v>
      </c>
      <c r="H70" s="1" t="s">
        <v>1489</v>
      </c>
      <c r="I70" s="61">
        <v>45111</v>
      </c>
    </row>
    <row r="71" spans="1:9">
      <c r="A71" s="60" t="s">
        <v>1487</v>
      </c>
      <c r="B71" s="61">
        <v>45142</v>
      </c>
      <c r="C71" s="6" t="s">
        <v>1367</v>
      </c>
      <c r="D71" s="63" t="s">
        <v>78</v>
      </c>
      <c r="E71" s="56">
        <v>0.245</v>
      </c>
      <c r="F71" s="24" t="s">
        <v>1481</v>
      </c>
      <c r="G71" s="1" t="s">
        <v>1488</v>
      </c>
      <c r="H71" s="1" t="s">
        <v>1489</v>
      </c>
      <c r="I71" s="61">
        <v>45111</v>
      </c>
    </row>
    <row r="72" spans="1:9">
      <c r="A72" s="60" t="s">
        <v>1490</v>
      </c>
      <c r="B72" s="61">
        <v>45142</v>
      </c>
      <c r="C72" s="6" t="s">
        <v>1365</v>
      </c>
      <c r="D72" s="63" t="s">
        <v>78</v>
      </c>
      <c r="E72" s="56">
        <v>4.6269999999999998</v>
      </c>
      <c r="F72" s="24" t="s">
        <v>1481</v>
      </c>
      <c r="G72" s="1" t="s">
        <v>1491</v>
      </c>
      <c r="H72" s="1" t="s">
        <v>1112</v>
      </c>
      <c r="I72" s="61">
        <v>45111</v>
      </c>
    </row>
    <row r="73" spans="1:9">
      <c r="A73" s="60" t="s">
        <v>1490</v>
      </c>
      <c r="B73" s="61">
        <v>45142</v>
      </c>
      <c r="C73" s="6" t="s">
        <v>1334</v>
      </c>
      <c r="D73" s="63" t="s">
        <v>78</v>
      </c>
      <c r="E73" s="56">
        <v>2.9510000000000001</v>
      </c>
      <c r="F73" s="24" t="s">
        <v>1481</v>
      </c>
      <c r="G73" s="1" t="s">
        <v>1491</v>
      </c>
      <c r="H73" s="1" t="s">
        <v>1112</v>
      </c>
      <c r="I73" s="61">
        <v>45111</v>
      </c>
    </row>
    <row r="74" spans="1:9">
      <c r="A74" s="60" t="s">
        <v>1492</v>
      </c>
      <c r="B74" s="61">
        <v>45142</v>
      </c>
      <c r="C74" s="6" t="s">
        <v>1365</v>
      </c>
      <c r="D74" s="63" t="s">
        <v>78</v>
      </c>
      <c r="E74" s="56">
        <v>4.2380000000000004</v>
      </c>
      <c r="F74" s="24" t="s">
        <v>1481</v>
      </c>
      <c r="G74" s="1" t="s">
        <v>1491</v>
      </c>
      <c r="H74" s="1" t="s">
        <v>1187</v>
      </c>
      <c r="I74" s="61">
        <v>45111</v>
      </c>
    </row>
    <row r="75" spans="1:9">
      <c r="A75" s="60" t="s">
        <v>1493</v>
      </c>
      <c r="B75" s="61">
        <v>45142</v>
      </c>
      <c r="C75" s="6" t="s">
        <v>1271</v>
      </c>
      <c r="D75" s="1" t="s">
        <v>11</v>
      </c>
      <c r="E75" s="56">
        <v>3.6579999999999999</v>
      </c>
      <c r="F75" s="24" t="s">
        <v>29</v>
      </c>
      <c r="G75" s="1" t="s">
        <v>1494</v>
      </c>
      <c r="H75" s="1" t="s">
        <v>1495</v>
      </c>
      <c r="I75" s="61">
        <v>45140</v>
      </c>
    </row>
    <row r="76" spans="1:9">
      <c r="A76" s="60" t="s">
        <v>1493</v>
      </c>
      <c r="B76" s="61">
        <v>45142</v>
      </c>
      <c r="C76" s="6" t="s">
        <v>1294</v>
      </c>
      <c r="D76" s="1" t="s">
        <v>11</v>
      </c>
      <c r="E76" s="56">
        <f>7.889+13.206+0.001</f>
        <v>21.096</v>
      </c>
      <c r="F76" s="24" t="s">
        <v>29</v>
      </c>
      <c r="G76" s="1" t="s">
        <v>1494</v>
      </c>
      <c r="H76" s="1" t="s">
        <v>1495</v>
      </c>
      <c r="I76" s="61">
        <v>45140</v>
      </c>
    </row>
    <row r="77" spans="1:9">
      <c r="A77" s="60" t="s">
        <v>1496</v>
      </c>
      <c r="B77" s="61">
        <v>45142</v>
      </c>
      <c r="C77" s="6" t="s">
        <v>1271</v>
      </c>
      <c r="D77" s="63" t="s">
        <v>78</v>
      </c>
      <c r="E77" s="56">
        <v>9.9600000000000009</v>
      </c>
      <c r="F77" s="24" t="s">
        <v>83</v>
      </c>
      <c r="G77" s="1" t="s">
        <v>1497</v>
      </c>
      <c r="H77" s="1" t="s">
        <v>1202</v>
      </c>
      <c r="I77" s="61">
        <v>45111</v>
      </c>
    </row>
    <row r="78" spans="1:9">
      <c r="A78" s="60" t="s">
        <v>1498</v>
      </c>
      <c r="B78" s="61">
        <v>45142</v>
      </c>
      <c r="C78" s="6" t="s">
        <v>1271</v>
      </c>
      <c r="D78" s="63" t="s">
        <v>78</v>
      </c>
      <c r="E78" s="56">
        <f>1.772+13.47</f>
        <v>15.242000000000001</v>
      </c>
      <c r="F78" s="24" t="s">
        <v>83</v>
      </c>
      <c r="G78" s="1" t="s">
        <v>1499</v>
      </c>
      <c r="H78" s="1" t="s">
        <v>1187</v>
      </c>
      <c r="I78" s="61">
        <v>45111</v>
      </c>
    </row>
    <row r="79" spans="1:9">
      <c r="A79" s="60" t="s">
        <v>1498</v>
      </c>
      <c r="B79" s="61">
        <v>45142</v>
      </c>
      <c r="C79" s="6" t="s">
        <v>1294</v>
      </c>
      <c r="D79" s="63" t="s">
        <v>78</v>
      </c>
      <c r="E79" s="56">
        <v>6.423</v>
      </c>
      <c r="F79" s="24" t="s">
        <v>83</v>
      </c>
      <c r="G79" s="1" t="s">
        <v>1499</v>
      </c>
      <c r="H79" s="1" t="s">
        <v>1187</v>
      </c>
      <c r="I79" s="61">
        <v>45111</v>
      </c>
    </row>
    <row r="80" spans="1:9">
      <c r="A80" s="15"/>
      <c r="B80" s="61"/>
      <c r="C80" s="6"/>
      <c r="D80" s="1"/>
      <c r="E80" s="57">
        <f>SUM(E60:E79)</f>
        <v>113.96300000000001</v>
      </c>
      <c r="F80" s="24"/>
      <c r="G80" s="1"/>
      <c r="H80" s="1"/>
      <c r="I80" s="3"/>
    </row>
    <row r="81" spans="1:9">
      <c r="A81" s="60" t="s">
        <v>1501</v>
      </c>
      <c r="B81" s="61">
        <v>45143</v>
      </c>
      <c r="C81" s="6" t="s">
        <v>1365</v>
      </c>
      <c r="D81" s="63" t="s">
        <v>78</v>
      </c>
      <c r="E81" s="56">
        <v>8.8079999999999998</v>
      </c>
      <c r="F81" s="24" t="s">
        <v>86</v>
      </c>
      <c r="G81" s="1" t="s">
        <v>1502</v>
      </c>
      <c r="H81" s="1" t="s">
        <v>1112</v>
      </c>
      <c r="I81" s="61">
        <v>45111</v>
      </c>
    </row>
    <row r="82" spans="1:9">
      <c r="A82" s="60" t="s">
        <v>1501</v>
      </c>
      <c r="B82" s="61">
        <v>45143</v>
      </c>
      <c r="C82" s="6" t="s">
        <v>1500</v>
      </c>
      <c r="D82" s="63" t="s">
        <v>78</v>
      </c>
      <c r="E82" s="56">
        <f>7.187+1.058</f>
        <v>8.245000000000001</v>
      </c>
      <c r="F82" s="24" t="s">
        <v>86</v>
      </c>
      <c r="G82" s="1" t="s">
        <v>1502</v>
      </c>
      <c r="H82" s="1" t="s">
        <v>1112</v>
      </c>
      <c r="I82" s="61">
        <v>45111</v>
      </c>
    </row>
    <row r="83" spans="1:9">
      <c r="A83" s="60" t="s">
        <v>1503</v>
      </c>
      <c r="B83" s="61">
        <v>45143</v>
      </c>
      <c r="C83" s="6" t="s">
        <v>1500</v>
      </c>
      <c r="D83" s="63" t="s">
        <v>78</v>
      </c>
      <c r="E83" s="56">
        <v>2.3210000000000002</v>
      </c>
      <c r="F83" s="24" t="s">
        <v>86</v>
      </c>
      <c r="G83" s="1" t="s">
        <v>1504</v>
      </c>
      <c r="H83" s="1" t="s">
        <v>1297</v>
      </c>
      <c r="I83" s="61">
        <v>45111</v>
      </c>
    </row>
    <row r="84" spans="1:9">
      <c r="A84" s="60" t="s">
        <v>1505</v>
      </c>
      <c r="B84" s="61">
        <v>45143</v>
      </c>
      <c r="C84" s="6" t="s">
        <v>1365</v>
      </c>
      <c r="D84" s="63" t="s">
        <v>78</v>
      </c>
      <c r="E84" s="56">
        <f>5.892+0.449</f>
        <v>6.3410000000000002</v>
      </c>
      <c r="F84" s="24" t="s">
        <v>86</v>
      </c>
      <c r="G84" s="1" t="s">
        <v>1506</v>
      </c>
      <c r="H84" s="1" t="s">
        <v>1202</v>
      </c>
      <c r="I84" s="61">
        <v>45111</v>
      </c>
    </row>
    <row r="85" spans="1:9">
      <c r="A85" s="60" t="s">
        <v>1508</v>
      </c>
      <c r="B85" s="61">
        <v>45143</v>
      </c>
      <c r="C85" s="6" t="s">
        <v>1507</v>
      </c>
      <c r="D85" s="63" t="s">
        <v>78</v>
      </c>
      <c r="E85" s="56">
        <v>6.1920000000000002</v>
      </c>
      <c r="F85" s="24" t="s">
        <v>86</v>
      </c>
      <c r="G85" s="1" t="s">
        <v>1509</v>
      </c>
      <c r="H85" s="1" t="s">
        <v>1217</v>
      </c>
      <c r="I85" s="61">
        <v>45111</v>
      </c>
    </row>
    <row r="86" spans="1:9">
      <c r="A86" s="60" t="s">
        <v>1510</v>
      </c>
      <c r="B86" s="61">
        <v>45143</v>
      </c>
      <c r="C86" s="6" t="s">
        <v>1328</v>
      </c>
      <c r="D86" s="1" t="s">
        <v>11</v>
      </c>
      <c r="E86" s="56">
        <f>20.484+2.525</f>
        <v>23.009</v>
      </c>
      <c r="F86" s="24" t="s">
        <v>51</v>
      </c>
      <c r="G86" s="1" t="s">
        <v>1511</v>
      </c>
      <c r="H86" s="1" t="s">
        <v>1385</v>
      </c>
      <c r="I86" s="61">
        <v>45125</v>
      </c>
    </row>
    <row r="87" spans="1:9">
      <c r="A87" s="60" t="s">
        <v>1510</v>
      </c>
      <c r="B87" s="61">
        <v>45143</v>
      </c>
      <c r="C87" s="6" t="s">
        <v>1271</v>
      </c>
      <c r="D87" s="1" t="s">
        <v>11</v>
      </c>
      <c r="E87" s="56">
        <v>1.6930000000000001</v>
      </c>
      <c r="F87" s="24" t="s">
        <v>51</v>
      </c>
      <c r="G87" s="1" t="s">
        <v>1511</v>
      </c>
      <c r="H87" s="1" t="s">
        <v>1385</v>
      </c>
      <c r="I87" s="61">
        <v>45125</v>
      </c>
    </row>
    <row r="88" spans="1:9">
      <c r="A88" s="60" t="s">
        <v>1512</v>
      </c>
      <c r="B88" s="61">
        <v>45143</v>
      </c>
      <c r="C88" s="6" t="s">
        <v>1294</v>
      </c>
      <c r="D88" s="1" t="s">
        <v>11</v>
      </c>
      <c r="E88" s="56">
        <v>14.223000000000001</v>
      </c>
      <c r="F88" s="24" t="s">
        <v>598</v>
      </c>
      <c r="G88" s="1" t="s">
        <v>1513</v>
      </c>
      <c r="H88" s="1" t="s">
        <v>1385</v>
      </c>
      <c r="I88" s="61">
        <v>45125</v>
      </c>
    </row>
    <row r="89" spans="1:9">
      <c r="A89" s="60" t="s">
        <v>1512</v>
      </c>
      <c r="B89" s="61">
        <v>45143</v>
      </c>
      <c r="C89" s="6" t="s">
        <v>1271</v>
      </c>
      <c r="D89" s="1" t="s">
        <v>11</v>
      </c>
      <c r="E89" s="56">
        <v>4.641</v>
      </c>
      <c r="F89" s="24" t="s">
        <v>598</v>
      </c>
      <c r="G89" s="1" t="s">
        <v>1513</v>
      </c>
      <c r="H89" s="1" t="s">
        <v>1385</v>
      </c>
      <c r="I89" s="61">
        <v>45125</v>
      </c>
    </row>
    <row r="90" spans="1:9">
      <c r="A90" s="60" t="s">
        <v>1514</v>
      </c>
      <c r="B90" s="61">
        <v>45143</v>
      </c>
      <c r="C90" s="6" t="s">
        <v>1271</v>
      </c>
      <c r="D90" s="1" t="s">
        <v>11</v>
      </c>
      <c r="E90" s="101">
        <v>6.4329999999999998</v>
      </c>
      <c r="F90" s="24" t="s">
        <v>598</v>
      </c>
      <c r="G90" s="94" t="s">
        <v>1513</v>
      </c>
      <c r="H90" s="1" t="s">
        <v>1125</v>
      </c>
      <c r="I90" s="61">
        <v>45113</v>
      </c>
    </row>
    <row r="91" spans="1:9">
      <c r="A91" s="60" t="s">
        <v>1515</v>
      </c>
      <c r="B91" s="61">
        <v>45143</v>
      </c>
      <c r="C91" s="6" t="s">
        <v>1271</v>
      </c>
      <c r="D91" s="63" t="s">
        <v>78</v>
      </c>
      <c r="E91" s="56">
        <v>14.5</v>
      </c>
      <c r="F91" s="24" t="s">
        <v>1156</v>
      </c>
      <c r="G91" s="1" t="s">
        <v>1516</v>
      </c>
      <c r="H91" s="1" t="s">
        <v>1202</v>
      </c>
      <c r="I91" s="61">
        <v>45111</v>
      </c>
    </row>
    <row r="92" spans="1:9">
      <c r="A92" s="60" t="s">
        <v>1515</v>
      </c>
      <c r="B92" s="61">
        <v>45143</v>
      </c>
      <c r="C92" s="6" t="s">
        <v>1294</v>
      </c>
      <c r="D92" s="63" t="s">
        <v>78</v>
      </c>
      <c r="E92" s="56">
        <v>2.6989999999999998</v>
      </c>
      <c r="F92" s="24" t="s">
        <v>1156</v>
      </c>
      <c r="G92" s="1" t="s">
        <v>1516</v>
      </c>
      <c r="H92" s="1" t="s">
        <v>1202</v>
      </c>
      <c r="I92" s="61">
        <v>45111</v>
      </c>
    </row>
    <row r="93" spans="1:9">
      <c r="A93" s="60" t="s">
        <v>1517</v>
      </c>
      <c r="B93" s="61">
        <v>45143</v>
      </c>
      <c r="C93" s="6" t="s">
        <v>1271</v>
      </c>
      <c r="D93" s="63" t="s">
        <v>78</v>
      </c>
      <c r="E93" s="56">
        <v>14.285</v>
      </c>
      <c r="F93" s="24" t="s">
        <v>1156</v>
      </c>
      <c r="G93" s="1" t="s">
        <v>1516</v>
      </c>
      <c r="H93" s="1" t="s">
        <v>1187</v>
      </c>
      <c r="I93" s="61">
        <v>45111</v>
      </c>
    </row>
    <row r="94" spans="1:9">
      <c r="A94" s="60" t="s">
        <v>1518</v>
      </c>
      <c r="B94" s="61">
        <v>45143</v>
      </c>
      <c r="C94" s="6" t="s">
        <v>1227</v>
      </c>
      <c r="D94" s="63" t="s">
        <v>78</v>
      </c>
      <c r="E94" s="56">
        <v>9.0440000000000005</v>
      </c>
      <c r="F94" s="24" t="s">
        <v>1521</v>
      </c>
      <c r="G94" s="1" t="s">
        <v>1519</v>
      </c>
      <c r="H94" s="1" t="s">
        <v>1360</v>
      </c>
      <c r="I94" s="61">
        <v>45111</v>
      </c>
    </row>
    <row r="95" spans="1:9">
      <c r="A95" s="60" t="s">
        <v>1518</v>
      </c>
      <c r="B95" s="61">
        <v>45143</v>
      </c>
      <c r="C95" s="6" t="s">
        <v>1226</v>
      </c>
      <c r="D95" s="63" t="s">
        <v>78</v>
      </c>
      <c r="E95" s="56">
        <v>5.4219999999999997</v>
      </c>
      <c r="F95" s="24" t="s">
        <v>1521</v>
      </c>
      <c r="G95" s="1" t="s">
        <v>1519</v>
      </c>
      <c r="H95" s="1" t="s">
        <v>1360</v>
      </c>
      <c r="I95" s="61">
        <v>45111</v>
      </c>
    </row>
    <row r="96" spans="1:9">
      <c r="A96" s="60" t="s">
        <v>1518</v>
      </c>
      <c r="B96" s="61">
        <v>45143</v>
      </c>
      <c r="C96" s="6" t="s">
        <v>1223</v>
      </c>
      <c r="D96" s="63" t="s">
        <v>78</v>
      </c>
      <c r="E96" s="56">
        <v>1.141</v>
      </c>
      <c r="F96" s="24" t="s">
        <v>1521</v>
      </c>
      <c r="G96" s="1" t="s">
        <v>1519</v>
      </c>
      <c r="H96" s="1" t="s">
        <v>1360</v>
      </c>
      <c r="I96" s="61">
        <v>45111</v>
      </c>
    </row>
    <row r="97" spans="1:9">
      <c r="A97" s="60" t="s">
        <v>1518</v>
      </c>
      <c r="B97" s="61">
        <v>45143</v>
      </c>
      <c r="C97" s="6" t="s">
        <v>1245</v>
      </c>
      <c r="D97" s="63" t="s">
        <v>78</v>
      </c>
      <c r="E97" s="56">
        <v>2.2749999999999999</v>
      </c>
      <c r="F97" s="24" t="s">
        <v>1521</v>
      </c>
      <c r="G97" s="1" t="s">
        <v>1519</v>
      </c>
      <c r="H97" s="1" t="s">
        <v>1360</v>
      </c>
      <c r="I97" s="61">
        <v>45111</v>
      </c>
    </row>
    <row r="98" spans="1:9">
      <c r="A98" s="60" t="s">
        <v>1520</v>
      </c>
      <c r="B98" s="61">
        <v>45143</v>
      </c>
      <c r="C98" s="6" t="s">
        <v>1223</v>
      </c>
      <c r="D98" s="63" t="s">
        <v>78</v>
      </c>
      <c r="E98" s="56">
        <v>0.995</v>
      </c>
      <c r="F98" s="24" t="s">
        <v>1521</v>
      </c>
      <c r="G98" s="1" t="s">
        <v>1519</v>
      </c>
      <c r="H98" s="1" t="s">
        <v>1361</v>
      </c>
      <c r="I98" s="61">
        <v>45111</v>
      </c>
    </row>
    <row r="99" spans="1:9">
      <c r="A99" s="60" t="s">
        <v>1520</v>
      </c>
      <c r="B99" s="61">
        <v>45143</v>
      </c>
      <c r="C99" s="6" t="s">
        <v>1245</v>
      </c>
      <c r="D99" s="63" t="s">
        <v>78</v>
      </c>
      <c r="E99" s="56">
        <v>0.61199999999999999</v>
      </c>
      <c r="F99" s="24" t="s">
        <v>1521</v>
      </c>
      <c r="G99" s="1" t="s">
        <v>1519</v>
      </c>
      <c r="H99" s="1" t="s">
        <v>1361</v>
      </c>
      <c r="I99" s="61">
        <v>45111</v>
      </c>
    </row>
    <row r="100" spans="1:9">
      <c r="A100" s="60" t="s">
        <v>1520</v>
      </c>
      <c r="B100" s="61">
        <v>45143</v>
      </c>
      <c r="C100" s="6" t="s">
        <v>1260</v>
      </c>
      <c r="D100" s="63" t="s">
        <v>78</v>
      </c>
      <c r="E100" s="56">
        <v>0.995</v>
      </c>
      <c r="F100" s="24" t="s">
        <v>1521</v>
      </c>
      <c r="G100" s="1" t="s">
        <v>1519</v>
      </c>
      <c r="H100" s="1" t="s">
        <v>1361</v>
      </c>
      <c r="I100" s="61">
        <v>45111</v>
      </c>
    </row>
    <row r="101" spans="1:9">
      <c r="A101" s="60" t="s">
        <v>1522</v>
      </c>
      <c r="B101" s="61">
        <v>45143</v>
      </c>
      <c r="C101" s="6" t="s">
        <v>1245</v>
      </c>
      <c r="D101" s="63" t="s">
        <v>78</v>
      </c>
      <c r="E101" s="56">
        <v>0.49</v>
      </c>
      <c r="F101" s="24" t="s">
        <v>1521</v>
      </c>
      <c r="G101" s="1" t="s">
        <v>1519</v>
      </c>
      <c r="H101" s="1" t="s">
        <v>1362</v>
      </c>
      <c r="I101" s="61">
        <v>45111</v>
      </c>
    </row>
    <row r="102" spans="1:9">
      <c r="A102" s="60" t="s">
        <v>1522</v>
      </c>
      <c r="B102" s="61">
        <v>45143</v>
      </c>
      <c r="C102" s="6" t="s">
        <v>1226</v>
      </c>
      <c r="D102" s="63" t="s">
        <v>78</v>
      </c>
      <c r="E102" s="56">
        <v>2.734</v>
      </c>
      <c r="F102" s="24" t="s">
        <v>1521</v>
      </c>
      <c r="G102" s="1" t="s">
        <v>1519</v>
      </c>
      <c r="H102" s="1" t="s">
        <v>1362</v>
      </c>
      <c r="I102" s="61">
        <v>45111</v>
      </c>
    </row>
    <row r="103" spans="1:9">
      <c r="A103" s="60" t="s">
        <v>1523</v>
      </c>
      <c r="B103" s="61">
        <v>45143</v>
      </c>
      <c r="C103" s="6" t="s">
        <v>1245</v>
      </c>
      <c r="D103" s="63" t="s">
        <v>78</v>
      </c>
      <c r="E103" s="56">
        <v>0.73399999999999999</v>
      </c>
      <c r="F103" s="24" t="s">
        <v>1521</v>
      </c>
      <c r="G103" s="1" t="s">
        <v>1519</v>
      </c>
      <c r="H103" s="1" t="s">
        <v>1363</v>
      </c>
      <c r="I103" s="61">
        <v>45111</v>
      </c>
    </row>
    <row r="104" spans="1:9">
      <c r="A104" s="60" t="s">
        <v>1524</v>
      </c>
      <c r="B104" s="61">
        <v>45143</v>
      </c>
      <c r="C104" s="6" t="s">
        <v>1294</v>
      </c>
      <c r="D104" s="63" t="s">
        <v>78</v>
      </c>
      <c r="E104" s="56">
        <v>7.835</v>
      </c>
      <c r="F104" s="24" t="s">
        <v>1521</v>
      </c>
      <c r="G104" s="1" t="s">
        <v>1519</v>
      </c>
      <c r="H104" s="1" t="s">
        <v>1525</v>
      </c>
      <c r="I104" s="61">
        <v>45111</v>
      </c>
    </row>
    <row r="105" spans="1:9">
      <c r="A105" s="15"/>
      <c r="B105" s="61"/>
      <c r="C105" s="6"/>
      <c r="D105" s="1"/>
      <c r="E105" s="57">
        <f>SUM(E81:E104)</f>
        <v>145.66700000000003</v>
      </c>
      <c r="F105" s="24"/>
      <c r="G105" s="1"/>
      <c r="H105" s="1"/>
      <c r="I105" s="3"/>
    </row>
    <row r="106" spans="1:9">
      <c r="A106" s="60" t="s">
        <v>1567</v>
      </c>
      <c r="B106" s="61">
        <v>45144</v>
      </c>
      <c r="C106" s="6" t="s">
        <v>1365</v>
      </c>
      <c r="D106" s="1" t="s">
        <v>11</v>
      </c>
      <c r="E106" s="56">
        <f>5.954+3.867+3.398</f>
        <v>13.218999999999999</v>
      </c>
      <c r="F106" s="24" t="s">
        <v>500</v>
      </c>
      <c r="G106" s="1" t="s">
        <v>1568</v>
      </c>
      <c r="H106" s="1" t="s">
        <v>1125</v>
      </c>
      <c r="I106" s="61">
        <v>45113</v>
      </c>
    </row>
    <row r="107" spans="1:9">
      <c r="A107" s="60" t="s">
        <v>1567</v>
      </c>
      <c r="B107" s="61">
        <v>45144</v>
      </c>
      <c r="C107" s="6" t="s">
        <v>1366</v>
      </c>
      <c r="D107" s="1" t="s">
        <v>11</v>
      </c>
      <c r="E107" s="56">
        <f>2.231+5.314+4.412</f>
        <v>11.957000000000001</v>
      </c>
      <c r="F107" s="24" t="s">
        <v>500</v>
      </c>
      <c r="G107" s="1" t="s">
        <v>1568</v>
      </c>
      <c r="H107" s="1" t="s">
        <v>1125</v>
      </c>
      <c r="I107" s="61">
        <v>45113</v>
      </c>
    </row>
    <row r="108" spans="1:9">
      <c r="A108" s="60" t="s">
        <v>1569</v>
      </c>
      <c r="B108" s="61">
        <v>45144</v>
      </c>
      <c r="C108" s="6" t="s">
        <v>1365</v>
      </c>
      <c r="D108" s="63" t="s">
        <v>78</v>
      </c>
      <c r="E108" s="56">
        <v>9.1289999999999996</v>
      </c>
      <c r="F108" s="24" t="s">
        <v>86</v>
      </c>
      <c r="G108" s="1" t="s">
        <v>1570</v>
      </c>
      <c r="H108" s="1" t="s">
        <v>1202</v>
      </c>
      <c r="I108" s="61">
        <v>45111</v>
      </c>
    </row>
    <row r="109" spans="1:9">
      <c r="A109" s="60" t="s">
        <v>1569</v>
      </c>
      <c r="B109" s="61">
        <v>45144</v>
      </c>
      <c r="C109" s="6" t="s">
        <v>1271</v>
      </c>
      <c r="D109" s="63" t="s">
        <v>78</v>
      </c>
      <c r="E109" s="56">
        <v>6.9390000000000001</v>
      </c>
      <c r="F109" s="24" t="s">
        <v>86</v>
      </c>
      <c r="G109" s="1" t="s">
        <v>1570</v>
      </c>
      <c r="H109" s="1" t="s">
        <v>1202</v>
      </c>
      <c r="I109" s="61">
        <v>45111</v>
      </c>
    </row>
    <row r="110" spans="1:9">
      <c r="A110" s="60" t="s">
        <v>1571</v>
      </c>
      <c r="B110" s="61">
        <v>45144</v>
      </c>
      <c r="C110" s="6" t="s">
        <v>1470</v>
      </c>
      <c r="D110" s="63" t="s">
        <v>78</v>
      </c>
      <c r="E110" s="56">
        <v>1.486</v>
      </c>
      <c r="F110" s="24" t="s">
        <v>86</v>
      </c>
      <c r="G110" s="1" t="s">
        <v>1570</v>
      </c>
      <c r="H110" s="1" t="s">
        <v>1112</v>
      </c>
      <c r="I110" s="61">
        <v>45111</v>
      </c>
    </row>
    <row r="111" spans="1:9">
      <c r="A111" s="60" t="s">
        <v>1572</v>
      </c>
      <c r="B111" s="61">
        <v>45144</v>
      </c>
      <c r="C111" s="6" t="s">
        <v>1366</v>
      </c>
      <c r="D111" s="63" t="s">
        <v>78</v>
      </c>
      <c r="E111" s="56">
        <f>3.665+4.801</f>
        <v>8.4660000000000011</v>
      </c>
      <c r="F111" s="24" t="s">
        <v>86</v>
      </c>
      <c r="G111" s="1" t="s">
        <v>1573</v>
      </c>
      <c r="H111" s="1" t="s">
        <v>1217</v>
      </c>
      <c r="I111" s="61">
        <v>45111</v>
      </c>
    </row>
    <row r="112" spans="1:9">
      <c r="A112" s="60" t="s">
        <v>1572</v>
      </c>
      <c r="B112" s="61">
        <v>45144</v>
      </c>
      <c r="C112" s="6" t="s">
        <v>1470</v>
      </c>
      <c r="D112" s="63" t="s">
        <v>78</v>
      </c>
      <c r="E112" s="56">
        <v>5.7069999999999999</v>
      </c>
      <c r="F112" s="24" t="s">
        <v>86</v>
      </c>
      <c r="G112" s="1" t="s">
        <v>1573</v>
      </c>
      <c r="H112" s="1" t="s">
        <v>1217</v>
      </c>
      <c r="I112" s="61">
        <v>45111</v>
      </c>
    </row>
    <row r="113" spans="1:9">
      <c r="A113" s="60" t="s">
        <v>1574</v>
      </c>
      <c r="B113" s="61">
        <v>45144</v>
      </c>
      <c r="C113" s="6" t="s">
        <v>1272</v>
      </c>
      <c r="D113" s="1" t="s">
        <v>11</v>
      </c>
      <c r="E113" s="56">
        <v>10.878</v>
      </c>
      <c r="F113" s="24" t="s">
        <v>54</v>
      </c>
      <c r="G113" s="1" t="s">
        <v>1575</v>
      </c>
      <c r="H113" s="1" t="s">
        <v>1385</v>
      </c>
      <c r="I113" s="61">
        <v>45125</v>
      </c>
    </row>
    <row r="114" spans="1:9">
      <c r="A114" s="60" t="s">
        <v>1576</v>
      </c>
      <c r="B114" s="61">
        <v>45144</v>
      </c>
      <c r="C114" s="6" t="s">
        <v>1271</v>
      </c>
      <c r="D114" s="1" t="s">
        <v>11</v>
      </c>
      <c r="E114" s="56">
        <v>8.3070000000000004</v>
      </c>
      <c r="F114" s="24" t="s">
        <v>54</v>
      </c>
      <c r="G114" s="1" t="s">
        <v>1575</v>
      </c>
      <c r="H114" s="1" t="s">
        <v>1125</v>
      </c>
      <c r="I114" s="61">
        <v>45113</v>
      </c>
    </row>
    <row r="115" spans="1:9">
      <c r="A115" s="60" t="s">
        <v>1577</v>
      </c>
      <c r="B115" s="61">
        <v>45144</v>
      </c>
      <c r="C115" s="6" t="s">
        <v>1334</v>
      </c>
      <c r="D115" s="1" t="s">
        <v>11</v>
      </c>
      <c r="E115" s="56">
        <v>6.0229999999999997</v>
      </c>
      <c r="F115" s="24" t="s">
        <v>54</v>
      </c>
      <c r="G115" s="1" t="s">
        <v>1575</v>
      </c>
      <c r="H115" s="1" t="s">
        <v>1495</v>
      </c>
      <c r="I115" s="61">
        <v>45140</v>
      </c>
    </row>
    <row r="116" spans="1:9">
      <c r="A116" s="60" t="s">
        <v>1578</v>
      </c>
      <c r="B116" s="61">
        <v>45144</v>
      </c>
      <c r="C116" s="6" t="s">
        <v>1334</v>
      </c>
      <c r="D116" s="63" t="s">
        <v>78</v>
      </c>
      <c r="E116" s="56">
        <f>1.912+19.038</f>
        <v>20.95</v>
      </c>
      <c r="F116" s="24" t="s">
        <v>116</v>
      </c>
      <c r="G116" s="1" t="s">
        <v>1579</v>
      </c>
      <c r="H116" s="1" t="s">
        <v>1187</v>
      </c>
      <c r="I116" s="61">
        <v>45111</v>
      </c>
    </row>
    <row r="117" spans="1:9">
      <c r="A117" s="60" t="s">
        <v>1580</v>
      </c>
      <c r="B117" s="61">
        <v>45144</v>
      </c>
      <c r="C117" s="6" t="s">
        <v>1507</v>
      </c>
      <c r="D117" s="63" t="s">
        <v>78</v>
      </c>
      <c r="E117" s="56">
        <v>11.714</v>
      </c>
      <c r="F117" s="24" t="s">
        <v>116</v>
      </c>
      <c r="G117" s="1" t="s">
        <v>1581</v>
      </c>
      <c r="H117" s="1" t="s">
        <v>1217</v>
      </c>
      <c r="I117" s="61">
        <v>45111</v>
      </c>
    </row>
    <row r="118" spans="1:9">
      <c r="A118" s="15"/>
      <c r="B118" s="61"/>
      <c r="C118" s="6"/>
      <c r="D118" s="1"/>
      <c r="E118" s="57">
        <f>SUM(E106:E117)</f>
        <v>114.77500000000001</v>
      </c>
      <c r="F118" s="24"/>
      <c r="G118" s="1"/>
      <c r="H118" s="1"/>
      <c r="I118" s="3"/>
    </row>
    <row r="119" spans="1:9">
      <c r="A119" s="60" t="s">
        <v>1588</v>
      </c>
      <c r="B119" s="61">
        <v>45145</v>
      </c>
      <c r="C119" s="6" t="s">
        <v>1334</v>
      </c>
      <c r="D119" s="63" t="s">
        <v>78</v>
      </c>
      <c r="E119" s="56">
        <v>6.0229999999999997</v>
      </c>
      <c r="F119" s="24" t="s">
        <v>97</v>
      </c>
      <c r="G119" s="1" t="s">
        <v>1589</v>
      </c>
      <c r="H119" s="1" t="s">
        <v>1187</v>
      </c>
      <c r="I119" s="61">
        <v>45111</v>
      </c>
    </row>
    <row r="120" spans="1:9">
      <c r="A120" s="60" t="s">
        <v>1590</v>
      </c>
      <c r="B120" s="61">
        <v>45145</v>
      </c>
      <c r="C120" s="6" t="s">
        <v>1294</v>
      </c>
      <c r="D120" s="63" t="s">
        <v>78</v>
      </c>
      <c r="E120" s="56">
        <v>4.319</v>
      </c>
      <c r="F120" s="24" t="s">
        <v>97</v>
      </c>
      <c r="G120" s="1" t="s">
        <v>1589</v>
      </c>
      <c r="H120" s="1" t="s">
        <v>1115</v>
      </c>
      <c r="I120" s="61">
        <v>45111</v>
      </c>
    </row>
    <row r="121" spans="1:9">
      <c r="A121" s="60" t="s">
        <v>1591</v>
      </c>
      <c r="B121" s="61">
        <v>45145</v>
      </c>
      <c r="C121" s="6" t="s">
        <v>1365</v>
      </c>
      <c r="D121" s="63" t="s">
        <v>78</v>
      </c>
      <c r="E121" s="56">
        <v>3.9220000000000002</v>
      </c>
      <c r="F121" s="24" t="s">
        <v>97</v>
      </c>
      <c r="G121" s="1" t="s">
        <v>1589</v>
      </c>
      <c r="H121" s="1" t="s">
        <v>1202</v>
      </c>
      <c r="I121" s="61">
        <v>45111</v>
      </c>
    </row>
    <row r="122" spans="1:9">
      <c r="A122" s="60" t="s">
        <v>1591</v>
      </c>
      <c r="B122" s="61">
        <v>45145</v>
      </c>
      <c r="C122" s="6" t="s">
        <v>1294</v>
      </c>
      <c r="D122" s="63" t="s">
        <v>78</v>
      </c>
      <c r="E122" s="56">
        <v>4.5640000000000001</v>
      </c>
      <c r="F122" s="24" t="s">
        <v>97</v>
      </c>
      <c r="G122" s="1" t="s">
        <v>1589</v>
      </c>
      <c r="H122" s="1" t="s">
        <v>1202</v>
      </c>
      <c r="I122" s="61">
        <v>45111</v>
      </c>
    </row>
    <row r="123" spans="1:9">
      <c r="A123" s="60" t="s">
        <v>1592</v>
      </c>
      <c r="B123" s="61">
        <v>45145</v>
      </c>
      <c r="C123" s="6" t="s">
        <v>1334</v>
      </c>
      <c r="D123" s="63" t="s">
        <v>78</v>
      </c>
      <c r="E123" s="56">
        <v>9.532</v>
      </c>
      <c r="F123" s="24" t="s">
        <v>97</v>
      </c>
      <c r="G123" s="1" t="s">
        <v>1589</v>
      </c>
      <c r="H123" s="1" t="s">
        <v>1593</v>
      </c>
      <c r="I123" s="61">
        <v>45135</v>
      </c>
    </row>
    <row r="124" spans="1:9">
      <c r="A124" s="60" t="s">
        <v>1594</v>
      </c>
      <c r="B124" s="61">
        <v>45145</v>
      </c>
      <c r="C124" s="6" t="s">
        <v>1366</v>
      </c>
      <c r="D124" s="63" t="s">
        <v>78</v>
      </c>
      <c r="E124" s="56">
        <v>4.4269999999999996</v>
      </c>
      <c r="F124" s="24" t="s">
        <v>97</v>
      </c>
      <c r="G124" s="1" t="s">
        <v>1589</v>
      </c>
      <c r="H124" s="1" t="s">
        <v>1112</v>
      </c>
      <c r="I124" s="61">
        <v>45111</v>
      </c>
    </row>
    <row r="125" spans="1:9">
      <c r="A125" s="60" t="s">
        <v>1595</v>
      </c>
      <c r="B125" s="61">
        <v>45145</v>
      </c>
      <c r="C125" s="6" t="s">
        <v>1387</v>
      </c>
      <c r="D125" s="1" t="s">
        <v>11</v>
      </c>
      <c r="E125" s="56">
        <f>4.896+6.18</f>
        <v>11.076000000000001</v>
      </c>
      <c r="F125" s="24" t="s">
        <v>522</v>
      </c>
      <c r="G125" s="1" t="s">
        <v>1596</v>
      </c>
      <c r="H125" s="1" t="s">
        <v>1385</v>
      </c>
      <c r="I125" s="61">
        <v>45125</v>
      </c>
    </row>
    <row r="126" spans="1:9">
      <c r="A126" s="60" t="s">
        <v>1595</v>
      </c>
      <c r="B126" s="61">
        <v>45145</v>
      </c>
      <c r="C126" s="6" t="s">
        <v>1365</v>
      </c>
      <c r="D126" s="1" t="s">
        <v>11</v>
      </c>
      <c r="E126" s="56">
        <v>1.19</v>
      </c>
      <c r="F126" s="24" t="s">
        <v>522</v>
      </c>
      <c r="G126" s="1" t="s">
        <v>1596</v>
      </c>
      <c r="H126" s="1" t="s">
        <v>1385</v>
      </c>
      <c r="I126" s="61">
        <v>45125</v>
      </c>
    </row>
    <row r="127" spans="1:9">
      <c r="A127" s="60" t="s">
        <v>1597</v>
      </c>
      <c r="B127" s="61">
        <v>45145</v>
      </c>
      <c r="C127" s="6" t="s">
        <v>1334</v>
      </c>
      <c r="D127" s="1" t="s">
        <v>11</v>
      </c>
      <c r="E127" s="56">
        <v>12.689</v>
      </c>
      <c r="F127" s="24" t="s">
        <v>522</v>
      </c>
      <c r="G127" s="1" t="s">
        <v>1598</v>
      </c>
      <c r="H127" s="1" t="s">
        <v>1495</v>
      </c>
      <c r="I127" s="61">
        <v>45140</v>
      </c>
    </row>
    <row r="128" spans="1:9">
      <c r="A128" s="60" t="s">
        <v>1599</v>
      </c>
      <c r="B128" s="61">
        <v>45145</v>
      </c>
      <c r="C128" s="6" t="s">
        <v>1334</v>
      </c>
      <c r="D128" s="63" t="s">
        <v>78</v>
      </c>
      <c r="E128" s="56">
        <v>33.167999999999999</v>
      </c>
      <c r="F128" s="24" t="s">
        <v>851</v>
      </c>
      <c r="G128" s="1" t="s">
        <v>1600</v>
      </c>
      <c r="H128" s="1" t="s">
        <v>1593</v>
      </c>
      <c r="I128" s="61">
        <v>45135</v>
      </c>
    </row>
    <row r="129" spans="1:9">
      <c r="A129" s="60" t="s">
        <v>1601</v>
      </c>
      <c r="B129" s="61">
        <v>45145</v>
      </c>
      <c r="C129" s="6" t="s">
        <v>1271</v>
      </c>
      <c r="D129" s="63" t="s">
        <v>78</v>
      </c>
      <c r="E129" s="56">
        <v>2.266</v>
      </c>
      <c r="F129" s="24" t="s">
        <v>66</v>
      </c>
      <c r="G129" s="1" t="s">
        <v>1602</v>
      </c>
      <c r="H129" s="1" t="s">
        <v>1187</v>
      </c>
      <c r="I129" s="61">
        <v>45111</v>
      </c>
    </row>
    <row r="130" spans="1:9">
      <c r="A130" s="60" t="s">
        <v>1601</v>
      </c>
      <c r="B130" s="61">
        <v>45145</v>
      </c>
      <c r="C130" s="6" t="s">
        <v>1294</v>
      </c>
      <c r="D130" s="63" t="s">
        <v>78</v>
      </c>
      <c r="E130" s="56">
        <v>5.44</v>
      </c>
      <c r="F130" s="24" t="s">
        <v>66</v>
      </c>
      <c r="G130" s="1" t="s">
        <v>1602</v>
      </c>
      <c r="H130" s="1" t="s">
        <v>1187</v>
      </c>
      <c r="I130" s="61">
        <v>45111</v>
      </c>
    </row>
    <row r="131" spans="1:9">
      <c r="A131" s="60" t="s">
        <v>1603</v>
      </c>
      <c r="B131" s="61">
        <v>45145</v>
      </c>
      <c r="C131" s="6" t="s">
        <v>1271</v>
      </c>
      <c r="D131" s="63" t="s">
        <v>78</v>
      </c>
      <c r="E131" s="56">
        <v>0.98799999999999999</v>
      </c>
      <c r="F131" s="24" t="s">
        <v>66</v>
      </c>
      <c r="G131" s="1" t="s">
        <v>1602</v>
      </c>
      <c r="H131" s="1" t="s">
        <v>1202</v>
      </c>
      <c r="I131" s="61">
        <v>45111</v>
      </c>
    </row>
    <row r="132" spans="1:9">
      <c r="A132" s="60" t="s">
        <v>1605</v>
      </c>
      <c r="B132" s="61">
        <v>45145</v>
      </c>
      <c r="C132" s="6" t="s">
        <v>1272</v>
      </c>
      <c r="D132" s="63" t="s">
        <v>78</v>
      </c>
      <c r="E132" s="56">
        <v>3.8610000000000002</v>
      </c>
      <c r="F132" s="24" t="s">
        <v>66</v>
      </c>
      <c r="G132" s="1" t="s">
        <v>1602</v>
      </c>
      <c r="H132" s="1" t="s">
        <v>1112</v>
      </c>
      <c r="I132" s="61">
        <v>45111</v>
      </c>
    </row>
    <row r="133" spans="1:9">
      <c r="A133" s="60" t="s">
        <v>1605</v>
      </c>
      <c r="B133" s="61">
        <v>45145</v>
      </c>
      <c r="C133" s="6" t="s">
        <v>1271</v>
      </c>
      <c r="D133" s="63" t="s">
        <v>78</v>
      </c>
      <c r="E133" s="56">
        <v>3.4980000000000002</v>
      </c>
      <c r="F133" s="24" t="s">
        <v>66</v>
      </c>
      <c r="G133" s="1" t="s">
        <v>1602</v>
      </c>
      <c r="H133" s="1" t="s">
        <v>1112</v>
      </c>
      <c r="I133" s="61">
        <v>45111</v>
      </c>
    </row>
    <row r="134" spans="1:9">
      <c r="A134" s="60" t="s">
        <v>1604</v>
      </c>
      <c r="B134" s="61">
        <v>45145</v>
      </c>
      <c r="C134" s="6" t="s">
        <v>1272</v>
      </c>
      <c r="D134" s="63" t="s">
        <v>78</v>
      </c>
      <c r="E134" s="56">
        <v>4.415</v>
      </c>
      <c r="F134" s="24" t="s">
        <v>66</v>
      </c>
      <c r="G134" s="1" t="s">
        <v>1602</v>
      </c>
      <c r="H134" s="1" t="s">
        <v>1217</v>
      </c>
      <c r="I134" s="61">
        <v>45111</v>
      </c>
    </row>
    <row r="135" spans="1:9">
      <c r="A135" s="60" t="s">
        <v>1604</v>
      </c>
      <c r="B135" s="61">
        <v>45145</v>
      </c>
      <c r="C135" s="6" t="s">
        <v>1271</v>
      </c>
      <c r="D135" s="63" t="s">
        <v>78</v>
      </c>
      <c r="E135" s="56">
        <v>9.5839999999999996</v>
      </c>
      <c r="F135" s="24" t="s">
        <v>66</v>
      </c>
      <c r="G135" s="1" t="s">
        <v>1602</v>
      </c>
      <c r="H135" s="1" t="s">
        <v>1217</v>
      </c>
      <c r="I135" s="61">
        <v>45111</v>
      </c>
    </row>
    <row r="136" spans="1:9">
      <c r="A136" s="60" t="s">
        <v>1606</v>
      </c>
      <c r="B136" s="61">
        <v>45145</v>
      </c>
      <c r="C136" s="6" t="s">
        <v>1271</v>
      </c>
      <c r="D136" s="1" t="s">
        <v>11</v>
      </c>
      <c r="E136" s="56">
        <v>16.141999999999999</v>
      </c>
      <c r="F136" s="24" t="s">
        <v>137</v>
      </c>
      <c r="G136" s="1" t="s">
        <v>1607</v>
      </c>
      <c r="H136" s="1" t="s">
        <v>1125</v>
      </c>
      <c r="I136" s="61">
        <v>45113</v>
      </c>
    </row>
    <row r="137" spans="1:9">
      <c r="A137" s="60" t="s">
        <v>1606</v>
      </c>
      <c r="B137" s="61">
        <v>45145</v>
      </c>
      <c r="C137" s="6" t="s">
        <v>1365</v>
      </c>
      <c r="D137" s="1" t="s">
        <v>11</v>
      </c>
      <c r="E137" s="56">
        <v>9.1820000000000004</v>
      </c>
      <c r="F137" s="24" t="s">
        <v>137</v>
      </c>
      <c r="G137" s="1" t="s">
        <v>1607</v>
      </c>
      <c r="H137" s="1" t="s">
        <v>1125</v>
      </c>
      <c r="I137" s="61">
        <v>45113</v>
      </c>
    </row>
    <row r="138" spans="1:9">
      <c r="A138" s="15"/>
      <c r="B138" s="61"/>
      <c r="C138" s="6"/>
      <c r="D138" s="1"/>
      <c r="E138" s="57">
        <f>SUM(E119:E137)</f>
        <v>146.286</v>
      </c>
      <c r="F138" s="24"/>
      <c r="G138" s="1"/>
      <c r="H138" s="1"/>
      <c r="I138" s="3"/>
    </row>
    <row r="139" spans="1:9">
      <c r="A139" s="15" t="s">
        <v>1615</v>
      </c>
      <c r="B139" s="61">
        <v>45146</v>
      </c>
      <c r="C139" s="6" t="s">
        <v>1470</v>
      </c>
      <c r="D139" s="1" t="s">
        <v>11</v>
      </c>
      <c r="E139" s="56">
        <v>3.3180000000000001</v>
      </c>
      <c r="F139" s="24" t="s">
        <v>368</v>
      </c>
      <c r="G139" s="1" t="s">
        <v>1616</v>
      </c>
      <c r="H139" s="1" t="s">
        <v>1125</v>
      </c>
      <c r="I139" s="61">
        <v>45113</v>
      </c>
    </row>
    <row r="140" spans="1:9">
      <c r="A140" s="15" t="s">
        <v>1617</v>
      </c>
      <c r="B140" s="61">
        <v>45146</v>
      </c>
      <c r="C140" s="6" t="s">
        <v>1470</v>
      </c>
      <c r="D140" s="1" t="s">
        <v>11</v>
      </c>
      <c r="E140" s="56">
        <v>5.74</v>
      </c>
      <c r="F140" s="24" t="s">
        <v>368</v>
      </c>
      <c r="G140" s="1" t="s">
        <v>1618</v>
      </c>
      <c r="H140" s="1" t="s">
        <v>1385</v>
      </c>
      <c r="I140" s="61">
        <v>45135</v>
      </c>
    </row>
    <row r="141" spans="1:9">
      <c r="A141" s="15" t="s">
        <v>1617</v>
      </c>
      <c r="B141" s="61">
        <v>45146</v>
      </c>
      <c r="C141" s="6" t="s">
        <v>1470</v>
      </c>
      <c r="D141" s="1" t="s">
        <v>11</v>
      </c>
      <c r="E141" s="56">
        <v>5.7320000000000002</v>
      </c>
      <c r="F141" s="24" t="s">
        <v>368</v>
      </c>
      <c r="G141" s="1" t="s">
        <v>1618</v>
      </c>
      <c r="H141" s="1" t="s">
        <v>1385</v>
      </c>
      <c r="I141" s="61">
        <v>45135</v>
      </c>
    </row>
    <row r="142" spans="1:9">
      <c r="A142" s="15" t="s">
        <v>1617</v>
      </c>
      <c r="B142" s="61">
        <v>45146</v>
      </c>
      <c r="C142" s="6" t="s">
        <v>1370</v>
      </c>
      <c r="D142" s="1" t="s">
        <v>11</v>
      </c>
      <c r="E142" s="56">
        <f>1.141+3.504</f>
        <v>4.6449999999999996</v>
      </c>
      <c r="F142" s="24" t="s">
        <v>368</v>
      </c>
      <c r="G142" s="1" t="s">
        <v>1618</v>
      </c>
      <c r="H142" s="1" t="s">
        <v>1385</v>
      </c>
      <c r="I142" s="61">
        <v>45135</v>
      </c>
    </row>
    <row r="143" spans="1:9">
      <c r="A143" s="15" t="s">
        <v>1617</v>
      </c>
      <c r="B143" s="61">
        <v>45146</v>
      </c>
      <c r="C143" s="6" t="s">
        <v>1408</v>
      </c>
      <c r="D143" s="1" t="s">
        <v>11</v>
      </c>
      <c r="E143" s="56">
        <f>0.993+4.649</f>
        <v>5.6420000000000003</v>
      </c>
      <c r="F143" s="24" t="s">
        <v>368</v>
      </c>
      <c r="G143" s="1" t="s">
        <v>1618</v>
      </c>
      <c r="H143" s="1" t="s">
        <v>1385</v>
      </c>
      <c r="I143" s="61">
        <v>45135</v>
      </c>
    </row>
    <row r="144" spans="1:9">
      <c r="A144" s="15" t="s">
        <v>1619</v>
      </c>
      <c r="B144" s="61">
        <v>45146</v>
      </c>
      <c r="C144" s="6" t="s">
        <v>1271</v>
      </c>
      <c r="D144" s="63" t="s">
        <v>78</v>
      </c>
      <c r="E144" s="56">
        <v>5.9640000000000004</v>
      </c>
      <c r="F144" s="24" t="s">
        <v>267</v>
      </c>
      <c r="G144" s="1" t="s">
        <v>1620</v>
      </c>
      <c r="H144" s="1" t="s">
        <v>1112</v>
      </c>
      <c r="I144" s="61">
        <v>45111</v>
      </c>
    </row>
    <row r="145" spans="1:9">
      <c r="A145" s="15" t="s">
        <v>1619</v>
      </c>
      <c r="B145" s="61">
        <v>45146</v>
      </c>
      <c r="C145" s="6" t="s">
        <v>1507</v>
      </c>
      <c r="D145" s="63" t="s">
        <v>78</v>
      </c>
      <c r="E145" s="56">
        <v>12.291</v>
      </c>
      <c r="F145" s="24" t="s">
        <v>267</v>
      </c>
      <c r="G145" s="1" t="s">
        <v>1620</v>
      </c>
      <c r="H145" s="1" t="s">
        <v>1112</v>
      </c>
      <c r="I145" s="61">
        <v>45111</v>
      </c>
    </row>
    <row r="146" spans="1:9">
      <c r="A146" s="15" t="s">
        <v>1621</v>
      </c>
      <c r="B146" s="61">
        <v>45146</v>
      </c>
      <c r="C146" s="6" t="s">
        <v>1271</v>
      </c>
      <c r="D146" s="63" t="s">
        <v>78</v>
      </c>
      <c r="E146" s="56">
        <v>3.9359999999999999</v>
      </c>
      <c r="F146" s="24" t="s">
        <v>267</v>
      </c>
      <c r="G146" s="1" t="s">
        <v>1620</v>
      </c>
      <c r="H146" s="1" t="s">
        <v>1217</v>
      </c>
      <c r="I146" s="61">
        <v>45111</v>
      </c>
    </row>
    <row r="147" spans="1:9">
      <c r="A147" s="15" t="s">
        <v>1621</v>
      </c>
      <c r="B147" s="61">
        <v>45146</v>
      </c>
      <c r="C147" s="6" t="s">
        <v>1500</v>
      </c>
      <c r="D147" s="63" t="s">
        <v>78</v>
      </c>
      <c r="E147" s="56">
        <v>4.3680000000000003</v>
      </c>
      <c r="F147" s="24" t="s">
        <v>267</v>
      </c>
      <c r="G147" s="1" t="s">
        <v>1620</v>
      </c>
      <c r="H147" s="1" t="s">
        <v>1217</v>
      </c>
      <c r="I147" s="61">
        <v>45111</v>
      </c>
    </row>
    <row r="148" spans="1:9">
      <c r="A148" s="15" t="s">
        <v>1622</v>
      </c>
      <c r="B148" s="61">
        <v>45146</v>
      </c>
      <c r="C148" s="6" t="s">
        <v>1334</v>
      </c>
      <c r="D148" s="63" t="s">
        <v>78</v>
      </c>
      <c r="E148" s="56">
        <v>4.5449999999999999</v>
      </c>
      <c r="F148" s="24" t="s">
        <v>267</v>
      </c>
      <c r="G148" s="1" t="s">
        <v>1620</v>
      </c>
      <c r="H148" s="1" t="s">
        <v>1115</v>
      </c>
      <c r="I148" s="61">
        <v>45111</v>
      </c>
    </row>
    <row r="149" spans="1:9">
      <c r="A149" s="15" t="s">
        <v>1623</v>
      </c>
      <c r="B149" s="61">
        <v>45146</v>
      </c>
      <c r="C149" s="6" t="s">
        <v>1226</v>
      </c>
      <c r="D149" s="63" t="s">
        <v>78</v>
      </c>
      <c r="E149" s="56">
        <v>0.73499999999999999</v>
      </c>
      <c r="F149" s="24" t="s">
        <v>267</v>
      </c>
      <c r="G149" s="1" t="s">
        <v>1620</v>
      </c>
      <c r="H149" s="1" t="s">
        <v>1483</v>
      </c>
      <c r="I149" s="61">
        <v>45111</v>
      </c>
    </row>
    <row r="150" spans="1:9">
      <c r="A150" s="15" t="s">
        <v>1624</v>
      </c>
      <c r="B150" s="61">
        <v>45146</v>
      </c>
      <c r="C150" s="6" t="s">
        <v>1334</v>
      </c>
      <c r="D150" s="63" t="s">
        <v>78</v>
      </c>
      <c r="E150" s="56">
        <f>2.927+12.249+5.771+12.046</f>
        <v>32.992999999999995</v>
      </c>
      <c r="F150" s="24" t="s">
        <v>97</v>
      </c>
      <c r="G150" s="1" t="s">
        <v>1625</v>
      </c>
      <c r="H150" s="1" t="s">
        <v>1593</v>
      </c>
      <c r="I150" s="61">
        <v>45135</v>
      </c>
    </row>
    <row r="151" spans="1:9">
      <c r="A151" s="15" t="s">
        <v>1626</v>
      </c>
      <c r="B151" s="61">
        <v>45146</v>
      </c>
      <c r="C151" s="6" t="s">
        <v>1334</v>
      </c>
      <c r="D151" s="63" t="s">
        <v>78</v>
      </c>
      <c r="E151" s="56">
        <f>11.948+12.747</f>
        <v>24.695</v>
      </c>
      <c r="F151" s="24" t="s">
        <v>1243</v>
      </c>
      <c r="G151" s="1" t="s">
        <v>1627</v>
      </c>
      <c r="H151" s="1" t="s">
        <v>1593</v>
      </c>
      <c r="I151" s="61">
        <v>45135</v>
      </c>
    </row>
    <row r="152" spans="1:9">
      <c r="A152" s="15" t="s">
        <v>1628</v>
      </c>
      <c r="B152" s="61">
        <v>45146</v>
      </c>
      <c r="C152" s="6" t="s">
        <v>1500</v>
      </c>
      <c r="D152" s="63" t="s">
        <v>78</v>
      </c>
      <c r="E152" s="56">
        <f>6.486+1.916</f>
        <v>8.4019999999999992</v>
      </c>
      <c r="F152" s="24" t="s">
        <v>1243</v>
      </c>
      <c r="G152" s="1" t="s">
        <v>1629</v>
      </c>
      <c r="H152" s="1" t="s">
        <v>1187</v>
      </c>
      <c r="I152" s="61">
        <v>45111</v>
      </c>
    </row>
    <row r="153" spans="1:9">
      <c r="A153" s="15" t="s">
        <v>1630</v>
      </c>
      <c r="B153" s="61">
        <v>45146</v>
      </c>
      <c r="C153" s="6" t="s">
        <v>1500</v>
      </c>
      <c r="D153" s="1" t="s">
        <v>11</v>
      </c>
      <c r="E153" s="56">
        <f>13.057+0.226</f>
        <v>13.283000000000001</v>
      </c>
      <c r="F153" s="24" t="s">
        <v>16</v>
      </c>
      <c r="G153" s="1" t="s">
        <v>1631</v>
      </c>
      <c r="H153" s="1" t="s">
        <v>1385</v>
      </c>
      <c r="I153" s="61">
        <v>45125</v>
      </c>
    </row>
    <row r="154" spans="1:9">
      <c r="A154" s="15" t="s">
        <v>1630</v>
      </c>
      <c r="B154" s="61">
        <v>45146</v>
      </c>
      <c r="C154" s="6" t="s">
        <v>1453</v>
      </c>
      <c r="D154" s="1" t="s">
        <v>11</v>
      </c>
      <c r="E154" s="56">
        <v>6.1760000000000002</v>
      </c>
      <c r="F154" s="24" t="s">
        <v>16</v>
      </c>
      <c r="G154" s="1" t="s">
        <v>1631</v>
      </c>
      <c r="H154" s="1" t="s">
        <v>1385</v>
      </c>
      <c r="I154" s="61">
        <v>45125</v>
      </c>
    </row>
    <row r="155" spans="1:9">
      <c r="A155" s="15" t="s">
        <v>1630</v>
      </c>
      <c r="B155" s="61">
        <v>45146</v>
      </c>
      <c r="C155" s="6" t="s">
        <v>1453</v>
      </c>
      <c r="D155" s="1" t="s">
        <v>11</v>
      </c>
      <c r="E155" s="56">
        <v>4.5220000000000002</v>
      </c>
      <c r="F155" s="24" t="s">
        <v>16</v>
      </c>
      <c r="G155" s="1" t="s">
        <v>1631</v>
      </c>
      <c r="H155" s="1" t="s">
        <v>1385</v>
      </c>
      <c r="I155" s="61">
        <v>45125</v>
      </c>
    </row>
    <row r="156" spans="1:9">
      <c r="A156" s="15" t="s">
        <v>1632</v>
      </c>
      <c r="B156" s="61">
        <v>45146</v>
      </c>
      <c r="C156" s="6" t="s">
        <v>1500</v>
      </c>
      <c r="D156" s="1" t="s">
        <v>11</v>
      </c>
      <c r="E156" s="56">
        <v>1.2989999999999999</v>
      </c>
      <c r="F156" s="24" t="s">
        <v>16</v>
      </c>
      <c r="G156" s="1" t="s">
        <v>1633</v>
      </c>
      <c r="H156" s="1" t="s">
        <v>1125</v>
      </c>
      <c r="I156" s="61">
        <v>45113</v>
      </c>
    </row>
    <row r="157" spans="1:9">
      <c r="A157" s="15"/>
      <c r="B157" s="61"/>
      <c r="C157" s="6"/>
      <c r="D157" s="1"/>
      <c r="E157" s="57">
        <f>SUM(E139:E156)</f>
        <v>148.28599999999997</v>
      </c>
      <c r="F157" s="24"/>
      <c r="G157" s="1"/>
      <c r="H157" s="1"/>
      <c r="I157" s="61"/>
    </row>
    <row r="158" spans="1:9">
      <c r="A158" s="15" t="s">
        <v>1634</v>
      </c>
      <c r="B158" s="61">
        <v>45147</v>
      </c>
      <c r="C158" s="6" t="s">
        <v>1387</v>
      </c>
      <c r="D158" s="1" t="s">
        <v>11</v>
      </c>
      <c r="E158" s="56">
        <v>14.029</v>
      </c>
      <c r="F158" s="24" t="s">
        <v>522</v>
      </c>
      <c r="G158" s="1" t="s">
        <v>1635</v>
      </c>
      <c r="H158" s="1" t="s">
        <v>1636</v>
      </c>
      <c r="I158" s="61">
        <v>45125</v>
      </c>
    </row>
    <row r="159" spans="1:9">
      <c r="A159" s="15" t="s">
        <v>1637</v>
      </c>
      <c r="B159" s="61">
        <v>45147</v>
      </c>
      <c r="C159" s="6" t="s">
        <v>1638</v>
      </c>
      <c r="D159" s="1" t="s">
        <v>11</v>
      </c>
      <c r="E159" s="56">
        <v>1.361</v>
      </c>
      <c r="F159" s="24" t="s">
        <v>522</v>
      </c>
      <c r="G159" s="1" t="s">
        <v>1635</v>
      </c>
      <c r="H159" s="1" t="s">
        <v>1125</v>
      </c>
      <c r="I159" s="61">
        <v>45113</v>
      </c>
    </row>
    <row r="160" spans="1:9">
      <c r="A160" s="15" t="s">
        <v>1639</v>
      </c>
      <c r="B160" s="61">
        <v>45147</v>
      </c>
      <c r="C160" s="6" t="s">
        <v>1640</v>
      </c>
      <c r="D160" s="1" t="s">
        <v>11</v>
      </c>
      <c r="E160" s="56">
        <v>10.103999999999999</v>
      </c>
      <c r="F160" s="24" t="s">
        <v>522</v>
      </c>
      <c r="G160" s="1" t="s">
        <v>1635</v>
      </c>
      <c r="H160" s="1" t="s">
        <v>1641</v>
      </c>
      <c r="I160" s="61">
        <v>45141</v>
      </c>
    </row>
    <row r="161" spans="1:9">
      <c r="A161" s="15" t="s">
        <v>1642</v>
      </c>
      <c r="B161" s="61">
        <v>45147</v>
      </c>
      <c r="C161" s="6" t="s">
        <v>1271</v>
      </c>
      <c r="D161" s="63" t="s">
        <v>78</v>
      </c>
      <c r="E161" s="56">
        <v>4.444</v>
      </c>
      <c r="F161" s="24" t="s">
        <v>1393</v>
      </c>
      <c r="G161" s="1" t="s">
        <v>1643</v>
      </c>
      <c r="H161" s="1" t="s">
        <v>1593</v>
      </c>
      <c r="I161" s="61">
        <v>45135</v>
      </c>
    </row>
    <row r="162" spans="1:9">
      <c r="A162" s="15" t="s">
        <v>1642</v>
      </c>
      <c r="B162" s="61">
        <v>45147</v>
      </c>
      <c r="C162" s="6" t="s">
        <v>1294</v>
      </c>
      <c r="D162" s="63" t="s">
        <v>78</v>
      </c>
      <c r="E162" s="56">
        <v>5.7050000000000001</v>
      </c>
      <c r="F162" s="24" t="s">
        <v>1393</v>
      </c>
      <c r="G162" s="1" t="s">
        <v>1643</v>
      </c>
      <c r="H162" s="1" t="s">
        <v>1593</v>
      </c>
      <c r="I162" s="61">
        <v>45135</v>
      </c>
    </row>
    <row r="163" spans="1:9">
      <c r="A163" s="15" t="s">
        <v>1644</v>
      </c>
      <c r="B163" s="61">
        <v>45147</v>
      </c>
      <c r="C163" s="6" t="s">
        <v>1500</v>
      </c>
      <c r="D163" s="63" t="s">
        <v>78</v>
      </c>
      <c r="E163" s="56">
        <v>7.7789999999999999</v>
      </c>
      <c r="F163" s="24" t="s">
        <v>1393</v>
      </c>
      <c r="G163" s="1" t="s">
        <v>1643</v>
      </c>
      <c r="H163" s="1" t="s">
        <v>1217</v>
      </c>
      <c r="I163" s="61">
        <v>45111</v>
      </c>
    </row>
    <row r="164" spans="1:9">
      <c r="A164" s="15" t="s">
        <v>1645</v>
      </c>
      <c r="B164" s="61">
        <v>45147</v>
      </c>
      <c r="C164" s="6" t="s">
        <v>1500</v>
      </c>
      <c r="D164" s="63" t="s">
        <v>78</v>
      </c>
      <c r="E164" s="56">
        <v>3.7650000000000001</v>
      </c>
      <c r="F164" s="24" t="s">
        <v>1393</v>
      </c>
      <c r="G164" s="1" t="s">
        <v>1643</v>
      </c>
      <c r="H164" s="1" t="s">
        <v>1112</v>
      </c>
      <c r="I164" s="61">
        <v>45111</v>
      </c>
    </row>
    <row r="165" spans="1:9">
      <c r="A165" s="15" t="s">
        <v>1646</v>
      </c>
      <c r="B165" s="61">
        <v>45147</v>
      </c>
      <c r="C165" s="6" t="s">
        <v>1500</v>
      </c>
      <c r="D165" s="63" t="s">
        <v>78</v>
      </c>
      <c r="E165" s="56">
        <v>6.8040000000000003</v>
      </c>
      <c r="F165" s="24" t="s">
        <v>1393</v>
      </c>
      <c r="G165" s="1" t="s">
        <v>1643</v>
      </c>
      <c r="H165" s="1" t="s">
        <v>1187</v>
      </c>
      <c r="I165" s="61">
        <v>45111</v>
      </c>
    </row>
    <row r="166" spans="1:9">
      <c r="A166" s="15" t="s">
        <v>1647</v>
      </c>
      <c r="B166" s="61">
        <v>45147</v>
      </c>
      <c r="C166" s="6" t="s">
        <v>1294</v>
      </c>
      <c r="D166" s="63" t="s">
        <v>78</v>
      </c>
      <c r="E166" s="56">
        <v>2.1480000000000001</v>
      </c>
      <c r="F166" s="24" t="s">
        <v>1393</v>
      </c>
      <c r="G166" s="1" t="s">
        <v>1643</v>
      </c>
      <c r="H166" s="1" t="s">
        <v>1202</v>
      </c>
      <c r="I166" s="61">
        <v>45111</v>
      </c>
    </row>
    <row r="167" spans="1:9">
      <c r="A167" s="15" t="s">
        <v>1648</v>
      </c>
      <c r="B167" s="61">
        <v>45147</v>
      </c>
      <c r="C167" s="6" t="s">
        <v>1294</v>
      </c>
      <c r="D167" s="63" t="s">
        <v>78</v>
      </c>
      <c r="E167" s="56">
        <v>3.0960000000000001</v>
      </c>
      <c r="F167" s="24" t="s">
        <v>116</v>
      </c>
      <c r="G167" s="1" t="s">
        <v>1649</v>
      </c>
      <c r="H167" s="1" t="s">
        <v>1593</v>
      </c>
      <c r="I167" s="61">
        <v>45135</v>
      </c>
    </row>
    <row r="168" spans="1:9">
      <c r="A168" s="15" t="s">
        <v>1650</v>
      </c>
      <c r="B168" s="61">
        <v>45147</v>
      </c>
      <c r="C168" s="6" t="s">
        <v>1640</v>
      </c>
      <c r="D168" s="63" t="s">
        <v>78</v>
      </c>
      <c r="E168" s="56">
        <v>15.930999999999999</v>
      </c>
      <c r="F168" s="24" t="s">
        <v>116</v>
      </c>
      <c r="G168" s="1" t="s">
        <v>1649</v>
      </c>
      <c r="H168" s="1" t="s">
        <v>1217</v>
      </c>
      <c r="I168" s="61">
        <v>45111</v>
      </c>
    </row>
    <row r="169" spans="1:9">
      <c r="A169" s="15" t="s">
        <v>1651</v>
      </c>
      <c r="B169" s="61">
        <v>45147</v>
      </c>
      <c r="C169" s="6" t="s">
        <v>1640</v>
      </c>
      <c r="D169" s="63" t="s">
        <v>78</v>
      </c>
      <c r="E169" s="56">
        <v>13.301</v>
      </c>
      <c r="F169" s="24" t="s">
        <v>116</v>
      </c>
      <c r="G169" s="1" t="s">
        <v>1649</v>
      </c>
      <c r="H169" s="1" t="s">
        <v>1112</v>
      </c>
      <c r="I169" s="61">
        <v>45111</v>
      </c>
    </row>
    <row r="170" spans="1:9">
      <c r="A170" s="15" t="s">
        <v>1652</v>
      </c>
      <c r="B170" s="61">
        <v>45147</v>
      </c>
      <c r="C170" s="6" t="s">
        <v>1321</v>
      </c>
      <c r="D170" s="1" t="s">
        <v>11</v>
      </c>
      <c r="E170" s="56">
        <v>25.280999999999999</v>
      </c>
      <c r="F170" s="24" t="s">
        <v>500</v>
      </c>
      <c r="G170" s="1" t="s">
        <v>1653</v>
      </c>
      <c r="H170" s="1" t="s">
        <v>1636</v>
      </c>
      <c r="I170" s="61">
        <v>45125</v>
      </c>
    </row>
    <row r="171" spans="1:9">
      <c r="A171" s="15"/>
      <c r="B171" s="61"/>
      <c r="C171" s="6"/>
      <c r="D171" s="1"/>
      <c r="E171" s="57">
        <f>SUM(E158:E170)</f>
        <v>113.74799999999999</v>
      </c>
      <c r="F171" s="24"/>
      <c r="G171" s="1"/>
      <c r="H171" s="1"/>
      <c r="I171" s="61"/>
    </row>
    <row r="172" spans="1:9">
      <c r="A172" s="15" t="s">
        <v>1668</v>
      </c>
      <c r="B172" s="61">
        <v>45148</v>
      </c>
      <c r="C172" s="6" t="s">
        <v>1387</v>
      </c>
      <c r="D172" s="1" t="s">
        <v>11</v>
      </c>
      <c r="E172" s="56">
        <f>7.001+5.337+0.905</f>
        <v>13.243</v>
      </c>
      <c r="F172" s="24" t="s">
        <v>89</v>
      </c>
      <c r="G172" s="1" t="s">
        <v>1669</v>
      </c>
      <c r="H172" s="1" t="s">
        <v>1636</v>
      </c>
      <c r="I172" s="61">
        <v>45125</v>
      </c>
    </row>
    <row r="173" spans="1:9">
      <c r="A173" s="15" t="s">
        <v>1670</v>
      </c>
      <c r="B173" s="61">
        <v>45148</v>
      </c>
      <c r="C173" s="6" t="s">
        <v>1470</v>
      </c>
      <c r="D173" s="1" t="s">
        <v>11</v>
      </c>
      <c r="E173" s="56">
        <v>5.5679999999999996</v>
      </c>
      <c r="F173" s="24" t="s">
        <v>89</v>
      </c>
      <c r="G173" s="1" t="s">
        <v>1671</v>
      </c>
      <c r="H173" s="1" t="s">
        <v>1385</v>
      </c>
      <c r="I173" s="61">
        <v>45125</v>
      </c>
    </row>
    <row r="174" spans="1:9">
      <c r="A174" s="15" t="s">
        <v>1672</v>
      </c>
      <c r="B174" s="61">
        <v>45148</v>
      </c>
      <c r="C174" s="6" t="s">
        <v>1271</v>
      </c>
      <c r="D174" s="1" t="s">
        <v>11</v>
      </c>
      <c r="E174" s="56">
        <v>6.5339999999999998</v>
      </c>
      <c r="F174" s="24" t="s">
        <v>89</v>
      </c>
      <c r="G174" s="1" t="s">
        <v>1671</v>
      </c>
      <c r="H174" s="1" t="s">
        <v>1125</v>
      </c>
      <c r="I174" s="61">
        <v>45125</v>
      </c>
    </row>
    <row r="175" spans="1:9">
      <c r="A175" s="15" t="s">
        <v>1674</v>
      </c>
      <c r="B175" s="61">
        <v>45148</v>
      </c>
      <c r="C175" s="6" t="s">
        <v>1673</v>
      </c>
      <c r="D175" s="63" t="s">
        <v>78</v>
      </c>
      <c r="E175" s="56">
        <f>12.365+4.805</f>
        <v>17.170000000000002</v>
      </c>
      <c r="F175" s="24" t="s">
        <v>116</v>
      </c>
      <c r="G175" s="1" t="s">
        <v>1675</v>
      </c>
      <c r="H175" s="1" t="s">
        <v>1187</v>
      </c>
      <c r="I175" s="61">
        <v>45111</v>
      </c>
    </row>
    <row r="176" spans="1:9">
      <c r="A176" s="15" t="s">
        <v>1674</v>
      </c>
      <c r="B176" s="61">
        <v>45148</v>
      </c>
      <c r="C176" s="6" t="s">
        <v>1387</v>
      </c>
      <c r="D176" s="63" t="s">
        <v>78</v>
      </c>
      <c r="E176" s="56">
        <v>14.757999999999999</v>
      </c>
      <c r="F176" s="24" t="s">
        <v>116</v>
      </c>
      <c r="G176" s="1" t="s">
        <v>1675</v>
      </c>
      <c r="H176" s="1" t="s">
        <v>1187</v>
      </c>
      <c r="I176" s="61">
        <v>45111</v>
      </c>
    </row>
    <row r="177" spans="1:9">
      <c r="A177" s="15" t="s">
        <v>1676</v>
      </c>
      <c r="B177" s="61">
        <v>45148</v>
      </c>
      <c r="C177" s="6" t="s">
        <v>1355</v>
      </c>
      <c r="D177" s="1" t="s">
        <v>11</v>
      </c>
      <c r="E177" s="56">
        <v>11.986000000000001</v>
      </c>
      <c r="F177" s="24" t="s">
        <v>356</v>
      </c>
      <c r="G177" s="1" t="s">
        <v>1677</v>
      </c>
      <c r="H177" s="1" t="s">
        <v>1385</v>
      </c>
      <c r="I177" s="61">
        <v>45125</v>
      </c>
    </row>
    <row r="178" spans="1:9">
      <c r="A178" s="15" t="s">
        <v>1676</v>
      </c>
      <c r="B178" s="61">
        <v>45148</v>
      </c>
      <c r="C178" s="6" t="s">
        <v>1294</v>
      </c>
      <c r="D178" s="1" t="s">
        <v>11</v>
      </c>
      <c r="E178" s="56">
        <v>0.99199999999999999</v>
      </c>
      <c r="F178" s="24" t="s">
        <v>356</v>
      </c>
      <c r="G178" s="1" t="s">
        <v>1677</v>
      </c>
      <c r="H178" s="1" t="s">
        <v>1385</v>
      </c>
      <c r="I178" s="61">
        <v>45125</v>
      </c>
    </row>
    <row r="179" spans="1:9">
      <c r="A179" s="15" t="s">
        <v>1676</v>
      </c>
      <c r="B179" s="61">
        <v>45148</v>
      </c>
      <c r="C179" s="6" t="s">
        <v>1272</v>
      </c>
      <c r="D179" s="1" t="s">
        <v>11</v>
      </c>
      <c r="E179" s="56">
        <v>0.28399999999999997</v>
      </c>
      <c r="F179" s="24" t="s">
        <v>356</v>
      </c>
      <c r="G179" s="1" t="s">
        <v>1677</v>
      </c>
      <c r="H179" s="1" t="s">
        <v>1385</v>
      </c>
      <c r="I179" s="61">
        <v>45125</v>
      </c>
    </row>
    <row r="180" spans="1:9">
      <c r="A180" s="15" t="s">
        <v>1676</v>
      </c>
      <c r="B180" s="61">
        <v>45148</v>
      </c>
      <c r="C180" s="6" t="s">
        <v>1366</v>
      </c>
      <c r="D180" s="1" t="s">
        <v>11</v>
      </c>
      <c r="E180" s="56">
        <v>2.0950000000000002</v>
      </c>
      <c r="F180" s="24" t="s">
        <v>356</v>
      </c>
      <c r="G180" s="1" t="s">
        <v>1677</v>
      </c>
      <c r="H180" s="1" t="s">
        <v>1385</v>
      </c>
      <c r="I180" s="61">
        <v>45125</v>
      </c>
    </row>
    <row r="181" spans="1:9">
      <c r="A181" s="15" t="s">
        <v>1678</v>
      </c>
      <c r="B181" s="61">
        <v>45148</v>
      </c>
      <c r="C181" s="6" t="s">
        <v>1355</v>
      </c>
      <c r="D181" s="1" t="s">
        <v>11</v>
      </c>
      <c r="E181" s="56">
        <v>9.7710000000000008</v>
      </c>
      <c r="F181" s="24" t="s">
        <v>356</v>
      </c>
      <c r="G181" s="1" t="s">
        <v>1677</v>
      </c>
      <c r="H181" s="1" t="s">
        <v>1636</v>
      </c>
      <c r="I181" s="61">
        <v>45125</v>
      </c>
    </row>
    <row r="182" spans="1:9">
      <c r="A182" s="15"/>
      <c r="B182" s="61"/>
      <c r="C182" s="6"/>
      <c r="D182" s="63"/>
      <c r="E182" s="57">
        <f>SUM(E172:E181)</f>
        <v>82.40100000000001</v>
      </c>
      <c r="F182" s="24"/>
      <c r="G182" s="1"/>
      <c r="H182" s="1"/>
      <c r="I182" s="61"/>
    </row>
    <row r="183" spans="1:9">
      <c r="A183" s="15" t="s">
        <v>1679</v>
      </c>
      <c r="B183" s="61">
        <v>45149</v>
      </c>
      <c r="C183" s="6" t="s">
        <v>1640</v>
      </c>
      <c r="D183" s="63" t="s">
        <v>78</v>
      </c>
      <c r="E183" s="56">
        <v>31.986999999999998</v>
      </c>
      <c r="F183" s="24" t="s">
        <v>851</v>
      </c>
      <c r="G183" s="1" t="s">
        <v>1680</v>
      </c>
      <c r="H183" s="1" t="s">
        <v>1681</v>
      </c>
      <c r="I183" s="61">
        <v>45141</v>
      </c>
    </row>
    <row r="184" spans="1:9">
      <c r="A184" s="15" t="s">
        <v>1682</v>
      </c>
      <c r="B184" s="61">
        <v>45149</v>
      </c>
      <c r="C184" s="6" t="s">
        <v>1271</v>
      </c>
      <c r="D184" s="1" t="s">
        <v>11</v>
      </c>
      <c r="E184" s="56">
        <v>8.3089999999999993</v>
      </c>
      <c r="F184" s="24" t="s">
        <v>522</v>
      </c>
      <c r="G184" s="1" t="s">
        <v>1684</v>
      </c>
      <c r="H184" s="1" t="s">
        <v>1125</v>
      </c>
      <c r="I184" s="61">
        <v>45125</v>
      </c>
    </row>
    <row r="185" spans="1:9">
      <c r="A185" s="15" t="s">
        <v>1683</v>
      </c>
      <c r="B185" s="61">
        <v>45149</v>
      </c>
      <c r="C185" s="6" t="s">
        <v>1355</v>
      </c>
      <c r="D185" s="1" t="s">
        <v>11</v>
      </c>
      <c r="E185" s="56">
        <v>15.154999999999999</v>
      </c>
      <c r="F185" s="24" t="s">
        <v>522</v>
      </c>
      <c r="G185" s="1" t="s">
        <v>1684</v>
      </c>
      <c r="H185" s="1" t="s">
        <v>1636</v>
      </c>
      <c r="I185" s="61">
        <v>45125</v>
      </c>
    </row>
    <row r="186" spans="1:9">
      <c r="A186" s="15" t="s">
        <v>1685</v>
      </c>
      <c r="B186" s="61">
        <v>45149</v>
      </c>
      <c r="C186" s="6" t="s">
        <v>1271</v>
      </c>
      <c r="D186" s="1" t="s">
        <v>11</v>
      </c>
      <c r="E186" s="56">
        <v>1.0740000000000001</v>
      </c>
      <c r="F186" s="24" t="s">
        <v>522</v>
      </c>
      <c r="G186" s="1" t="s">
        <v>1684</v>
      </c>
      <c r="H186" s="1" t="s">
        <v>1385</v>
      </c>
      <c r="I186" s="61">
        <v>45125</v>
      </c>
    </row>
    <row r="187" spans="1:9">
      <c r="A187" s="15" t="s">
        <v>1686</v>
      </c>
      <c r="B187" s="61">
        <v>45149</v>
      </c>
      <c r="C187" s="6" t="s">
        <v>1365</v>
      </c>
      <c r="D187" s="63" t="s">
        <v>78</v>
      </c>
      <c r="E187" s="56">
        <v>5.56</v>
      </c>
      <c r="F187" s="24" t="s">
        <v>116</v>
      </c>
      <c r="G187" s="1" t="s">
        <v>1687</v>
      </c>
      <c r="H187" s="1" t="s">
        <v>1202</v>
      </c>
      <c r="I187" s="61">
        <v>45111</v>
      </c>
    </row>
    <row r="188" spans="1:9">
      <c r="A188" s="15" t="s">
        <v>1688</v>
      </c>
      <c r="B188" s="61">
        <v>45149</v>
      </c>
      <c r="C188" s="6" t="s">
        <v>1365</v>
      </c>
      <c r="D188" s="63" t="s">
        <v>78</v>
      </c>
      <c r="E188" s="56">
        <v>6.1210000000000004</v>
      </c>
      <c r="F188" s="24" t="s">
        <v>116</v>
      </c>
      <c r="G188" s="1" t="s">
        <v>1687</v>
      </c>
      <c r="H188" s="1" t="s">
        <v>1187</v>
      </c>
      <c r="I188" s="61">
        <v>45111</v>
      </c>
    </row>
    <row r="189" spans="1:9">
      <c r="A189" s="15" t="s">
        <v>1689</v>
      </c>
      <c r="B189" s="61">
        <v>45149</v>
      </c>
      <c r="C189" s="6" t="s">
        <v>1365</v>
      </c>
      <c r="D189" s="63" t="s">
        <v>78</v>
      </c>
      <c r="E189" s="56">
        <v>1.161</v>
      </c>
      <c r="F189" s="24" t="s">
        <v>116</v>
      </c>
      <c r="G189" s="1" t="s">
        <v>1687</v>
      </c>
      <c r="H189" s="1" t="s">
        <v>1112</v>
      </c>
      <c r="I189" s="61">
        <v>45111</v>
      </c>
    </row>
    <row r="190" spans="1:9">
      <c r="A190" s="15" t="s">
        <v>1690</v>
      </c>
      <c r="B190" s="61">
        <v>45149</v>
      </c>
      <c r="C190" s="6" t="s">
        <v>1640</v>
      </c>
      <c r="D190" s="63" t="s">
        <v>78</v>
      </c>
      <c r="E190" s="56">
        <f>11.078+7.701</f>
        <v>18.779</v>
      </c>
      <c r="F190" s="24" t="s">
        <v>116</v>
      </c>
      <c r="G190" s="1" t="s">
        <v>1691</v>
      </c>
      <c r="H190" s="1" t="s">
        <v>1681</v>
      </c>
      <c r="I190" s="61">
        <v>45141</v>
      </c>
    </row>
    <row r="191" spans="1:9">
      <c r="A191" s="15" t="s">
        <v>1692</v>
      </c>
      <c r="B191" s="61">
        <v>45149</v>
      </c>
      <c r="C191" s="6" t="s">
        <v>1640</v>
      </c>
      <c r="D191" s="63" t="s">
        <v>78</v>
      </c>
      <c r="E191" s="56">
        <v>10.201000000000001</v>
      </c>
      <c r="F191" s="24" t="s">
        <v>238</v>
      </c>
      <c r="G191" s="1" t="s">
        <v>1693</v>
      </c>
      <c r="H191" s="1" t="s">
        <v>1016</v>
      </c>
      <c r="I191" s="61">
        <v>45111</v>
      </c>
    </row>
    <row r="192" spans="1:9">
      <c r="A192" s="15" t="s">
        <v>1694</v>
      </c>
      <c r="B192" s="61">
        <v>45149</v>
      </c>
      <c r="C192" s="6" t="s">
        <v>1695</v>
      </c>
      <c r="D192" s="63" t="s">
        <v>78</v>
      </c>
      <c r="E192" s="56">
        <f>1.187+9.459</f>
        <v>10.645999999999999</v>
      </c>
      <c r="F192" s="24" t="s">
        <v>238</v>
      </c>
      <c r="G192" s="1" t="s">
        <v>1696</v>
      </c>
      <c r="H192" s="1" t="s">
        <v>1217</v>
      </c>
      <c r="I192" s="61">
        <v>45111</v>
      </c>
    </row>
    <row r="193" spans="1:9">
      <c r="A193" s="15" t="s">
        <v>1694</v>
      </c>
      <c r="B193" s="61">
        <v>45149</v>
      </c>
      <c r="C193" s="6" t="s">
        <v>1500</v>
      </c>
      <c r="D193" s="63" t="s">
        <v>78</v>
      </c>
      <c r="E193" s="56">
        <v>2.411</v>
      </c>
      <c r="F193" s="24" t="s">
        <v>238</v>
      </c>
      <c r="G193" s="1" t="s">
        <v>1696</v>
      </c>
      <c r="H193" s="1" t="s">
        <v>1217</v>
      </c>
      <c r="I193" s="61">
        <v>45111</v>
      </c>
    </row>
    <row r="194" spans="1:9">
      <c r="A194" s="15" t="s">
        <v>1697</v>
      </c>
      <c r="B194" s="61">
        <v>45149</v>
      </c>
      <c r="C194" s="6" t="s">
        <v>1695</v>
      </c>
      <c r="D194" s="63" t="s">
        <v>78</v>
      </c>
      <c r="E194" s="56">
        <v>5.55</v>
      </c>
      <c r="F194" s="24" t="s">
        <v>238</v>
      </c>
      <c r="G194" s="1" t="s">
        <v>1698</v>
      </c>
      <c r="H194" s="1" t="s">
        <v>1112</v>
      </c>
      <c r="I194" s="61">
        <v>45111</v>
      </c>
    </row>
    <row r="195" spans="1:9">
      <c r="A195" s="15" t="s">
        <v>1699</v>
      </c>
      <c r="B195" s="61">
        <v>45149</v>
      </c>
      <c r="C195" s="6" t="s">
        <v>1640</v>
      </c>
      <c r="D195" s="63" t="s">
        <v>78</v>
      </c>
      <c r="E195" s="56">
        <v>3.5619999999999998</v>
      </c>
      <c r="F195" s="24" t="s">
        <v>238</v>
      </c>
      <c r="G195" s="1" t="s">
        <v>1698</v>
      </c>
      <c r="H195" s="1" t="s">
        <v>1681</v>
      </c>
      <c r="I195" s="61">
        <v>45141</v>
      </c>
    </row>
    <row r="196" spans="1:9">
      <c r="A196" s="15" t="s">
        <v>1700</v>
      </c>
      <c r="B196" s="61">
        <v>45149</v>
      </c>
      <c r="C196" s="6" t="s">
        <v>1701</v>
      </c>
      <c r="D196" s="1" t="s">
        <v>11</v>
      </c>
      <c r="E196" s="56">
        <v>6.476</v>
      </c>
      <c r="F196" s="24" t="s">
        <v>500</v>
      </c>
      <c r="G196" s="1" t="s">
        <v>1702</v>
      </c>
      <c r="H196" s="1" t="s">
        <v>1385</v>
      </c>
      <c r="I196" s="61">
        <v>45125</v>
      </c>
    </row>
    <row r="197" spans="1:9">
      <c r="A197" s="15" t="s">
        <v>1700</v>
      </c>
      <c r="B197" s="61">
        <v>45149</v>
      </c>
      <c r="C197" s="6" t="s">
        <v>1453</v>
      </c>
      <c r="D197" s="1" t="s">
        <v>11</v>
      </c>
      <c r="E197" s="56">
        <v>2.09</v>
      </c>
      <c r="F197" s="24" t="s">
        <v>500</v>
      </c>
      <c r="G197" s="1" t="s">
        <v>1702</v>
      </c>
      <c r="H197" s="1" t="s">
        <v>1385</v>
      </c>
      <c r="I197" s="61">
        <v>45125</v>
      </c>
    </row>
    <row r="198" spans="1:9">
      <c r="A198" s="15" t="s">
        <v>1700</v>
      </c>
      <c r="B198" s="61">
        <v>45149</v>
      </c>
      <c r="C198" s="6" t="s">
        <v>1453</v>
      </c>
      <c r="D198" s="1" t="s">
        <v>11</v>
      </c>
      <c r="E198" s="56">
        <v>3.57</v>
      </c>
      <c r="F198" s="24" t="s">
        <v>500</v>
      </c>
      <c r="G198" s="1" t="s">
        <v>1702</v>
      </c>
      <c r="H198" s="1" t="s">
        <v>1385</v>
      </c>
      <c r="I198" s="61">
        <v>45125</v>
      </c>
    </row>
    <row r="199" spans="1:9">
      <c r="A199" s="15" t="s">
        <v>1703</v>
      </c>
      <c r="B199" s="61">
        <v>45149</v>
      </c>
      <c r="C199" s="6" t="s">
        <v>1701</v>
      </c>
      <c r="D199" s="1" t="s">
        <v>11</v>
      </c>
      <c r="E199" s="56">
        <v>5.1050000000000004</v>
      </c>
      <c r="F199" s="24" t="s">
        <v>500</v>
      </c>
      <c r="G199" s="1" t="s">
        <v>1702</v>
      </c>
      <c r="H199" s="1" t="s">
        <v>1636</v>
      </c>
      <c r="I199" s="61">
        <v>45125</v>
      </c>
    </row>
    <row r="200" spans="1:9">
      <c r="A200" s="15" t="s">
        <v>1703</v>
      </c>
      <c r="B200" s="61">
        <v>45149</v>
      </c>
      <c r="C200" s="6" t="s">
        <v>1321</v>
      </c>
      <c r="D200" s="1" t="s">
        <v>11</v>
      </c>
      <c r="E200" s="56">
        <v>7.1760000000000002</v>
      </c>
      <c r="F200" s="24" t="s">
        <v>500</v>
      </c>
      <c r="G200" s="1" t="s">
        <v>1702</v>
      </c>
      <c r="H200" s="1" t="s">
        <v>1636</v>
      </c>
      <c r="I200" s="61">
        <v>45125</v>
      </c>
    </row>
    <row r="201" spans="1:9">
      <c r="A201" s="15"/>
      <c r="B201" s="61"/>
      <c r="C201" s="6"/>
      <c r="D201" s="1"/>
      <c r="E201" s="57">
        <f>SUM(E183:E200)</f>
        <v>144.93299999999996</v>
      </c>
      <c r="F201" s="24"/>
      <c r="G201" s="1"/>
      <c r="H201" s="1"/>
      <c r="I201" s="61"/>
    </row>
    <row r="202" spans="1:9">
      <c r="A202" s="15" t="s">
        <v>1704</v>
      </c>
      <c r="B202" s="61">
        <v>45150</v>
      </c>
      <c r="C202" s="6" t="s">
        <v>1705</v>
      </c>
      <c r="D202" s="63" t="s">
        <v>78</v>
      </c>
      <c r="E202" s="56">
        <f>2.665+2.758+9.037</f>
        <v>14.46</v>
      </c>
      <c r="F202" s="24" t="s">
        <v>851</v>
      </c>
      <c r="G202" s="1" t="s">
        <v>1706</v>
      </c>
      <c r="H202" s="1" t="s">
        <v>1217</v>
      </c>
      <c r="I202" s="61">
        <v>45111</v>
      </c>
    </row>
    <row r="203" spans="1:9">
      <c r="A203" s="15" t="s">
        <v>1707</v>
      </c>
      <c r="B203" s="61">
        <v>45150</v>
      </c>
      <c r="C203" s="6" t="s">
        <v>1705</v>
      </c>
      <c r="D203" s="63" t="s">
        <v>78</v>
      </c>
      <c r="E203" s="56">
        <f>7.555+4.922+1.637</f>
        <v>14.114000000000001</v>
      </c>
      <c r="F203" s="24" t="s">
        <v>851</v>
      </c>
      <c r="G203" s="1" t="s">
        <v>1708</v>
      </c>
      <c r="H203" s="1" t="s">
        <v>1112</v>
      </c>
      <c r="I203" s="61">
        <v>45111</v>
      </c>
    </row>
    <row r="204" spans="1:9">
      <c r="A204" s="15" t="s">
        <v>1709</v>
      </c>
      <c r="B204" s="61">
        <v>45150</v>
      </c>
      <c r="C204" s="6" t="s">
        <v>1705</v>
      </c>
      <c r="D204" s="63" t="s">
        <v>78</v>
      </c>
      <c r="E204" s="56">
        <v>2.1269999999999998</v>
      </c>
      <c r="F204" s="24" t="s">
        <v>851</v>
      </c>
      <c r="G204" s="1" t="s">
        <v>1710</v>
      </c>
      <c r="H204" s="1" t="s">
        <v>1115</v>
      </c>
      <c r="I204" s="61">
        <v>45111</v>
      </c>
    </row>
    <row r="205" spans="1:9">
      <c r="A205" s="15" t="s">
        <v>1709</v>
      </c>
      <c r="B205" s="61">
        <v>45150</v>
      </c>
      <c r="C205" s="6" t="s">
        <v>1223</v>
      </c>
      <c r="D205" s="63" t="s">
        <v>78</v>
      </c>
      <c r="E205" s="56">
        <v>2.5510000000000002</v>
      </c>
      <c r="F205" s="24" t="s">
        <v>851</v>
      </c>
      <c r="G205" s="1" t="s">
        <v>1710</v>
      </c>
      <c r="H205" s="1" t="s">
        <v>1115</v>
      </c>
      <c r="I205" s="61">
        <v>45111</v>
      </c>
    </row>
    <row r="206" spans="1:9">
      <c r="A206" s="15" t="s">
        <v>1711</v>
      </c>
      <c r="B206" s="61">
        <v>45150</v>
      </c>
      <c r="C206" s="6" t="s">
        <v>1640</v>
      </c>
      <c r="D206" s="63" t="s">
        <v>78</v>
      </c>
      <c r="E206" s="56">
        <v>9.6020000000000003</v>
      </c>
      <c r="F206" s="24" t="s">
        <v>116</v>
      </c>
      <c r="G206" s="1" t="s">
        <v>1712</v>
      </c>
      <c r="H206" s="1" t="s">
        <v>1217</v>
      </c>
      <c r="I206" s="61">
        <v>45111</v>
      </c>
    </row>
    <row r="207" spans="1:9">
      <c r="A207" s="15" t="s">
        <v>1711</v>
      </c>
      <c r="B207" s="61">
        <v>45150</v>
      </c>
      <c r="C207" s="6" t="s">
        <v>1370</v>
      </c>
      <c r="D207" s="63" t="s">
        <v>78</v>
      </c>
      <c r="E207" s="56">
        <v>1.127</v>
      </c>
      <c r="F207" s="24" t="s">
        <v>116</v>
      </c>
      <c r="G207" s="1" t="s">
        <v>1712</v>
      </c>
      <c r="H207" s="1" t="s">
        <v>1217</v>
      </c>
      <c r="I207" s="61">
        <v>45111</v>
      </c>
    </row>
    <row r="208" spans="1:9">
      <c r="A208" s="15" t="s">
        <v>1713</v>
      </c>
      <c r="B208" s="61">
        <v>45150</v>
      </c>
      <c r="C208" s="6" t="s">
        <v>1640</v>
      </c>
      <c r="D208" s="63" t="s">
        <v>78</v>
      </c>
      <c r="E208" s="56">
        <v>10.189</v>
      </c>
      <c r="F208" s="24" t="s">
        <v>116</v>
      </c>
      <c r="G208" s="1" t="s">
        <v>1712</v>
      </c>
      <c r="H208" s="1" t="s">
        <v>1112</v>
      </c>
      <c r="I208" s="61">
        <v>45111</v>
      </c>
    </row>
    <row r="209" spans="1:9">
      <c r="A209" s="15" t="s">
        <v>1713</v>
      </c>
      <c r="B209" s="61">
        <v>45150</v>
      </c>
      <c r="C209" s="6" t="s">
        <v>1370</v>
      </c>
      <c r="D209" s="63" t="s">
        <v>78</v>
      </c>
      <c r="E209" s="56">
        <v>1.5029999999999999</v>
      </c>
      <c r="F209" s="24" t="s">
        <v>116</v>
      </c>
      <c r="G209" s="1" t="s">
        <v>1712</v>
      </c>
      <c r="H209" s="1" t="s">
        <v>1112</v>
      </c>
      <c r="I209" s="61">
        <v>45111</v>
      </c>
    </row>
    <row r="210" spans="1:9">
      <c r="A210" s="15" t="s">
        <v>1713</v>
      </c>
      <c r="B210" s="61">
        <v>45150</v>
      </c>
      <c r="C210" s="6" t="s">
        <v>1705</v>
      </c>
      <c r="D210" s="63" t="s">
        <v>78</v>
      </c>
      <c r="E210" s="56">
        <v>5.2619999999999996</v>
      </c>
      <c r="F210" s="24" t="s">
        <v>116</v>
      </c>
      <c r="G210" s="1" t="s">
        <v>1712</v>
      </c>
      <c r="H210" s="1" t="s">
        <v>1112</v>
      </c>
      <c r="I210" s="61">
        <v>45111</v>
      </c>
    </row>
    <row r="211" spans="1:9">
      <c r="A211" s="15" t="s">
        <v>1714</v>
      </c>
      <c r="B211" s="61">
        <v>45150</v>
      </c>
      <c r="C211" s="6" t="s">
        <v>1408</v>
      </c>
      <c r="D211" s="63" t="s">
        <v>78</v>
      </c>
      <c r="E211" s="56">
        <v>2.036</v>
      </c>
      <c r="F211" s="24" t="s">
        <v>116</v>
      </c>
      <c r="G211" s="1" t="s">
        <v>1712</v>
      </c>
      <c r="H211" s="1" t="s">
        <v>1115</v>
      </c>
      <c r="I211" s="61">
        <v>45111</v>
      </c>
    </row>
    <row r="212" spans="1:9">
      <c r="A212" s="15" t="s">
        <v>1714</v>
      </c>
      <c r="B212" s="61">
        <v>45150</v>
      </c>
      <c r="C212" s="6" t="s">
        <v>1370</v>
      </c>
      <c r="D212" s="63" t="s">
        <v>78</v>
      </c>
      <c r="E212" s="56">
        <v>2.0110000000000001</v>
      </c>
      <c r="F212" s="24" t="s">
        <v>116</v>
      </c>
      <c r="G212" s="1" t="s">
        <v>1712</v>
      </c>
      <c r="H212" s="1" t="s">
        <v>1115</v>
      </c>
      <c r="I212" s="61">
        <v>45111</v>
      </c>
    </row>
    <row r="213" spans="1:9">
      <c r="A213" s="15" t="s">
        <v>1715</v>
      </c>
      <c r="B213" s="61">
        <v>45150</v>
      </c>
      <c r="C213" s="6" t="s">
        <v>1366</v>
      </c>
      <c r="D213" s="63" t="s">
        <v>78</v>
      </c>
      <c r="E213" s="56">
        <v>0.436</v>
      </c>
      <c r="F213" s="24" t="s">
        <v>116</v>
      </c>
      <c r="G213" s="1" t="s">
        <v>1712</v>
      </c>
      <c r="H213" s="1" t="s">
        <v>1297</v>
      </c>
      <c r="I213" s="61">
        <v>45111</v>
      </c>
    </row>
    <row r="214" spans="1:9">
      <c r="A214" s="15" t="s">
        <v>1716</v>
      </c>
      <c r="B214" s="61">
        <v>45150</v>
      </c>
      <c r="C214" s="6" t="s">
        <v>1695</v>
      </c>
      <c r="D214" s="63" t="s">
        <v>78</v>
      </c>
      <c r="E214" s="56">
        <v>4.17</v>
      </c>
      <c r="F214" s="24" t="s">
        <v>97</v>
      </c>
      <c r="G214" s="1" t="s">
        <v>1717</v>
      </c>
      <c r="H214" s="1" t="s">
        <v>1112</v>
      </c>
      <c r="I214" s="61">
        <v>45111</v>
      </c>
    </row>
    <row r="215" spans="1:9">
      <c r="A215" s="15" t="s">
        <v>1718</v>
      </c>
      <c r="B215" s="61">
        <v>45150</v>
      </c>
      <c r="C215" s="6" t="s">
        <v>1705</v>
      </c>
      <c r="D215" s="63" t="s">
        <v>78</v>
      </c>
      <c r="E215" s="56">
        <v>14.17</v>
      </c>
      <c r="F215" s="24" t="s">
        <v>97</v>
      </c>
      <c r="G215" s="1" t="s">
        <v>1717</v>
      </c>
      <c r="H215" s="1" t="s">
        <v>1187</v>
      </c>
      <c r="I215" s="61">
        <v>45111</v>
      </c>
    </row>
    <row r="216" spans="1:9">
      <c r="A216" s="15" t="s">
        <v>1719</v>
      </c>
      <c r="B216" s="61">
        <v>45150</v>
      </c>
      <c r="C216" s="6" t="s">
        <v>1705</v>
      </c>
      <c r="D216" s="63" t="s">
        <v>78</v>
      </c>
      <c r="E216" s="56">
        <f>6.579+7.442</f>
        <v>14.021000000000001</v>
      </c>
      <c r="F216" s="24" t="s">
        <v>97</v>
      </c>
      <c r="G216" s="1" t="s">
        <v>1720</v>
      </c>
      <c r="H216" s="1" t="s">
        <v>1115</v>
      </c>
      <c r="I216" s="61">
        <v>45111</v>
      </c>
    </row>
    <row r="217" spans="1:9">
      <c r="A217" s="15" t="s">
        <v>1721</v>
      </c>
      <c r="B217" s="61">
        <v>45150</v>
      </c>
      <c r="C217" s="6" t="s">
        <v>1705</v>
      </c>
      <c r="D217" s="63" t="s">
        <v>78</v>
      </c>
      <c r="E217" s="56">
        <f>6.971+1.65</f>
        <v>8.6210000000000004</v>
      </c>
      <c r="F217" s="24" t="s">
        <v>267</v>
      </c>
      <c r="G217" s="1" t="s">
        <v>1722</v>
      </c>
      <c r="H217" s="1" t="s">
        <v>1217</v>
      </c>
      <c r="I217" s="61">
        <v>45111</v>
      </c>
    </row>
    <row r="218" spans="1:9">
      <c r="A218" s="15" t="s">
        <v>1723</v>
      </c>
      <c r="B218" s="61">
        <v>45150</v>
      </c>
      <c r="C218" s="6" t="s">
        <v>1705</v>
      </c>
      <c r="D218" s="63" t="s">
        <v>78</v>
      </c>
      <c r="E218" s="56">
        <v>13.848000000000001</v>
      </c>
      <c r="F218" s="24" t="s">
        <v>267</v>
      </c>
      <c r="G218" s="1" t="s">
        <v>1724</v>
      </c>
      <c r="H218" s="1" t="s">
        <v>1112</v>
      </c>
      <c r="I218" s="61">
        <v>45111</v>
      </c>
    </row>
    <row r="219" spans="1:9">
      <c r="A219" s="15" t="s">
        <v>1725</v>
      </c>
      <c r="B219" s="61">
        <v>45150</v>
      </c>
      <c r="C219" s="6" t="s">
        <v>1705</v>
      </c>
      <c r="D219" s="63" t="s">
        <v>78</v>
      </c>
      <c r="E219" s="56">
        <v>8.3729999999999993</v>
      </c>
      <c r="F219" s="24" t="s">
        <v>267</v>
      </c>
      <c r="G219" s="1" t="s">
        <v>1724</v>
      </c>
      <c r="H219" s="1" t="s">
        <v>1115</v>
      </c>
      <c r="I219" s="61">
        <v>45111</v>
      </c>
    </row>
    <row r="220" spans="1:9">
      <c r="A220" s="15" t="s">
        <v>1726</v>
      </c>
      <c r="B220" s="61">
        <v>45150</v>
      </c>
      <c r="C220" s="6" t="s">
        <v>1705</v>
      </c>
      <c r="D220" s="63" t="s">
        <v>78</v>
      </c>
      <c r="E220" s="56">
        <v>1.534</v>
      </c>
      <c r="F220" s="24" t="s">
        <v>267</v>
      </c>
      <c r="G220" s="1" t="s">
        <v>1724</v>
      </c>
      <c r="H220" s="1" t="s">
        <v>1187</v>
      </c>
      <c r="I220" s="61">
        <v>45111</v>
      </c>
    </row>
    <row r="221" spans="1:9">
      <c r="A221" s="15"/>
      <c r="B221" s="61"/>
      <c r="C221" s="6"/>
      <c r="D221" s="63"/>
      <c r="E221" s="57">
        <f>SUM(E202:E220)</f>
        <v>130.155</v>
      </c>
      <c r="F221" s="24"/>
      <c r="G221" s="1"/>
      <c r="H221" s="1"/>
      <c r="I221" s="61"/>
    </row>
    <row r="222" spans="1:9">
      <c r="A222" s="15" t="s">
        <v>1727</v>
      </c>
      <c r="B222" s="61">
        <v>45151</v>
      </c>
      <c r="C222" s="6" t="s">
        <v>1695</v>
      </c>
      <c r="D222" s="63" t="s">
        <v>78</v>
      </c>
      <c r="E222" s="56">
        <v>9.7170000000000005</v>
      </c>
      <c r="F222" s="24" t="s">
        <v>1243</v>
      </c>
      <c r="G222" s="1" t="s">
        <v>1728</v>
      </c>
      <c r="H222" s="1" t="s">
        <v>1217</v>
      </c>
      <c r="I222" s="61">
        <v>45111</v>
      </c>
    </row>
    <row r="223" spans="1:9">
      <c r="A223" s="15" t="s">
        <v>1727</v>
      </c>
      <c r="B223" s="61">
        <v>45151</v>
      </c>
      <c r="C223" s="6" t="s">
        <v>1705</v>
      </c>
      <c r="D223" s="63" t="s">
        <v>78</v>
      </c>
      <c r="E223" s="56">
        <v>1.819</v>
      </c>
      <c r="F223" s="24" t="s">
        <v>1243</v>
      </c>
      <c r="G223" s="1" t="s">
        <v>1728</v>
      </c>
      <c r="H223" s="1" t="s">
        <v>1217</v>
      </c>
      <c r="I223" s="61">
        <v>45111</v>
      </c>
    </row>
    <row r="224" spans="1:9">
      <c r="A224" s="15" t="s">
        <v>1729</v>
      </c>
      <c r="B224" s="61">
        <v>45151</v>
      </c>
      <c r="C224" s="6" t="s">
        <v>1695</v>
      </c>
      <c r="D224" s="63" t="s">
        <v>78</v>
      </c>
      <c r="E224" s="56">
        <v>3.7120000000000002</v>
      </c>
      <c r="F224" s="24" t="s">
        <v>1243</v>
      </c>
      <c r="G224" s="1" t="s">
        <v>1728</v>
      </c>
      <c r="H224" s="1" t="s">
        <v>1112</v>
      </c>
      <c r="I224" s="61">
        <v>45111</v>
      </c>
    </row>
    <row r="225" spans="1:9">
      <c r="A225" s="15" t="s">
        <v>1729</v>
      </c>
      <c r="B225" s="61">
        <v>45151</v>
      </c>
      <c r="C225" s="6" t="s">
        <v>1730</v>
      </c>
      <c r="D225" s="63" t="s">
        <v>78</v>
      </c>
      <c r="E225" s="56">
        <v>1.6850000000000001</v>
      </c>
      <c r="F225" s="24" t="s">
        <v>1243</v>
      </c>
      <c r="G225" s="1" t="s">
        <v>1728</v>
      </c>
      <c r="H225" s="1" t="s">
        <v>1112</v>
      </c>
      <c r="I225" s="61">
        <v>45111</v>
      </c>
    </row>
    <row r="226" spans="1:9">
      <c r="A226" s="15" t="s">
        <v>1729</v>
      </c>
      <c r="B226" s="61">
        <v>45151</v>
      </c>
      <c r="C226" s="6" t="s">
        <v>1370</v>
      </c>
      <c r="D226" s="63" t="s">
        <v>78</v>
      </c>
      <c r="E226" s="56">
        <v>0.751</v>
      </c>
      <c r="F226" s="24" t="s">
        <v>1243</v>
      </c>
      <c r="G226" s="1" t="s">
        <v>1728</v>
      </c>
      <c r="H226" s="1" t="s">
        <v>1112</v>
      </c>
      <c r="I226" s="61">
        <v>45111</v>
      </c>
    </row>
    <row r="227" spans="1:9">
      <c r="A227" s="15" t="s">
        <v>1729</v>
      </c>
      <c r="B227" s="61">
        <v>45151</v>
      </c>
      <c r="C227" s="6" t="s">
        <v>1705</v>
      </c>
      <c r="D227" s="63" t="s">
        <v>78</v>
      </c>
      <c r="E227" s="56">
        <v>1.9079999999999999</v>
      </c>
      <c r="F227" s="24" t="s">
        <v>1243</v>
      </c>
      <c r="G227" s="1" t="s">
        <v>1728</v>
      </c>
      <c r="H227" s="1" t="s">
        <v>1112</v>
      </c>
      <c r="I227" s="61">
        <v>45111</v>
      </c>
    </row>
    <row r="228" spans="1:9">
      <c r="A228" s="15" t="s">
        <v>1731</v>
      </c>
      <c r="B228" s="61">
        <v>45151</v>
      </c>
      <c r="C228" s="6" t="s">
        <v>1640</v>
      </c>
      <c r="D228" s="63" t="s">
        <v>78</v>
      </c>
      <c r="E228" s="56">
        <f>2.24+4.818</f>
        <v>7.0579999999999998</v>
      </c>
      <c r="F228" s="24" t="s">
        <v>1243</v>
      </c>
      <c r="G228" s="1" t="s">
        <v>1732</v>
      </c>
      <c r="H228" s="1" t="s">
        <v>1016</v>
      </c>
      <c r="I228" s="61">
        <v>45111</v>
      </c>
    </row>
    <row r="229" spans="1:9">
      <c r="A229" s="15" t="s">
        <v>1733</v>
      </c>
      <c r="B229" s="61">
        <v>45151</v>
      </c>
      <c r="C229" s="6" t="s">
        <v>1640</v>
      </c>
      <c r="D229" s="63" t="s">
        <v>78</v>
      </c>
      <c r="E229" s="56">
        <v>5.7539999999999996</v>
      </c>
      <c r="F229" s="24" t="s">
        <v>1243</v>
      </c>
      <c r="G229" s="1" t="s">
        <v>1734</v>
      </c>
      <c r="H229" s="1" t="s">
        <v>1681</v>
      </c>
      <c r="I229" s="61">
        <v>45141</v>
      </c>
    </row>
    <row r="230" spans="1:9">
      <c r="A230" s="15" t="s">
        <v>1735</v>
      </c>
      <c r="B230" s="61">
        <v>45151</v>
      </c>
      <c r="C230" s="6" t="s">
        <v>1695</v>
      </c>
      <c r="D230" s="63" t="s">
        <v>78</v>
      </c>
      <c r="E230" s="56">
        <v>0.82399999999999995</v>
      </c>
      <c r="F230" s="24" t="s">
        <v>116</v>
      </c>
      <c r="G230" s="1" t="s">
        <v>1736</v>
      </c>
      <c r="H230" s="1" t="s">
        <v>1217</v>
      </c>
      <c r="I230" s="61">
        <v>45111</v>
      </c>
    </row>
    <row r="231" spans="1:9">
      <c r="A231" s="15" t="s">
        <v>1737</v>
      </c>
      <c r="B231" s="61">
        <v>45151</v>
      </c>
      <c r="C231" s="6" t="s">
        <v>1705</v>
      </c>
      <c r="D231" s="63" t="s">
        <v>78</v>
      </c>
      <c r="E231" s="56">
        <v>2.306</v>
      </c>
      <c r="F231" s="24" t="s">
        <v>116</v>
      </c>
      <c r="G231" s="1" t="s">
        <v>1736</v>
      </c>
      <c r="H231" s="1" t="s">
        <v>1187</v>
      </c>
      <c r="I231" s="61">
        <v>45111</v>
      </c>
    </row>
    <row r="232" spans="1:9">
      <c r="A232" s="15" t="s">
        <v>1739</v>
      </c>
      <c r="B232" s="61">
        <v>45151</v>
      </c>
      <c r="C232" s="6" t="s">
        <v>1705</v>
      </c>
      <c r="D232" s="63" t="s">
        <v>78</v>
      </c>
      <c r="E232" s="56">
        <v>0.34300000000000003</v>
      </c>
      <c r="F232" s="24" t="s">
        <v>116</v>
      </c>
      <c r="G232" s="1" t="s">
        <v>1736</v>
      </c>
      <c r="H232" s="1" t="s">
        <v>1115</v>
      </c>
      <c r="I232" s="61">
        <v>45111</v>
      </c>
    </row>
    <row r="233" spans="1:9">
      <c r="A233" s="15" t="s">
        <v>1739</v>
      </c>
      <c r="B233" s="61">
        <v>45151</v>
      </c>
      <c r="C233" s="6" t="s">
        <v>1738</v>
      </c>
      <c r="D233" s="63" t="s">
        <v>78</v>
      </c>
      <c r="E233" s="56">
        <v>15.606999999999999</v>
      </c>
      <c r="F233" s="24" t="s">
        <v>116</v>
      </c>
      <c r="G233" s="1" t="s">
        <v>1736</v>
      </c>
      <c r="H233" s="1" t="s">
        <v>1115</v>
      </c>
      <c r="I233" s="61">
        <v>45111</v>
      </c>
    </row>
    <row r="234" spans="1:9">
      <c r="A234" s="15" t="s">
        <v>1740</v>
      </c>
      <c r="B234" s="61">
        <v>45151</v>
      </c>
      <c r="C234" s="6" t="s">
        <v>1695</v>
      </c>
      <c r="D234" s="63" t="s">
        <v>78</v>
      </c>
      <c r="E234" s="56">
        <v>1.077</v>
      </c>
      <c r="F234" s="24" t="s">
        <v>116</v>
      </c>
      <c r="G234" s="1" t="s">
        <v>1736</v>
      </c>
      <c r="H234" s="1" t="s">
        <v>1112</v>
      </c>
      <c r="I234" s="61">
        <v>45111</v>
      </c>
    </row>
    <row r="235" spans="1:9">
      <c r="A235" s="15" t="s">
        <v>1741</v>
      </c>
      <c r="B235" s="61">
        <v>45151</v>
      </c>
      <c r="C235" s="6" t="s">
        <v>1640</v>
      </c>
      <c r="D235" s="63" t="s">
        <v>78</v>
      </c>
      <c r="E235" s="56">
        <v>1.329</v>
      </c>
      <c r="F235" s="24" t="s">
        <v>116</v>
      </c>
      <c r="G235" s="1" t="s">
        <v>1736</v>
      </c>
      <c r="H235" s="1" t="s">
        <v>1016</v>
      </c>
      <c r="I235" s="61">
        <v>45111</v>
      </c>
    </row>
    <row r="236" spans="1:9">
      <c r="A236" s="15" t="s">
        <v>1742</v>
      </c>
      <c r="B236" s="61">
        <v>45151</v>
      </c>
      <c r="C236" s="6" t="s">
        <v>1640</v>
      </c>
      <c r="D236" s="63" t="s">
        <v>78</v>
      </c>
      <c r="E236" s="56">
        <v>9.2059999999999995</v>
      </c>
      <c r="F236" s="24" t="s">
        <v>116</v>
      </c>
      <c r="G236" s="1" t="s">
        <v>1736</v>
      </c>
      <c r="H236" s="1" t="s">
        <v>1202</v>
      </c>
      <c r="I236" s="61">
        <v>45111</v>
      </c>
    </row>
    <row r="237" spans="1:9">
      <c r="A237" s="15" t="s">
        <v>1742</v>
      </c>
      <c r="B237" s="61">
        <v>45151</v>
      </c>
      <c r="C237" s="6" t="s">
        <v>1695</v>
      </c>
      <c r="D237" s="63" t="s">
        <v>78</v>
      </c>
      <c r="E237" s="56">
        <v>1.78</v>
      </c>
      <c r="F237" s="24" t="s">
        <v>116</v>
      </c>
      <c r="G237" s="1" t="s">
        <v>1736</v>
      </c>
      <c r="H237" s="1" t="s">
        <v>1202</v>
      </c>
      <c r="I237" s="61">
        <v>45111</v>
      </c>
    </row>
    <row r="238" spans="1:9">
      <c r="A238" s="15" t="s">
        <v>1743</v>
      </c>
      <c r="B238" s="61">
        <v>45151</v>
      </c>
      <c r="C238" s="6" t="s">
        <v>1738</v>
      </c>
      <c r="D238" s="63" t="s">
        <v>78</v>
      </c>
      <c r="E238" s="56">
        <f>3.013+4.613+25.06</f>
        <v>32.686</v>
      </c>
      <c r="F238" s="24" t="s">
        <v>851</v>
      </c>
      <c r="G238" s="1" t="s">
        <v>1744</v>
      </c>
      <c r="H238" s="1" t="s">
        <v>1115</v>
      </c>
      <c r="I238" s="61">
        <v>45111</v>
      </c>
    </row>
    <row r="239" spans="1:9">
      <c r="A239" s="15"/>
      <c r="B239" s="61"/>
      <c r="C239" s="6"/>
      <c r="D239" s="63"/>
      <c r="E239" s="57">
        <f>SUM(E222:E238)</f>
        <v>97.562000000000012</v>
      </c>
      <c r="F239" s="24"/>
      <c r="G239" s="1"/>
      <c r="H239" s="1"/>
      <c r="I239" s="61"/>
    </row>
    <row r="240" spans="1:9">
      <c r="A240" s="15" t="s">
        <v>1745</v>
      </c>
      <c r="B240" s="61">
        <v>45152</v>
      </c>
      <c r="C240" s="6" t="s">
        <v>1738</v>
      </c>
      <c r="D240" s="63" t="s">
        <v>78</v>
      </c>
      <c r="E240" s="56">
        <f>19.055+8.296</f>
        <v>27.350999999999999</v>
      </c>
      <c r="F240" s="24" t="s">
        <v>86</v>
      </c>
      <c r="G240" s="1" t="s">
        <v>1746</v>
      </c>
      <c r="H240" s="1" t="s">
        <v>1115</v>
      </c>
      <c r="I240" s="61">
        <v>45111</v>
      </c>
    </row>
    <row r="241" spans="1:9">
      <c r="A241" s="15" t="s">
        <v>1747</v>
      </c>
      <c r="B241" s="61">
        <v>45152</v>
      </c>
      <c r="C241" s="6" t="s">
        <v>1365</v>
      </c>
      <c r="D241" s="63" t="s">
        <v>78</v>
      </c>
      <c r="E241" s="56">
        <v>4.2370000000000001</v>
      </c>
      <c r="F241" s="24" t="s">
        <v>86</v>
      </c>
      <c r="G241" s="1" t="s">
        <v>1748</v>
      </c>
      <c r="H241" s="1" t="s">
        <v>1112</v>
      </c>
      <c r="I241" s="61">
        <v>45111</v>
      </c>
    </row>
    <row r="242" spans="1:9">
      <c r="A242" s="15" t="s">
        <v>1749</v>
      </c>
      <c r="B242" s="61">
        <v>45152</v>
      </c>
      <c r="C242" s="6" t="s">
        <v>1738</v>
      </c>
      <c r="D242" s="63" t="s">
        <v>78</v>
      </c>
      <c r="E242" s="56">
        <f>12.099+8.562</f>
        <v>20.661000000000001</v>
      </c>
      <c r="F242" s="24" t="s">
        <v>116</v>
      </c>
      <c r="G242" s="1" t="s">
        <v>1750</v>
      </c>
      <c r="H242" s="1" t="s">
        <v>1115</v>
      </c>
      <c r="I242" s="61">
        <v>45111</v>
      </c>
    </row>
    <row r="243" spans="1:9">
      <c r="A243" s="15" t="s">
        <v>1751</v>
      </c>
      <c r="B243" s="61">
        <v>45152</v>
      </c>
      <c r="C243" s="6" t="s">
        <v>1738</v>
      </c>
      <c r="D243" s="63" t="s">
        <v>78</v>
      </c>
      <c r="E243" s="56">
        <v>8.48</v>
      </c>
      <c r="F243" s="24" t="s">
        <v>116</v>
      </c>
      <c r="G243" s="1" t="s">
        <v>1752</v>
      </c>
      <c r="H243" s="1" t="s">
        <v>1187</v>
      </c>
      <c r="I243" s="61">
        <v>45111</v>
      </c>
    </row>
    <row r="244" spans="1:9">
      <c r="A244" s="15" t="s">
        <v>1754</v>
      </c>
      <c r="B244" s="61">
        <v>45152</v>
      </c>
      <c r="C244" s="6" t="s">
        <v>1753</v>
      </c>
      <c r="D244" s="63" t="s">
        <v>78</v>
      </c>
      <c r="E244" s="56">
        <v>2.8479999999999999</v>
      </c>
      <c r="F244" s="24" t="s">
        <v>116</v>
      </c>
      <c r="G244" s="1" t="s">
        <v>1752</v>
      </c>
      <c r="H244" s="1" t="s">
        <v>1016</v>
      </c>
      <c r="I244" s="61">
        <v>45111</v>
      </c>
    </row>
    <row r="245" spans="1:9">
      <c r="A245" s="15"/>
      <c r="B245" s="61"/>
      <c r="C245" s="6"/>
      <c r="D245" s="63"/>
      <c r="E245" s="57">
        <f>SUM(E240:E244)</f>
        <v>63.576999999999998</v>
      </c>
      <c r="F245" s="24"/>
      <c r="G245" s="1"/>
      <c r="H245" s="1"/>
      <c r="I245" s="61"/>
    </row>
    <row r="246" spans="1:9">
      <c r="A246" s="15" t="s">
        <v>1755</v>
      </c>
      <c r="B246" s="61">
        <v>45154</v>
      </c>
      <c r="C246" s="6" t="s">
        <v>1738</v>
      </c>
      <c r="D246" s="63" t="s">
        <v>78</v>
      </c>
      <c r="E246" s="56">
        <v>8.3030000000000008</v>
      </c>
      <c r="F246" s="24" t="s">
        <v>86</v>
      </c>
      <c r="G246" s="1" t="s">
        <v>1757</v>
      </c>
      <c r="H246" s="1" t="s">
        <v>1115</v>
      </c>
      <c r="I246" s="61">
        <v>45111</v>
      </c>
    </row>
    <row r="247" spans="1:9">
      <c r="A247" s="15" t="s">
        <v>1755</v>
      </c>
      <c r="B247" s="61">
        <v>45154</v>
      </c>
      <c r="C247" s="6" t="s">
        <v>1756</v>
      </c>
      <c r="D247" s="63" t="s">
        <v>78</v>
      </c>
      <c r="E247" s="56">
        <v>19.190000000000001</v>
      </c>
      <c r="F247" s="24" t="s">
        <v>86</v>
      </c>
      <c r="G247" s="1" t="s">
        <v>1757</v>
      </c>
      <c r="H247" s="1" t="s">
        <v>1115</v>
      </c>
      <c r="I247" s="61">
        <v>45111</v>
      </c>
    </row>
    <row r="248" spans="1:9">
      <c r="A248" s="15" t="s">
        <v>1758</v>
      </c>
      <c r="B248" s="61">
        <v>45154</v>
      </c>
      <c r="C248" s="6" t="s">
        <v>1738</v>
      </c>
      <c r="D248" s="63" t="s">
        <v>78</v>
      </c>
      <c r="E248" s="56">
        <v>2.6520000000000001</v>
      </c>
      <c r="F248" s="24" t="s">
        <v>86</v>
      </c>
      <c r="G248" s="1" t="s">
        <v>1759</v>
      </c>
      <c r="H248" s="1" t="s">
        <v>1187</v>
      </c>
      <c r="I248" s="61">
        <v>45111</v>
      </c>
    </row>
    <row r="249" spans="1:9">
      <c r="A249" s="15" t="s">
        <v>1758</v>
      </c>
      <c r="B249" s="61">
        <v>45154</v>
      </c>
      <c r="C249" s="6" t="s">
        <v>1756</v>
      </c>
      <c r="D249" s="63" t="s">
        <v>78</v>
      </c>
      <c r="E249" s="56">
        <v>1.1870000000000001</v>
      </c>
      <c r="F249" s="24" t="s">
        <v>86</v>
      </c>
      <c r="G249" s="1" t="s">
        <v>1759</v>
      </c>
      <c r="H249" s="1" t="s">
        <v>1187</v>
      </c>
      <c r="I249" s="61">
        <v>45111</v>
      </c>
    </row>
    <row r="250" spans="1:9">
      <c r="A250" s="15" t="s">
        <v>1760</v>
      </c>
      <c r="B250" s="61">
        <v>45154</v>
      </c>
      <c r="C250" s="6" t="s">
        <v>1761</v>
      </c>
      <c r="D250" s="63" t="s">
        <v>78</v>
      </c>
      <c r="E250" s="56">
        <v>1.002</v>
      </c>
      <c r="F250" s="24" t="s">
        <v>86</v>
      </c>
      <c r="G250" s="1" t="s">
        <v>1759</v>
      </c>
      <c r="H250" s="1" t="s">
        <v>1112</v>
      </c>
      <c r="I250" s="61">
        <v>45111</v>
      </c>
    </row>
    <row r="251" spans="1:9">
      <c r="A251" s="15" t="s">
        <v>1762</v>
      </c>
      <c r="B251" s="61">
        <v>45154</v>
      </c>
      <c r="C251" s="6" t="s">
        <v>1756</v>
      </c>
      <c r="D251" s="63" t="s">
        <v>78</v>
      </c>
      <c r="E251" s="56">
        <v>21.954000000000001</v>
      </c>
      <c r="F251" s="24" t="s">
        <v>116</v>
      </c>
      <c r="G251" s="1" t="s">
        <v>1763</v>
      </c>
      <c r="H251" s="1" t="s">
        <v>1115</v>
      </c>
      <c r="I251" s="61">
        <v>45111</v>
      </c>
    </row>
    <row r="252" spans="1:9">
      <c r="A252" s="15" t="s">
        <v>1764</v>
      </c>
      <c r="B252" s="61">
        <v>45154</v>
      </c>
      <c r="C252" s="6" t="s">
        <v>1756</v>
      </c>
      <c r="D252" s="63" t="s">
        <v>78</v>
      </c>
      <c r="E252" s="56">
        <v>11.002000000000001</v>
      </c>
      <c r="F252" s="24" t="s">
        <v>116</v>
      </c>
      <c r="G252" s="1" t="s">
        <v>1765</v>
      </c>
      <c r="H252" s="1" t="s">
        <v>1187</v>
      </c>
      <c r="I252" s="61">
        <v>45111</v>
      </c>
    </row>
    <row r="253" spans="1:9">
      <c r="A253" s="15"/>
      <c r="B253" s="61"/>
      <c r="C253" s="6"/>
      <c r="D253" s="1"/>
      <c r="E253" s="57">
        <f>SUM(E246:E252)</f>
        <v>65.290000000000006</v>
      </c>
      <c r="F253" s="24"/>
      <c r="G253" s="1"/>
      <c r="H253" s="1"/>
      <c r="I253" s="3"/>
    </row>
    <row r="254" spans="1:9">
      <c r="A254" s="15" t="s">
        <v>1766</v>
      </c>
      <c r="B254" s="61">
        <v>45155</v>
      </c>
      <c r="C254" s="6" t="s">
        <v>1756</v>
      </c>
      <c r="D254" s="63" t="s">
        <v>78</v>
      </c>
      <c r="E254" s="56">
        <f>9.403+9.88+8.836</f>
        <v>28.119</v>
      </c>
      <c r="F254" s="24" t="s">
        <v>86</v>
      </c>
      <c r="G254" s="1" t="s">
        <v>1767</v>
      </c>
      <c r="H254" s="1" t="s">
        <v>1112</v>
      </c>
      <c r="I254" s="61">
        <v>45111</v>
      </c>
    </row>
    <row r="255" spans="1:9">
      <c r="A255" s="15" t="s">
        <v>1769</v>
      </c>
      <c r="B255" s="61">
        <v>45155</v>
      </c>
      <c r="C255" s="6" t="s">
        <v>1768</v>
      </c>
      <c r="D255" s="63" t="s">
        <v>78</v>
      </c>
      <c r="E255" s="56">
        <v>4.47</v>
      </c>
      <c r="F255" s="24" t="s">
        <v>86</v>
      </c>
      <c r="G255" s="1" t="s">
        <v>1770</v>
      </c>
      <c r="H255" s="1" t="s">
        <v>1593</v>
      </c>
      <c r="I255" s="61">
        <v>45135</v>
      </c>
    </row>
    <row r="256" spans="1:9">
      <c r="A256" s="15" t="s">
        <v>1779</v>
      </c>
      <c r="B256" s="61">
        <v>45155</v>
      </c>
      <c r="C256" s="6" t="s">
        <v>1705</v>
      </c>
      <c r="D256" s="63" t="s">
        <v>78</v>
      </c>
      <c r="E256" s="56">
        <f>17.91+13.925</f>
        <v>31.835000000000001</v>
      </c>
      <c r="F256" s="24" t="s">
        <v>116</v>
      </c>
      <c r="G256" s="1" t="s">
        <v>1780</v>
      </c>
      <c r="H256" s="1" t="s">
        <v>1681</v>
      </c>
      <c r="I256" s="61">
        <v>45141</v>
      </c>
    </row>
    <row r="257" spans="1:9">
      <c r="A257" s="15" t="s">
        <v>1775</v>
      </c>
      <c r="B257" s="61">
        <v>45155</v>
      </c>
      <c r="C257" s="6" t="s">
        <v>1768</v>
      </c>
      <c r="D257" s="63" t="s">
        <v>78</v>
      </c>
      <c r="E257" s="56">
        <f>17.254+0.36</f>
        <v>17.614000000000001</v>
      </c>
      <c r="F257" s="24" t="s">
        <v>267</v>
      </c>
      <c r="G257" s="1" t="s">
        <v>1776</v>
      </c>
      <c r="H257" s="1" t="s">
        <v>1593</v>
      </c>
      <c r="I257" s="61">
        <v>45135</v>
      </c>
    </row>
    <row r="258" spans="1:9">
      <c r="A258" s="15" t="s">
        <v>1775</v>
      </c>
      <c r="B258" s="61">
        <v>45155</v>
      </c>
      <c r="C258" s="6" t="s">
        <v>1738</v>
      </c>
      <c r="D258" s="63" t="s">
        <v>78</v>
      </c>
      <c r="E258" s="56">
        <v>6.16</v>
      </c>
      <c r="F258" s="24" t="s">
        <v>267</v>
      </c>
      <c r="G258" s="1" t="s">
        <v>1776</v>
      </c>
      <c r="H258" s="1" t="s">
        <v>1593</v>
      </c>
      <c r="I258" s="61">
        <v>45135</v>
      </c>
    </row>
    <row r="259" spans="1:9">
      <c r="A259" s="15" t="s">
        <v>1777</v>
      </c>
      <c r="B259" s="61">
        <v>45155</v>
      </c>
      <c r="C259" s="6" t="s">
        <v>1738</v>
      </c>
      <c r="D259" s="63" t="s">
        <v>78</v>
      </c>
      <c r="E259" s="56">
        <v>2.7829999999999999</v>
      </c>
      <c r="F259" s="24" t="s">
        <v>267</v>
      </c>
      <c r="G259" s="1" t="s">
        <v>1778</v>
      </c>
      <c r="H259" s="1" t="s">
        <v>1112</v>
      </c>
      <c r="I259" s="61">
        <v>45111</v>
      </c>
    </row>
    <row r="260" spans="1:9">
      <c r="A260" s="15" t="s">
        <v>1781</v>
      </c>
      <c r="B260" s="61">
        <v>45155</v>
      </c>
      <c r="C260" s="6" t="s">
        <v>1705</v>
      </c>
      <c r="D260" s="63" t="s">
        <v>78</v>
      </c>
      <c r="E260" s="56">
        <v>5.9029999999999996</v>
      </c>
      <c r="F260" s="24" t="s">
        <v>267</v>
      </c>
      <c r="G260" s="1" t="s">
        <v>1778</v>
      </c>
      <c r="H260" s="1" t="s">
        <v>1681</v>
      </c>
      <c r="I260" s="61">
        <v>45141</v>
      </c>
    </row>
    <row r="261" spans="1:9">
      <c r="A261" s="15"/>
      <c r="B261" s="61"/>
      <c r="C261" s="6"/>
      <c r="D261" s="63"/>
      <c r="E261" s="57">
        <f>SUM(E254:E260)</f>
        <v>96.884000000000015</v>
      </c>
      <c r="F261" s="24"/>
      <c r="G261" s="1"/>
      <c r="H261" s="1"/>
      <c r="I261" s="61"/>
    </row>
    <row r="262" spans="1:9">
      <c r="A262" s="15" t="s">
        <v>1782</v>
      </c>
      <c r="B262" s="61">
        <v>45156</v>
      </c>
      <c r="C262" s="6" t="s">
        <v>1756</v>
      </c>
      <c r="D262" s="63" t="s">
        <v>78</v>
      </c>
      <c r="E262" s="56">
        <v>1.992</v>
      </c>
      <c r="F262" s="24" t="s">
        <v>86</v>
      </c>
      <c r="G262" s="1" t="s">
        <v>1783</v>
      </c>
      <c r="H262" s="1" t="s">
        <v>1112</v>
      </c>
      <c r="I262" s="61">
        <v>45111</v>
      </c>
    </row>
    <row r="263" spans="1:9">
      <c r="A263" s="15" t="s">
        <v>1782</v>
      </c>
      <c r="B263" s="61">
        <v>45156</v>
      </c>
      <c r="C263" s="6" t="s">
        <v>1753</v>
      </c>
      <c r="D263" s="63" t="s">
        <v>78</v>
      </c>
      <c r="E263" s="56">
        <v>0.53</v>
      </c>
      <c r="F263" s="24" t="s">
        <v>86</v>
      </c>
      <c r="G263" s="1" t="s">
        <v>1783</v>
      </c>
      <c r="H263" s="1" t="s">
        <v>1112</v>
      </c>
      <c r="I263" s="61">
        <v>45111</v>
      </c>
    </row>
    <row r="264" spans="1:9">
      <c r="A264" s="15" t="s">
        <v>1784</v>
      </c>
      <c r="B264" s="61">
        <v>45156</v>
      </c>
      <c r="C264" s="6" t="s">
        <v>1478</v>
      </c>
      <c r="D264" s="63" t="s">
        <v>78</v>
      </c>
      <c r="E264" s="56">
        <v>1.0529999999999999</v>
      </c>
      <c r="F264" s="24" t="s">
        <v>86</v>
      </c>
      <c r="G264" s="1" t="s">
        <v>1783</v>
      </c>
      <c r="H264" s="1" t="s">
        <v>1785</v>
      </c>
      <c r="I264" s="61">
        <v>45135</v>
      </c>
    </row>
    <row r="265" spans="1:9">
      <c r="A265" s="15" t="s">
        <v>1786</v>
      </c>
      <c r="B265" s="61">
        <v>45156</v>
      </c>
      <c r="C265" s="6" t="s">
        <v>1705</v>
      </c>
      <c r="D265" s="63" t="s">
        <v>78</v>
      </c>
      <c r="E265" s="56">
        <f>12.416+14.594</f>
        <v>27.009999999999998</v>
      </c>
      <c r="F265" s="24" t="s">
        <v>86</v>
      </c>
      <c r="G265" s="1" t="s">
        <v>1787</v>
      </c>
      <c r="H265" s="1" t="s">
        <v>1681</v>
      </c>
      <c r="I265" s="61">
        <v>45141</v>
      </c>
    </row>
    <row r="266" spans="1:9">
      <c r="A266" s="15" t="s">
        <v>1788</v>
      </c>
      <c r="B266" s="61">
        <v>45156</v>
      </c>
      <c r="C266" s="6" t="s">
        <v>1705</v>
      </c>
      <c r="D266" s="63" t="s">
        <v>78</v>
      </c>
      <c r="E266" s="56">
        <f>16.668+9.525</f>
        <v>26.192999999999998</v>
      </c>
      <c r="F266" s="24" t="s">
        <v>267</v>
      </c>
      <c r="G266" s="1" t="s">
        <v>1789</v>
      </c>
      <c r="H266" s="1" t="s">
        <v>1681</v>
      </c>
      <c r="I266" s="61">
        <v>45141</v>
      </c>
    </row>
    <row r="267" spans="1:9">
      <c r="A267" s="15" t="s">
        <v>1788</v>
      </c>
      <c r="B267" s="61">
        <v>45156</v>
      </c>
      <c r="C267" s="6" t="s">
        <v>1640</v>
      </c>
      <c r="D267" s="63" t="s">
        <v>78</v>
      </c>
      <c r="E267" s="56">
        <v>2.952</v>
      </c>
      <c r="F267" s="24" t="s">
        <v>267</v>
      </c>
      <c r="G267" s="1" t="s">
        <v>1789</v>
      </c>
      <c r="H267" s="1" t="s">
        <v>1681</v>
      </c>
      <c r="I267" s="61">
        <v>45141</v>
      </c>
    </row>
    <row r="268" spans="1:9">
      <c r="A268" s="15" t="s">
        <v>1790</v>
      </c>
      <c r="B268" s="61">
        <v>45156</v>
      </c>
      <c r="C268" s="6" t="s">
        <v>1791</v>
      </c>
      <c r="D268" s="63" t="s">
        <v>78</v>
      </c>
      <c r="E268" s="56">
        <v>2.0179999999999998</v>
      </c>
      <c r="F268" s="24" t="s">
        <v>267</v>
      </c>
      <c r="G268" s="1" t="s">
        <v>1792</v>
      </c>
      <c r="H268" s="1" t="s">
        <v>1217</v>
      </c>
      <c r="I268" s="61">
        <v>45111</v>
      </c>
    </row>
    <row r="269" spans="1:9">
      <c r="A269" s="15" t="s">
        <v>1793</v>
      </c>
      <c r="B269" s="61">
        <v>45156</v>
      </c>
      <c r="C269" s="6" t="s">
        <v>1705</v>
      </c>
      <c r="D269" s="63" t="s">
        <v>78</v>
      </c>
      <c r="E269" s="56">
        <v>3.4239999999999999</v>
      </c>
      <c r="F269" s="24" t="s">
        <v>116</v>
      </c>
      <c r="G269" s="1" t="s">
        <v>1794</v>
      </c>
      <c r="H269" s="1" t="s">
        <v>1681</v>
      </c>
      <c r="I269" s="61">
        <v>45141</v>
      </c>
    </row>
    <row r="270" spans="1:9">
      <c r="A270" s="15" t="s">
        <v>1795</v>
      </c>
      <c r="B270" s="61">
        <v>45156</v>
      </c>
      <c r="C270" s="6" t="s">
        <v>1756</v>
      </c>
      <c r="D270" s="63" t="s">
        <v>78</v>
      </c>
      <c r="E270" s="56">
        <f>11.328+8.01</f>
        <v>19.338000000000001</v>
      </c>
      <c r="F270" s="24" t="s">
        <v>116</v>
      </c>
      <c r="G270" s="1" t="s">
        <v>1797</v>
      </c>
      <c r="H270" s="1" t="s">
        <v>1112</v>
      </c>
      <c r="I270" s="61">
        <v>45111</v>
      </c>
    </row>
    <row r="271" spans="1:9">
      <c r="A271" s="15" t="s">
        <v>1795</v>
      </c>
      <c r="B271" s="61">
        <v>45156</v>
      </c>
      <c r="C271" s="6" t="s">
        <v>1791</v>
      </c>
      <c r="D271" s="63" t="s">
        <v>78</v>
      </c>
      <c r="E271" s="56">
        <v>4.069</v>
      </c>
      <c r="F271" s="24" t="s">
        <v>116</v>
      </c>
      <c r="G271" s="1" t="s">
        <v>1797</v>
      </c>
      <c r="H271" s="1" t="s">
        <v>1112</v>
      </c>
      <c r="I271" s="61">
        <v>45111</v>
      </c>
    </row>
    <row r="272" spans="1:9">
      <c r="A272" s="15" t="s">
        <v>1795</v>
      </c>
      <c r="B272" s="61">
        <v>45156</v>
      </c>
      <c r="C272" s="6" t="s">
        <v>1796</v>
      </c>
      <c r="D272" s="63" t="s">
        <v>78</v>
      </c>
      <c r="E272" s="56">
        <v>0.51800000000000002</v>
      </c>
      <c r="F272" s="24" t="s">
        <v>116</v>
      </c>
      <c r="G272" s="1" t="s">
        <v>1797</v>
      </c>
      <c r="H272" s="1" t="s">
        <v>1112</v>
      </c>
      <c r="I272" s="61">
        <v>45111</v>
      </c>
    </row>
    <row r="273" spans="1:9">
      <c r="A273" s="15" t="s">
        <v>1798</v>
      </c>
      <c r="B273" s="61">
        <v>45156</v>
      </c>
      <c r="C273" s="6" t="s">
        <v>1791</v>
      </c>
      <c r="D273" s="63" t="s">
        <v>78</v>
      </c>
      <c r="E273" s="56">
        <v>3.0409999999999999</v>
      </c>
      <c r="F273" s="24" t="s">
        <v>116</v>
      </c>
      <c r="G273" s="1" t="s">
        <v>1799</v>
      </c>
      <c r="H273" s="1" t="s">
        <v>1217</v>
      </c>
      <c r="I273" s="61">
        <v>45111</v>
      </c>
    </row>
    <row r="274" spans="1:9">
      <c r="A274" s="15" t="s">
        <v>1800</v>
      </c>
      <c r="B274" s="61">
        <v>45156</v>
      </c>
      <c r="C274" s="6" t="s">
        <v>1271</v>
      </c>
      <c r="D274" s="63" t="s">
        <v>78</v>
      </c>
      <c r="E274" s="56">
        <v>1.94</v>
      </c>
      <c r="F274" s="24" t="s">
        <v>116</v>
      </c>
      <c r="G274" s="1" t="s">
        <v>1799</v>
      </c>
      <c r="H274" s="1" t="s">
        <v>1187</v>
      </c>
      <c r="I274" s="61">
        <v>45111</v>
      </c>
    </row>
    <row r="275" spans="1:9">
      <c r="A275" s="15" t="s">
        <v>1803</v>
      </c>
      <c r="B275" s="61">
        <v>45156</v>
      </c>
      <c r="C275" s="6" t="s">
        <v>1640</v>
      </c>
      <c r="D275" s="63" t="s">
        <v>78</v>
      </c>
      <c r="E275" s="56">
        <v>7.0730000000000004</v>
      </c>
      <c r="F275" s="24" t="s">
        <v>294</v>
      </c>
      <c r="G275" s="1" t="s">
        <v>1804</v>
      </c>
      <c r="H275" s="1" t="s">
        <v>1681</v>
      </c>
      <c r="I275" s="61">
        <v>45141</v>
      </c>
    </row>
    <row r="276" spans="1:9">
      <c r="A276" s="15" t="s">
        <v>1803</v>
      </c>
      <c r="B276" s="61">
        <v>45156</v>
      </c>
      <c r="C276" s="6" t="s">
        <v>1801</v>
      </c>
      <c r="D276" s="63" t="s">
        <v>78</v>
      </c>
      <c r="E276" s="56">
        <f>4.642+1.668</f>
        <v>6.3100000000000005</v>
      </c>
      <c r="F276" s="24" t="s">
        <v>294</v>
      </c>
      <c r="G276" s="1" t="s">
        <v>1804</v>
      </c>
      <c r="H276" s="1" t="s">
        <v>1681</v>
      </c>
      <c r="I276" s="61">
        <v>45141</v>
      </c>
    </row>
    <row r="277" spans="1:9">
      <c r="A277" s="15" t="s">
        <v>1803</v>
      </c>
      <c r="B277" s="61">
        <v>45156</v>
      </c>
      <c r="C277" s="6" t="s">
        <v>1756</v>
      </c>
      <c r="D277" s="63" t="s">
        <v>78</v>
      </c>
      <c r="E277" s="56">
        <v>6.5949999999999998</v>
      </c>
      <c r="F277" s="24" t="s">
        <v>294</v>
      </c>
      <c r="G277" s="1" t="s">
        <v>1804</v>
      </c>
      <c r="H277" s="1" t="s">
        <v>1681</v>
      </c>
      <c r="I277" s="61">
        <v>45141</v>
      </c>
    </row>
    <row r="278" spans="1:9">
      <c r="A278" s="15" t="s">
        <v>1803</v>
      </c>
      <c r="B278" s="61">
        <v>45156</v>
      </c>
      <c r="C278" s="6" t="s">
        <v>1791</v>
      </c>
      <c r="D278" s="63" t="s">
        <v>78</v>
      </c>
      <c r="E278" s="56">
        <v>11.891</v>
      </c>
      <c r="F278" s="24" t="s">
        <v>294</v>
      </c>
      <c r="G278" s="1" t="s">
        <v>1804</v>
      </c>
      <c r="H278" s="1" t="s">
        <v>1681</v>
      </c>
      <c r="I278" s="61">
        <v>45141</v>
      </c>
    </row>
    <row r="279" spans="1:9">
      <c r="A279" s="15" t="s">
        <v>1802</v>
      </c>
      <c r="B279" s="61">
        <v>45156</v>
      </c>
      <c r="C279" s="6" t="s">
        <v>1768</v>
      </c>
      <c r="D279" s="63" t="s">
        <v>78</v>
      </c>
      <c r="E279" s="56">
        <v>32.985999999999997</v>
      </c>
      <c r="F279" s="24" t="s">
        <v>851</v>
      </c>
      <c r="G279" s="1" t="s">
        <v>1805</v>
      </c>
      <c r="H279" s="1" t="s">
        <v>1593</v>
      </c>
      <c r="I279" s="61">
        <v>45135</v>
      </c>
    </row>
    <row r="280" spans="1:9">
      <c r="A280" s="15"/>
      <c r="B280" s="61"/>
      <c r="C280" s="6"/>
      <c r="D280" s="63"/>
      <c r="E280" s="58">
        <f>SUM(E262:E279)</f>
        <v>158.93299999999999</v>
      </c>
      <c r="F280" s="24"/>
      <c r="G280" s="1"/>
      <c r="H280" s="1"/>
      <c r="I280" s="61"/>
    </row>
    <row r="281" spans="1:9">
      <c r="A281" s="15" t="s">
        <v>1810</v>
      </c>
      <c r="B281" s="61">
        <v>45157</v>
      </c>
      <c r="C281" s="6" t="s">
        <v>1640</v>
      </c>
      <c r="D281" s="63" t="s">
        <v>78</v>
      </c>
      <c r="E281" s="56">
        <f>3.652+1.941</f>
        <v>5.593</v>
      </c>
      <c r="F281" s="24" t="s">
        <v>86</v>
      </c>
      <c r="G281" s="1" t="s">
        <v>1811</v>
      </c>
      <c r="H281" s="1" t="s">
        <v>1681</v>
      </c>
      <c r="I281" s="61">
        <v>45141</v>
      </c>
    </row>
    <row r="282" spans="1:9">
      <c r="A282" s="15" t="s">
        <v>1810</v>
      </c>
      <c r="B282" s="61">
        <v>45157</v>
      </c>
      <c r="C282" s="6" t="s">
        <v>1791</v>
      </c>
      <c r="D282" s="63" t="s">
        <v>78</v>
      </c>
      <c r="E282" s="56">
        <f>1.747+1.92</f>
        <v>3.6669999999999998</v>
      </c>
      <c r="F282" s="24" t="s">
        <v>86</v>
      </c>
      <c r="G282" s="1" t="s">
        <v>1811</v>
      </c>
      <c r="H282" s="1" t="s">
        <v>1681</v>
      </c>
      <c r="I282" s="61">
        <v>45141</v>
      </c>
    </row>
    <row r="283" spans="1:9">
      <c r="A283" s="15" t="s">
        <v>1810</v>
      </c>
      <c r="B283" s="61">
        <v>45157</v>
      </c>
      <c r="C283" s="6" t="s">
        <v>1705</v>
      </c>
      <c r="D283" s="63" t="s">
        <v>78</v>
      </c>
      <c r="E283" s="56">
        <v>11.502000000000001</v>
      </c>
      <c r="F283" s="24" t="s">
        <v>86</v>
      </c>
      <c r="G283" s="1" t="s">
        <v>1811</v>
      </c>
      <c r="H283" s="1" t="s">
        <v>1681</v>
      </c>
      <c r="I283" s="61">
        <v>45141</v>
      </c>
    </row>
    <row r="284" spans="1:9">
      <c r="A284" s="15" t="s">
        <v>1810</v>
      </c>
      <c r="B284" s="61">
        <v>45157</v>
      </c>
      <c r="C284" s="6" t="s">
        <v>1756</v>
      </c>
      <c r="D284" s="63" t="s">
        <v>78</v>
      </c>
      <c r="E284" s="56">
        <v>2.58</v>
      </c>
      <c r="F284" s="24" t="s">
        <v>86</v>
      </c>
      <c r="G284" s="1" t="s">
        <v>1811</v>
      </c>
      <c r="H284" s="1" t="s">
        <v>1681</v>
      </c>
      <c r="I284" s="61">
        <v>45141</v>
      </c>
    </row>
    <row r="285" spans="1:9">
      <c r="A285" s="15" t="s">
        <v>1810</v>
      </c>
      <c r="B285" s="61">
        <v>45157</v>
      </c>
      <c r="C285" s="6" t="s">
        <v>1801</v>
      </c>
      <c r="D285" s="63" t="s">
        <v>78</v>
      </c>
      <c r="E285" s="56">
        <v>4.3639999999999999</v>
      </c>
      <c r="F285" s="24" t="s">
        <v>86</v>
      </c>
      <c r="G285" s="1" t="s">
        <v>1811</v>
      </c>
      <c r="H285" s="1" t="s">
        <v>1681</v>
      </c>
      <c r="I285" s="61">
        <v>45141</v>
      </c>
    </row>
    <row r="286" spans="1:9">
      <c r="A286" s="15" t="s">
        <v>1812</v>
      </c>
      <c r="B286" s="61">
        <v>45157</v>
      </c>
      <c r="C286" s="6" t="s">
        <v>1768</v>
      </c>
      <c r="D286" s="63" t="s">
        <v>78</v>
      </c>
      <c r="E286" s="56">
        <v>4.9130000000000003</v>
      </c>
      <c r="F286" s="24" t="s">
        <v>86</v>
      </c>
      <c r="G286" s="1" t="s">
        <v>1811</v>
      </c>
      <c r="H286" s="1" t="s">
        <v>1681</v>
      </c>
      <c r="I286" s="61">
        <v>45141</v>
      </c>
    </row>
    <row r="287" spans="1:9">
      <c r="A287" s="15" t="s">
        <v>1813</v>
      </c>
      <c r="B287" s="61">
        <v>45157</v>
      </c>
      <c r="C287" s="6" t="s">
        <v>1453</v>
      </c>
      <c r="D287" s="63" t="s">
        <v>78</v>
      </c>
      <c r="E287" s="56">
        <v>0.27100000000000002</v>
      </c>
      <c r="F287" s="24" t="s">
        <v>116</v>
      </c>
      <c r="G287" s="1" t="s">
        <v>1814</v>
      </c>
      <c r="H287" s="1" t="s">
        <v>1815</v>
      </c>
      <c r="I287" s="61">
        <v>45135</v>
      </c>
    </row>
    <row r="288" spans="1:9">
      <c r="A288" s="15" t="s">
        <v>1816</v>
      </c>
      <c r="B288" s="61">
        <v>45157</v>
      </c>
      <c r="C288" s="6" t="s">
        <v>1367</v>
      </c>
      <c r="D288" s="63" t="s">
        <v>78</v>
      </c>
      <c r="E288" s="56">
        <v>0.122</v>
      </c>
      <c r="F288" s="24" t="s">
        <v>116</v>
      </c>
      <c r="G288" s="1" t="s">
        <v>1814</v>
      </c>
      <c r="H288" s="1" t="s">
        <v>1817</v>
      </c>
      <c r="I288" s="61">
        <v>45135</v>
      </c>
    </row>
    <row r="289" spans="1:9">
      <c r="A289" s="15" t="s">
        <v>1818</v>
      </c>
      <c r="B289" s="61">
        <v>45157</v>
      </c>
      <c r="C289" s="6" t="s">
        <v>1294</v>
      </c>
      <c r="D289" s="63" t="s">
        <v>78</v>
      </c>
      <c r="E289" s="56">
        <v>2.161</v>
      </c>
      <c r="F289" s="24" t="s">
        <v>116</v>
      </c>
      <c r="G289" s="1" t="s">
        <v>1819</v>
      </c>
      <c r="H289" s="1" t="s">
        <v>1217</v>
      </c>
      <c r="I289" s="61">
        <v>45111</v>
      </c>
    </row>
    <row r="290" spans="1:9">
      <c r="A290" s="15" t="s">
        <v>1818</v>
      </c>
      <c r="B290" s="61">
        <v>45157</v>
      </c>
      <c r="C290" s="6" t="s">
        <v>1470</v>
      </c>
      <c r="D290" s="63" t="s">
        <v>78</v>
      </c>
      <c r="E290" s="56">
        <f>1.497+0.825</f>
        <v>2.3220000000000001</v>
      </c>
      <c r="F290" s="24" t="s">
        <v>116</v>
      </c>
      <c r="G290" s="1" t="s">
        <v>1819</v>
      </c>
      <c r="H290" s="1" t="s">
        <v>1217</v>
      </c>
      <c r="I290" s="61">
        <v>45111</v>
      </c>
    </row>
    <row r="291" spans="1:9">
      <c r="A291" s="15" t="s">
        <v>1818</v>
      </c>
      <c r="B291" s="61">
        <v>45157</v>
      </c>
      <c r="C291" s="6" t="s">
        <v>1761</v>
      </c>
      <c r="D291" s="63" t="s">
        <v>78</v>
      </c>
      <c r="E291" s="56">
        <v>0.52800000000000002</v>
      </c>
      <c r="F291" s="24" t="s">
        <v>116</v>
      </c>
      <c r="G291" s="1" t="s">
        <v>1819</v>
      </c>
      <c r="H291" s="1" t="s">
        <v>1217</v>
      </c>
      <c r="I291" s="61">
        <v>45111</v>
      </c>
    </row>
    <row r="292" spans="1:9">
      <c r="A292" s="15" t="s">
        <v>1818</v>
      </c>
      <c r="B292" s="61">
        <v>45157</v>
      </c>
      <c r="C292" s="6" t="s">
        <v>1366</v>
      </c>
      <c r="D292" s="63" t="s">
        <v>78</v>
      </c>
      <c r="E292" s="56">
        <v>4.2729999999999997</v>
      </c>
      <c r="F292" s="24" t="s">
        <v>116</v>
      </c>
      <c r="G292" s="1" t="s">
        <v>1819</v>
      </c>
      <c r="H292" s="1" t="s">
        <v>1217</v>
      </c>
      <c r="I292" s="61">
        <v>45111</v>
      </c>
    </row>
    <row r="293" spans="1:9">
      <c r="A293" s="15" t="s">
        <v>1820</v>
      </c>
      <c r="B293" s="61">
        <v>45157</v>
      </c>
      <c r="C293" s="6" t="s">
        <v>1695</v>
      </c>
      <c r="D293" s="63" t="s">
        <v>78</v>
      </c>
      <c r="E293" s="56">
        <v>1.034</v>
      </c>
      <c r="F293" s="24" t="s">
        <v>116</v>
      </c>
      <c r="G293" s="1" t="s">
        <v>1821</v>
      </c>
      <c r="H293" s="1" t="s">
        <v>1202</v>
      </c>
      <c r="I293" s="61">
        <v>45111</v>
      </c>
    </row>
    <row r="294" spans="1:9">
      <c r="A294" s="15" t="s">
        <v>1822</v>
      </c>
      <c r="B294" s="61">
        <v>45157</v>
      </c>
      <c r="C294" s="6" t="s">
        <v>1753</v>
      </c>
      <c r="D294" s="63" t="s">
        <v>78</v>
      </c>
      <c r="E294" s="56">
        <v>1.802</v>
      </c>
      <c r="F294" s="24" t="s">
        <v>116</v>
      </c>
      <c r="G294" s="1" t="s">
        <v>1821</v>
      </c>
      <c r="H294" s="1" t="s">
        <v>1016</v>
      </c>
      <c r="I294" s="61">
        <v>45111</v>
      </c>
    </row>
    <row r="295" spans="1:9">
      <c r="A295" s="15" t="s">
        <v>1824</v>
      </c>
      <c r="B295" s="61">
        <v>45157</v>
      </c>
      <c r="C295" s="6" t="s">
        <v>1823</v>
      </c>
      <c r="D295" s="63" t="s">
        <v>78</v>
      </c>
      <c r="E295" s="56">
        <v>20.475000000000001</v>
      </c>
      <c r="F295" s="24" t="s">
        <v>116</v>
      </c>
      <c r="G295" s="1" t="s">
        <v>1821</v>
      </c>
      <c r="H295" s="1" t="s">
        <v>1827</v>
      </c>
      <c r="I295" s="61">
        <v>45150</v>
      </c>
    </row>
    <row r="296" spans="1:9">
      <c r="A296" s="15" t="s">
        <v>1825</v>
      </c>
      <c r="B296" s="61">
        <v>45157</v>
      </c>
      <c r="C296" s="6" t="s">
        <v>1695</v>
      </c>
      <c r="D296" s="63" t="s">
        <v>78</v>
      </c>
      <c r="E296" s="56">
        <v>0.54400000000000004</v>
      </c>
      <c r="F296" s="24" t="s">
        <v>97</v>
      </c>
      <c r="G296" s="1" t="s">
        <v>1826</v>
      </c>
      <c r="H296" s="1" t="s">
        <v>1217</v>
      </c>
      <c r="I296" s="61">
        <v>45111</v>
      </c>
    </row>
    <row r="297" spans="1:9">
      <c r="A297" s="15" t="s">
        <v>1828</v>
      </c>
      <c r="B297" s="61">
        <v>45157</v>
      </c>
      <c r="C297" s="6" t="s">
        <v>1294</v>
      </c>
      <c r="D297" s="63" t="s">
        <v>78</v>
      </c>
      <c r="E297" s="56">
        <v>3.0960000000000001</v>
      </c>
      <c r="F297" s="24" t="s">
        <v>97</v>
      </c>
      <c r="G297" s="1" t="s">
        <v>1826</v>
      </c>
      <c r="H297" s="1" t="s">
        <v>1593</v>
      </c>
      <c r="I297" s="61">
        <v>45135</v>
      </c>
    </row>
    <row r="298" spans="1:9">
      <c r="A298" s="15" t="s">
        <v>1829</v>
      </c>
      <c r="B298" s="61">
        <v>45157</v>
      </c>
      <c r="C298" s="6" t="s">
        <v>1823</v>
      </c>
      <c r="D298" s="63" t="s">
        <v>78</v>
      </c>
      <c r="E298" s="56">
        <f>25.625+1.156</f>
        <v>26.780999999999999</v>
      </c>
      <c r="F298" s="24" t="s">
        <v>97</v>
      </c>
      <c r="G298" s="1" t="s">
        <v>1830</v>
      </c>
      <c r="H298" s="1" t="s">
        <v>1827</v>
      </c>
      <c r="I298" s="61">
        <v>45150</v>
      </c>
    </row>
    <row r="299" spans="1:9">
      <c r="A299" s="15"/>
      <c r="B299" s="61"/>
      <c r="C299" s="6"/>
      <c r="D299" s="63"/>
      <c r="E299" s="58">
        <f>SUM(E281:E298)</f>
        <v>96.027999999999992</v>
      </c>
      <c r="F299" s="24"/>
      <c r="G299" s="1"/>
      <c r="H299" s="1"/>
      <c r="I299" s="61"/>
    </row>
    <row r="300" spans="1:9">
      <c r="A300" s="15" t="s">
        <v>1831</v>
      </c>
      <c r="B300" s="61">
        <v>45158</v>
      </c>
      <c r="C300" s="6" t="s">
        <v>1640</v>
      </c>
      <c r="D300" s="63" t="s">
        <v>78</v>
      </c>
      <c r="E300" s="56">
        <f>0.383+5.484</f>
        <v>5.867</v>
      </c>
      <c r="F300" s="24" t="s">
        <v>86</v>
      </c>
      <c r="G300" s="1" t="s">
        <v>1832</v>
      </c>
      <c r="H300" s="1" t="s">
        <v>1681</v>
      </c>
      <c r="I300" s="61">
        <v>45141</v>
      </c>
    </row>
    <row r="301" spans="1:9">
      <c r="A301" s="15" t="s">
        <v>1833</v>
      </c>
      <c r="B301" s="61">
        <v>45158</v>
      </c>
      <c r="C301" s="6" t="s">
        <v>1334</v>
      </c>
      <c r="D301" s="63" t="s">
        <v>78</v>
      </c>
      <c r="E301" s="56">
        <v>8.3089999999999993</v>
      </c>
      <c r="F301" s="24" t="s">
        <v>86</v>
      </c>
      <c r="G301" s="1" t="s">
        <v>1834</v>
      </c>
      <c r="H301" s="1" t="s">
        <v>1593</v>
      </c>
      <c r="I301" s="61">
        <v>45135</v>
      </c>
    </row>
    <row r="302" spans="1:9">
      <c r="A302" s="15" t="s">
        <v>1835</v>
      </c>
      <c r="B302" s="61">
        <v>45158</v>
      </c>
      <c r="C302" s="6" t="s">
        <v>1470</v>
      </c>
      <c r="D302" s="63" t="s">
        <v>78</v>
      </c>
      <c r="E302" s="56">
        <v>2.6960000000000002</v>
      </c>
      <c r="F302" s="24" t="s">
        <v>86</v>
      </c>
      <c r="G302" s="1" t="s">
        <v>1834</v>
      </c>
      <c r="H302" s="1" t="s">
        <v>1112</v>
      </c>
      <c r="I302" s="61">
        <v>45111</v>
      </c>
    </row>
    <row r="303" spans="1:9">
      <c r="A303" s="15" t="s">
        <v>1835</v>
      </c>
      <c r="B303" s="61">
        <v>45158</v>
      </c>
      <c r="C303" s="6" t="s">
        <v>1801</v>
      </c>
      <c r="D303" s="63" t="s">
        <v>78</v>
      </c>
      <c r="E303" s="56">
        <v>2.2109999999999999</v>
      </c>
      <c r="F303" s="24" t="s">
        <v>86</v>
      </c>
      <c r="G303" s="1" t="s">
        <v>1834</v>
      </c>
      <c r="H303" s="1" t="s">
        <v>1112</v>
      </c>
      <c r="I303" s="61">
        <v>45111</v>
      </c>
    </row>
    <row r="304" spans="1:9">
      <c r="A304" s="15" t="s">
        <v>1835</v>
      </c>
      <c r="B304" s="61">
        <v>45158</v>
      </c>
      <c r="C304" s="6" t="s">
        <v>1673</v>
      </c>
      <c r="D304" s="63" t="s">
        <v>78</v>
      </c>
      <c r="E304" s="56">
        <v>0.253</v>
      </c>
      <c r="F304" s="24" t="s">
        <v>86</v>
      </c>
      <c r="G304" s="1" t="s">
        <v>1834</v>
      </c>
      <c r="H304" s="1" t="s">
        <v>1112</v>
      </c>
      <c r="I304" s="61">
        <v>45111</v>
      </c>
    </row>
    <row r="305" spans="1:9">
      <c r="A305" s="15" t="s">
        <v>1836</v>
      </c>
      <c r="B305" s="61">
        <v>45158</v>
      </c>
      <c r="C305" s="6" t="s">
        <v>1370</v>
      </c>
      <c r="D305" s="63" t="s">
        <v>78</v>
      </c>
      <c r="E305" s="56">
        <f>9.055+4.704</f>
        <v>13.759</v>
      </c>
      <c r="F305" s="24" t="s">
        <v>86</v>
      </c>
      <c r="G305" s="1" t="s">
        <v>1837</v>
      </c>
      <c r="H305" s="1" t="s">
        <v>1202</v>
      </c>
      <c r="I305" s="61">
        <v>45111</v>
      </c>
    </row>
    <row r="306" spans="1:9">
      <c r="A306" s="15" t="s">
        <v>1844</v>
      </c>
      <c r="B306" s="61">
        <v>45158</v>
      </c>
      <c r="C306" s="6" t="s">
        <v>1738</v>
      </c>
      <c r="D306" s="63" t="s">
        <v>78</v>
      </c>
      <c r="E306" s="56">
        <v>0.80700000000000005</v>
      </c>
      <c r="F306" s="24" t="s">
        <v>1845</v>
      </c>
      <c r="G306" s="1" t="s">
        <v>1846</v>
      </c>
      <c r="H306" s="1" t="s">
        <v>1593</v>
      </c>
      <c r="I306" s="61">
        <v>45135</v>
      </c>
    </row>
    <row r="307" spans="1:9">
      <c r="A307" s="15" t="s">
        <v>1844</v>
      </c>
      <c r="B307" s="61">
        <v>45158</v>
      </c>
      <c r="C307" s="6" t="s">
        <v>1768</v>
      </c>
      <c r="D307" s="63" t="s">
        <v>78</v>
      </c>
      <c r="E307" s="56">
        <v>2.0099999999999998</v>
      </c>
      <c r="F307" s="24" t="s">
        <v>1845</v>
      </c>
      <c r="G307" s="1" t="s">
        <v>1846</v>
      </c>
      <c r="H307" s="1" t="s">
        <v>1593</v>
      </c>
      <c r="I307" s="61">
        <v>45135</v>
      </c>
    </row>
    <row r="308" spans="1:9">
      <c r="A308" s="15" t="s">
        <v>1847</v>
      </c>
      <c r="B308" s="61">
        <v>45158</v>
      </c>
      <c r="C308" s="6" t="s">
        <v>1801</v>
      </c>
      <c r="D308" s="63" t="s">
        <v>78</v>
      </c>
      <c r="E308" s="56">
        <v>0.20399999999999999</v>
      </c>
      <c r="F308" s="24" t="s">
        <v>1845</v>
      </c>
      <c r="G308" s="1" t="s">
        <v>1846</v>
      </c>
      <c r="H308" s="1" t="s">
        <v>1112</v>
      </c>
      <c r="I308" s="61">
        <v>45111</v>
      </c>
    </row>
    <row r="309" spans="1:9">
      <c r="A309" s="15" t="s">
        <v>1847</v>
      </c>
      <c r="B309" s="61">
        <v>45158</v>
      </c>
      <c r="C309" s="6" t="s">
        <v>1738</v>
      </c>
      <c r="D309" s="63" t="s">
        <v>78</v>
      </c>
      <c r="E309" s="56">
        <v>5.9470000000000001</v>
      </c>
      <c r="F309" s="24" t="s">
        <v>1845</v>
      </c>
      <c r="G309" s="1" t="s">
        <v>1846</v>
      </c>
      <c r="H309" s="1" t="s">
        <v>1112</v>
      </c>
      <c r="I309" s="61">
        <v>45111</v>
      </c>
    </row>
    <row r="310" spans="1:9">
      <c r="A310" s="15" t="s">
        <v>1847</v>
      </c>
      <c r="B310" s="61">
        <v>45158</v>
      </c>
      <c r="C310" s="6" t="s">
        <v>1695</v>
      </c>
      <c r="D310" s="63" t="s">
        <v>78</v>
      </c>
      <c r="E310" s="56">
        <v>1.222</v>
      </c>
      <c r="F310" s="24" t="s">
        <v>1845</v>
      </c>
      <c r="G310" s="1" t="s">
        <v>1846</v>
      </c>
      <c r="H310" s="1" t="s">
        <v>1112</v>
      </c>
      <c r="I310" s="61">
        <v>45111</v>
      </c>
    </row>
    <row r="311" spans="1:9">
      <c r="A311" s="15" t="s">
        <v>1848</v>
      </c>
      <c r="B311" s="61">
        <v>45158</v>
      </c>
      <c r="C311" s="6" t="s">
        <v>1738</v>
      </c>
      <c r="D311" s="63" t="s">
        <v>78</v>
      </c>
      <c r="E311" s="56">
        <v>3.0859999999999999</v>
      </c>
      <c r="F311" s="24" t="s">
        <v>1845</v>
      </c>
      <c r="G311" s="14" t="s">
        <v>1846</v>
      </c>
      <c r="H311" s="1" t="s">
        <v>1115</v>
      </c>
      <c r="I311" s="61">
        <v>45111</v>
      </c>
    </row>
    <row r="312" spans="1:9">
      <c r="A312" s="15" t="s">
        <v>1849</v>
      </c>
      <c r="B312" s="61">
        <v>45158</v>
      </c>
      <c r="C312" s="6" t="s">
        <v>1695</v>
      </c>
      <c r="D312" s="63" t="s">
        <v>78</v>
      </c>
      <c r="E312" s="56">
        <v>1.2250000000000001</v>
      </c>
      <c r="F312" s="24" t="s">
        <v>1845</v>
      </c>
      <c r="G312" s="14" t="s">
        <v>1850</v>
      </c>
      <c r="H312" s="1" t="s">
        <v>1202</v>
      </c>
      <c r="I312" s="61">
        <v>45111</v>
      </c>
    </row>
    <row r="313" spans="1:9">
      <c r="A313" s="15" t="s">
        <v>1849</v>
      </c>
      <c r="B313" s="61">
        <v>45158</v>
      </c>
      <c r="C313" s="6" t="s">
        <v>1408</v>
      </c>
      <c r="D313" s="63" t="s">
        <v>78</v>
      </c>
      <c r="E313" s="56">
        <f>10.06+4.843</f>
        <v>14.903</v>
      </c>
      <c r="F313" s="24" t="s">
        <v>1845</v>
      </c>
      <c r="G313" s="14" t="s">
        <v>1850</v>
      </c>
      <c r="H313" s="1" t="s">
        <v>1202</v>
      </c>
      <c r="I313" s="61">
        <v>45111</v>
      </c>
    </row>
    <row r="314" spans="1:9">
      <c r="A314" s="15" t="s">
        <v>1851</v>
      </c>
      <c r="B314" s="61">
        <v>45158</v>
      </c>
      <c r="C314" s="6" t="s">
        <v>1823</v>
      </c>
      <c r="D314" s="63" t="s">
        <v>78</v>
      </c>
      <c r="E314" s="56">
        <v>2.1909999999999998</v>
      </c>
      <c r="F314" s="24" t="s">
        <v>1845</v>
      </c>
      <c r="G314" s="14" t="s">
        <v>1852</v>
      </c>
      <c r="H314" s="1" t="s">
        <v>1035</v>
      </c>
      <c r="I314" s="61">
        <v>45111</v>
      </c>
    </row>
    <row r="315" spans="1:9">
      <c r="A315" s="15" t="s">
        <v>1853</v>
      </c>
      <c r="B315" s="61">
        <v>45158</v>
      </c>
      <c r="C315" s="6" t="s">
        <v>1791</v>
      </c>
      <c r="D315" s="63" t="s">
        <v>78</v>
      </c>
      <c r="E315" s="56">
        <v>0.81899999999999995</v>
      </c>
      <c r="F315" s="24" t="s">
        <v>1845</v>
      </c>
      <c r="G315" s="14" t="s">
        <v>1852</v>
      </c>
      <c r="H315" s="1" t="s">
        <v>1681</v>
      </c>
      <c r="I315" s="61">
        <v>45141</v>
      </c>
    </row>
    <row r="316" spans="1:9">
      <c r="A316" s="15"/>
      <c r="B316" s="61"/>
      <c r="C316" s="6"/>
      <c r="D316" s="63"/>
      <c r="E316" s="58">
        <f>SUM(E300:E315)</f>
        <v>65.509</v>
      </c>
      <c r="F316" s="24"/>
      <c r="G316" s="14"/>
      <c r="H316" s="1"/>
      <c r="I316" s="61"/>
    </row>
    <row r="317" spans="1:9">
      <c r="A317" s="15" t="s">
        <v>1854</v>
      </c>
      <c r="B317" s="61">
        <v>45159</v>
      </c>
      <c r="C317" s="6" t="s">
        <v>1370</v>
      </c>
      <c r="D317" s="63" t="s">
        <v>78</v>
      </c>
      <c r="E317" s="56">
        <f>7.778+0.559</f>
        <v>8.3369999999999997</v>
      </c>
      <c r="F317" s="24" t="s">
        <v>116</v>
      </c>
      <c r="G317" s="14" t="s">
        <v>1855</v>
      </c>
      <c r="H317" s="1" t="s">
        <v>1202</v>
      </c>
      <c r="I317" s="61">
        <v>45111</v>
      </c>
    </row>
    <row r="318" spans="1:9">
      <c r="A318" s="15" t="s">
        <v>1854</v>
      </c>
      <c r="B318" s="61">
        <v>45159</v>
      </c>
      <c r="C318" s="6" t="s">
        <v>1470</v>
      </c>
      <c r="D318" s="63" t="s">
        <v>78</v>
      </c>
      <c r="E318" s="56">
        <v>13.025</v>
      </c>
      <c r="F318" s="24" t="s">
        <v>116</v>
      </c>
      <c r="G318" s="14" t="s">
        <v>1855</v>
      </c>
      <c r="H318" s="1" t="s">
        <v>1202</v>
      </c>
      <c r="I318" s="61">
        <v>45111</v>
      </c>
    </row>
    <row r="319" spans="1:9">
      <c r="A319" s="15" t="s">
        <v>1854</v>
      </c>
      <c r="B319" s="61">
        <v>45159</v>
      </c>
      <c r="C319" s="6" t="s">
        <v>1408</v>
      </c>
      <c r="D319" s="63" t="s">
        <v>78</v>
      </c>
      <c r="E319" s="56">
        <v>2.3220000000000001</v>
      </c>
      <c r="F319" s="24" t="s">
        <v>116</v>
      </c>
      <c r="G319" s="14" t="s">
        <v>1855</v>
      </c>
      <c r="H319" s="1" t="s">
        <v>1202</v>
      </c>
      <c r="I319" s="61">
        <v>45111</v>
      </c>
    </row>
    <row r="320" spans="1:9">
      <c r="A320" s="15" t="s">
        <v>1856</v>
      </c>
      <c r="B320" s="61">
        <v>45159</v>
      </c>
      <c r="C320" s="6" t="s">
        <v>1370</v>
      </c>
      <c r="D320" s="63" t="s">
        <v>78</v>
      </c>
      <c r="E320" s="56">
        <v>5.516</v>
      </c>
      <c r="F320" s="24" t="s">
        <v>116</v>
      </c>
      <c r="G320" s="14" t="s">
        <v>1857</v>
      </c>
      <c r="H320" s="1" t="s">
        <v>1858</v>
      </c>
      <c r="I320" s="61">
        <v>45150</v>
      </c>
    </row>
    <row r="321" spans="1:9">
      <c r="A321" s="15" t="s">
        <v>1856</v>
      </c>
      <c r="B321" s="61">
        <v>45159</v>
      </c>
      <c r="C321" s="6" t="s">
        <v>1470</v>
      </c>
      <c r="D321" s="63" t="s">
        <v>78</v>
      </c>
      <c r="E321" s="56">
        <v>2.7639999999999998</v>
      </c>
      <c r="F321" s="24" t="s">
        <v>116</v>
      </c>
      <c r="G321" s="14" t="s">
        <v>1857</v>
      </c>
      <c r="H321" s="1" t="s">
        <v>1858</v>
      </c>
      <c r="I321" s="61">
        <v>45150</v>
      </c>
    </row>
    <row r="322" spans="1:9">
      <c r="A322" s="15" t="s">
        <v>1859</v>
      </c>
      <c r="B322" s="61">
        <v>45159</v>
      </c>
      <c r="C322" s="6" t="s">
        <v>1705</v>
      </c>
      <c r="D322" s="63" t="s">
        <v>78</v>
      </c>
      <c r="E322" s="56">
        <f>5.088+0.083</f>
        <v>5.1710000000000003</v>
      </c>
      <c r="F322" s="24" t="s">
        <v>267</v>
      </c>
      <c r="G322" s="14" t="s">
        <v>1860</v>
      </c>
      <c r="H322" s="1" t="s">
        <v>1681</v>
      </c>
      <c r="I322" s="61">
        <v>45141</v>
      </c>
    </row>
    <row r="323" spans="1:9">
      <c r="A323" s="15" t="s">
        <v>1861</v>
      </c>
      <c r="B323" s="61">
        <v>45159</v>
      </c>
      <c r="C323" s="6" t="s">
        <v>1753</v>
      </c>
      <c r="D323" s="63" t="s">
        <v>78</v>
      </c>
      <c r="E323" s="56">
        <v>0.19</v>
      </c>
      <c r="F323" s="24" t="s">
        <v>267</v>
      </c>
      <c r="G323" s="14" t="s">
        <v>1862</v>
      </c>
      <c r="H323" s="1" t="s">
        <v>1016</v>
      </c>
      <c r="I323" s="61">
        <v>45111</v>
      </c>
    </row>
    <row r="324" spans="1:9">
      <c r="A324" s="15" t="s">
        <v>1861</v>
      </c>
      <c r="B324" s="61">
        <v>45159</v>
      </c>
      <c r="C324" s="6" t="s">
        <v>1640</v>
      </c>
      <c r="D324" s="63" t="s">
        <v>78</v>
      </c>
      <c r="E324" s="56">
        <v>1.752</v>
      </c>
      <c r="F324" s="24" t="s">
        <v>267</v>
      </c>
      <c r="G324" s="14" t="s">
        <v>1862</v>
      </c>
      <c r="H324" s="1" t="s">
        <v>1016</v>
      </c>
      <c r="I324" s="61">
        <v>45111</v>
      </c>
    </row>
    <row r="325" spans="1:9">
      <c r="A325" s="15" t="s">
        <v>1863</v>
      </c>
      <c r="B325" s="61">
        <v>45159</v>
      </c>
      <c r="C325" s="6" t="s">
        <v>1756</v>
      </c>
      <c r="D325" s="63" t="s">
        <v>78</v>
      </c>
      <c r="E325" s="56">
        <v>0.39400000000000002</v>
      </c>
      <c r="F325" s="24" t="s">
        <v>267</v>
      </c>
      <c r="G325" s="14" t="s">
        <v>1862</v>
      </c>
      <c r="H325" s="1" t="s">
        <v>1115</v>
      </c>
      <c r="I325" s="61">
        <v>45111</v>
      </c>
    </row>
    <row r="326" spans="1:9">
      <c r="A326" s="15" t="s">
        <v>1863</v>
      </c>
      <c r="B326" s="61">
        <v>45159</v>
      </c>
      <c r="C326" s="6" t="s">
        <v>1738</v>
      </c>
      <c r="D326" s="63" t="s">
        <v>78</v>
      </c>
      <c r="E326" s="56">
        <v>1.58</v>
      </c>
      <c r="F326" s="24" t="s">
        <v>267</v>
      </c>
      <c r="G326" s="14" t="s">
        <v>1862</v>
      </c>
      <c r="H326" s="1" t="s">
        <v>1115</v>
      </c>
      <c r="I326" s="61">
        <v>45111</v>
      </c>
    </row>
    <row r="327" spans="1:9">
      <c r="A327" s="15" t="s">
        <v>1863</v>
      </c>
      <c r="B327" s="61">
        <v>45159</v>
      </c>
      <c r="C327" s="6" t="s">
        <v>1705</v>
      </c>
      <c r="D327" s="63" t="s">
        <v>78</v>
      </c>
      <c r="E327" s="56">
        <v>2.0019999999999998</v>
      </c>
      <c r="F327" s="24" t="s">
        <v>267</v>
      </c>
      <c r="G327" s="14" t="s">
        <v>1862</v>
      </c>
      <c r="H327" s="1" t="s">
        <v>1115</v>
      </c>
      <c r="I327" s="61">
        <v>45111</v>
      </c>
    </row>
    <row r="328" spans="1:9">
      <c r="A328" s="15" t="s">
        <v>1864</v>
      </c>
      <c r="B328" s="61">
        <v>45159</v>
      </c>
      <c r="C328" s="6" t="s">
        <v>1695</v>
      </c>
      <c r="D328" s="63" t="s">
        <v>78</v>
      </c>
      <c r="E328" s="56">
        <v>0.497</v>
      </c>
      <c r="F328" s="24" t="s">
        <v>267</v>
      </c>
      <c r="G328" s="14" t="s">
        <v>1862</v>
      </c>
      <c r="H328" s="1" t="s">
        <v>1112</v>
      </c>
      <c r="I328" s="61">
        <v>45111</v>
      </c>
    </row>
    <row r="329" spans="1:9">
      <c r="A329" s="15" t="s">
        <v>1864</v>
      </c>
      <c r="B329" s="61">
        <v>45159</v>
      </c>
      <c r="C329" s="6" t="s">
        <v>1738</v>
      </c>
      <c r="D329" s="63" t="s">
        <v>78</v>
      </c>
      <c r="E329" s="56">
        <v>1.2589999999999999</v>
      </c>
      <c r="F329" s="24" t="s">
        <v>267</v>
      </c>
      <c r="G329" s="14" t="s">
        <v>1862</v>
      </c>
      <c r="H329" s="1" t="s">
        <v>1112</v>
      </c>
      <c r="I329" s="61">
        <v>45111</v>
      </c>
    </row>
    <row r="330" spans="1:9">
      <c r="A330" s="15" t="s">
        <v>1865</v>
      </c>
      <c r="B330" s="61">
        <v>45159</v>
      </c>
      <c r="C330" s="6" t="s">
        <v>1334</v>
      </c>
      <c r="D330" s="63" t="s">
        <v>78</v>
      </c>
      <c r="E330" s="56">
        <v>2.4590000000000001</v>
      </c>
      <c r="F330" s="24" t="s">
        <v>267</v>
      </c>
      <c r="G330" s="14" t="s">
        <v>1862</v>
      </c>
      <c r="H330" s="1" t="s">
        <v>1187</v>
      </c>
      <c r="I330" s="61">
        <v>45111</v>
      </c>
    </row>
    <row r="331" spans="1:9">
      <c r="A331" s="15" t="s">
        <v>1866</v>
      </c>
      <c r="B331" s="61">
        <v>45159</v>
      </c>
      <c r="C331" s="6" t="s">
        <v>1408</v>
      </c>
      <c r="D331" s="63" t="s">
        <v>78</v>
      </c>
      <c r="E331" s="56">
        <v>16.05</v>
      </c>
      <c r="F331" s="24" t="s">
        <v>267</v>
      </c>
      <c r="G331" s="14" t="s">
        <v>1862</v>
      </c>
      <c r="H331" s="1" t="s">
        <v>1202</v>
      </c>
      <c r="I331" s="61">
        <v>45111</v>
      </c>
    </row>
    <row r="332" spans="1:9">
      <c r="A332" s="15"/>
      <c r="B332" s="61"/>
      <c r="C332" s="6"/>
      <c r="D332" s="1"/>
      <c r="E332" s="41">
        <f>SUM(E317:E331)</f>
        <v>63.318000000000012</v>
      </c>
      <c r="F332" s="24"/>
      <c r="G332" s="1"/>
      <c r="H332" s="1"/>
      <c r="I332" s="3"/>
    </row>
    <row r="333" spans="1:9">
      <c r="A333" s="15" t="s">
        <v>1867</v>
      </c>
      <c r="B333" s="61">
        <v>45160</v>
      </c>
      <c r="C333" s="6" t="s">
        <v>1408</v>
      </c>
      <c r="D333" s="63" t="s">
        <v>78</v>
      </c>
      <c r="E333" s="56">
        <v>2.5720000000000001</v>
      </c>
      <c r="F333" s="24" t="s">
        <v>116</v>
      </c>
      <c r="G333" s="1" t="s">
        <v>1868</v>
      </c>
      <c r="H333" s="1" t="s">
        <v>1202</v>
      </c>
      <c r="I333" s="61">
        <v>45111</v>
      </c>
    </row>
    <row r="334" spans="1:9">
      <c r="A334" s="15" t="s">
        <v>1869</v>
      </c>
      <c r="B334" s="61">
        <v>45160</v>
      </c>
      <c r="C334" s="6" t="s">
        <v>1408</v>
      </c>
      <c r="D334" s="63" t="s">
        <v>78</v>
      </c>
      <c r="E334" s="56">
        <v>1.764</v>
      </c>
      <c r="F334" s="24" t="s">
        <v>116</v>
      </c>
      <c r="G334" s="1" t="s">
        <v>1868</v>
      </c>
      <c r="H334" s="1" t="s">
        <v>1858</v>
      </c>
      <c r="I334" s="61">
        <v>45150</v>
      </c>
    </row>
    <row r="335" spans="1:9">
      <c r="A335" s="15" t="s">
        <v>1870</v>
      </c>
      <c r="B335" s="61">
        <v>45160</v>
      </c>
      <c r="C335" s="6" t="s">
        <v>1365</v>
      </c>
      <c r="D335" s="63" t="s">
        <v>78</v>
      </c>
      <c r="E335" s="56">
        <f>22.234+3.358+2.457</f>
        <v>28.049000000000003</v>
      </c>
      <c r="F335" s="24" t="s">
        <v>116</v>
      </c>
      <c r="G335" s="1" t="s">
        <v>1871</v>
      </c>
      <c r="H335" s="1" t="s">
        <v>1872</v>
      </c>
      <c r="I335" s="61">
        <v>45150</v>
      </c>
    </row>
    <row r="336" spans="1:9">
      <c r="A336" s="15" t="s">
        <v>1873</v>
      </c>
      <c r="B336" s="61">
        <v>45160</v>
      </c>
      <c r="C336" s="6" t="s">
        <v>1500</v>
      </c>
      <c r="D336" s="63" t="s">
        <v>78</v>
      </c>
      <c r="E336" s="56">
        <f>27.084+4.027</f>
        <v>31.111000000000001</v>
      </c>
      <c r="F336" s="24" t="s">
        <v>83</v>
      </c>
      <c r="G336" s="1" t="s">
        <v>1874</v>
      </c>
      <c r="H336" s="1" t="s">
        <v>1202</v>
      </c>
      <c r="I336" s="61">
        <v>45111</v>
      </c>
    </row>
    <row r="337" spans="1:9">
      <c r="A337" s="15" t="s">
        <v>1875</v>
      </c>
      <c r="B337" s="61">
        <v>45160</v>
      </c>
      <c r="C337" s="6" t="s">
        <v>1500</v>
      </c>
      <c r="D337" s="63" t="s">
        <v>78</v>
      </c>
      <c r="E337" s="56">
        <v>1.212</v>
      </c>
      <c r="F337" s="24" t="s">
        <v>83</v>
      </c>
      <c r="G337" s="1" t="s">
        <v>1876</v>
      </c>
      <c r="H337" s="1" t="s">
        <v>1858</v>
      </c>
      <c r="I337" s="61">
        <v>45150</v>
      </c>
    </row>
    <row r="338" spans="1:9">
      <c r="A338" s="15" t="s">
        <v>1877</v>
      </c>
      <c r="B338" s="61">
        <v>45160</v>
      </c>
      <c r="C338" s="6" t="s">
        <v>1500</v>
      </c>
      <c r="D338" s="63" t="s">
        <v>78</v>
      </c>
      <c r="E338" s="56">
        <v>1.736</v>
      </c>
      <c r="F338" s="24" t="s">
        <v>86</v>
      </c>
      <c r="G338" s="1" t="s">
        <v>1878</v>
      </c>
      <c r="H338" s="1" t="s">
        <v>1202</v>
      </c>
      <c r="I338" s="61">
        <v>45111</v>
      </c>
    </row>
    <row r="339" spans="1:9">
      <c r="A339" s="15" t="s">
        <v>1877</v>
      </c>
      <c r="B339" s="61">
        <v>45160</v>
      </c>
      <c r="C339" s="6" t="s">
        <v>1366</v>
      </c>
      <c r="D339" s="63" t="s">
        <v>78</v>
      </c>
      <c r="E339" s="56">
        <v>14.071</v>
      </c>
      <c r="F339" s="24" t="s">
        <v>86</v>
      </c>
      <c r="G339" s="1" t="s">
        <v>1878</v>
      </c>
      <c r="H339" s="1" t="s">
        <v>1202</v>
      </c>
      <c r="I339" s="61">
        <v>45111</v>
      </c>
    </row>
    <row r="340" spans="1:9">
      <c r="A340" s="15" t="s">
        <v>1879</v>
      </c>
      <c r="B340" s="61">
        <v>45160</v>
      </c>
      <c r="C340" s="6" t="s">
        <v>1500</v>
      </c>
      <c r="D340" s="63" t="s">
        <v>78</v>
      </c>
      <c r="E340" s="56">
        <v>4.7939999999999996</v>
      </c>
      <c r="F340" s="24" t="s">
        <v>86</v>
      </c>
      <c r="G340" s="1" t="s">
        <v>1878</v>
      </c>
      <c r="H340" s="1" t="s">
        <v>1858</v>
      </c>
      <c r="I340" s="61">
        <v>45150</v>
      </c>
    </row>
    <row r="341" spans="1:9">
      <c r="A341" s="15" t="s">
        <v>1879</v>
      </c>
      <c r="B341" s="61">
        <v>45160</v>
      </c>
      <c r="C341" s="6" t="s">
        <v>1366</v>
      </c>
      <c r="D341" s="63" t="s">
        <v>78</v>
      </c>
      <c r="E341" s="56">
        <v>1.744</v>
      </c>
      <c r="F341" s="24" t="s">
        <v>86</v>
      </c>
      <c r="G341" s="1" t="s">
        <v>1878</v>
      </c>
      <c r="H341" s="1" t="s">
        <v>1858</v>
      </c>
      <c r="I341" s="61">
        <v>45150</v>
      </c>
    </row>
    <row r="342" spans="1:9">
      <c r="A342" s="15" t="s">
        <v>1880</v>
      </c>
      <c r="B342" s="61">
        <v>45160</v>
      </c>
      <c r="C342" s="6" t="s">
        <v>1756</v>
      </c>
      <c r="D342" s="63" t="s">
        <v>78</v>
      </c>
      <c r="E342" s="56">
        <v>1.6339999999999999</v>
      </c>
      <c r="F342" s="24" t="s">
        <v>86</v>
      </c>
      <c r="G342" s="1" t="s">
        <v>1881</v>
      </c>
      <c r="H342" s="1" t="s">
        <v>1187</v>
      </c>
      <c r="I342" s="61">
        <v>45111</v>
      </c>
    </row>
    <row r="343" spans="1:9">
      <c r="A343" s="15" t="s">
        <v>1880</v>
      </c>
      <c r="B343" s="61">
        <v>45160</v>
      </c>
      <c r="C343" s="6" t="s">
        <v>1500</v>
      </c>
      <c r="D343" s="63" t="s">
        <v>78</v>
      </c>
      <c r="E343" s="56">
        <f>2.356+0.912</f>
        <v>3.2679999999999998</v>
      </c>
      <c r="F343" s="24" t="s">
        <v>86</v>
      </c>
      <c r="G343" s="1" t="s">
        <v>1881</v>
      </c>
      <c r="H343" s="1" t="s">
        <v>1187</v>
      </c>
      <c r="I343" s="61">
        <v>45111</v>
      </c>
    </row>
    <row r="344" spans="1:9">
      <c r="A344" s="15" t="s">
        <v>1882</v>
      </c>
      <c r="B344" s="61">
        <v>45160</v>
      </c>
      <c r="C344" s="6" t="s">
        <v>1478</v>
      </c>
      <c r="D344" s="63" t="s">
        <v>78</v>
      </c>
      <c r="E344" s="56">
        <v>1.1220000000000001</v>
      </c>
      <c r="F344" s="24" t="s">
        <v>86</v>
      </c>
      <c r="G344" s="1" t="s">
        <v>1883</v>
      </c>
      <c r="H344" s="1" t="s">
        <v>1112</v>
      </c>
      <c r="I344" s="61">
        <v>45111</v>
      </c>
    </row>
    <row r="345" spans="1:9">
      <c r="A345" s="15" t="s">
        <v>1884</v>
      </c>
      <c r="B345" s="61">
        <v>45160</v>
      </c>
      <c r="C345" s="6" t="s">
        <v>1365</v>
      </c>
      <c r="D345" s="63" t="s">
        <v>78</v>
      </c>
      <c r="E345" s="56">
        <v>4.6609999999999996</v>
      </c>
      <c r="F345" s="24" t="s">
        <v>86</v>
      </c>
      <c r="G345" s="1" t="s">
        <v>1883</v>
      </c>
      <c r="H345" s="1" t="s">
        <v>1872</v>
      </c>
      <c r="I345" s="61">
        <v>45150</v>
      </c>
    </row>
    <row r="346" spans="1:9">
      <c r="A346" s="15"/>
      <c r="B346" s="61"/>
      <c r="C346" s="6"/>
      <c r="D346" s="1"/>
      <c r="E346" s="41">
        <f>SUM(E333:E345)</f>
        <v>97.738000000000014</v>
      </c>
      <c r="F346" s="24"/>
      <c r="G346" s="1"/>
      <c r="H346" s="1"/>
      <c r="I346" s="3"/>
    </row>
    <row r="347" spans="1:9">
      <c r="A347" s="15" t="s">
        <v>1902</v>
      </c>
      <c r="B347" s="61">
        <v>45161</v>
      </c>
      <c r="C347" s="6" t="s">
        <v>1365</v>
      </c>
      <c r="D347" s="63" t="s">
        <v>78</v>
      </c>
      <c r="E347" s="56">
        <f>7.031+25.911</f>
        <v>32.942</v>
      </c>
      <c r="F347" s="24" t="s">
        <v>116</v>
      </c>
      <c r="G347" s="1" t="s">
        <v>1905</v>
      </c>
      <c r="H347" s="1" t="s">
        <v>1872</v>
      </c>
      <c r="I347" s="61">
        <v>45150</v>
      </c>
    </row>
    <row r="348" spans="1:9">
      <c r="A348" s="15" t="s">
        <v>1915</v>
      </c>
      <c r="B348" s="61">
        <v>45161</v>
      </c>
      <c r="C348" s="6" t="s">
        <v>1365</v>
      </c>
      <c r="D348" s="63" t="s">
        <v>78</v>
      </c>
      <c r="E348" s="56">
        <f>3.612+7.136</f>
        <v>10.748000000000001</v>
      </c>
      <c r="F348" s="24" t="s">
        <v>267</v>
      </c>
      <c r="G348" s="1" t="s">
        <v>1916</v>
      </c>
      <c r="H348" s="1" t="s">
        <v>1872</v>
      </c>
      <c r="I348" s="61">
        <v>45150</v>
      </c>
    </row>
    <row r="349" spans="1:9">
      <c r="A349" s="15" t="s">
        <v>1915</v>
      </c>
      <c r="B349" s="61">
        <v>45161</v>
      </c>
      <c r="C349" s="6" t="s">
        <v>1500</v>
      </c>
      <c r="D349" s="63" t="s">
        <v>78</v>
      </c>
      <c r="E349" s="56">
        <v>21.379000000000001</v>
      </c>
      <c r="F349" s="24" t="s">
        <v>267</v>
      </c>
      <c r="G349" s="1" t="s">
        <v>1916</v>
      </c>
      <c r="H349" s="1" t="s">
        <v>1872</v>
      </c>
      <c r="I349" s="61">
        <v>45150</v>
      </c>
    </row>
    <row r="350" spans="1:9">
      <c r="A350" s="15" t="s">
        <v>1930</v>
      </c>
      <c r="B350" s="61">
        <v>45161</v>
      </c>
      <c r="C350" s="6" t="s">
        <v>1500</v>
      </c>
      <c r="D350" s="63" t="s">
        <v>78</v>
      </c>
      <c r="E350" s="56">
        <f>2.995+20.475</f>
        <v>23.470000000000002</v>
      </c>
      <c r="F350" s="24" t="s">
        <v>1156</v>
      </c>
      <c r="G350" s="1" t="s">
        <v>1931</v>
      </c>
      <c r="H350" s="1" t="s">
        <v>1872</v>
      </c>
      <c r="I350" s="61">
        <v>45150</v>
      </c>
    </row>
    <row r="351" spans="1:9">
      <c r="A351" s="15" t="s">
        <v>1932</v>
      </c>
      <c r="B351" s="61">
        <v>45161</v>
      </c>
      <c r="C351" s="6" t="s">
        <v>1507</v>
      </c>
      <c r="D351" s="63" t="s">
        <v>78</v>
      </c>
      <c r="E351" s="56">
        <v>4.9290000000000003</v>
      </c>
      <c r="F351" s="24" t="s">
        <v>1156</v>
      </c>
      <c r="G351" s="1" t="s">
        <v>1933</v>
      </c>
      <c r="H351" s="1" t="s">
        <v>1202</v>
      </c>
      <c r="I351" s="61">
        <v>45111</v>
      </c>
    </row>
    <row r="352" spans="1:9">
      <c r="A352" s="15" t="s">
        <v>1934</v>
      </c>
      <c r="B352" s="61">
        <v>45161</v>
      </c>
      <c r="C352" s="6" t="s">
        <v>1500</v>
      </c>
      <c r="D352" s="63" t="s">
        <v>78</v>
      </c>
      <c r="E352" s="56">
        <v>4.8650000000000002</v>
      </c>
      <c r="F352" s="24" t="s">
        <v>1156</v>
      </c>
      <c r="G352" s="1" t="s">
        <v>1933</v>
      </c>
      <c r="H352" s="1" t="s">
        <v>1593</v>
      </c>
      <c r="I352" s="61">
        <v>45135</v>
      </c>
    </row>
    <row r="353" spans="1:9">
      <c r="A353" s="15"/>
      <c r="B353" s="61"/>
      <c r="C353" s="6"/>
      <c r="D353" s="63"/>
      <c r="E353" s="41">
        <f>SUM(E347:E352)</f>
        <v>98.332999999999998</v>
      </c>
      <c r="F353" s="24"/>
      <c r="G353" s="1"/>
      <c r="H353" s="1"/>
      <c r="I353" s="3"/>
    </row>
    <row r="354" spans="1:9">
      <c r="A354" s="15" t="s">
        <v>1943</v>
      </c>
      <c r="B354" s="61">
        <v>45162</v>
      </c>
      <c r="C354" s="6" t="s">
        <v>1500</v>
      </c>
      <c r="D354" s="1" t="s">
        <v>11</v>
      </c>
      <c r="E354" s="78">
        <v>22.309000000000001</v>
      </c>
      <c r="F354" s="24" t="s">
        <v>1941</v>
      </c>
      <c r="G354" s="1" t="s">
        <v>1942</v>
      </c>
      <c r="H354" s="1" t="s">
        <v>1495</v>
      </c>
      <c r="I354" s="61">
        <v>45135</v>
      </c>
    </row>
    <row r="355" spans="1:9">
      <c r="A355" s="15" t="s">
        <v>1950</v>
      </c>
      <c r="B355" s="61">
        <v>45162</v>
      </c>
      <c r="C355" s="6" t="s">
        <v>1453</v>
      </c>
      <c r="D355" s="63" t="s">
        <v>78</v>
      </c>
      <c r="E355" s="78">
        <v>5.98</v>
      </c>
      <c r="F355" s="24" t="s">
        <v>86</v>
      </c>
      <c r="G355" s="1" t="s">
        <v>1951</v>
      </c>
      <c r="H355" s="1" t="s">
        <v>1202</v>
      </c>
      <c r="I355" s="61">
        <v>45111</v>
      </c>
    </row>
    <row r="356" spans="1:9">
      <c r="A356" s="15" t="s">
        <v>1952</v>
      </c>
      <c r="B356" s="61">
        <v>45162</v>
      </c>
      <c r="C356" s="6" t="s">
        <v>1365</v>
      </c>
      <c r="D356" s="63" t="s">
        <v>78</v>
      </c>
      <c r="E356" s="78">
        <f>2.282+23.608</f>
        <v>25.89</v>
      </c>
      <c r="F356" s="24" t="s">
        <v>86</v>
      </c>
      <c r="G356" s="1" t="s">
        <v>1953</v>
      </c>
      <c r="H356" s="1" t="s">
        <v>1872</v>
      </c>
      <c r="I356" s="61">
        <v>45150</v>
      </c>
    </row>
    <row r="357" spans="1:9">
      <c r="A357" s="15" t="s">
        <v>1954</v>
      </c>
      <c r="B357" s="61">
        <v>45162</v>
      </c>
      <c r="C357" s="6" t="s">
        <v>1365</v>
      </c>
      <c r="D357" s="63" t="s">
        <v>78</v>
      </c>
      <c r="E357" s="78">
        <f>18.528+13.453</f>
        <v>31.980999999999998</v>
      </c>
      <c r="F357" s="24" t="s">
        <v>238</v>
      </c>
      <c r="G357" s="1" t="s">
        <v>1955</v>
      </c>
      <c r="H357" s="1" t="s">
        <v>1872</v>
      </c>
      <c r="I357" s="61">
        <v>45150</v>
      </c>
    </row>
    <row r="358" spans="1:9">
      <c r="A358" s="15"/>
      <c r="B358" s="61"/>
      <c r="C358" s="6"/>
      <c r="D358" s="63"/>
      <c r="E358" s="65">
        <f>SUM(E354:E357)</f>
        <v>86.16</v>
      </c>
      <c r="F358" s="24"/>
      <c r="G358" s="1"/>
      <c r="H358" s="1"/>
      <c r="I358" s="3"/>
    </row>
    <row r="359" spans="1:9">
      <c r="A359" s="15" t="s">
        <v>1973</v>
      </c>
      <c r="B359" s="61">
        <v>45163</v>
      </c>
      <c r="C359" s="6" t="s">
        <v>1500</v>
      </c>
      <c r="D359" s="63" t="s">
        <v>78</v>
      </c>
      <c r="E359" s="78">
        <v>4.2130000000000001</v>
      </c>
      <c r="F359" s="24" t="s">
        <v>116</v>
      </c>
      <c r="G359" s="1" t="s">
        <v>1974</v>
      </c>
      <c r="H359" s="1" t="s">
        <v>1593</v>
      </c>
      <c r="I359" s="61">
        <v>45135</v>
      </c>
    </row>
    <row r="360" spans="1:9">
      <c r="A360" s="15" t="s">
        <v>1975</v>
      </c>
      <c r="B360" s="61">
        <v>45163</v>
      </c>
      <c r="C360" s="6" t="s">
        <v>1365</v>
      </c>
      <c r="D360" s="63" t="s">
        <v>78</v>
      </c>
      <c r="E360" s="78">
        <f>17.852+2.208</f>
        <v>20.060000000000002</v>
      </c>
      <c r="F360" s="24" t="s">
        <v>116</v>
      </c>
      <c r="G360" s="1" t="s">
        <v>1976</v>
      </c>
      <c r="H360" s="1" t="s">
        <v>1872</v>
      </c>
      <c r="I360" s="61">
        <v>45150</v>
      </c>
    </row>
    <row r="361" spans="1:9">
      <c r="A361" s="15" t="s">
        <v>1975</v>
      </c>
      <c r="B361" s="61">
        <v>45163</v>
      </c>
      <c r="C361" s="6" t="s">
        <v>1500</v>
      </c>
      <c r="D361" s="63" t="s">
        <v>78</v>
      </c>
      <c r="E361" s="78">
        <f>7.041+0.262</f>
        <v>7.3030000000000008</v>
      </c>
      <c r="F361" s="24" t="s">
        <v>116</v>
      </c>
      <c r="G361" s="1" t="s">
        <v>1976</v>
      </c>
      <c r="H361" s="1" t="s">
        <v>1872</v>
      </c>
      <c r="I361" s="61">
        <v>45150</v>
      </c>
    </row>
    <row r="362" spans="1:9">
      <c r="A362" s="15" t="s">
        <v>1977</v>
      </c>
      <c r="B362" s="61">
        <v>45163</v>
      </c>
      <c r="C362" s="6" t="s">
        <v>1334</v>
      </c>
      <c r="D362" s="63" t="s">
        <v>78</v>
      </c>
      <c r="E362" s="78">
        <v>0.70799999999999996</v>
      </c>
      <c r="F362" s="24" t="s">
        <v>116</v>
      </c>
      <c r="G362" s="1" t="s">
        <v>1978</v>
      </c>
      <c r="H362" s="1" t="s">
        <v>1987</v>
      </c>
      <c r="I362" s="61">
        <v>45135</v>
      </c>
    </row>
    <row r="363" spans="1:9">
      <c r="A363" s="15" t="s">
        <v>1977</v>
      </c>
      <c r="B363" s="61">
        <v>45163</v>
      </c>
      <c r="C363" s="6" t="s">
        <v>1640</v>
      </c>
      <c r="D363" s="63" t="s">
        <v>78</v>
      </c>
      <c r="E363" s="78">
        <v>8.2000000000000003E-2</v>
      </c>
      <c r="F363" s="24" t="s">
        <v>116</v>
      </c>
      <c r="G363" s="1" t="s">
        <v>1978</v>
      </c>
      <c r="H363" s="1" t="s">
        <v>1987</v>
      </c>
      <c r="I363" s="61">
        <v>45135</v>
      </c>
    </row>
    <row r="364" spans="1:9">
      <c r="A364" s="15"/>
      <c r="B364" s="61"/>
      <c r="C364" s="6"/>
      <c r="D364" s="1"/>
      <c r="E364" s="53">
        <f>SUM(E359:E363)</f>
        <v>32.366000000000007</v>
      </c>
      <c r="F364" s="24"/>
      <c r="G364" s="1"/>
      <c r="H364" s="1"/>
      <c r="I364" s="3"/>
    </row>
    <row r="365" spans="1:9">
      <c r="A365" s="15" t="s">
        <v>1989</v>
      </c>
      <c r="B365" s="61">
        <v>45164</v>
      </c>
      <c r="C365" s="6" t="s">
        <v>1500</v>
      </c>
      <c r="D365" s="1" t="s">
        <v>11</v>
      </c>
      <c r="E365" s="56">
        <v>4.641</v>
      </c>
      <c r="F365" s="24" t="s">
        <v>1990</v>
      </c>
      <c r="G365" s="1" t="s">
        <v>1991</v>
      </c>
      <c r="H365" s="1" t="s">
        <v>1495</v>
      </c>
      <c r="I365" s="61">
        <v>45135</v>
      </c>
    </row>
    <row r="366" spans="1:9">
      <c r="A366" s="15" t="s">
        <v>1992</v>
      </c>
      <c r="B366" s="61">
        <v>45164</v>
      </c>
      <c r="C366" s="6" t="s">
        <v>1341</v>
      </c>
      <c r="D366" s="1" t="s">
        <v>11</v>
      </c>
      <c r="E366" s="56">
        <v>1.722</v>
      </c>
      <c r="F366" s="24" t="s">
        <v>1990</v>
      </c>
      <c r="G366" s="1" t="s">
        <v>1991</v>
      </c>
      <c r="H366" s="1" t="s">
        <v>1641</v>
      </c>
      <c r="I366" s="61">
        <v>45135</v>
      </c>
    </row>
    <row r="367" spans="1:9">
      <c r="A367" s="15" t="s">
        <v>1992</v>
      </c>
      <c r="B367" s="61">
        <v>45164</v>
      </c>
      <c r="C367" s="6" t="s">
        <v>1791</v>
      </c>
      <c r="D367" s="1" t="s">
        <v>11</v>
      </c>
      <c r="E367" s="56">
        <v>6.8490000000000002</v>
      </c>
      <c r="F367" s="24" t="s">
        <v>1990</v>
      </c>
      <c r="G367" s="1" t="s">
        <v>1991</v>
      </c>
      <c r="H367" s="1" t="s">
        <v>1641</v>
      </c>
      <c r="I367" s="61">
        <v>45135</v>
      </c>
    </row>
    <row r="368" spans="1:9">
      <c r="A368" s="15" t="s">
        <v>1993</v>
      </c>
      <c r="B368" s="61">
        <v>45164</v>
      </c>
      <c r="C368" s="6" t="s">
        <v>1321</v>
      </c>
      <c r="D368" s="1" t="s">
        <v>11</v>
      </c>
      <c r="E368" s="56">
        <v>1.65</v>
      </c>
      <c r="F368" s="24" t="s">
        <v>1990</v>
      </c>
      <c r="G368" s="1" t="s">
        <v>1991</v>
      </c>
      <c r="H368" s="1" t="s">
        <v>1636</v>
      </c>
      <c r="I368" s="61">
        <v>45135</v>
      </c>
    </row>
    <row r="369" spans="1:9">
      <c r="A369" s="15" t="s">
        <v>1993</v>
      </c>
      <c r="B369" s="61">
        <v>45164</v>
      </c>
      <c r="C369" s="6" t="s">
        <v>1453</v>
      </c>
      <c r="D369" s="1" t="s">
        <v>11</v>
      </c>
      <c r="E369" s="56">
        <v>14.782999999999999</v>
      </c>
      <c r="F369" s="24" t="s">
        <v>1990</v>
      </c>
      <c r="G369" s="1" t="s">
        <v>1991</v>
      </c>
      <c r="H369" s="1" t="s">
        <v>1636</v>
      </c>
      <c r="I369" s="61">
        <v>45135</v>
      </c>
    </row>
    <row r="370" spans="1:9">
      <c r="A370" s="15" t="s">
        <v>1994</v>
      </c>
      <c r="B370" s="61">
        <v>45164</v>
      </c>
      <c r="C370" s="6" t="s">
        <v>1251</v>
      </c>
      <c r="D370" s="1" t="s">
        <v>11</v>
      </c>
      <c r="E370" s="56">
        <v>1.23</v>
      </c>
      <c r="F370" s="24" t="s">
        <v>1990</v>
      </c>
      <c r="G370" s="1" t="s">
        <v>1991</v>
      </c>
      <c r="H370" s="1" t="s">
        <v>1125</v>
      </c>
      <c r="I370" s="61">
        <v>45113</v>
      </c>
    </row>
    <row r="371" spans="1:9">
      <c r="A371" s="15" t="s">
        <v>1999</v>
      </c>
      <c r="B371" s="61">
        <v>45164</v>
      </c>
      <c r="C371" s="6" t="s">
        <v>1223</v>
      </c>
      <c r="D371" s="63" t="s">
        <v>78</v>
      </c>
      <c r="E371" s="56">
        <f>13.22+5.52</f>
        <v>18.740000000000002</v>
      </c>
      <c r="F371" s="24" t="s">
        <v>1481</v>
      </c>
      <c r="G371" s="1" t="s">
        <v>2000</v>
      </c>
      <c r="H371" s="1" t="s">
        <v>1187</v>
      </c>
      <c r="I371" s="61">
        <v>45111</v>
      </c>
    </row>
    <row r="372" spans="1:9">
      <c r="A372" s="15" t="s">
        <v>2001</v>
      </c>
      <c r="B372" s="61">
        <v>45164</v>
      </c>
      <c r="C372" s="6" t="s">
        <v>1223</v>
      </c>
      <c r="D372" s="63" t="s">
        <v>78</v>
      </c>
      <c r="E372" s="56">
        <v>12.407</v>
      </c>
      <c r="F372" s="24" t="s">
        <v>1481</v>
      </c>
      <c r="G372" s="1" t="s">
        <v>2002</v>
      </c>
      <c r="H372" s="1" t="s">
        <v>1593</v>
      </c>
      <c r="I372" s="61">
        <v>45135</v>
      </c>
    </row>
    <row r="373" spans="1:9">
      <c r="A373" s="15" t="s">
        <v>2003</v>
      </c>
      <c r="B373" s="61">
        <v>45164</v>
      </c>
      <c r="C373" s="6" t="s">
        <v>1223</v>
      </c>
      <c r="D373" s="63" t="s">
        <v>78</v>
      </c>
      <c r="E373" s="56">
        <v>11.084</v>
      </c>
      <c r="F373" s="24" t="s">
        <v>1481</v>
      </c>
      <c r="G373" s="1" t="s">
        <v>2004</v>
      </c>
      <c r="H373" s="1" t="s">
        <v>1112</v>
      </c>
      <c r="I373" s="61">
        <v>45111</v>
      </c>
    </row>
    <row r="374" spans="1:9">
      <c r="A374" s="15" t="s">
        <v>2005</v>
      </c>
      <c r="B374" s="61">
        <v>45164</v>
      </c>
      <c r="C374" s="6" t="s">
        <v>1223</v>
      </c>
      <c r="D374" s="63" t="s">
        <v>78</v>
      </c>
      <c r="E374" s="56">
        <f>0.946+8.624</f>
        <v>9.57</v>
      </c>
      <c r="F374" s="24" t="s">
        <v>1243</v>
      </c>
      <c r="G374" s="1" t="s">
        <v>2006</v>
      </c>
      <c r="H374" s="1" t="s">
        <v>1187</v>
      </c>
      <c r="I374" s="61">
        <v>45111</v>
      </c>
    </row>
    <row r="375" spans="1:9">
      <c r="A375" s="15" t="s">
        <v>2007</v>
      </c>
      <c r="B375" s="61">
        <v>45164</v>
      </c>
      <c r="C375" s="6" t="s">
        <v>1223</v>
      </c>
      <c r="D375" s="63" t="s">
        <v>78</v>
      </c>
      <c r="E375" s="56">
        <v>11.877000000000001</v>
      </c>
      <c r="F375" s="24" t="s">
        <v>1243</v>
      </c>
      <c r="G375" s="1" t="s">
        <v>2008</v>
      </c>
      <c r="H375" s="1" t="s">
        <v>1593</v>
      </c>
      <c r="I375" s="61">
        <v>45135</v>
      </c>
    </row>
    <row r="376" spans="1:9">
      <c r="A376" s="15"/>
      <c r="B376" s="61"/>
      <c r="C376" s="6"/>
      <c r="D376" s="1"/>
      <c r="E376" s="41">
        <f>SUM(E365:E375)</f>
        <v>94.553000000000011</v>
      </c>
      <c r="F376" s="24"/>
      <c r="G376" s="1"/>
      <c r="H376" s="1"/>
      <c r="I376" s="3"/>
    </row>
    <row r="377" spans="1:9">
      <c r="A377" s="15" t="s">
        <v>2015</v>
      </c>
      <c r="B377" s="61">
        <v>45165</v>
      </c>
      <c r="C377" s="6" t="s">
        <v>1453</v>
      </c>
      <c r="D377" s="63" t="s">
        <v>78</v>
      </c>
      <c r="E377" s="56">
        <v>32.423999999999999</v>
      </c>
      <c r="F377" s="24" t="s">
        <v>294</v>
      </c>
      <c r="G377" s="1" t="s">
        <v>2016</v>
      </c>
      <c r="H377" s="1" t="s">
        <v>1872</v>
      </c>
      <c r="I377" s="61">
        <v>45150</v>
      </c>
    </row>
    <row r="378" spans="1:9">
      <c r="A378" s="15" t="s">
        <v>2017</v>
      </c>
      <c r="B378" s="61">
        <v>45165</v>
      </c>
      <c r="C378" s="6" t="s">
        <v>1705</v>
      </c>
      <c r="D378" s="1" t="s">
        <v>11</v>
      </c>
      <c r="E378" s="56">
        <f>16.989+2.586</f>
        <v>19.574999999999999</v>
      </c>
      <c r="F378" s="24" t="s">
        <v>2018</v>
      </c>
      <c r="G378" s="1" t="s">
        <v>2019</v>
      </c>
      <c r="H378" s="1" t="s">
        <v>1641</v>
      </c>
      <c r="I378" s="61">
        <v>45135</v>
      </c>
    </row>
    <row r="379" spans="1:9">
      <c r="A379" s="15" t="s">
        <v>2017</v>
      </c>
      <c r="B379" s="61">
        <v>45165</v>
      </c>
      <c r="C379" s="6" t="s">
        <v>1801</v>
      </c>
      <c r="D379" s="1" t="s">
        <v>11</v>
      </c>
      <c r="E379" s="56">
        <v>4.88</v>
      </c>
      <c r="F379" s="24" t="s">
        <v>2018</v>
      </c>
      <c r="G379" s="1" t="s">
        <v>2019</v>
      </c>
      <c r="H379" s="1" t="s">
        <v>1641</v>
      </c>
      <c r="I379" s="61">
        <v>45135</v>
      </c>
    </row>
    <row r="380" spans="1:9">
      <c r="A380" s="15" t="s">
        <v>2017</v>
      </c>
      <c r="B380" s="61">
        <v>45165</v>
      </c>
      <c r="C380" s="6" t="s">
        <v>1756</v>
      </c>
      <c r="D380" s="1" t="s">
        <v>11</v>
      </c>
      <c r="E380" s="56">
        <v>4.33</v>
      </c>
      <c r="F380" s="24" t="s">
        <v>2018</v>
      </c>
      <c r="G380" s="1" t="s">
        <v>2019</v>
      </c>
      <c r="H380" s="1" t="s">
        <v>1641</v>
      </c>
      <c r="I380" s="61">
        <v>45135</v>
      </c>
    </row>
    <row r="381" spans="1:9">
      <c r="A381" s="15"/>
      <c r="B381" s="61"/>
      <c r="C381" s="6"/>
      <c r="D381" s="1"/>
      <c r="E381" s="53">
        <f>SUM(E377:E380)</f>
        <v>61.208999999999996</v>
      </c>
      <c r="F381" s="24"/>
      <c r="G381" s="1"/>
      <c r="H381" s="1"/>
      <c r="I381" s="3"/>
    </row>
    <row r="382" spans="1:9">
      <c r="A382" s="15" t="s">
        <v>2032</v>
      </c>
      <c r="B382" s="61">
        <v>45166</v>
      </c>
      <c r="C382" s="6" t="s">
        <v>1223</v>
      </c>
      <c r="D382" s="63" t="s">
        <v>78</v>
      </c>
      <c r="E382" s="56">
        <f>15.909+6.879</f>
        <v>22.788</v>
      </c>
      <c r="F382" s="24" t="s">
        <v>294</v>
      </c>
      <c r="G382" s="1" t="s">
        <v>2033</v>
      </c>
      <c r="H382" s="1" t="s">
        <v>1593</v>
      </c>
      <c r="I382" s="61">
        <v>45135</v>
      </c>
    </row>
    <row r="383" spans="1:9">
      <c r="A383" s="15" t="s">
        <v>2034</v>
      </c>
      <c r="B383" s="61">
        <v>45166</v>
      </c>
      <c r="C383" s="6" t="s">
        <v>1223</v>
      </c>
      <c r="D383" s="63" t="s">
        <v>78</v>
      </c>
      <c r="E383" s="56">
        <v>10.144</v>
      </c>
      <c r="F383" s="24" t="s">
        <v>294</v>
      </c>
      <c r="G383" s="1" t="s">
        <v>2035</v>
      </c>
      <c r="H383" s="1" t="s">
        <v>1112</v>
      </c>
      <c r="I383" s="61">
        <v>45111</v>
      </c>
    </row>
    <row r="384" spans="1:9">
      <c r="A384" s="15" t="s">
        <v>2046</v>
      </c>
      <c r="B384" s="61">
        <v>45166</v>
      </c>
      <c r="C384" s="6" t="s">
        <v>1223</v>
      </c>
      <c r="D384" s="63" t="s">
        <v>78</v>
      </c>
      <c r="E384" s="56">
        <v>11.256</v>
      </c>
      <c r="F384" s="24" t="s">
        <v>116</v>
      </c>
      <c r="G384" s="1" t="s">
        <v>2047</v>
      </c>
      <c r="H384" s="1" t="s">
        <v>1202</v>
      </c>
      <c r="I384" s="61">
        <v>45111</v>
      </c>
    </row>
    <row r="385" spans="1:9">
      <c r="A385" s="15" t="s">
        <v>2050</v>
      </c>
      <c r="B385" s="61">
        <v>45166</v>
      </c>
      <c r="C385" s="6" t="s">
        <v>1251</v>
      </c>
      <c r="D385" s="63" t="s">
        <v>78</v>
      </c>
      <c r="E385" s="56">
        <f>1.33+4.964</f>
        <v>6.2940000000000005</v>
      </c>
      <c r="F385" s="24" t="s">
        <v>116</v>
      </c>
      <c r="G385" s="1" t="s">
        <v>2048</v>
      </c>
      <c r="H385" s="1" t="s">
        <v>1593</v>
      </c>
      <c r="I385" s="61">
        <v>45135</v>
      </c>
    </row>
    <row r="386" spans="1:9">
      <c r="A386" s="15" t="s">
        <v>2051</v>
      </c>
      <c r="B386" s="61">
        <v>45166</v>
      </c>
      <c r="C386" s="6" t="s">
        <v>1226</v>
      </c>
      <c r="D386" s="63" t="s">
        <v>78</v>
      </c>
      <c r="E386" s="56">
        <v>8.4359999999999999</v>
      </c>
      <c r="F386" s="24" t="s">
        <v>116</v>
      </c>
      <c r="G386" s="1" t="s">
        <v>2049</v>
      </c>
      <c r="H386" s="1" t="s">
        <v>1187</v>
      </c>
      <c r="I386" s="61">
        <v>45111</v>
      </c>
    </row>
    <row r="387" spans="1:9">
      <c r="A387" s="15" t="s">
        <v>2052</v>
      </c>
      <c r="B387" s="61">
        <v>45166</v>
      </c>
      <c r="C387" s="6" t="s">
        <v>1226</v>
      </c>
      <c r="D387" s="63" t="s">
        <v>78</v>
      </c>
      <c r="E387" s="56">
        <v>6.2949999999999999</v>
      </c>
      <c r="F387" s="24" t="s">
        <v>116</v>
      </c>
      <c r="G387" s="1" t="s">
        <v>2049</v>
      </c>
      <c r="H387" s="1" t="s">
        <v>1112</v>
      </c>
      <c r="I387" s="61">
        <v>45111</v>
      </c>
    </row>
    <row r="388" spans="1:9">
      <c r="A388" s="15"/>
      <c r="B388" s="61"/>
      <c r="C388" s="6"/>
      <c r="D388" s="1"/>
      <c r="E388" s="53">
        <f>SUM(E382:E387)</f>
        <v>65.212999999999994</v>
      </c>
      <c r="F388" s="24"/>
      <c r="G388" s="1"/>
      <c r="H388" s="1"/>
      <c r="I388" s="3"/>
    </row>
    <row r="389" spans="1:9">
      <c r="A389" s="15" t="s">
        <v>2053</v>
      </c>
      <c r="B389" s="61">
        <v>45167</v>
      </c>
      <c r="C389" s="6" t="s">
        <v>1226</v>
      </c>
      <c r="D389" s="63" t="s">
        <v>78</v>
      </c>
      <c r="E389" s="56">
        <f>10.271+22.446</f>
        <v>32.716999999999999</v>
      </c>
      <c r="F389" s="30" t="s">
        <v>294</v>
      </c>
      <c r="G389" s="14" t="s">
        <v>2054</v>
      </c>
      <c r="H389" s="30" t="s">
        <v>1187</v>
      </c>
      <c r="I389" s="61">
        <v>45111</v>
      </c>
    </row>
    <row r="390" spans="1:9">
      <c r="A390" s="15" t="s">
        <v>2055</v>
      </c>
      <c r="B390" s="61">
        <v>45167</v>
      </c>
      <c r="C390" s="6" t="s">
        <v>1223</v>
      </c>
      <c r="D390" s="63" t="s">
        <v>78</v>
      </c>
      <c r="E390" s="56">
        <v>6.3739999999999997</v>
      </c>
      <c r="F390" s="30" t="s">
        <v>116</v>
      </c>
      <c r="G390" s="14" t="s">
        <v>2056</v>
      </c>
      <c r="H390" s="30" t="s">
        <v>1187</v>
      </c>
      <c r="I390" s="61">
        <v>45111</v>
      </c>
    </row>
    <row r="391" spans="1:9">
      <c r="A391" s="15" t="s">
        <v>2057</v>
      </c>
      <c r="B391" s="61">
        <v>45167</v>
      </c>
      <c r="C391" s="6" t="s">
        <v>1223</v>
      </c>
      <c r="D391" s="63" t="s">
        <v>78</v>
      </c>
      <c r="E391" s="56">
        <v>11.209</v>
      </c>
      <c r="F391" s="30" t="s">
        <v>116</v>
      </c>
      <c r="G391" s="14" t="s">
        <v>2056</v>
      </c>
      <c r="H391" s="1" t="s">
        <v>1202</v>
      </c>
      <c r="I391" s="61">
        <v>45111</v>
      </c>
    </row>
    <row r="392" spans="1:9">
      <c r="A392" s="15" t="s">
        <v>2058</v>
      </c>
      <c r="B392" s="61">
        <v>45167</v>
      </c>
      <c r="C392" s="6" t="s">
        <v>1223</v>
      </c>
      <c r="D392" s="63" t="s">
        <v>78</v>
      </c>
      <c r="E392" s="56">
        <v>11.882</v>
      </c>
      <c r="F392" s="30" t="s">
        <v>116</v>
      </c>
      <c r="G392" s="14" t="s">
        <v>2059</v>
      </c>
      <c r="H392" s="1" t="s">
        <v>1112</v>
      </c>
      <c r="I392" s="61">
        <v>45111</v>
      </c>
    </row>
    <row r="393" spans="1:9">
      <c r="A393" s="15" t="s">
        <v>2060</v>
      </c>
      <c r="B393" s="61">
        <v>45167</v>
      </c>
      <c r="C393" s="6" t="s">
        <v>1223</v>
      </c>
      <c r="D393" s="63" t="s">
        <v>78</v>
      </c>
      <c r="E393" s="56">
        <v>1.7989999999999999</v>
      </c>
      <c r="F393" s="30" t="s">
        <v>116</v>
      </c>
      <c r="G393" s="14" t="s">
        <v>2059</v>
      </c>
      <c r="H393" s="1" t="s">
        <v>1858</v>
      </c>
      <c r="I393" s="61">
        <v>45150</v>
      </c>
    </row>
    <row r="394" spans="1:9">
      <c r="A394" s="15"/>
      <c r="B394" s="61"/>
      <c r="C394" s="6"/>
      <c r="D394" s="63"/>
      <c r="E394" s="41">
        <f>SUM(E389:E393)</f>
        <v>63.980999999999995</v>
      </c>
      <c r="F394" s="24"/>
      <c r="G394" s="1"/>
      <c r="H394" s="1"/>
      <c r="I394" s="3"/>
    </row>
    <row r="395" spans="1:9">
      <c r="A395" s="15" t="s">
        <v>2080</v>
      </c>
      <c r="B395" s="61">
        <v>45168</v>
      </c>
      <c r="C395" s="6" t="s">
        <v>1226</v>
      </c>
      <c r="D395" s="63" t="s">
        <v>78</v>
      </c>
      <c r="E395" s="56">
        <v>13.695</v>
      </c>
      <c r="F395" s="24" t="s">
        <v>116</v>
      </c>
      <c r="G395" s="1" t="s">
        <v>2081</v>
      </c>
      <c r="H395" s="1" t="s">
        <v>1202</v>
      </c>
      <c r="I395" s="61">
        <v>45111</v>
      </c>
    </row>
    <row r="396" spans="1:9">
      <c r="A396" s="15" t="s">
        <v>2082</v>
      </c>
      <c r="B396" s="61">
        <v>45168</v>
      </c>
      <c r="C396" s="6" t="s">
        <v>1226</v>
      </c>
      <c r="D396" s="63" t="s">
        <v>78</v>
      </c>
      <c r="E396" s="56">
        <v>0.6</v>
      </c>
      <c r="F396" s="24" t="s">
        <v>116</v>
      </c>
      <c r="G396" s="1" t="s">
        <v>2083</v>
      </c>
      <c r="H396" s="1" t="s">
        <v>1858</v>
      </c>
      <c r="I396" s="100">
        <v>45150</v>
      </c>
    </row>
    <row r="397" spans="1:9">
      <c r="A397" s="15" t="s">
        <v>2084</v>
      </c>
      <c r="B397" s="61">
        <v>45168</v>
      </c>
      <c r="C397" s="6" t="s">
        <v>1226</v>
      </c>
      <c r="D397" s="63" t="s">
        <v>78</v>
      </c>
      <c r="E397" s="56">
        <v>4.0579999999999998</v>
      </c>
      <c r="F397" s="24" t="s">
        <v>116</v>
      </c>
      <c r="G397" s="1" t="s">
        <v>2083</v>
      </c>
      <c r="H397" s="1" t="s">
        <v>1112</v>
      </c>
      <c r="I397" s="61">
        <v>45111</v>
      </c>
    </row>
    <row r="398" spans="1:9">
      <c r="A398" s="15" t="s">
        <v>2085</v>
      </c>
      <c r="B398" s="61">
        <v>45168</v>
      </c>
      <c r="C398" s="6" t="s">
        <v>1226</v>
      </c>
      <c r="D398" s="63" t="s">
        <v>78</v>
      </c>
      <c r="E398" s="56">
        <v>7.6509999999999998</v>
      </c>
      <c r="F398" s="24" t="s">
        <v>116</v>
      </c>
      <c r="G398" s="1" t="s">
        <v>2083</v>
      </c>
      <c r="H398" s="1" t="s">
        <v>1187</v>
      </c>
      <c r="I398" s="61">
        <v>45111</v>
      </c>
    </row>
    <row r="399" spans="1:9">
      <c r="A399" s="15" t="s">
        <v>2086</v>
      </c>
      <c r="B399" s="61">
        <v>45168</v>
      </c>
      <c r="C399" s="6" t="s">
        <v>1753</v>
      </c>
      <c r="D399" s="63" t="s">
        <v>78</v>
      </c>
      <c r="E399" s="56">
        <v>5.8</v>
      </c>
      <c r="F399" s="24" t="s">
        <v>116</v>
      </c>
      <c r="G399" s="1" t="s">
        <v>2083</v>
      </c>
      <c r="H399" s="1" t="s">
        <v>2066</v>
      </c>
      <c r="I399" s="100">
        <v>45150</v>
      </c>
    </row>
    <row r="400" spans="1:9">
      <c r="A400" s="15"/>
      <c r="B400" s="61"/>
      <c r="C400" s="6"/>
      <c r="D400" s="1"/>
      <c r="E400" s="41">
        <f>SUM(E395:E399)</f>
        <v>31.804000000000002</v>
      </c>
      <c r="F400" s="24"/>
      <c r="G400" s="1"/>
      <c r="H400" s="1"/>
      <c r="I400" s="3"/>
    </row>
    <row r="401" spans="1:12">
      <c r="A401" s="15"/>
      <c r="B401" s="61"/>
      <c r="C401" s="6"/>
      <c r="D401" s="1"/>
      <c r="E401" s="53"/>
      <c r="F401" s="24"/>
      <c r="G401" s="1"/>
      <c r="H401" s="1"/>
      <c r="I401" s="3"/>
    </row>
    <row r="402" spans="1:12">
      <c r="A402" s="15"/>
      <c r="B402" s="61"/>
      <c r="C402" s="6"/>
      <c r="D402" s="1"/>
      <c r="E402" s="53"/>
      <c r="F402" s="24"/>
      <c r="G402" s="1"/>
      <c r="H402" s="1"/>
      <c r="I402" s="3"/>
    </row>
    <row r="403" spans="1:12">
      <c r="A403" s="15"/>
      <c r="B403" s="61"/>
      <c r="C403" s="6"/>
      <c r="D403" s="1"/>
      <c r="E403" s="41"/>
      <c r="F403" s="24"/>
      <c r="G403" s="1"/>
      <c r="H403" s="1"/>
      <c r="I403" s="3"/>
      <c r="J403" t="s">
        <v>1808</v>
      </c>
      <c r="K403" t="s">
        <v>1808</v>
      </c>
    </row>
    <row r="404" spans="1:12">
      <c r="A404" s="15"/>
      <c r="B404" s="61"/>
      <c r="C404" s="6"/>
      <c r="D404" s="1"/>
      <c r="E404" s="54"/>
      <c r="F404" s="24"/>
      <c r="G404" s="1"/>
      <c r="H404" s="1"/>
      <c r="I404" s="3"/>
      <c r="J404" t="s">
        <v>1807</v>
      </c>
      <c r="K404" t="s">
        <v>1809</v>
      </c>
    </row>
    <row r="405" spans="1:12">
      <c r="A405" s="1"/>
      <c r="B405" s="16"/>
      <c r="C405" s="1"/>
      <c r="D405" s="2" t="s">
        <v>1448</v>
      </c>
      <c r="E405" s="20">
        <f>SUM(E26:E404)/2</f>
        <v>2745.7150000000001</v>
      </c>
      <c r="F405" s="24"/>
      <c r="G405" s="1"/>
      <c r="H405" s="1"/>
      <c r="I405" s="3"/>
      <c r="J405">
        <f>+'KEC JBP TRADING DISPATCHED AUG'!E47</f>
        <v>145.47</v>
      </c>
      <c r="K405" s="8">
        <f>+'KEC JBP DISPATCHED AUG'!E54</f>
        <v>305.70499999999998</v>
      </c>
      <c r="L405" s="97">
        <f>SUM(E405:K405)+J408</f>
        <v>3200.5119999999997</v>
      </c>
    </row>
    <row r="406" spans="1:12">
      <c r="A406" s="1"/>
      <c r="B406" s="16"/>
      <c r="C406" s="1"/>
      <c r="D406" s="1"/>
      <c r="E406" s="54"/>
      <c r="F406" s="24"/>
      <c r="G406" s="1"/>
      <c r="H406" s="1"/>
      <c r="I406" s="3"/>
      <c r="J406" t="s">
        <v>1988</v>
      </c>
    </row>
    <row r="407" spans="1:12">
      <c r="A407" s="1"/>
      <c r="B407" s="3"/>
      <c r="C407" s="1"/>
      <c r="D407" s="2" t="s">
        <v>1428</v>
      </c>
      <c r="E407" s="20">
        <f>+E9+E18+E25</f>
        <v>220.83600000000001</v>
      </c>
      <c r="F407" s="24"/>
      <c r="G407" s="1"/>
      <c r="H407" s="1"/>
      <c r="I407" s="3"/>
      <c r="J407" t="s">
        <v>1807</v>
      </c>
    </row>
    <row r="408" spans="1:12">
      <c r="A408" s="1"/>
      <c r="B408" s="3"/>
      <c r="C408" s="1"/>
      <c r="D408" s="1"/>
      <c r="E408" s="55"/>
      <c r="F408" s="24"/>
      <c r="G408" s="1"/>
      <c r="H408" s="1"/>
      <c r="I408" s="3"/>
      <c r="J408">
        <v>3.6219999999999999</v>
      </c>
    </row>
    <row r="409" spans="1:12">
      <c r="A409" s="1"/>
      <c r="B409" s="3"/>
      <c r="C409" s="1"/>
      <c r="D409" s="2"/>
      <c r="E409" s="20">
        <f>+E407+E405</f>
        <v>2966.5510000000004</v>
      </c>
      <c r="F409" s="24"/>
      <c r="G409" s="1"/>
      <c r="H409" s="1"/>
      <c r="I409" s="3"/>
    </row>
    <row r="410" spans="1:12">
      <c r="A410" s="1"/>
      <c r="B410" s="3"/>
      <c r="C410" s="1"/>
      <c r="D410" s="2"/>
      <c r="E410" s="54"/>
      <c r="F410" s="24"/>
      <c r="G410" s="1"/>
      <c r="H410" s="1"/>
      <c r="I410" s="3"/>
    </row>
    <row r="411" spans="1:12">
      <c r="A411" s="1"/>
      <c r="B411" s="3"/>
      <c r="C411" s="1"/>
      <c r="D411" s="1"/>
      <c r="E411" s="2"/>
      <c r="F411" s="24"/>
      <c r="G411" s="1"/>
      <c r="H411" s="1"/>
      <c r="I411" s="3"/>
    </row>
    <row r="412" spans="1:12">
      <c r="A412" s="1"/>
      <c r="B412" s="3"/>
      <c r="C412" s="1"/>
      <c r="D412" s="1"/>
      <c r="E412" s="2"/>
      <c r="F412" s="24"/>
      <c r="G412" s="1"/>
      <c r="H412" s="1"/>
      <c r="I412" s="3"/>
    </row>
    <row r="413" spans="1:12">
      <c r="A413" s="1"/>
      <c r="B413" s="3"/>
      <c r="C413" s="1"/>
      <c r="D413" s="1"/>
      <c r="E413" s="2"/>
      <c r="F413" s="24"/>
      <c r="G413" s="1"/>
      <c r="H413" s="1"/>
      <c r="I413" s="3"/>
    </row>
    <row r="414" spans="1:12">
      <c r="A414" s="1"/>
      <c r="B414" s="3"/>
      <c r="C414" s="1"/>
      <c r="D414" s="1"/>
      <c r="E414" s="2"/>
      <c r="F414" s="24"/>
      <c r="G414" s="1"/>
      <c r="H414" s="1"/>
      <c r="I414" s="3"/>
    </row>
    <row r="415" spans="1:12">
      <c r="A415" s="1"/>
      <c r="B415" s="3"/>
      <c r="C415" s="1"/>
      <c r="D415" s="1"/>
      <c r="E415" s="2"/>
      <c r="F415" s="24"/>
      <c r="G415" s="1"/>
      <c r="H415" s="1"/>
      <c r="I415" s="3"/>
    </row>
    <row r="416" spans="1:12">
      <c r="A416" s="1"/>
      <c r="B416" s="1"/>
      <c r="C416" s="1"/>
      <c r="D416" s="1"/>
      <c r="E416" s="2"/>
      <c r="F416" s="24"/>
      <c r="G416" s="1"/>
      <c r="H416" s="1"/>
      <c r="I416" s="1"/>
    </row>
  </sheetData>
  <autoFilter ref="A1:L400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6"/>
  <sheetViews>
    <sheetView workbookViewId="0">
      <selection activeCell="G57" sqref="G57"/>
    </sheetView>
  </sheetViews>
  <sheetFormatPr defaultRowHeight="15"/>
  <cols>
    <col min="1" max="1" width="18.28515625" customWidth="1"/>
    <col min="2" max="2" width="10.28515625" bestFit="1" customWidth="1"/>
    <col min="3" max="3" width="24" bestFit="1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15" t="s">
        <v>1771</v>
      </c>
      <c r="B2" s="16">
        <v>45155</v>
      </c>
      <c r="C2" s="6" t="s">
        <v>319</v>
      </c>
      <c r="D2" s="1" t="s">
        <v>716</v>
      </c>
      <c r="E2" s="21">
        <v>2.1669999999999998</v>
      </c>
      <c r="F2" s="24" t="s">
        <v>544</v>
      </c>
      <c r="G2" s="1" t="s">
        <v>1773</v>
      </c>
      <c r="H2" s="18" t="s">
        <v>1658</v>
      </c>
      <c r="I2" s="16">
        <v>45135</v>
      </c>
    </row>
    <row r="3" spans="1:9">
      <c r="A3" s="15" t="s">
        <v>1771</v>
      </c>
      <c r="B3" s="16">
        <v>45155</v>
      </c>
      <c r="C3" s="6" t="s">
        <v>195</v>
      </c>
      <c r="D3" s="1" t="s">
        <v>716</v>
      </c>
      <c r="E3" s="21">
        <v>0.629</v>
      </c>
      <c r="F3" s="24" t="s">
        <v>544</v>
      </c>
      <c r="G3" s="1" t="s">
        <v>1773</v>
      </c>
      <c r="H3" s="18" t="s">
        <v>1658</v>
      </c>
      <c r="I3" s="16">
        <v>45135</v>
      </c>
    </row>
    <row r="4" spans="1:9">
      <c r="A4" s="15" t="s">
        <v>1771</v>
      </c>
      <c r="B4" s="16">
        <v>45155</v>
      </c>
      <c r="C4" s="6" t="s">
        <v>344</v>
      </c>
      <c r="D4" s="1" t="s">
        <v>716</v>
      </c>
      <c r="E4" s="21">
        <v>0.49399999999999999</v>
      </c>
      <c r="F4" s="24" t="s">
        <v>544</v>
      </c>
      <c r="G4" s="1" t="s">
        <v>1773</v>
      </c>
      <c r="H4" s="18" t="s">
        <v>1658</v>
      </c>
      <c r="I4" s="16">
        <v>45135</v>
      </c>
    </row>
    <row r="5" spans="1:9">
      <c r="A5" s="15" t="s">
        <v>1771</v>
      </c>
      <c r="B5" s="16">
        <v>45155</v>
      </c>
      <c r="C5" s="6" t="s">
        <v>310</v>
      </c>
      <c r="D5" s="1" t="s">
        <v>716</v>
      </c>
      <c r="E5" s="21">
        <v>4.1459999999999999</v>
      </c>
      <c r="F5" s="24" t="s">
        <v>544</v>
      </c>
      <c r="G5" s="1" t="s">
        <v>1773</v>
      </c>
      <c r="H5" s="18" t="s">
        <v>1658</v>
      </c>
      <c r="I5" s="16">
        <v>45135</v>
      </c>
    </row>
    <row r="6" spans="1:9">
      <c r="A6" s="15" t="s">
        <v>1771</v>
      </c>
      <c r="B6" s="16">
        <v>45155</v>
      </c>
      <c r="C6" s="6" t="s">
        <v>226</v>
      </c>
      <c r="D6" s="1" t="s">
        <v>716</v>
      </c>
      <c r="E6" s="21">
        <v>3.0030000000000001</v>
      </c>
      <c r="F6" s="24" t="s">
        <v>544</v>
      </c>
      <c r="G6" s="1" t="s">
        <v>1773</v>
      </c>
      <c r="H6" s="18" t="s">
        <v>1658</v>
      </c>
      <c r="I6" s="16">
        <v>45135</v>
      </c>
    </row>
    <row r="7" spans="1:9">
      <c r="A7" s="15" t="s">
        <v>1771</v>
      </c>
      <c r="B7" s="16">
        <v>45155</v>
      </c>
      <c r="C7" s="6" t="s">
        <v>345</v>
      </c>
      <c r="D7" s="1" t="s">
        <v>716</v>
      </c>
      <c r="E7" s="21">
        <v>5.391</v>
      </c>
      <c r="F7" s="24" t="s">
        <v>544</v>
      </c>
      <c r="G7" s="1" t="s">
        <v>1773</v>
      </c>
      <c r="H7" s="18" t="s">
        <v>1658</v>
      </c>
      <c r="I7" s="16">
        <v>45135</v>
      </c>
    </row>
    <row r="8" spans="1:9">
      <c r="A8" s="15" t="s">
        <v>1771</v>
      </c>
      <c r="B8" s="16">
        <v>45155</v>
      </c>
      <c r="C8" s="6" t="s">
        <v>263</v>
      </c>
      <c r="D8" s="1" t="s">
        <v>716</v>
      </c>
      <c r="E8" s="21">
        <v>1.845</v>
      </c>
      <c r="F8" s="24" t="s">
        <v>544</v>
      </c>
      <c r="G8" s="1" t="s">
        <v>1773</v>
      </c>
      <c r="H8" s="18" t="s">
        <v>1658</v>
      </c>
      <c r="I8" s="16">
        <v>45135</v>
      </c>
    </row>
    <row r="9" spans="1:9">
      <c r="A9" s="15" t="s">
        <v>1771</v>
      </c>
      <c r="B9" s="16">
        <v>45155</v>
      </c>
      <c r="C9" s="6" t="s">
        <v>1772</v>
      </c>
      <c r="D9" s="1" t="s">
        <v>716</v>
      </c>
      <c r="E9" s="21">
        <v>0.77400000000000002</v>
      </c>
      <c r="F9" s="24" t="s">
        <v>544</v>
      </c>
      <c r="G9" s="1" t="s">
        <v>1773</v>
      </c>
      <c r="H9" s="18" t="s">
        <v>1658</v>
      </c>
      <c r="I9" s="16">
        <v>45135</v>
      </c>
    </row>
    <row r="10" spans="1:9">
      <c r="A10" s="15" t="s">
        <v>1771</v>
      </c>
      <c r="B10" s="16">
        <v>45155</v>
      </c>
      <c r="C10" s="6" t="s">
        <v>699</v>
      </c>
      <c r="D10" s="1" t="s">
        <v>716</v>
      </c>
      <c r="E10" s="21">
        <v>1.1080000000000001</v>
      </c>
      <c r="F10" s="24" t="s">
        <v>544</v>
      </c>
      <c r="G10" s="1" t="s">
        <v>1773</v>
      </c>
      <c r="H10" s="18" t="s">
        <v>1658</v>
      </c>
      <c r="I10" s="16">
        <v>45135</v>
      </c>
    </row>
    <row r="11" spans="1:9">
      <c r="A11" s="15" t="s">
        <v>1771</v>
      </c>
      <c r="B11" s="16">
        <v>45155</v>
      </c>
      <c r="C11" s="6" t="s">
        <v>578</v>
      </c>
      <c r="D11" s="1" t="s">
        <v>716</v>
      </c>
      <c r="E11" s="49">
        <v>2.3050000000000002</v>
      </c>
      <c r="F11" s="24" t="s">
        <v>544</v>
      </c>
      <c r="G11" s="1" t="s">
        <v>1773</v>
      </c>
      <c r="H11" s="18" t="s">
        <v>1658</v>
      </c>
      <c r="I11" s="16">
        <v>45135</v>
      </c>
    </row>
    <row r="12" spans="1:9">
      <c r="A12" s="15" t="s">
        <v>1771</v>
      </c>
      <c r="B12" s="16">
        <v>45155</v>
      </c>
      <c r="C12" s="6" t="s">
        <v>1130</v>
      </c>
      <c r="D12" s="1" t="s">
        <v>716</v>
      </c>
      <c r="E12" s="49">
        <v>3.1160000000000001</v>
      </c>
      <c r="F12" s="24" t="s">
        <v>544</v>
      </c>
      <c r="G12" s="1" t="s">
        <v>1773</v>
      </c>
      <c r="H12" s="18" t="s">
        <v>1658</v>
      </c>
      <c r="I12" s="16">
        <v>45135</v>
      </c>
    </row>
    <row r="13" spans="1:9">
      <c r="A13" s="15" t="s">
        <v>1771</v>
      </c>
      <c r="B13" s="16">
        <v>45155</v>
      </c>
      <c r="C13" s="6" t="s">
        <v>609</v>
      </c>
      <c r="D13" s="1" t="s">
        <v>716</v>
      </c>
      <c r="E13" s="49">
        <v>1.766</v>
      </c>
      <c r="F13" s="24" t="s">
        <v>544</v>
      </c>
      <c r="G13" s="1" t="s">
        <v>1773</v>
      </c>
      <c r="H13" s="18" t="s">
        <v>1658</v>
      </c>
      <c r="I13" s="16">
        <v>45135</v>
      </c>
    </row>
    <row r="14" spans="1:9">
      <c r="A14" s="15"/>
      <c r="B14" s="16"/>
      <c r="C14" s="6"/>
      <c r="D14" s="1"/>
      <c r="E14" s="58">
        <f>SUM(E2:E13)</f>
        <v>26.744</v>
      </c>
      <c r="F14" s="24"/>
      <c r="G14" s="96"/>
      <c r="H14" s="18"/>
      <c r="I14" s="16"/>
    </row>
    <row r="15" spans="1:9">
      <c r="A15" s="15" t="s">
        <v>1838</v>
      </c>
      <c r="B15" s="61">
        <v>45158</v>
      </c>
      <c r="C15" s="6" t="s">
        <v>303</v>
      </c>
      <c r="D15" s="93" t="s">
        <v>716</v>
      </c>
      <c r="E15" s="21">
        <v>13.564</v>
      </c>
      <c r="F15" s="24" t="s">
        <v>1839</v>
      </c>
      <c r="G15" s="1" t="s">
        <v>1840</v>
      </c>
      <c r="H15" s="1" t="s">
        <v>1658</v>
      </c>
      <c r="I15" s="61">
        <v>45135</v>
      </c>
    </row>
    <row r="16" spans="1:9">
      <c r="A16" s="15" t="s">
        <v>1838</v>
      </c>
      <c r="B16" s="61">
        <v>45158</v>
      </c>
      <c r="C16" s="6" t="s">
        <v>925</v>
      </c>
      <c r="D16" s="93" t="s">
        <v>716</v>
      </c>
      <c r="E16" s="21">
        <v>2.2869999999999999</v>
      </c>
      <c r="F16" s="24" t="s">
        <v>1839</v>
      </c>
      <c r="G16" s="1" t="s">
        <v>1840</v>
      </c>
      <c r="H16" s="1" t="s">
        <v>1658</v>
      </c>
      <c r="I16" s="61">
        <v>45135</v>
      </c>
    </row>
    <row r="17" spans="1:9">
      <c r="A17" s="15" t="s">
        <v>1838</v>
      </c>
      <c r="B17" s="61">
        <v>45158</v>
      </c>
      <c r="C17" s="6" t="s">
        <v>227</v>
      </c>
      <c r="D17" s="93" t="s">
        <v>716</v>
      </c>
      <c r="E17" s="21">
        <v>3.794</v>
      </c>
      <c r="F17" s="24" t="s">
        <v>1839</v>
      </c>
      <c r="G17" s="1" t="s">
        <v>1840</v>
      </c>
      <c r="H17" s="1" t="s">
        <v>1658</v>
      </c>
      <c r="I17" s="61">
        <v>45135</v>
      </c>
    </row>
    <row r="18" spans="1:9">
      <c r="A18" s="15" t="s">
        <v>1841</v>
      </c>
      <c r="B18" s="61">
        <v>45158</v>
      </c>
      <c r="C18" s="6" t="s">
        <v>227</v>
      </c>
      <c r="D18" s="93" t="s">
        <v>716</v>
      </c>
      <c r="E18" s="21">
        <f>9.593+8.469</f>
        <v>18.061999999999998</v>
      </c>
      <c r="F18" s="24" t="s">
        <v>1839</v>
      </c>
      <c r="G18" s="1" t="s">
        <v>1842</v>
      </c>
      <c r="H18" s="1" t="s">
        <v>1843</v>
      </c>
      <c r="I18" s="61">
        <v>45150</v>
      </c>
    </row>
    <row r="19" spans="1:9">
      <c r="A19" s="15" t="s">
        <v>1841</v>
      </c>
      <c r="B19" s="61">
        <v>45158</v>
      </c>
      <c r="C19" s="6" t="s">
        <v>452</v>
      </c>
      <c r="D19" s="93" t="s">
        <v>716</v>
      </c>
      <c r="E19" s="21">
        <v>1.2829999999999999</v>
      </c>
      <c r="F19" s="24" t="s">
        <v>1839</v>
      </c>
      <c r="G19" s="1" t="s">
        <v>1842</v>
      </c>
      <c r="H19" s="1" t="s">
        <v>1843</v>
      </c>
      <c r="I19" s="61">
        <v>45150</v>
      </c>
    </row>
    <row r="20" spans="1:9">
      <c r="A20" s="15"/>
      <c r="B20" s="16"/>
      <c r="C20" s="6"/>
      <c r="D20" s="1"/>
      <c r="E20" s="58">
        <f>SUM(E15:E19)</f>
        <v>38.989999999999995</v>
      </c>
      <c r="F20" s="24"/>
      <c r="G20" s="1"/>
      <c r="H20" s="1"/>
      <c r="I20" s="3"/>
    </row>
    <row r="21" spans="1:9">
      <c r="A21" s="15" t="s">
        <v>1890</v>
      </c>
      <c r="B21" s="61">
        <v>45160</v>
      </c>
      <c r="C21" s="6" t="s">
        <v>244</v>
      </c>
      <c r="D21" s="1" t="s">
        <v>716</v>
      </c>
      <c r="E21" s="21">
        <f>9.048+15.106+7.978</f>
        <v>32.131999999999998</v>
      </c>
      <c r="F21" s="24" t="s">
        <v>1886</v>
      </c>
      <c r="G21" s="4" t="s">
        <v>1885</v>
      </c>
      <c r="H21" s="1" t="s">
        <v>1887</v>
      </c>
      <c r="I21" s="61">
        <v>45135</v>
      </c>
    </row>
    <row r="22" spans="1:9">
      <c r="A22" s="15" t="s">
        <v>1891</v>
      </c>
      <c r="B22" s="61">
        <v>45160</v>
      </c>
      <c r="C22" s="6" t="s">
        <v>244</v>
      </c>
      <c r="D22" s="1" t="s">
        <v>716</v>
      </c>
      <c r="E22" s="21">
        <v>0.24099999999999999</v>
      </c>
      <c r="F22" s="24" t="s">
        <v>1886</v>
      </c>
      <c r="G22" s="1" t="s">
        <v>1888</v>
      </c>
      <c r="H22" s="1" t="s">
        <v>1889</v>
      </c>
      <c r="I22" s="61">
        <v>45135</v>
      </c>
    </row>
    <row r="23" spans="1:9">
      <c r="A23" s="15" t="s">
        <v>1892</v>
      </c>
      <c r="B23" s="61">
        <v>45160</v>
      </c>
      <c r="C23" s="6" t="s">
        <v>319</v>
      </c>
      <c r="D23" s="1" t="s">
        <v>716</v>
      </c>
      <c r="E23" s="21">
        <v>25.844999999999999</v>
      </c>
      <c r="F23" s="24" t="s">
        <v>1893</v>
      </c>
      <c r="G23" s="1" t="s">
        <v>1894</v>
      </c>
      <c r="H23" s="1" t="s">
        <v>1895</v>
      </c>
      <c r="I23" s="61">
        <v>45135</v>
      </c>
    </row>
    <row r="24" spans="1:9">
      <c r="A24" s="15" t="s">
        <v>1892</v>
      </c>
      <c r="B24" s="61">
        <v>45160</v>
      </c>
      <c r="C24" s="6" t="s">
        <v>260</v>
      </c>
      <c r="D24" s="1" t="s">
        <v>716</v>
      </c>
      <c r="E24" s="21">
        <f>3.987+0.477</f>
        <v>4.4640000000000004</v>
      </c>
      <c r="F24" s="24" t="s">
        <v>1893</v>
      </c>
      <c r="G24" s="1" t="s">
        <v>1894</v>
      </c>
      <c r="H24" s="1" t="s">
        <v>1895</v>
      </c>
      <c r="I24" s="61">
        <v>45135</v>
      </c>
    </row>
    <row r="25" spans="1:9">
      <c r="A25" s="15" t="s">
        <v>1896</v>
      </c>
      <c r="B25" s="61">
        <v>45160</v>
      </c>
      <c r="C25" s="6" t="s">
        <v>319</v>
      </c>
      <c r="D25" s="1" t="s">
        <v>716</v>
      </c>
      <c r="E25" s="21">
        <v>2.3490000000000002</v>
      </c>
      <c r="F25" s="24" t="s">
        <v>1893</v>
      </c>
      <c r="G25" s="1" t="s">
        <v>1897</v>
      </c>
      <c r="H25" s="1" t="s">
        <v>1889</v>
      </c>
      <c r="I25" s="61">
        <v>45135</v>
      </c>
    </row>
    <row r="26" spans="1:9">
      <c r="A26" s="15" t="s">
        <v>1898</v>
      </c>
      <c r="B26" s="61">
        <v>45160</v>
      </c>
      <c r="C26" s="6" t="s">
        <v>195</v>
      </c>
      <c r="D26" s="1" t="s">
        <v>716</v>
      </c>
      <c r="E26" s="21">
        <v>27.75</v>
      </c>
      <c r="F26" s="24" t="s">
        <v>1899</v>
      </c>
      <c r="G26" s="1" t="s">
        <v>1900</v>
      </c>
      <c r="H26" s="1" t="s">
        <v>1895</v>
      </c>
      <c r="I26" s="61">
        <v>45135</v>
      </c>
    </row>
    <row r="27" spans="1:9">
      <c r="A27" s="15" t="s">
        <v>1901</v>
      </c>
      <c r="B27" s="61">
        <v>45160</v>
      </c>
      <c r="C27" s="6" t="s">
        <v>195</v>
      </c>
      <c r="D27" s="1" t="s">
        <v>716</v>
      </c>
      <c r="E27" s="21">
        <v>1.6040000000000001</v>
      </c>
      <c r="F27" s="24" t="s">
        <v>1899</v>
      </c>
      <c r="G27" s="1" t="s">
        <v>1900</v>
      </c>
      <c r="H27" s="1" t="s">
        <v>1889</v>
      </c>
      <c r="I27" s="61">
        <v>45135</v>
      </c>
    </row>
    <row r="28" spans="1:9">
      <c r="A28" s="15"/>
      <c r="B28" s="61"/>
      <c r="C28" s="6"/>
      <c r="D28" s="1"/>
      <c r="E28" s="58">
        <f>SUM(E21:E27)</f>
        <v>94.384999999999991</v>
      </c>
      <c r="F28" s="24"/>
      <c r="G28" s="1"/>
      <c r="H28" s="1"/>
      <c r="I28" s="61"/>
    </row>
    <row r="29" spans="1:9">
      <c r="A29" s="15" t="s">
        <v>1906</v>
      </c>
      <c r="B29" s="61">
        <v>45161</v>
      </c>
      <c r="C29" s="6" t="s">
        <v>311</v>
      </c>
      <c r="D29" s="1" t="s">
        <v>716</v>
      </c>
      <c r="E29" s="21">
        <f>5.87+22.651+0.115</f>
        <v>28.635999999999999</v>
      </c>
      <c r="F29" s="24" t="s">
        <v>554</v>
      </c>
      <c r="G29" s="1" t="s">
        <v>1907</v>
      </c>
      <c r="H29" s="1" t="s">
        <v>1895</v>
      </c>
      <c r="I29" s="61">
        <v>45135</v>
      </c>
    </row>
    <row r="30" spans="1:9">
      <c r="A30" s="15" t="s">
        <v>1908</v>
      </c>
      <c r="B30" s="61">
        <v>45161</v>
      </c>
      <c r="C30" s="6" t="s">
        <v>311</v>
      </c>
      <c r="D30" s="1" t="s">
        <v>716</v>
      </c>
      <c r="E30" s="21">
        <v>4.5129999999999999</v>
      </c>
      <c r="F30" s="24" t="s">
        <v>554</v>
      </c>
      <c r="G30" s="1" t="s">
        <v>1909</v>
      </c>
      <c r="H30" s="1" t="s">
        <v>1889</v>
      </c>
      <c r="I30" s="61">
        <v>45135</v>
      </c>
    </row>
    <row r="31" spans="1:9">
      <c r="A31" s="15" t="s">
        <v>1910</v>
      </c>
      <c r="B31" s="61">
        <v>45161</v>
      </c>
      <c r="C31" s="6" t="s">
        <v>319</v>
      </c>
      <c r="D31" s="1" t="s">
        <v>716</v>
      </c>
      <c r="E31" s="21">
        <v>16.718</v>
      </c>
      <c r="F31" s="24" t="s">
        <v>1911</v>
      </c>
      <c r="G31" s="1" t="s">
        <v>1912</v>
      </c>
      <c r="H31" s="1" t="s">
        <v>1895</v>
      </c>
      <c r="I31" s="61">
        <v>45135</v>
      </c>
    </row>
    <row r="32" spans="1:9">
      <c r="A32" s="15" t="s">
        <v>1913</v>
      </c>
      <c r="B32" s="61">
        <v>45161</v>
      </c>
      <c r="C32" s="6" t="s">
        <v>319</v>
      </c>
      <c r="D32" s="1" t="s">
        <v>716</v>
      </c>
      <c r="E32" s="21">
        <f>8.122+1.338</f>
        <v>9.4600000000000009</v>
      </c>
      <c r="F32" s="24" t="s">
        <v>1911</v>
      </c>
      <c r="G32" s="1" t="s">
        <v>1914</v>
      </c>
      <c r="H32" s="1" t="s">
        <v>1889</v>
      </c>
      <c r="I32" s="61">
        <v>45135</v>
      </c>
    </row>
    <row r="33" spans="1:9">
      <c r="A33" s="15" t="s">
        <v>1913</v>
      </c>
      <c r="B33" s="61">
        <v>45161</v>
      </c>
      <c r="C33" s="6" t="s">
        <v>260</v>
      </c>
      <c r="D33" s="1" t="s">
        <v>716</v>
      </c>
      <c r="E33" s="21">
        <f>0.791+5.634</f>
        <v>6.4250000000000007</v>
      </c>
      <c r="F33" s="24" t="s">
        <v>1911</v>
      </c>
      <c r="G33" s="1" t="s">
        <v>1914</v>
      </c>
      <c r="H33" s="1" t="s">
        <v>1889</v>
      </c>
      <c r="I33" s="61">
        <v>45135</v>
      </c>
    </row>
    <row r="34" spans="1:9">
      <c r="A34" s="15" t="s">
        <v>1917</v>
      </c>
      <c r="B34" s="61">
        <v>45161</v>
      </c>
      <c r="C34" s="6" t="s">
        <v>195</v>
      </c>
      <c r="D34" s="1" t="s">
        <v>716</v>
      </c>
      <c r="E34" s="21">
        <v>8.7319999999999993</v>
      </c>
      <c r="F34" s="24" t="s">
        <v>1918</v>
      </c>
      <c r="G34" s="1" t="s">
        <v>1919</v>
      </c>
      <c r="H34" s="1" t="s">
        <v>1889</v>
      </c>
      <c r="I34" s="61">
        <v>45135</v>
      </c>
    </row>
    <row r="35" spans="1:9">
      <c r="A35" s="15" t="s">
        <v>1920</v>
      </c>
      <c r="B35" s="61">
        <v>45161</v>
      </c>
      <c r="C35" s="6" t="s">
        <v>195</v>
      </c>
      <c r="D35" s="1" t="s">
        <v>716</v>
      </c>
      <c r="E35" s="21">
        <v>9.9969999999999999</v>
      </c>
      <c r="F35" s="24" t="s">
        <v>1918</v>
      </c>
      <c r="G35" s="1" t="s">
        <v>1919</v>
      </c>
      <c r="H35" s="1" t="s">
        <v>1895</v>
      </c>
      <c r="I35" s="61">
        <v>45135</v>
      </c>
    </row>
    <row r="36" spans="1:9">
      <c r="A36" s="15" t="s">
        <v>1920</v>
      </c>
      <c r="B36" s="61">
        <v>45161</v>
      </c>
      <c r="C36" s="6" t="s">
        <v>254</v>
      </c>
      <c r="D36" s="1" t="s">
        <v>716</v>
      </c>
      <c r="E36" s="21">
        <v>5.0819999999999999</v>
      </c>
      <c r="F36" s="24" t="s">
        <v>1918</v>
      </c>
      <c r="G36" s="1" t="s">
        <v>1919</v>
      </c>
      <c r="H36" s="1" t="s">
        <v>1895</v>
      </c>
      <c r="I36" s="61">
        <v>45135</v>
      </c>
    </row>
    <row r="37" spans="1:9">
      <c r="A37" s="15" t="s">
        <v>1921</v>
      </c>
      <c r="B37" s="61">
        <v>45161</v>
      </c>
      <c r="C37" s="6" t="s">
        <v>196</v>
      </c>
      <c r="D37" s="1" t="s">
        <v>716</v>
      </c>
      <c r="E37" s="21">
        <v>4.7640000000000002</v>
      </c>
      <c r="F37" s="24" t="s">
        <v>1918</v>
      </c>
      <c r="G37" s="1" t="s">
        <v>1919</v>
      </c>
      <c r="H37" s="1" t="s">
        <v>1922</v>
      </c>
      <c r="I37" s="61">
        <v>45135</v>
      </c>
    </row>
    <row r="38" spans="1:9">
      <c r="A38" s="15" t="s">
        <v>1923</v>
      </c>
      <c r="B38" s="61">
        <v>45161</v>
      </c>
      <c r="C38" s="6" t="s">
        <v>196</v>
      </c>
      <c r="D38" s="1" t="s">
        <v>716</v>
      </c>
      <c r="E38" s="21">
        <f>3.861+0.83</f>
        <v>4.6909999999999998</v>
      </c>
      <c r="F38" s="24" t="s">
        <v>1918</v>
      </c>
      <c r="G38" s="1" t="s">
        <v>1924</v>
      </c>
      <c r="H38" s="1" t="s">
        <v>1887</v>
      </c>
      <c r="I38" s="61">
        <v>45135</v>
      </c>
    </row>
    <row r="39" spans="1:9">
      <c r="A39" s="15" t="s">
        <v>1925</v>
      </c>
      <c r="B39" s="61">
        <v>45161</v>
      </c>
      <c r="C39" s="6" t="s">
        <v>282</v>
      </c>
      <c r="D39" s="1" t="s">
        <v>716</v>
      </c>
      <c r="E39" s="21">
        <v>11.249000000000001</v>
      </c>
      <c r="F39" s="24" t="s">
        <v>1560</v>
      </c>
      <c r="G39" s="1" t="s">
        <v>1926</v>
      </c>
      <c r="H39" s="1" t="s">
        <v>1895</v>
      </c>
      <c r="I39" s="61">
        <v>45135</v>
      </c>
    </row>
    <row r="40" spans="1:9">
      <c r="A40" s="15" t="s">
        <v>1925</v>
      </c>
      <c r="B40" s="61">
        <v>45161</v>
      </c>
      <c r="C40" s="6" t="s">
        <v>311</v>
      </c>
      <c r="D40" s="1" t="s">
        <v>716</v>
      </c>
      <c r="E40" s="21">
        <v>13.015000000000001</v>
      </c>
      <c r="F40" s="24" t="s">
        <v>1560</v>
      </c>
      <c r="G40" s="1" t="s">
        <v>1926</v>
      </c>
      <c r="H40" s="1" t="s">
        <v>1895</v>
      </c>
      <c r="I40" s="61">
        <v>45135</v>
      </c>
    </row>
    <row r="41" spans="1:9">
      <c r="A41" s="15" t="s">
        <v>1927</v>
      </c>
      <c r="B41" s="61">
        <v>45161</v>
      </c>
      <c r="C41" s="6" t="s">
        <v>282</v>
      </c>
      <c r="D41" s="1" t="s">
        <v>716</v>
      </c>
      <c r="E41" s="21">
        <v>0.85799999999999998</v>
      </c>
      <c r="F41" s="24" t="s">
        <v>1560</v>
      </c>
      <c r="G41" s="1" t="s">
        <v>1926</v>
      </c>
      <c r="H41" s="1" t="s">
        <v>1889</v>
      </c>
      <c r="I41" s="61">
        <v>45135</v>
      </c>
    </row>
    <row r="42" spans="1:9">
      <c r="A42" s="15" t="s">
        <v>1927</v>
      </c>
      <c r="B42" s="61">
        <v>45161</v>
      </c>
      <c r="C42" s="6" t="s">
        <v>311</v>
      </c>
      <c r="D42" s="1" t="s">
        <v>716</v>
      </c>
      <c r="E42" s="21">
        <v>2.452</v>
      </c>
      <c r="F42" s="24" t="s">
        <v>1560</v>
      </c>
      <c r="G42" s="1" t="s">
        <v>1926</v>
      </c>
      <c r="H42" s="1" t="s">
        <v>1889</v>
      </c>
      <c r="I42" s="61">
        <v>45135</v>
      </c>
    </row>
    <row r="43" spans="1:9">
      <c r="A43" s="15"/>
      <c r="B43" s="61"/>
      <c r="C43" s="6"/>
      <c r="D43" s="1"/>
      <c r="E43" s="58">
        <f>SUM(E29:E42)</f>
        <v>126.592</v>
      </c>
      <c r="F43" s="24"/>
      <c r="G43" s="1"/>
      <c r="H43" s="1"/>
      <c r="I43" s="61"/>
    </row>
    <row r="44" spans="1:9">
      <c r="A44" s="15" t="s">
        <v>1956</v>
      </c>
      <c r="B44" s="61">
        <v>45162</v>
      </c>
      <c r="C44" s="6" t="s">
        <v>311</v>
      </c>
      <c r="D44" s="1" t="s">
        <v>716</v>
      </c>
      <c r="E44" s="32">
        <v>0.56000000000000005</v>
      </c>
      <c r="F44" s="24" t="s">
        <v>1957</v>
      </c>
      <c r="G44" s="1" t="s">
        <v>1958</v>
      </c>
      <c r="H44" s="1" t="s">
        <v>1895</v>
      </c>
      <c r="I44" s="61">
        <v>45135</v>
      </c>
    </row>
    <row r="45" spans="1:9">
      <c r="A45" s="15" t="s">
        <v>1956</v>
      </c>
      <c r="B45" s="61">
        <v>45162</v>
      </c>
      <c r="C45" s="6" t="s">
        <v>260</v>
      </c>
      <c r="D45" s="1" t="s">
        <v>716</v>
      </c>
      <c r="E45" s="32">
        <v>3.859</v>
      </c>
      <c r="F45" s="24" t="s">
        <v>1957</v>
      </c>
      <c r="G45" s="1" t="s">
        <v>1958</v>
      </c>
      <c r="H45" s="1" t="s">
        <v>1895</v>
      </c>
      <c r="I45" s="61">
        <v>45135</v>
      </c>
    </row>
    <row r="46" spans="1:9">
      <c r="A46" s="15" t="s">
        <v>1956</v>
      </c>
      <c r="B46" s="61">
        <v>45162</v>
      </c>
      <c r="C46" s="6" t="s">
        <v>205</v>
      </c>
      <c r="D46" s="1" t="s">
        <v>716</v>
      </c>
      <c r="E46" s="32">
        <f>1.641+2.064</f>
        <v>3.7050000000000001</v>
      </c>
      <c r="F46" s="24" t="s">
        <v>1957</v>
      </c>
      <c r="G46" s="1" t="s">
        <v>1958</v>
      </c>
      <c r="H46" s="1" t="s">
        <v>1895</v>
      </c>
      <c r="I46" s="61">
        <v>45135</v>
      </c>
    </row>
    <row r="47" spans="1:9">
      <c r="A47" s="15" t="s">
        <v>1956</v>
      </c>
      <c r="B47" s="61">
        <v>45162</v>
      </c>
      <c r="C47" s="6" t="s">
        <v>195</v>
      </c>
      <c r="D47" s="1" t="s">
        <v>716</v>
      </c>
      <c r="E47" s="21">
        <v>4.726</v>
      </c>
      <c r="F47" s="24" t="s">
        <v>1957</v>
      </c>
      <c r="G47" s="1" t="s">
        <v>1958</v>
      </c>
      <c r="H47" s="1" t="s">
        <v>1895</v>
      </c>
      <c r="I47" s="61">
        <v>45135</v>
      </c>
    </row>
    <row r="48" spans="1:9">
      <c r="A48" s="15" t="s">
        <v>1959</v>
      </c>
      <c r="B48" s="61">
        <v>45162</v>
      </c>
      <c r="C48" s="6" t="s">
        <v>311</v>
      </c>
      <c r="D48" s="1" t="s">
        <v>716</v>
      </c>
      <c r="E48" s="21">
        <v>0.38200000000000001</v>
      </c>
      <c r="F48" s="24" t="s">
        <v>1957</v>
      </c>
      <c r="G48" s="1" t="s">
        <v>1960</v>
      </c>
      <c r="H48" s="1" t="s">
        <v>1889</v>
      </c>
      <c r="I48" s="61">
        <v>45135</v>
      </c>
    </row>
    <row r="49" spans="1:10">
      <c r="A49" s="15" t="s">
        <v>1959</v>
      </c>
      <c r="B49" s="61">
        <v>45162</v>
      </c>
      <c r="C49" s="6" t="s">
        <v>260</v>
      </c>
      <c r="D49" s="1" t="s">
        <v>716</v>
      </c>
      <c r="E49" s="21">
        <v>4.8330000000000002</v>
      </c>
      <c r="F49" s="24" t="s">
        <v>1957</v>
      </c>
      <c r="G49" s="1" t="s">
        <v>1960</v>
      </c>
      <c r="H49" s="1" t="s">
        <v>1889</v>
      </c>
      <c r="I49" s="61">
        <v>45135</v>
      </c>
    </row>
    <row r="50" spans="1:10">
      <c r="A50" s="15" t="s">
        <v>1959</v>
      </c>
      <c r="B50" s="61">
        <v>45162</v>
      </c>
      <c r="C50" s="6" t="s">
        <v>319</v>
      </c>
      <c r="D50" s="1" t="s">
        <v>716</v>
      </c>
      <c r="E50" s="21">
        <v>0.92900000000000005</v>
      </c>
      <c r="F50" s="24" t="s">
        <v>1957</v>
      </c>
      <c r="G50" s="1" t="s">
        <v>1960</v>
      </c>
      <c r="H50" s="1" t="s">
        <v>1889</v>
      </c>
      <c r="I50" s="61">
        <v>45135</v>
      </c>
    </row>
    <row r="51" spans="1:10">
      <c r="A51" s="1"/>
      <c r="B51" s="16"/>
      <c r="C51" s="6"/>
      <c r="D51" s="1"/>
      <c r="E51" s="41">
        <f>SUM(E44:E50)</f>
        <v>18.994</v>
      </c>
      <c r="F51" s="24"/>
      <c r="G51" s="1"/>
      <c r="H51" s="1"/>
      <c r="I51" s="3"/>
    </row>
    <row r="52" spans="1:10">
      <c r="A52" s="1"/>
      <c r="B52" s="16"/>
      <c r="C52" s="6"/>
      <c r="D52" s="1"/>
      <c r="E52" s="41"/>
      <c r="F52" s="24"/>
      <c r="G52" s="1"/>
      <c r="H52" s="1"/>
      <c r="I52" s="3"/>
      <c r="J52" s="99"/>
    </row>
    <row r="53" spans="1:10">
      <c r="A53" s="1"/>
      <c r="B53" s="3"/>
      <c r="C53" s="1"/>
      <c r="D53" s="1"/>
      <c r="E53" s="2"/>
      <c r="F53" s="24"/>
      <c r="G53" s="1"/>
      <c r="H53" s="1"/>
      <c r="I53" s="3"/>
    </row>
    <row r="54" spans="1:10">
      <c r="A54" s="1"/>
      <c r="B54" s="3"/>
      <c r="C54" s="1"/>
      <c r="D54" s="2" t="s">
        <v>1806</v>
      </c>
      <c r="E54" s="20">
        <f>SUM(E2:E53)/2</f>
        <v>305.70499999999998</v>
      </c>
      <c r="F54" s="24"/>
      <c r="G54" s="98"/>
      <c r="H54" s="1"/>
      <c r="I54" s="3"/>
    </row>
    <row r="55" spans="1:10">
      <c r="A55" s="1"/>
      <c r="B55" s="3"/>
      <c r="C55" s="1"/>
      <c r="D55" s="1"/>
      <c r="E55" s="54"/>
      <c r="F55" s="24"/>
      <c r="G55" s="1"/>
      <c r="H55" s="1"/>
      <c r="I55" s="3"/>
    </row>
    <row r="56" spans="1:10">
      <c r="A56" s="1"/>
      <c r="B56" s="3"/>
      <c r="C56" s="1"/>
      <c r="D56" s="2"/>
      <c r="E56" s="20"/>
      <c r="F56" s="24"/>
      <c r="G56" s="1"/>
      <c r="H56" s="1"/>
      <c r="I56" s="3"/>
    </row>
    <row r="57" spans="1:10">
      <c r="A57" s="1"/>
      <c r="B57" s="3"/>
      <c r="C57" s="1"/>
      <c r="D57" s="1"/>
      <c r="E57" s="55"/>
      <c r="F57" s="24"/>
      <c r="G57" s="1"/>
      <c r="H57" s="1"/>
      <c r="I57" s="3"/>
    </row>
    <row r="58" spans="1:10">
      <c r="A58" s="1"/>
      <c r="B58" s="3"/>
      <c r="C58" s="1"/>
      <c r="D58" s="2"/>
      <c r="E58" s="20">
        <f>+E56+E54</f>
        <v>305.70499999999998</v>
      </c>
      <c r="F58" s="24"/>
      <c r="G58" s="1"/>
      <c r="H58" s="1"/>
      <c r="I58" s="3"/>
    </row>
    <row r="59" spans="1:10">
      <c r="A59" s="1"/>
      <c r="B59" s="3"/>
      <c r="C59" s="1"/>
      <c r="D59" s="1"/>
      <c r="E59" s="2"/>
      <c r="F59" s="24"/>
      <c r="G59" s="1"/>
      <c r="H59" s="1"/>
      <c r="I59" s="3"/>
    </row>
    <row r="60" spans="1:10">
      <c r="A60" s="1"/>
      <c r="B60" s="1"/>
      <c r="C60" s="1"/>
      <c r="D60" s="1"/>
      <c r="E60" s="2"/>
      <c r="F60" s="24"/>
      <c r="G60" s="1"/>
      <c r="H60" s="1"/>
      <c r="I60" s="1"/>
    </row>
    <row r="65" spans="1:11" s="31" customFormat="1">
      <c r="A65"/>
      <c r="B65"/>
      <c r="C65"/>
      <c r="D65"/>
      <c r="E65" s="23"/>
      <c r="G65"/>
      <c r="H65"/>
      <c r="I65"/>
      <c r="J65"/>
      <c r="K65"/>
    </row>
    <row r="66" spans="1:11" s="31" customFormat="1">
      <c r="A66"/>
      <c r="B66"/>
      <c r="C66"/>
      <c r="D66"/>
      <c r="E66"/>
      <c r="G66"/>
      <c r="H66"/>
      <c r="I66"/>
      <c r="J66"/>
      <c r="K66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7"/>
  <sheetViews>
    <sheetView topLeftCell="A30" workbookViewId="0">
      <selection activeCell="E47" sqref="E47"/>
    </sheetView>
  </sheetViews>
  <sheetFormatPr defaultRowHeight="15"/>
  <cols>
    <col min="1" max="1" width="17.28515625" customWidth="1"/>
    <col min="2" max="2" width="10.7109375" bestFit="1" customWidth="1"/>
    <col min="3" max="3" width="26.5703125" bestFit="1" customWidth="1"/>
    <col min="4" max="4" width="37.28515625" bestFit="1" customWidth="1"/>
    <col min="5" max="5" width="15" bestFit="1" customWidth="1"/>
    <col min="6" max="6" width="15" customWidth="1"/>
    <col min="7" max="7" width="8.5703125" bestFit="1" customWidth="1"/>
    <col min="8" max="8" width="10.7109375" bestFit="1" customWidth="1"/>
    <col min="9" max="9" width="23.5703125" customWidth="1"/>
  </cols>
  <sheetData>
    <row r="1" spans="1:9">
      <c r="A1" s="1" t="s">
        <v>5</v>
      </c>
      <c r="B1" s="1" t="s">
        <v>6</v>
      </c>
      <c r="C1" s="1" t="s">
        <v>7</v>
      </c>
      <c r="D1" s="1" t="s">
        <v>0</v>
      </c>
      <c r="E1" s="1" t="s">
        <v>873</v>
      </c>
      <c r="F1" s="1" t="s">
        <v>2</v>
      </c>
      <c r="G1" s="1" t="s">
        <v>4</v>
      </c>
      <c r="H1" s="1" t="s">
        <v>874</v>
      </c>
      <c r="I1" s="5" t="s">
        <v>10</v>
      </c>
    </row>
    <row r="2" spans="1:9">
      <c r="A2" s="1" t="s">
        <v>1559</v>
      </c>
      <c r="B2" s="3">
        <v>45143</v>
      </c>
      <c r="C2" s="6" t="s">
        <v>969</v>
      </c>
      <c r="D2" s="9" t="s">
        <v>875</v>
      </c>
      <c r="E2" s="6">
        <v>14.256</v>
      </c>
      <c r="F2" s="6" t="s">
        <v>1560</v>
      </c>
      <c r="G2" s="6" t="s">
        <v>1241</v>
      </c>
      <c r="H2" s="10">
        <v>45111</v>
      </c>
      <c r="I2" s="9">
        <v>51520</v>
      </c>
    </row>
    <row r="3" spans="1:9">
      <c r="A3" s="1" t="s">
        <v>1559</v>
      </c>
      <c r="B3" s="3">
        <v>45143</v>
      </c>
      <c r="C3" s="6" t="s">
        <v>224</v>
      </c>
      <c r="D3" s="9" t="s">
        <v>875</v>
      </c>
      <c r="E3" s="6">
        <v>4.0839999999999996</v>
      </c>
      <c r="F3" s="6" t="s">
        <v>1560</v>
      </c>
      <c r="G3" s="6" t="s">
        <v>1241</v>
      </c>
      <c r="H3" s="10">
        <v>45111</v>
      </c>
      <c r="I3" s="9">
        <v>51520</v>
      </c>
    </row>
    <row r="4" spans="1:9">
      <c r="A4" s="1" t="s">
        <v>1561</v>
      </c>
      <c r="B4" s="3">
        <v>45143</v>
      </c>
      <c r="C4" s="6" t="s">
        <v>377</v>
      </c>
      <c r="D4" s="9" t="s">
        <v>875</v>
      </c>
      <c r="E4" s="6">
        <v>3.77</v>
      </c>
      <c r="F4" s="6" t="s">
        <v>1560</v>
      </c>
      <c r="G4" s="6" t="s">
        <v>1267</v>
      </c>
      <c r="H4" s="10">
        <v>45111</v>
      </c>
      <c r="I4" s="9">
        <v>51520</v>
      </c>
    </row>
    <row r="5" spans="1:9">
      <c r="A5" s="1"/>
      <c r="B5" s="3"/>
      <c r="C5" s="6"/>
      <c r="D5" s="9"/>
      <c r="E5" s="11">
        <f>SUM(E2:E4)</f>
        <v>22.11</v>
      </c>
      <c r="F5" s="6"/>
      <c r="G5" s="6"/>
      <c r="H5" s="10"/>
      <c r="I5" s="9"/>
    </row>
    <row r="6" spans="1:9">
      <c r="A6" s="1" t="s">
        <v>1582</v>
      </c>
      <c r="B6" s="3">
        <v>45144</v>
      </c>
      <c r="C6" s="6" t="s">
        <v>969</v>
      </c>
      <c r="D6" s="9" t="s">
        <v>875</v>
      </c>
      <c r="E6" s="6">
        <v>16.033000000000001</v>
      </c>
      <c r="F6" s="6" t="s">
        <v>973</v>
      </c>
      <c r="G6" s="6" t="s">
        <v>1241</v>
      </c>
      <c r="H6" s="10">
        <v>45111</v>
      </c>
      <c r="I6" s="9">
        <v>51520</v>
      </c>
    </row>
    <row r="7" spans="1:9">
      <c r="A7" s="1" t="s">
        <v>1582</v>
      </c>
      <c r="B7" s="3">
        <v>45144</v>
      </c>
      <c r="C7" s="6" t="s">
        <v>224</v>
      </c>
      <c r="D7" s="9" t="s">
        <v>875</v>
      </c>
      <c r="E7" s="6">
        <v>7.09</v>
      </c>
      <c r="F7" s="6" t="s">
        <v>973</v>
      </c>
      <c r="G7" s="6" t="s">
        <v>1241</v>
      </c>
      <c r="H7" s="10">
        <v>45111</v>
      </c>
      <c r="I7" s="9">
        <v>51520</v>
      </c>
    </row>
    <row r="8" spans="1:9">
      <c r="A8" s="1" t="s">
        <v>1582</v>
      </c>
      <c r="B8" s="3">
        <v>45144</v>
      </c>
      <c r="C8" s="6" t="s">
        <v>377</v>
      </c>
      <c r="D8" s="9" t="s">
        <v>875</v>
      </c>
      <c r="E8" s="6">
        <v>2.0430000000000001</v>
      </c>
      <c r="F8" s="6" t="s">
        <v>973</v>
      </c>
      <c r="G8" s="6" t="s">
        <v>1241</v>
      </c>
      <c r="H8" s="10">
        <v>45111</v>
      </c>
      <c r="I8" s="9">
        <v>51520</v>
      </c>
    </row>
    <row r="9" spans="1:9">
      <c r="A9" s="1" t="s">
        <v>1583</v>
      </c>
      <c r="B9" s="3">
        <v>45144</v>
      </c>
      <c r="C9" s="6" t="s">
        <v>365</v>
      </c>
      <c r="D9" s="9" t="s">
        <v>875</v>
      </c>
      <c r="E9" s="6">
        <v>2.76</v>
      </c>
      <c r="F9" s="6" t="s">
        <v>973</v>
      </c>
      <c r="G9" s="6" t="s">
        <v>1310</v>
      </c>
      <c r="H9" s="10">
        <v>45111</v>
      </c>
      <c r="I9" s="9">
        <v>51520</v>
      </c>
    </row>
    <row r="10" spans="1:9">
      <c r="A10" s="1" t="s">
        <v>1583</v>
      </c>
      <c r="B10" s="3">
        <v>45144</v>
      </c>
      <c r="C10" s="6" t="s">
        <v>343</v>
      </c>
      <c r="D10" s="9" t="s">
        <v>875</v>
      </c>
      <c r="E10" s="6">
        <v>3.8140000000000001</v>
      </c>
      <c r="F10" s="6" t="s">
        <v>973</v>
      </c>
      <c r="G10" s="6" t="s">
        <v>1310</v>
      </c>
      <c r="H10" s="10">
        <v>45111</v>
      </c>
      <c r="I10" s="9">
        <v>51520</v>
      </c>
    </row>
    <row r="11" spans="1:9">
      <c r="A11" s="1" t="s">
        <v>1584</v>
      </c>
      <c r="B11" s="3">
        <v>45144</v>
      </c>
      <c r="C11" s="6" t="s">
        <v>1585</v>
      </c>
      <c r="D11" s="9" t="s">
        <v>875</v>
      </c>
      <c r="E11" s="6">
        <v>0.61199999999999999</v>
      </c>
      <c r="F11" s="6" t="s">
        <v>973</v>
      </c>
      <c r="G11" s="6" t="s">
        <v>1289</v>
      </c>
      <c r="H11" s="10">
        <v>45111</v>
      </c>
      <c r="I11" s="9">
        <v>36670</v>
      </c>
    </row>
    <row r="12" spans="1:9">
      <c r="A12" s="1" t="s">
        <v>1587</v>
      </c>
      <c r="B12" s="3">
        <v>45144</v>
      </c>
      <c r="C12" s="6" t="s">
        <v>1585</v>
      </c>
      <c r="D12" s="9" t="s">
        <v>875</v>
      </c>
      <c r="E12" s="6">
        <v>0.61199999999999999</v>
      </c>
      <c r="F12" s="6" t="s">
        <v>973</v>
      </c>
      <c r="G12" s="6" t="s">
        <v>1586</v>
      </c>
      <c r="H12" s="10">
        <v>45111</v>
      </c>
      <c r="I12" s="9">
        <v>36670</v>
      </c>
    </row>
    <row r="13" spans="1:9">
      <c r="A13" s="1"/>
      <c r="B13" s="3"/>
      <c r="C13" s="1"/>
      <c r="D13" s="9"/>
      <c r="E13" s="11">
        <f>SUM(E6:E12)</f>
        <v>32.964000000000006</v>
      </c>
      <c r="F13" s="6"/>
      <c r="G13" s="6"/>
      <c r="H13" s="10"/>
      <c r="I13" s="9"/>
    </row>
    <row r="14" spans="1:9">
      <c r="A14" s="1" t="s">
        <v>1608</v>
      </c>
      <c r="B14" s="3">
        <v>45145</v>
      </c>
      <c r="C14" s="6" t="s">
        <v>263</v>
      </c>
      <c r="D14" s="9" t="s">
        <v>875</v>
      </c>
      <c r="E14" s="4">
        <v>1.125</v>
      </c>
      <c r="F14" s="1" t="s">
        <v>1609</v>
      </c>
      <c r="G14" s="6" t="s">
        <v>1267</v>
      </c>
      <c r="H14" s="10">
        <v>45111</v>
      </c>
      <c r="I14" s="24">
        <v>50920</v>
      </c>
    </row>
    <row r="15" spans="1:9">
      <c r="A15" s="1" t="s">
        <v>1610</v>
      </c>
      <c r="B15" s="3">
        <v>45145</v>
      </c>
      <c r="C15" s="6" t="s">
        <v>283</v>
      </c>
      <c r="D15" s="9" t="s">
        <v>875</v>
      </c>
      <c r="E15" s="4">
        <v>4.2229999999999999</v>
      </c>
      <c r="F15" s="1" t="s">
        <v>1609</v>
      </c>
      <c r="G15" s="6" t="s">
        <v>1586</v>
      </c>
      <c r="H15" s="10">
        <v>45111</v>
      </c>
      <c r="I15" s="24">
        <v>50920</v>
      </c>
    </row>
    <row r="16" spans="1:9">
      <c r="A16" s="1" t="s">
        <v>1610</v>
      </c>
      <c r="B16" s="3">
        <v>45145</v>
      </c>
      <c r="C16" s="6" t="s">
        <v>200</v>
      </c>
      <c r="D16" s="9" t="s">
        <v>875</v>
      </c>
      <c r="E16" s="4">
        <v>2.8330000000000002</v>
      </c>
      <c r="F16" s="1" t="s">
        <v>1609</v>
      </c>
      <c r="G16" s="6" t="s">
        <v>1586</v>
      </c>
      <c r="H16" s="10">
        <v>45111</v>
      </c>
      <c r="I16" s="24">
        <v>50920</v>
      </c>
    </row>
    <row r="17" spans="1:9">
      <c r="A17" s="1" t="s">
        <v>1610</v>
      </c>
      <c r="B17" s="3">
        <v>45145</v>
      </c>
      <c r="C17" s="6" t="s">
        <v>255</v>
      </c>
      <c r="D17" s="9" t="s">
        <v>875</v>
      </c>
      <c r="E17" s="4">
        <v>0.29199999999999998</v>
      </c>
      <c r="F17" s="1" t="s">
        <v>1609</v>
      </c>
      <c r="G17" s="6" t="s">
        <v>1586</v>
      </c>
      <c r="H17" s="10">
        <v>45111</v>
      </c>
      <c r="I17" s="24">
        <v>50920</v>
      </c>
    </row>
    <row r="18" spans="1:9">
      <c r="A18" s="1" t="s">
        <v>1610</v>
      </c>
      <c r="B18" s="3">
        <v>45145</v>
      </c>
      <c r="C18" s="6" t="s">
        <v>234</v>
      </c>
      <c r="D18" s="9" t="s">
        <v>875</v>
      </c>
      <c r="E18" s="4">
        <v>0.73399999999999999</v>
      </c>
      <c r="F18" s="1" t="s">
        <v>1609</v>
      </c>
      <c r="G18" s="6" t="s">
        <v>1586</v>
      </c>
      <c r="H18" s="10">
        <v>45111</v>
      </c>
      <c r="I18" s="24">
        <v>51120</v>
      </c>
    </row>
    <row r="19" spans="1:9">
      <c r="A19" s="1" t="s">
        <v>1610</v>
      </c>
      <c r="B19" s="3">
        <v>45145</v>
      </c>
      <c r="C19" s="6" t="s">
        <v>231</v>
      </c>
      <c r="D19" s="9" t="s">
        <v>875</v>
      </c>
      <c r="E19" s="4">
        <v>1.133</v>
      </c>
      <c r="F19" s="1" t="s">
        <v>1609</v>
      </c>
      <c r="G19" s="6" t="s">
        <v>1586</v>
      </c>
      <c r="H19" s="10">
        <v>45111</v>
      </c>
      <c r="I19" s="24">
        <v>51120</v>
      </c>
    </row>
    <row r="20" spans="1:9">
      <c r="A20" s="1" t="s">
        <v>1610</v>
      </c>
      <c r="B20" s="3">
        <v>45145</v>
      </c>
      <c r="C20" s="6" t="s">
        <v>208</v>
      </c>
      <c r="D20" s="9" t="s">
        <v>875</v>
      </c>
      <c r="E20" s="4">
        <v>1.286</v>
      </c>
      <c r="F20" s="1" t="s">
        <v>1609</v>
      </c>
      <c r="G20" s="6" t="s">
        <v>1586</v>
      </c>
      <c r="H20" s="10">
        <v>45111</v>
      </c>
      <c r="I20" s="24">
        <v>51120</v>
      </c>
    </row>
    <row r="21" spans="1:9">
      <c r="A21" s="1"/>
      <c r="B21" s="3"/>
      <c r="C21" s="1"/>
      <c r="D21" s="9"/>
      <c r="E21" s="2">
        <f>SUM(E14:E20)</f>
        <v>11.625999999999999</v>
      </c>
      <c r="F21" s="1"/>
      <c r="G21" s="1"/>
      <c r="H21" s="1"/>
      <c r="I21" s="24"/>
    </row>
    <row r="22" spans="1:9">
      <c r="A22" s="1" t="s">
        <v>1654</v>
      </c>
      <c r="B22" s="3">
        <v>45147</v>
      </c>
      <c r="C22" s="6" t="s">
        <v>344</v>
      </c>
      <c r="D22" s="9" t="s">
        <v>875</v>
      </c>
      <c r="E22" s="4">
        <v>0.158</v>
      </c>
      <c r="F22" s="1" t="s">
        <v>554</v>
      </c>
      <c r="G22" s="1" t="s">
        <v>1267</v>
      </c>
      <c r="H22" s="10">
        <v>45111</v>
      </c>
      <c r="I22" s="24">
        <v>50920</v>
      </c>
    </row>
    <row r="23" spans="1:9">
      <c r="A23" s="1" t="s">
        <v>1655</v>
      </c>
      <c r="B23" s="3">
        <v>45147</v>
      </c>
      <c r="C23" s="6" t="s">
        <v>663</v>
      </c>
      <c r="D23" s="9" t="s">
        <v>875</v>
      </c>
      <c r="E23" s="4">
        <v>1.73</v>
      </c>
      <c r="F23" s="1" t="s">
        <v>554</v>
      </c>
      <c r="G23" s="1" t="s">
        <v>1656</v>
      </c>
      <c r="H23" s="10">
        <v>45147</v>
      </c>
      <c r="I23" s="24">
        <v>36220</v>
      </c>
    </row>
    <row r="24" spans="1:9">
      <c r="A24" s="1" t="s">
        <v>1657</v>
      </c>
      <c r="B24" s="3">
        <v>45147</v>
      </c>
      <c r="C24" s="6" t="s">
        <v>260</v>
      </c>
      <c r="D24" s="9" t="s">
        <v>875</v>
      </c>
      <c r="E24" s="4">
        <v>6.3330000000000002</v>
      </c>
      <c r="F24" s="1" t="s">
        <v>554</v>
      </c>
      <c r="G24" s="1" t="s">
        <v>1658</v>
      </c>
      <c r="H24" s="10">
        <v>45135</v>
      </c>
      <c r="I24" s="24">
        <v>51120</v>
      </c>
    </row>
    <row r="25" spans="1:9">
      <c r="A25" s="1" t="s">
        <v>1657</v>
      </c>
      <c r="B25" s="3">
        <v>45147</v>
      </c>
      <c r="C25" s="6" t="s">
        <v>282</v>
      </c>
      <c r="D25" s="9" t="s">
        <v>875</v>
      </c>
      <c r="E25" s="4">
        <v>4.7519999999999998</v>
      </c>
      <c r="F25" s="1" t="s">
        <v>554</v>
      </c>
      <c r="G25" s="1" t="s">
        <v>1658</v>
      </c>
      <c r="H25" s="10">
        <v>45135</v>
      </c>
      <c r="I25" s="24">
        <v>51120</v>
      </c>
    </row>
    <row r="26" spans="1:9">
      <c r="A26" s="1"/>
      <c r="B26" s="3"/>
      <c r="C26" s="1"/>
      <c r="D26" s="9"/>
      <c r="E26" s="2">
        <f>SUM(E22:E25)</f>
        <v>12.972999999999999</v>
      </c>
      <c r="F26" s="1"/>
      <c r="G26" s="1"/>
      <c r="H26" s="1"/>
      <c r="I26" s="24"/>
    </row>
    <row r="27" spans="1:9">
      <c r="A27" s="1" t="s">
        <v>1659</v>
      </c>
      <c r="B27" s="3">
        <v>45148</v>
      </c>
      <c r="C27" s="6" t="s">
        <v>940</v>
      </c>
      <c r="D27" s="9" t="s">
        <v>875</v>
      </c>
      <c r="E27" s="4">
        <v>27.056000000000001</v>
      </c>
      <c r="F27" s="1" t="s">
        <v>973</v>
      </c>
      <c r="G27" s="1" t="s">
        <v>1660</v>
      </c>
      <c r="H27" s="10">
        <v>45111</v>
      </c>
      <c r="I27" s="24">
        <v>36470</v>
      </c>
    </row>
    <row r="28" spans="1:9">
      <c r="A28" s="1" t="s">
        <v>1661</v>
      </c>
      <c r="B28" s="3">
        <v>45148</v>
      </c>
      <c r="C28" s="6" t="s">
        <v>260</v>
      </c>
      <c r="D28" s="9" t="s">
        <v>875</v>
      </c>
      <c r="E28" s="4">
        <v>4.2220000000000004</v>
      </c>
      <c r="F28" s="1" t="s">
        <v>973</v>
      </c>
      <c r="G28" s="1" t="s">
        <v>1658</v>
      </c>
      <c r="H28" s="10">
        <v>45135</v>
      </c>
      <c r="I28" s="24">
        <v>51120</v>
      </c>
    </row>
    <row r="29" spans="1:9">
      <c r="A29" s="1" t="s">
        <v>1661</v>
      </c>
      <c r="B29" s="3">
        <v>45148</v>
      </c>
      <c r="C29" s="6" t="s">
        <v>254</v>
      </c>
      <c r="D29" s="9" t="s">
        <v>875</v>
      </c>
      <c r="E29" s="4">
        <v>1.742</v>
      </c>
      <c r="F29" s="1" t="s">
        <v>973</v>
      </c>
      <c r="G29" s="1" t="s">
        <v>1658</v>
      </c>
      <c r="H29" s="10">
        <v>45135</v>
      </c>
      <c r="I29" s="24">
        <v>51120</v>
      </c>
    </row>
    <row r="30" spans="1:9">
      <c r="A30" s="1" t="s">
        <v>1662</v>
      </c>
      <c r="B30" s="3">
        <v>45148</v>
      </c>
      <c r="C30" s="6" t="s">
        <v>1663</v>
      </c>
      <c r="D30" s="9" t="s">
        <v>875</v>
      </c>
      <c r="E30" s="4">
        <v>5.5949999999999998</v>
      </c>
      <c r="F30" s="1" t="s">
        <v>551</v>
      </c>
      <c r="G30" s="1" t="s">
        <v>1664</v>
      </c>
      <c r="H30" s="10">
        <v>45111</v>
      </c>
      <c r="I30" s="24">
        <v>36470</v>
      </c>
    </row>
    <row r="31" spans="1:9">
      <c r="A31" s="1" t="s">
        <v>1662</v>
      </c>
      <c r="B31" s="3">
        <v>45148</v>
      </c>
      <c r="C31" s="6" t="s">
        <v>891</v>
      </c>
      <c r="D31" s="9" t="s">
        <v>875</v>
      </c>
      <c r="E31" s="4">
        <v>0.85599999999999998</v>
      </c>
      <c r="F31" s="1" t="s">
        <v>551</v>
      </c>
      <c r="G31" s="1" t="s">
        <v>1664</v>
      </c>
      <c r="H31" s="10">
        <v>45111</v>
      </c>
      <c r="I31" s="24">
        <v>36470</v>
      </c>
    </row>
    <row r="32" spans="1:9">
      <c r="A32" s="1" t="s">
        <v>1662</v>
      </c>
      <c r="B32" s="3">
        <v>45148</v>
      </c>
      <c r="C32" s="6" t="s">
        <v>1285</v>
      </c>
      <c r="D32" s="9" t="s">
        <v>875</v>
      </c>
      <c r="E32" s="4">
        <v>0.59699999999999998</v>
      </c>
      <c r="F32" s="1" t="s">
        <v>551</v>
      </c>
      <c r="G32" s="1" t="s">
        <v>1664</v>
      </c>
      <c r="H32" s="10">
        <v>45111</v>
      </c>
      <c r="I32" s="24">
        <v>36670</v>
      </c>
    </row>
    <row r="33" spans="1:9">
      <c r="A33" s="1" t="s">
        <v>1665</v>
      </c>
      <c r="B33" s="3">
        <v>45148</v>
      </c>
      <c r="C33" s="6" t="s">
        <v>543</v>
      </c>
      <c r="D33" s="9" t="s">
        <v>875</v>
      </c>
      <c r="E33" s="4">
        <v>6.8179999999999996</v>
      </c>
      <c r="F33" s="1" t="s">
        <v>551</v>
      </c>
      <c r="G33" s="1" t="s">
        <v>1666</v>
      </c>
      <c r="H33" s="10">
        <v>45111</v>
      </c>
      <c r="I33" s="24">
        <v>36470</v>
      </c>
    </row>
    <row r="34" spans="1:9">
      <c r="A34" s="1" t="s">
        <v>1667</v>
      </c>
      <c r="B34" s="3">
        <v>45148</v>
      </c>
      <c r="C34" s="6" t="s">
        <v>196</v>
      </c>
      <c r="D34" s="9" t="s">
        <v>875</v>
      </c>
      <c r="E34" s="4">
        <v>4.7519999999999998</v>
      </c>
      <c r="F34" s="1" t="s">
        <v>551</v>
      </c>
      <c r="G34" s="1" t="s">
        <v>1658</v>
      </c>
      <c r="H34" s="10">
        <v>45135</v>
      </c>
      <c r="I34" s="24">
        <v>51120</v>
      </c>
    </row>
    <row r="35" spans="1:9">
      <c r="A35" s="1" t="s">
        <v>1667</v>
      </c>
      <c r="B35" s="3">
        <v>45148</v>
      </c>
      <c r="C35" s="6" t="s">
        <v>244</v>
      </c>
      <c r="D35" s="9" t="s">
        <v>875</v>
      </c>
      <c r="E35" s="4">
        <v>3.6459999999999999</v>
      </c>
      <c r="F35" s="1" t="s">
        <v>551</v>
      </c>
      <c r="G35" s="1" t="s">
        <v>1658</v>
      </c>
      <c r="H35" s="10">
        <v>45135</v>
      </c>
      <c r="I35" s="24">
        <v>51120</v>
      </c>
    </row>
    <row r="36" spans="1:9">
      <c r="A36" s="1" t="s">
        <v>1667</v>
      </c>
      <c r="B36" s="3">
        <v>45148</v>
      </c>
      <c r="C36" s="6" t="s">
        <v>205</v>
      </c>
      <c r="D36" s="9" t="s">
        <v>875</v>
      </c>
      <c r="E36" s="4">
        <v>3.3769999999999998</v>
      </c>
      <c r="F36" s="1" t="s">
        <v>551</v>
      </c>
      <c r="G36" s="1" t="s">
        <v>1658</v>
      </c>
      <c r="H36" s="10">
        <v>45135</v>
      </c>
      <c r="I36" s="24">
        <v>51120</v>
      </c>
    </row>
    <row r="37" spans="1:9">
      <c r="A37" s="1" t="s">
        <v>1667</v>
      </c>
      <c r="B37" s="3">
        <v>45148</v>
      </c>
      <c r="C37" s="6" t="s">
        <v>195</v>
      </c>
      <c r="D37" s="9" t="s">
        <v>875</v>
      </c>
      <c r="E37" s="4">
        <v>2.5659999999999998</v>
      </c>
      <c r="F37" s="1" t="s">
        <v>551</v>
      </c>
      <c r="G37" s="1" t="s">
        <v>1658</v>
      </c>
      <c r="H37" s="10">
        <v>45135</v>
      </c>
      <c r="I37" s="24">
        <v>51120</v>
      </c>
    </row>
    <row r="38" spans="1:9">
      <c r="A38" s="1" t="s">
        <v>1667</v>
      </c>
      <c r="B38" s="3">
        <v>45148</v>
      </c>
      <c r="C38" s="6" t="s">
        <v>301</v>
      </c>
      <c r="D38" s="9" t="s">
        <v>875</v>
      </c>
      <c r="E38" s="4">
        <v>4.57</v>
      </c>
      <c r="F38" s="1" t="s">
        <v>551</v>
      </c>
      <c r="G38" s="1" t="s">
        <v>1658</v>
      </c>
      <c r="H38" s="10">
        <v>45135</v>
      </c>
      <c r="I38" s="24">
        <v>50920</v>
      </c>
    </row>
    <row r="39" spans="1:9">
      <c r="A39" s="1"/>
      <c r="B39" s="3"/>
      <c r="C39" s="1"/>
      <c r="D39" s="9"/>
      <c r="E39" s="2">
        <f>SUM(E27:E38)</f>
        <v>65.797000000000011</v>
      </c>
      <c r="F39" s="1"/>
      <c r="G39" s="1"/>
      <c r="H39" s="1"/>
      <c r="I39" s="24"/>
    </row>
    <row r="40" spans="1:9">
      <c r="A40" s="1"/>
      <c r="B40" s="3"/>
      <c r="C40" s="1"/>
      <c r="D40" s="9"/>
      <c r="E40" s="4"/>
      <c r="F40" s="1"/>
      <c r="G40" s="1"/>
      <c r="H40" s="1"/>
      <c r="I40" s="24"/>
    </row>
    <row r="41" spans="1:9">
      <c r="A41" s="1"/>
      <c r="B41" s="3"/>
      <c r="C41" s="1"/>
      <c r="D41" s="9"/>
      <c r="E41" s="4"/>
      <c r="F41" s="1"/>
      <c r="G41" s="1"/>
      <c r="H41" s="1"/>
      <c r="I41" s="24"/>
    </row>
    <row r="42" spans="1:9">
      <c r="A42" s="1"/>
      <c r="B42" s="3"/>
      <c r="C42" s="1"/>
      <c r="D42" s="9"/>
      <c r="E42" s="2"/>
      <c r="F42" s="1"/>
      <c r="G42" s="1"/>
      <c r="H42" s="1"/>
      <c r="I42" s="24"/>
    </row>
    <row r="43" spans="1:9">
      <c r="A43" s="1"/>
      <c r="B43" s="3"/>
      <c r="C43" s="1"/>
      <c r="D43" s="9"/>
      <c r="E43" s="2"/>
      <c r="F43" s="1"/>
      <c r="G43" s="1"/>
      <c r="H43" s="1"/>
      <c r="I43" s="24"/>
    </row>
    <row r="44" spans="1:9">
      <c r="A44" s="1"/>
      <c r="B44" s="3"/>
      <c r="C44" s="1"/>
      <c r="D44" s="9"/>
      <c r="E44" s="2"/>
      <c r="F44" s="1"/>
      <c r="G44" s="1"/>
      <c r="H44" s="1"/>
      <c r="I44" s="24"/>
    </row>
    <row r="45" spans="1:9">
      <c r="A45" s="1"/>
      <c r="B45" s="3"/>
      <c r="C45" s="1"/>
      <c r="D45" s="9"/>
      <c r="E45" s="1"/>
      <c r="F45" s="1"/>
      <c r="G45" s="1"/>
      <c r="H45" s="1"/>
      <c r="I45" s="24"/>
    </row>
    <row r="46" spans="1:9">
      <c r="A46" s="1"/>
      <c r="B46" s="3"/>
      <c r="C46" s="1"/>
      <c r="D46" s="1"/>
      <c r="E46" s="1"/>
      <c r="F46" s="1"/>
      <c r="G46" s="1"/>
      <c r="H46" s="1"/>
      <c r="I46" s="24"/>
    </row>
    <row r="47" spans="1:9">
      <c r="A47" s="1"/>
      <c r="B47" s="1"/>
      <c r="C47" s="1"/>
      <c r="D47" s="59" t="s">
        <v>924</v>
      </c>
      <c r="E47" s="2">
        <f>SUM(E2:E46)/2</f>
        <v>145.47</v>
      </c>
      <c r="F47" s="1"/>
      <c r="G47" s="1"/>
      <c r="H47" s="1"/>
      <c r="I47" s="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M24"/>
  <sheetViews>
    <sheetView zoomScale="75" zoomScaleNormal="75" workbookViewId="0">
      <selection activeCell="E28" sqref="E28"/>
    </sheetView>
  </sheetViews>
  <sheetFormatPr defaultRowHeight="15"/>
  <cols>
    <col min="1" max="1" width="8" bestFit="1" customWidth="1"/>
    <col min="2" max="2" width="18.85546875" bestFit="1" customWidth="1"/>
    <col min="3" max="3" width="11.140625" bestFit="1" customWidth="1"/>
    <col min="4" max="4" width="21.7109375" bestFit="1" customWidth="1"/>
    <col min="5" max="5" width="43" bestFit="1" customWidth="1"/>
    <col min="6" max="6" width="5.28515625" bestFit="1" customWidth="1"/>
    <col min="7" max="7" width="8.7109375" bestFit="1" customWidth="1"/>
    <col min="8" max="8" width="14" bestFit="1" customWidth="1"/>
    <col min="9" max="9" width="9.85546875" bestFit="1" customWidth="1"/>
    <col min="10" max="10" width="27.28515625" bestFit="1" customWidth="1"/>
    <col min="11" max="11" width="7.140625" bestFit="1" customWidth="1"/>
    <col min="12" max="12" width="26.42578125" customWidth="1"/>
  </cols>
  <sheetData>
    <row r="2" spans="1:13" ht="21">
      <c r="A2" s="95" t="s">
        <v>1612</v>
      </c>
    </row>
    <row r="3" spans="1:13" ht="33">
      <c r="A3" s="80" t="s">
        <v>1526</v>
      </c>
      <c r="B3" s="80" t="s">
        <v>1527</v>
      </c>
      <c r="C3" s="80" t="s">
        <v>1528</v>
      </c>
      <c r="D3" s="80" t="s">
        <v>1529</v>
      </c>
      <c r="E3" s="80" t="s">
        <v>644</v>
      </c>
      <c r="F3" s="80" t="s">
        <v>1530</v>
      </c>
      <c r="G3" s="80" t="s">
        <v>1531</v>
      </c>
      <c r="H3" s="80" t="s">
        <v>1532</v>
      </c>
      <c r="I3" s="81" t="s">
        <v>1533</v>
      </c>
      <c r="J3" s="80" t="s">
        <v>1534</v>
      </c>
      <c r="K3" s="80" t="s">
        <v>1535</v>
      </c>
      <c r="L3" s="82" t="s">
        <v>1536</v>
      </c>
      <c r="M3" s="83"/>
    </row>
    <row r="4" spans="1:13" ht="15.75">
      <c r="A4" s="84">
        <v>1</v>
      </c>
      <c r="B4" s="85" t="s">
        <v>1537</v>
      </c>
      <c r="C4" s="86">
        <v>45143</v>
      </c>
      <c r="D4" s="84" t="s">
        <v>1538</v>
      </c>
      <c r="E4" s="87" t="s">
        <v>78</v>
      </c>
      <c r="F4" s="84">
        <v>20</v>
      </c>
      <c r="G4" s="84">
        <f>31.66+0.13</f>
        <v>31.79</v>
      </c>
      <c r="H4" s="84" t="s">
        <v>1539</v>
      </c>
      <c r="I4" s="84">
        <f>1631756+6700</f>
        <v>1638456</v>
      </c>
      <c r="J4" s="88" t="s">
        <v>1540</v>
      </c>
      <c r="K4" s="84">
        <v>892</v>
      </c>
      <c r="L4" s="89" t="s">
        <v>1541</v>
      </c>
      <c r="M4" s="83"/>
    </row>
    <row r="5" spans="1:13" ht="15.75">
      <c r="A5" s="84">
        <v>2</v>
      </c>
      <c r="B5" s="85" t="s">
        <v>1542</v>
      </c>
      <c r="C5" s="86">
        <v>45143</v>
      </c>
      <c r="D5" s="84" t="s">
        <v>1538</v>
      </c>
      <c r="E5" s="87" t="s">
        <v>78</v>
      </c>
      <c r="F5" s="84">
        <v>20</v>
      </c>
      <c r="G5" s="84">
        <f>6.254+25.686</f>
        <v>31.939999999999998</v>
      </c>
      <c r="H5" s="84" t="s">
        <v>1543</v>
      </c>
      <c r="I5" s="84">
        <f>322331+1323856</f>
        <v>1646187</v>
      </c>
      <c r="J5" s="88" t="s">
        <v>1540</v>
      </c>
      <c r="K5" s="84">
        <v>893</v>
      </c>
      <c r="L5" s="89" t="s">
        <v>1544</v>
      </c>
      <c r="M5" s="83"/>
    </row>
    <row r="6" spans="1:13" ht="15.75">
      <c r="A6" s="84">
        <v>3</v>
      </c>
      <c r="B6" s="85" t="s">
        <v>1545</v>
      </c>
      <c r="C6" s="86">
        <v>45143</v>
      </c>
      <c r="D6" s="84" t="s">
        <v>1538</v>
      </c>
      <c r="E6" s="87" t="s">
        <v>78</v>
      </c>
      <c r="F6" s="84">
        <v>25</v>
      </c>
      <c r="G6" s="84">
        <f>5.934+33.836</f>
        <v>39.769999999999996</v>
      </c>
      <c r="H6" s="84" t="s">
        <v>1563</v>
      </c>
      <c r="I6" s="84">
        <f>305838+1743907</f>
        <v>2049745</v>
      </c>
      <c r="J6" s="88" t="s">
        <v>1540</v>
      </c>
      <c r="K6" s="84">
        <v>894</v>
      </c>
      <c r="L6" s="89" t="s">
        <v>1546</v>
      </c>
      <c r="M6" s="83"/>
    </row>
    <row r="7" spans="1:13" ht="15.75">
      <c r="A7" s="84">
        <v>4</v>
      </c>
      <c r="B7" s="85" t="s">
        <v>1547</v>
      </c>
      <c r="C7" s="86">
        <v>45143</v>
      </c>
      <c r="D7" s="84" t="s">
        <v>1538</v>
      </c>
      <c r="E7" s="87" t="s">
        <v>78</v>
      </c>
      <c r="F7" s="84">
        <v>20</v>
      </c>
      <c r="G7" s="84">
        <f>8.806+16.7+6.324</f>
        <v>31.83</v>
      </c>
      <c r="H7" s="84" t="s">
        <v>1548</v>
      </c>
      <c r="I7" s="84">
        <f>453861+860718+325939</f>
        <v>1640518</v>
      </c>
      <c r="J7" s="88" t="s">
        <v>1540</v>
      </c>
      <c r="K7" s="84">
        <v>895</v>
      </c>
      <c r="L7" s="89" t="s">
        <v>1549</v>
      </c>
      <c r="M7" s="83"/>
    </row>
    <row r="8" spans="1:13" ht="15.75">
      <c r="A8" s="84">
        <v>5</v>
      </c>
      <c r="B8" s="85" t="s">
        <v>1550</v>
      </c>
      <c r="C8" s="86">
        <v>45143</v>
      </c>
      <c r="D8" s="84" t="s">
        <v>1538</v>
      </c>
      <c r="E8" s="87" t="s">
        <v>78</v>
      </c>
      <c r="F8" s="84">
        <v>20</v>
      </c>
      <c r="G8" s="84">
        <f>17.396+14.434</f>
        <v>31.83</v>
      </c>
      <c r="H8" s="84" t="s">
        <v>1551</v>
      </c>
      <c r="I8" s="84">
        <f>896590+743928</f>
        <v>1640518</v>
      </c>
      <c r="J8" s="88" t="s">
        <v>1540</v>
      </c>
      <c r="K8" s="84">
        <v>896</v>
      </c>
      <c r="L8" s="89" t="s">
        <v>1552</v>
      </c>
      <c r="M8" s="83"/>
    </row>
    <row r="9" spans="1:13" ht="15.75">
      <c r="A9" s="84">
        <v>6</v>
      </c>
      <c r="B9" s="85" t="s">
        <v>1553</v>
      </c>
      <c r="C9" s="86">
        <v>45143</v>
      </c>
      <c r="D9" s="84" t="s">
        <v>1538</v>
      </c>
      <c r="E9" s="87" t="s">
        <v>78</v>
      </c>
      <c r="F9" s="84">
        <v>20</v>
      </c>
      <c r="G9" s="84">
        <f>21.716+10.084</f>
        <v>31.8</v>
      </c>
      <c r="H9" s="84" t="s">
        <v>1554</v>
      </c>
      <c r="I9" s="84">
        <f>1119243+519729</f>
        <v>1638972</v>
      </c>
      <c r="J9" s="88" t="s">
        <v>1540</v>
      </c>
      <c r="K9" s="84">
        <v>899</v>
      </c>
      <c r="L9" s="89" t="s">
        <v>1555</v>
      </c>
      <c r="M9" s="83"/>
    </row>
    <row r="10" spans="1:13" ht="15.75">
      <c r="A10" s="84">
        <v>7</v>
      </c>
      <c r="B10" s="85" t="s">
        <v>1556</v>
      </c>
      <c r="C10" s="86">
        <v>45143</v>
      </c>
      <c r="D10" s="84" t="s">
        <v>1538</v>
      </c>
      <c r="E10" s="87" t="s">
        <v>78</v>
      </c>
      <c r="F10" s="84">
        <v>20</v>
      </c>
      <c r="G10" s="84">
        <f>21.256+10.524</f>
        <v>31.78</v>
      </c>
      <c r="H10" s="84" t="s">
        <v>1557</v>
      </c>
      <c r="I10" s="84">
        <f>1095534+542407</f>
        <v>1637941</v>
      </c>
      <c r="J10" s="88" t="s">
        <v>1540</v>
      </c>
      <c r="K10" s="84">
        <v>900</v>
      </c>
      <c r="L10" s="89" t="s">
        <v>1558</v>
      </c>
      <c r="M10" s="83"/>
    </row>
    <row r="11" spans="1:13" ht="15.75">
      <c r="A11" s="84"/>
      <c r="B11" s="90"/>
      <c r="C11" s="90"/>
      <c r="D11" s="84"/>
      <c r="E11" s="84"/>
      <c r="F11" s="91">
        <f>SUM(F4:F10)</f>
        <v>145</v>
      </c>
      <c r="G11" s="91">
        <f>SUM(G4:G10)</f>
        <v>230.73999999999998</v>
      </c>
      <c r="H11" s="84"/>
      <c r="I11" s="84"/>
      <c r="J11" s="88"/>
      <c r="K11" s="84"/>
      <c r="L11" s="90"/>
      <c r="M11" s="83"/>
    </row>
    <row r="12" spans="1:13" ht="15.75">
      <c r="A12" s="84">
        <v>1</v>
      </c>
      <c r="B12" s="85" t="s">
        <v>1562</v>
      </c>
      <c r="C12" s="86">
        <v>45144</v>
      </c>
      <c r="D12" s="84" t="s">
        <v>1538</v>
      </c>
      <c r="E12" s="87" t="s">
        <v>78</v>
      </c>
      <c r="F12" s="84">
        <v>25</v>
      </c>
      <c r="G12" s="84">
        <v>39.72</v>
      </c>
      <c r="H12" s="84" t="s">
        <v>1563</v>
      </c>
      <c r="I12" s="84">
        <v>2047168</v>
      </c>
      <c r="J12" s="88" t="s">
        <v>1540</v>
      </c>
      <c r="K12" s="84">
        <v>1170</v>
      </c>
      <c r="L12" s="92" t="s">
        <v>1564</v>
      </c>
    </row>
    <row r="13" spans="1:13" ht="15.75">
      <c r="A13" s="84">
        <v>2</v>
      </c>
      <c r="B13" s="85" t="s">
        <v>1565</v>
      </c>
      <c r="C13" s="86">
        <v>45144</v>
      </c>
      <c r="D13" s="84" t="s">
        <v>1538</v>
      </c>
      <c r="E13" s="87" t="s">
        <v>78</v>
      </c>
      <c r="F13" s="84">
        <v>20</v>
      </c>
      <c r="G13" s="84">
        <v>31.8</v>
      </c>
      <c r="H13" s="84" t="s">
        <v>1243</v>
      </c>
      <c r="I13" s="84">
        <v>1638972</v>
      </c>
      <c r="J13" s="88" t="s">
        <v>1540</v>
      </c>
      <c r="K13" s="84">
        <v>1172</v>
      </c>
      <c r="L13" s="92" t="s">
        <v>1566</v>
      </c>
    </row>
    <row r="14" spans="1:13" ht="15.75">
      <c r="A14" s="1"/>
      <c r="B14" s="90"/>
      <c r="C14" s="90"/>
      <c r="D14" s="84"/>
      <c r="E14" s="84"/>
      <c r="F14" s="91">
        <f>SUM(F12:F13)</f>
        <v>45</v>
      </c>
      <c r="G14" s="91">
        <f>SUM(G12:G13)</f>
        <v>71.52</v>
      </c>
      <c r="H14" s="84"/>
      <c r="I14" s="84"/>
      <c r="J14" s="88"/>
      <c r="K14" s="84"/>
      <c r="L14" s="90"/>
    </row>
    <row r="15" spans="1:13" ht="15.75">
      <c r="A15" s="84">
        <v>1</v>
      </c>
      <c r="B15" s="85" t="s">
        <v>1613</v>
      </c>
      <c r="C15" s="86">
        <v>45156</v>
      </c>
      <c r="D15" s="84" t="s">
        <v>1538</v>
      </c>
      <c r="E15" s="87" t="s">
        <v>78</v>
      </c>
      <c r="F15" s="84">
        <v>20</v>
      </c>
      <c r="G15" s="84">
        <v>31.76</v>
      </c>
      <c r="H15" s="84" t="s">
        <v>238</v>
      </c>
      <c r="I15" s="84">
        <v>1636910.4000000001</v>
      </c>
      <c r="J15" s="88" t="s">
        <v>1540</v>
      </c>
      <c r="K15" s="84">
        <v>1204</v>
      </c>
      <c r="L15" s="92" t="s">
        <v>1614</v>
      </c>
    </row>
    <row r="16" spans="1:13" ht="15.75">
      <c r="A16" s="84"/>
      <c r="B16" s="85"/>
      <c r="C16" s="86"/>
      <c r="D16" s="84"/>
      <c r="E16" s="87"/>
      <c r="F16" s="91">
        <f t="shared" ref="F16:G16" si="0">SUM(F15)</f>
        <v>20</v>
      </c>
      <c r="G16" s="91">
        <f t="shared" si="0"/>
        <v>31.76</v>
      </c>
      <c r="H16" s="91"/>
      <c r="I16" s="84"/>
      <c r="J16" s="88"/>
      <c r="K16" s="84"/>
      <c r="L16" s="92"/>
    </row>
    <row r="17" spans="1:12" ht="15.75">
      <c r="A17" s="84">
        <v>1</v>
      </c>
      <c r="B17" s="85" t="s">
        <v>1903</v>
      </c>
      <c r="C17" s="86">
        <v>45161</v>
      </c>
      <c r="D17" s="84" t="s">
        <v>1538</v>
      </c>
      <c r="E17" s="87" t="s">
        <v>78</v>
      </c>
      <c r="F17" s="84">
        <v>20</v>
      </c>
      <c r="G17" s="84">
        <v>31.81</v>
      </c>
      <c r="H17" s="84" t="s">
        <v>1208</v>
      </c>
      <c r="I17" s="84">
        <v>1639487.4</v>
      </c>
      <c r="J17" s="88" t="s">
        <v>1540</v>
      </c>
      <c r="K17" s="84">
        <v>1218</v>
      </c>
      <c r="L17" s="92" t="s">
        <v>1904</v>
      </c>
    </row>
    <row r="18" spans="1:12" ht="15.75">
      <c r="A18" s="84"/>
      <c r="B18" s="85"/>
      <c r="C18" s="86"/>
      <c r="D18" s="84"/>
      <c r="E18" s="87"/>
      <c r="F18" s="91">
        <f t="shared" ref="F18:G18" si="1">SUM(F17)</f>
        <v>20</v>
      </c>
      <c r="G18" s="91">
        <f t="shared" si="1"/>
        <v>31.81</v>
      </c>
      <c r="H18" s="91"/>
      <c r="I18" s="84"/>
      <c r="J18" s="88"/>
      <c r="K18" s="84"/>
      <c r="L18" s="92"/>
    </row>
    <row r="19" spans="1:12" ht="15.75">
      <c r="A19" s="84">
        <v>1</v>
      </c>
      <c r="B19" s="85" t="s">
        <v>1965</v>
      </c>
      <c r="C19" s="86">
        <v>45163</v>
      </c>
      <c r="D19" s="84" t="s">
        <v>1538</v>
      </c>
      <c r="E19" s="87" t="s">
        <v>78</v>
      </c>
      <c r="F19" s="84">
        <v>20</v>
      </c>
      <c r="G19" s="84">
        <v>31.79</v>
      </c>
      <c r="H19" s="84" t="s">
        <v>1966</v>
      </c>
      <c r="I19" s="84">
        <v>1533867.5</v>
      </c>
      <c r="J19" s="88" t="s">
        <v>1540</v>
      </c>
      <c r="K19" s="84">
        <v>1226</v>
      </c>
      <c r="L19" s="90" t="s">
        <v>1967</v>
      </c>
    </row>
    <row r="20" spans="1:12" ht="15.75">
      <c r="A20" s="84">
        <v>2</v>
      </c>
      <c r="B20" s="85" t="s">
        <v>1968</v>
      </c>
      <c r="C20" s="86">
        <v>45163</v>
      </c>
      <c r="D20" s="84" t="s">
        <v>1538</v>
      </c>
      <c r="E20" s="87" t="s">
        <v>78</v>
      </c>
      <c r="F20" s="84">
        <v>20</v>
      </c>
      <c r="G20" s="84">
        <v>31.69</v>
      </c>
      <c r="H20" s="84" t="s">
        <v>1325</v>
      </c>
      <c r="I20" s="84">
        <f>541896+941114</f>
        <v>1483010</v>
      </c>
      <c r="J20" s="88" t="s">
        <v>1540</v>
      </c>
      <c r="K20" s="84">
        <v>1227</v>
      </c>
      <c r="L20" s="90" t="s">
        <v>1969</v>
      </c>
    </row>
    <row r="21" spans="1:12" ht="15.75">
      <c r="A21" s="84">
        <v>3</v>
      </c>
      <c r="B21" s="85" t="s">
        <v>1970</v>
      </c>
      <c r="C21" s="86">
        <v>45163</v>
      </c>
      <c r="D21" s="84" t="s">
        <v>1538</v>
      </c>
      <c r="E21" s="87" t="s">
        <v>78</v>
      </c>
      <c r="F21" s="84">
        <v>20</v>
      </c>
      <c r="G21" s="84">
        <v>31.76</v>
      </c>
      <c r="H21" s="84" t="s">
        <v>1971</v>
      </c>
      <c r="I21" s="84">
        <f>1056482+404478</f>
        <v>1460960</v>
      </c>
      <c r="J21" s="88" t="s">
        <v>1540</v>
      </c>
      <c r="K21" s="84">
        <v>1228</v>
      </c>
      <c r="L21" s="90" t="s">
        <v>1972</v>
      </c>
    </row>
    <row r="22" spans="1:12" ht="15.75">
      <c r="A22" s="1"/>
      <c r="B22" s="90"/>
      <c r="C22" s="90"/>
      <c r="D22" s="84"/>
      <c r="E22" s="84"/>
      <c r="F22" s="91">
        <f t="shared" ref="F22:G22" si="2">SUM(F19:F21)</f>
        <v>60</v>
      </c>
      <c r="G22" s="91">
        <f t="shared" si="2"/>
        <v>95.240000000000009</v>
      </c>
      <c r="H22" s="84"/>
      <c r="I22" s="84"/>
      <c r="J22" s="88"/>
      <c r="K22" s="84"/>
      <c r="L22" s="90"/>
    </row>
    <row r="23" spans="1:12" ht="15.75">
      <c r="A23" s="84"/>
      <c r="B23" s="85"/>
      <c r="C23" s="86"/>
      <c r="D23" s="84"/>
      <c r="E23" s="87"/>
      <c r="F23" s="91"/>
      <c r="G23" s="91"/>
      <c r="H23" s="91"/>
      <c r="I23" s="84"/>
      <c r="J23" s="88"/>
      <c r="K23" s="84"/>
      <c r="L23" s="92"/>
    </row>
    <row r="24" spans="1:12">
      <c r="A24" s="1"/>
      <c r="B24" s="1"/>
      <c r="C24" s="1"/>
      <c r="D24" s="1"/>
      <c r="E24" s="2" t="s">
        <v>1611</v>
      </c>
      <c r="F24" s="2">
        <f>SUM(F4:F22)/2</f>
        <v>290</v>
      </c>
      <c r="G24" s="54">
        <f>SUM(G4:G22)/2</f>
        <v>461.06999999999988</v>
      </c>
      <c r="H24" s="1"/>
      <c r="I24" s="1"/>
      <c r="J24" s="1"/>
      <c r="K24" s="1"/>
      <c r="L24" s="1"/>
    </row>
  </sheetData>
  <pageMargins left="0.28000000000000003" right="0.26" top="0.75" bottom="0.75" header="0.3" footer="0.3"/>
  <pageSetup paperSize="9" scale="7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selection sqref="A1:XFD16"/>
    </sheetView>
  </sheetViews>
  <sheetFormatPr defaultRowHeight="15"/>
  <cols>
    <col min="1" max="1" width="17.28515625" customWidth="1"/>
    <col min="2" max="2" width="10.7109375" bestFit="1" customWidth="1"/>
    <col min="3" max="3" width="26.5703125" bestFit="1" customWidth="1"/>
    <col min="4" max="4" width="37.28515625" bestFit="1" customWidth="1"/>
    <col min="5" max="5" width="15" bestFit="1" customWidth="1"/>
    <col min="6" max="6" width="15" customWidth="1"/>
    <col min="7" max="7" width="8.5703125" bestFit="1" customWidth="1"/>
    <col min="8" max="8" width="10.7109375" bestFit="1" customWidth="1"/>
    <col min="9" max="9" width="23.5703125" customWidth="1"/>
  </cols>
  <sheetData>
    <row r="1" spans="1:9">
      <c r="A1" s="1" t="s">
        <v>5</v>
      </c>
      <c r="B1" s="1" t="s">
        <v>6</v>
      </c>
      <c r="C1" s="1" t="s">
        <v>7</v>
      </c>
      <c r="D1" s="1" t="s">
        <v>0</v>
      </c>
      <c r="E1" s="1" t="s">
        <v>873</v>
      </c>
      <c r="F1" s="1" t="s">
        <v>2</v>
      </c>
      <c r="G1" s="1" t="s">
        <v>4</v>
      </c>
      <c r="H1" s="1" t="s">
        <v>874</v>
      </c>
      <c r="I1" s="5" t="s">
        <v>10</v>
      </c>
    </row>
    <row r="2" spans="1:9">
      <c r="A2" s="1" t="s">
        <v>1935</v>
      </c>
      <c r="B2" s="3">
        <v>45162</v>
      </c>
      <c r="C2" s="6" t="s">
        <v>283</v>
      </c>
      <c r="D2" s="9" t="s">
        <v>1936</v>
      </c>
      <c r="E2" s="6">
        <v>0.46300000000000002</v>
      </c>
      <c r="F2" s="6" t="s">
        <v>1937</v>
      </c>
      <c r="G2" s="6" t="s">
        <v>1938</v>
      </c>
      <c r="H2" s="10">
        <v>45111</v>
      </c>
      <c r="I2" s="9">
        <v>50920</v>
      </c>
    </row>
    <row r="3" spans="1:9">
      <c r="A3" s="1" t="s">
        <v>1935</v>
      </c>
      <c r="B3" s="3">
        <v>45162</v>
      </c>
      <c r="C3" s="6" t="s">
        <v>200</v>
      </c>
      <c r="D3" s="9" t="s">
        <v>1936</v>
      </c>
      <c r="E3" s="6">
        <v>0.318</v>
      </c>
      <c r="F3" s="6" t="s">
        <v>1937</v>
      </c>
      <c r="G3" s="6" t="s">
        <v>1938</v>
      </c>
      <c r="H3" s="10">
        <v>45111</v>
      </c>
      <c r="I3" s="9">
        <v>50920</v>
      </c>
    </row>
    <row r="4" spans="1:9">
      <c r="A4" s="1" t="s">
        <v>1935</v>
      </c>
      <c r="B4" s="3">
        <v>45162</v>
      </c>
      <c r="C4" s="6" t="s">
        <v>255</v>
      </c>
      <c r="D4" s="9" t="s">
        <v>1936</v>
      </c>
      <c r="E4" s="6">
        <v>1.0089999999999999</v>
      </c>
      <c r="F4" s="6" t="s">
        <v>1937</v>
      </c>
      <c r="G4" s="6" t="s">
        <v>1938</v>
      </c>
      <c r="H4" s="10">
        <v>45111</v>
      </c>
      <c r="I4" s="9">
        <v>50920</v>
      </c>
    </row>
    <row r="5" spans="1:9">
      <c r="A5" s="1" t="s">
        <v>1935</v>
      </c>
      <c r="B5" s="3">
        <v>45162</v>
      </c>
      <c r="C5" s="6" t="s">
        <v>230</v>
      </c>
      <c r="D5" s="9" t="s">
        <v>1936</v>
      </c>
      <c r="E5" s="13">
        <v>0.19900000000000001</v>
      </c>
      <c r="F5" s="6" t="s">
        <v>1937</v>
      </c>
      <c r="G5" s="6" t="s">
        <v>1938</v>
      </c>
      <c r="H5" s="10">
        <v>45111</v>
      </c>
      <c r="I5" s="9">
        <v>51120</v>
      </c>
    </row>
    <row r="6" spans="1:9">
      <c r="A6" s="1" t="s">
        <v>1935</v>
      </c>
      <c r="B6" s="3">
        <v>45162</v>
      </c>
      <c r="C6" s="6" t="s">
        <v>208</v>
      </c>
      <c r="D6" s="9" t="s">
        <v>1936</v>
      </c>
      <c r="E6" s="6">
        <v>0.80400000000000005</v>
      </c>
      <c r="F6" s="6" t="s">
        <v>1937</v>
      </c>
      <c r="G6" s="6" t="s">
        <v>1938</v>
      </c>
      <c r="H6" s="10">
        <v>45111</v>
      </c>
      <c r="I6" s="9">
        <v>51120</v>
      </c>
    </row>
    <row r="7" spans="1:9">
      <c r="A7" s="1" t="s">
        <v>1935</v>
      </c>
      <c r="B7" s="3">
        <v>45162</v>
      </c>
      <c r="C7" s="6" t="s">
        <v>862</v>
      </c>
      <c r="D7" s="9" t="s">
        <v>1936</v>
      </c>
      <c r="E7" s="6">
        <v>0.82899999999999996</v>
      </c>
      <c r="F7" s="6" t="s">
        <v>1937</v>
      </c>
      <c r="G7" s="6" t="s">
        <v>1938</v>
      </c>
      <c r="H7" s="10">
        <v>45111</v>
      </c>
      <c r="I7" s="9">
        <v>59920</v>
      </c>
    </row>
    <row r="8" spans="1:9">
      <c r="A8" s="1"/>
      <c r="B8" s="3"/>
      <c r="C8" s="1"/>
      <c r="D8" s="9"/>
      <c r="E8" s="11">
        <f>SUM(E2:E7)</f>
        <v>3.6219999999999999</v>
      </c>
      <c r="F8" s="6"/>
      <c r="G8" s="6"/>
      <c r="H8" s="10"/>
      <c r="I8" s="9"/>
    </row>
    <row r="9" spans="1:9">
      <c r="A9" s="1"/>
      <c r="B9" s="3"/>
      <c r="C9" s="1"/>
      <c r="D9" s="9"/>
      <c r="E9" s="4"/>
      <c r="F9" s="1"/>
      <c r="G9" s="1"/>
      <c r="H9" s="1"/>
      <c r="I9" s="24"/>
    </row>
    <row r="10" spans="1:9">
      <c r="A10" s="1"/>
      <c r="B10" s="3"/>
      <c r="C10" s="1"/>
      <c r="D10" s="9"/>
      <c r="E10" s="4"/>
      <c r="F10" s="1"/>
      <c r="G10" s="1"/>
      <c r="H10" s="1"/>
      <c r="I10" s="24"/>
    </row>
    <row r="11" spans="1:9">
      <c r="A11" s="1"/>
      <c r="B11" s="3"/>
      <c r="C11" s="1"/>
      <c r="D11" s="9"/>
      <c r="E11" s="2"/>
      <c r="F11" s="1"/>
      <c r="G11" s="1"/>
      <c r="H11" s="1"/>
      <c r="I11" s="24"/>
    </row>
    <row r="12" spans="1:9">
      <c r="A12" s="1"/>
      <c r="B12" s="3"/>
      <c r="C12" s="1"/>
      <c r="D12" s="9"/>
      <c r="E12" s="2"/>
      <c r="F12" s="1"/>
      <c r="G12" s="1"/>
      <c r="H12" s="1"/>
      <c r="I12" s="24"/>
    </row>
    <row r="13" spans="1:9">
      <c r="A13" s="1"/>
      <c r="B13" s="3"/>
      <c r="C13" s="1"/>
      <c r="D13" s="9"/>
      <c r="E13" s="2"/>
      <c r="F13" s="1"/>
      <c r="G13" s="1"/>
      <c r="H13" s="1"/>
      <c r="I13" s="24"/>
    </row>
    <row r="14" spans="1:9">
      <c r="A14" s="1"/>
      <c r="B14" s="3"/>
      <c r="C14" s="1"/>
      <c r="D14" s="9"/>
      <c r="E14" s="1"/>
      <c r="F14" s="1"/>
      <c r="G14" s="1"/>
      <c r="H14" s="1"/>
      <c r="I14" s="24"/>
    </row>
    <row r="15" spans="1:9">
      <c r="A15" s="1"/>
      <c r="B15" s="3"/>
      <c r="C15" s="1"/>
      <c r="D15" s="1"/>
      <c r="E15" s="1"/>
      <c r="F15" s="1"/>
      <c r="G15" s="1"/>
      <c r="H15" s="1"/>
      <c r="I15" s="24"/>
    </row>
    <row r="16" spans="1:9">
      <c r="A16" s="1"/>
      <c r="B16" s="1"/>
      <c r="C16" s="1"/>
      <c r="D16" s="59" t="s">
        <v>924</v>
      </c>
      <c r="E16" s="2">
        <f>SUM(E2:E15)/2</f>
        <v>3.6219999999999999</v>
      </c>
      <c r="F16" s="1"/>
      <c r="G16" s="1"/>
      <c r="H16" s="1"/>
      <c r="I16" s="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47"/>
  <sheetViews>
    <sheetView topLeftCell="A222" workbookViewId="0">
      <selection sqref="A1:XFD234"/>
    </sheetView>
  </sheetViews>
  <sheetFormatPr defaultRowHeight="15"/>
  <cols>
    <col min="1" max="1" width="18.28515625" customWidth="1"/>
    <col min="2" max="2" width="10.28515625" bestFit="1" customWidth="1"/>
    <col min="3" max="3" width="30.5703125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style="112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15" t="s">
        <v>1939</v>
      </c>
      <c r="B2" s="61">
        <v>45162</v>
      </c>
      <c r="C2" s="6" t="s">
        <v>1500</v>
      </c>
      <c r="D2" s="63" t="s">
        <v>78</v>
      </c>
      <c r="E2" s="48">
        <v>32.726999999999997</v>
      </c>
      <c r="F2" s="24" t="s">
        <v>116</v>
      </c>
      <c r="G2" s="1" t="s">
        <v>1940</v>
      </c>
      <c r="H2" s="1" t="s">
        <v>1593</v>
      </c>
      <c r="I2" s="61">
        <v>45135</v>
      </c>
    </row>
    <row r="3" spans="1:9">
      <c r="A3" s="15" t="s">
        <v>1963</v>
      </c>
      <c r="B3" s="61">
        <v>45162</v>
      </c>
      <c r="C3" s="6" t="s">
        <v>1500</v>
      </c>
      <c r="D3" s="63" t="s">
        <v>78</v>
      </c>
      <c r="E3" s="32">
        <v>32.887</v>
      </c>
      <c r="F3" s="24" t="s">
        <v>1156</v>
      </c>
      <c r="G3" s="1" t="s">
        <v>1964</v>
      </c>
      <c r="H3" s="1" t="s">
        <v>1593</v>
      </c>
      <c r="I3" s="61">
        <v>45135</v>
      </c>
    </row>
    <row r="4" spans="1:9">
      <c r="A4" s="15"/>
      <c r="B4" s="61"/>
      <c r="C4" s="6"/>
      <c r="D4" s="63"/>
      <c r="E4" s="65">
        <f>SUM(E2:E3)</f>
        <v>65.614000000000004</v>
      </c>
      <c r="F4" s="24"/>
      <c r="G4" s="1"/>
      <c r="H4" s="1"/>
      <c r="I4" s="109"/>
    </row>
    <row r="5" spans="1:9">
      <c r="A5" s="15" t="s">
        <v>1979</v>
      </c>
      <c r="B5" s="61">
        <v>45163</v>
      </c>
      <c r="C5" s="6" t="s">
        <v>1500</v>
      </c>
      <c r="D5" s="63" t="s">
        <v>78</v>
      </c>
      <c r="E5" s="32">
        <f>30.228+1.84</f>
        <v>32.068000000000005</v>
      </c>
      <c r="F5" s="24" t="s">
        <v>1557</v>
      </c>
      <c r="G5" s="1" t="s">
        <v>1980</v>
      </c>
      <c r="H5" s="1" t="s">
        <v>1593</v>
      </c>
      <c r="I5" s="61">
        <v>45135</v>
      </c>
    </row>
    <row r="6" spans="1:9">
      <c r="A6" s="15" t="s">
        <v>1981</v>
      </c>
      <c r="B6" s="61">
        <v>45163</v>
      </c>
      <c r="C6" s="6" t="s">
        <v>1500</v>
      </c>
      <c r="D6" s="63" t="s">
        <v>78</v>
      </c>
      <c r="E6" s="32">
        <v>32.726999999999997</v>
      </c>
      <c r="F6" s="24" t="s">
        <v>83</v>
      </c>
      <c r="G6" s="1" t="s">
        <v>1982</v>
      </c>
      <c r="H6" s="1" t="s">
        <v>1593</v>
      </c>
      <c r="I6" s="61">
        <v>45135</v>
      </c>
    </row>
    <row r="7" spans="1:9">
      <c r="A7" s="15" t="s">
        <v>1983</v>
      </c>
      <c r="B7" s="61">
        <v>45163</v>
      </c>
      <c r="C7" s="6" t="s">
        <v>1500</v>
      </c>
      <c r="D7" s="63" t="s">
        <v>78</v>
      </c>
      <c r="E7" s="32">
        <v>25.352</v>
      </c>
      <c r="F7" s="24" t="s">
        <v>86</v>
      </c>
      <c r="G7" s="1" t="s">
        <v>1984</v>
      </c>
      <c r="H7" s="1" t="s">
        <v>1593</v>
      </c>
      <c r="I7" s="61">
        <v>45135</v>
      </c>
    </row>
    <row r="8" spans="1:9">
      <c r="A8" s="15" t="s">
        <v>1985</v>
      </c>
      <c r="B8" s="61">
        <v>45163</v>
      </c>
      <c r="C8" s="6" t="s">
        <v>1271</v>
      </c>
      <c r="D8" s="63" t="s">
        <v>78</v>
      </c>
      <c r="E8" s="32">
        <v>0.255</v>
      </c>
      <c r="F8" s="24" t="s">
        <v>86</v>
      </c>
      <c r="G8" s="1" t="s">
        <v>1984</v>
      </c>
      <c r="H8" s="1" t="s">
        <v>1987</v>
      </c>
      <c r="I8" s="61">
        <v>45135</v>
      </c>
    </row>
    <row r="9" spans="1:9">
      <c r="A9" s="15" t="s">
        <v>1985</v>
      </c>
      <c r="B9" s="61">
        <v>45163</v>
      </c>
      <c r="C9" s="6" t="s">
        <v>1272</v>
      </c>
      <c r="D9" s="63" t="s">
        <v>78</v>
      </c>
      <c r="E9" s="32">
        <v>1.32</v>
      </c>
      <c r="F9" s="24" t="s">
        <v>86</v>
      </c>
      <c r="G9" s="1" t="s">
        <v>1984</v>
      </c>
      <c r="H9" s="1" t="s">
        <v>1987</v>
      </c>
      <c r="I9" s="61">
        <v>45135</v>
      </c>
    </row>
    <row r="10" spans="1:9">
      <c r="A10" s="15" t="s">
        <v>1986</v>
      </c>
      <c r="B10" s="61">
        <v>45163</v>
      </c>
      <c r="C10" s="6" t="s">
        <v>1365</v>
      </c>
      <c r="D10" s="63" t="s">
        <v>78</v>
      </c>
      <c r="E10" s="32">
        <v>5.7160000000000002</v>
      </c>
      <c r="F10" s="24" t="s">
        <v>86</v>
      </c>
      <c r="G10" s="1" t="s">
        <v>1984</v>
      </c>
      <c r="H10" s="1" t="s">
        <v>1872</v>
      </c>
      <c r="I10" s="61">
        <v>45150</v>
      </c>
    </row>
    <row r="11" spans="1:9">
      <c r="A11" s="15"/>
      <c r="B11" s="61"/>
      <c r="C11" s="6"/>
      <c r="D11" s="1"/>
      <c r="E11" s="53">
        <f>SUM(E5:E10)</f>
        <v>97.437999999999988</v>
      </c>
      <c r="F11" s="24"/>
      <c r="G11" s="1"/>
      <c r="H11" s="1"/>
      <c r="I11" s="109"/>
    </row>
    <row r="12" spans="1:9">
      <c r="A12" s="15" t="s">
        <v>1995</v>
      </c>
      <c r="B12" s="61">
        <v>45164</v>
      </c>
      <c r="C12" s="6" t="s">
        <v>1365</v>
      </c>
      <c r="D12" s="63" t="s">
        <v>78</v>
      </c>
      <c r="E12" s="21">
        <f>4.771+1.034</f>
        <v>5.8049999999999997</v>
      </c>
      <c r="F12" s="24" t="s">
        <v>267</v>
      </c>
      <c r="G12" s="1" t="s">
        <v>1996</v>
      </c>
      <c r="H12" s="1" t="s">
        <v>1872</v>
      </c>
      <c r="I12" s="61">
        <v>45150</v>
      </c>
    </row>
    <row r="13" spans="1:9">
      <c r="A13" s="15" t="s">
        <v>1997</v>
      </c>
      <c r="B13" s="61">
        <v>45164</v>
      </c>
      <c r="C13" s="6" t="s">
        <v>1500</v>
      </c>
      <c r="D13" s="63" t="s">
        <v>78</v>
      </c>
      <c r="E13" s="21">
        <f>8.12+2.478</f>
        <v>10.597999999999999</v>
      </c>
      <c r="F13" s="24" t="s">
        <v>267</v>
      </c>
      <c r="G13" s="1" t="s">
        <v>1998</v>
      </c>
      <c r="H13" s="1" t="s">
        <v>1593</v>
      </c>
      <c r="I13" s="61">
        <v>45135</v>
      </c>
    </row>
    <row r="14" spans="1:9">
      <c r="A14" s="15" t="s">
        <v>1997</v>
      </c>
      <c r="B14" s="61">
        <v>45164</v>
      </c>
      <c r="C14" s="6" t="s">
        <v>1251</v>
      </c>
      <c r="D14" s="63" t="s">
        <v>78</v>
      </c>
      <c r="E14" s="21">
        <v>14.259</v>
      </c>
      <c r="F14" s="24" t="s">
        <v>267</v>
      </c>
      <c r="G14" s="1" t="s">
        <v>1998</v>
      </c>
      <c r="H14" s="1" t="s">
        <v>1593</v>
      </c>
      <c r="I14" s="61">
        <v>45135</v>
      </c>
    </row>
    <row r="15" spans="1:9">
      <c r="A15" s="15"/>
      <c r="B15" s="61"/>
      <c r="C15" s="6"/>
      <c r="D15" s="1"/>
      <c r="E15" s="41">
        <f>SUM(E12:E14)</f>
        <v>30.661999999999999</v>
      </c>
      <c r="F15" s="24"/>
      <c r="G15" s="1"/>
      <c r="H15" s="1"/>
      <c r="I15" s="109"/>
    </row>
    <row r="16" spans="1:9">
      <c r="A16" s="15" t="s">
        <v>2020</v>
      </c>
      <c r="B16" s="61">
        <v>45165</v>
      </c>
      <c r="C16" s="6" t="s">
        <v>1365</v>
      </c>
      <c r="D16" s="63" t="s">
        <v>78</v>
      </c>
      <c r="E16" s="21">
        <v>32.436</v>
      </c>
      <c r="F16" s="24" t="s">
        <v>1243</v>
      </c>
      <c r="G16" s="1" t="s">
        <v>2021</v>
      </c>
      <c r="H16" s="1" t="s">
        <v>1872</v>
      </c>
      <c r="I16" s="61">
        <v>45150</v>
      </c>
    </row>
    <row r="17" spans="1:9">
      <c r="A17" s="15"/>
      <c r="B17" s="61"/>
      <c r="C17" s="6"/>
      <c r="D17" s="1"/>
      <c r="E17" s="53">
        <f>SUM(E16:E16)</f>
        <v>32.436</v>
      </c>
      <c r="F17" s="24"/>
      <c r="G17" s="1"/>
      <c r="H17" s="1"/>
      <c r="I17" s="109"/>
    </row>
    <row r="18" spans="1:9">
      <c r="A18" s="15" t="s">
        <v>2022</v>
      </c>
      <c r="B18" s="61">
        <v>45166</v>
      </c>
      <c r="C18" s="6" t="s">
        <v>1223</v>
      </c>
      <c r="D18" s="63" t="s">
        <v>78</v>
      </c>
      <c r="E18" s="21">
        <v>5.7770000000000001</v>
      </c>
      <c r="F18" s="24" t="s">
        <v>1243</v>
      </c>
      <c r="G18" s="1" t="s">
        <v>2023</v>
      </c>
      <c r="H18" s="1" t="s">
        <v>1112</v>
      </c>
      <c r="I18" s="61">
        <v>45111</v>
      </c>
    </row>
    <row r="19" spans="1:9">
      <c r="A19" s="15" t="s">
        <v>2024</v>
      </c>
      <c r="B19" s="61">
        <v>45166</v>
      </c>
      <c r="C19" s="6" t="s">
        <v>1223</v>
      </c>
      <c r="D19" s="63" t="s">
        <v>78</v>
      </c>
      <c r="E19" s="21">
        <v>9.2430000000000003</v>
      </c>
      <c r="F19" s="24" t="s">
        <v>1243</v>
      </c>
      <c r="G19" s="1" t="s">
        <v>2023</v>
      </c>
      <c r="H19" s="1" t="s">
        <v>1593</v>
      </c>
      <c r="I19" s="61">
        <v>45135</v>
      </c>
    </row>
    <row r="20" spans="1:9">
      <c r="A20" s="15" t="s">
        <v>2025</v>
      </c>
      <c r="B20" s="61">
        <v>45166</v>
      </c>
      <c r="C20" s="6" t="s">
        <v>1223</v>
      </c>
      <c r="D20" s="63" t="s">
        <v>78</v>
      </c>
      <c r="E20" s="21">
        <f>0.661+9</f>
        <v>9.6609999999999996</v>
      </c>
      <c r="F20" s="24" t="s">
        <v>1243</v>
      </c>
      <c r="G20" s="1" t="s">
        <v>2026</v>
      </c>
      <c r="H20" s="1" t="s">
        <v>1187</v>
      </c>
      <c r="I20" s="61">
        <v>45111</v>
      </c>
    </row>
    <row r="21" spans="1:9">
      <c r="A21" s="15" t="s">
        <v>2027</v>
      </c>
      <c r="B21" s="61">
        <v>45166</v>
      </c>
      <c r="C21" s="6" t="s">
        <v>1341</v>
      </c>
      <c r="D21" s="63" t="s">
        <v>78</v>
      </c>
      <c r="E21" s="21">
        <v>3.9039999999999999</v>
      </c>
      <c r="F21" s="24" t="s">
        <v>1243</v>
      </c>
      <c r="G21" s="1" t="s">
        <v>2028</v>
      </c>
      <c r="H21" s="1" t="s">
        <v>1681</v>
      </c>
      <c r="I21" s="61">
        <v>45135</v>
      </c>
    </row>
    <row r="22" spans="1:9">
      <c r="A22" s="15" t="s">
        <v>2029</v>
      </c>
      <c r="B22" s="61">
        <v>45166</v>
      </c>
      <c r="C22" s="6" t="s">
        <v>1341</v>
      </c>
      <c r="D22" s="63" t="s">
        <v>78</v>
      </c>
      <c r="E22" s="21">
        <v>1.55</v>
      </c>
      <c r="F22" s="24" t="s">
        <v>1243</v>
      </c>
      <c r="G22" s="1" t="s">
        <v>2028</v>
      </c>
      <c r="H22" s="1" t="s">
        <v>2030</v>
      </c>
      <c r="I22" s="61">
        <v>45135</v>
      </c>
    </row>
    <row r="23" spans="1:9">
      <c r="A23" s="15" t="s">
        <v>2031</v>
      </c>
      <c r="B23" s="61">
        <v>45166</v>
      </c>
      <c r="C23" s="6" t="s">
        <v>1226</v>
      </c>
      <c r="D23" s="63" t="s">
        <v>78</v>
      </c>
      <c r="E23" s="21">
        <v>0.14699999999999999</v>
      </c>
      <c r="F23" s="24" t="s">
        <v>1243</v>
      </c>
      <c r="G23" s="1" t="s">
        <v>2028</v>
      </c>
      <c r="H23" s="1" t="s">
        <v>1987</v>
      </c>
      <c r="I23" s="61">
        <v>45135</v>
      </c>
    </row>
    <row r="24" spans="1:9">
      <c r="A24" s="15" t="s">
        <v>2031</v>
      </c>
      <c r="B24" s="61">
        <v>45166</v>
      </c>
      <c r="C24" s="6" t="s">
        <v>1242</v>
      </c>
      <c r="D24" s="63" t="s">
        <v>78</v>
      </c>
      <c r="E24" s="21">
        <v>0.16500000000000001</v>
      </c>
      <c r="F24" s="24" t="s">
        <v>1243</v>
      </c>
      <c r="G24" s="1" t="s">
        <v>2028</v>
      </c>
      <c r="H24" s="1" t="s">
        <v>1987</v>
      </c>
      <c r="I24" s="61">
        <v>45135</v>
      </c>
    </row>
    <row r="25" spans="1:9">
      <c r="A25" s="15" t="s">
        <v>2031</v>
      </c>
      <c r="B25" s="61">
        <v>45166</v>
      </c>
      <c r="C25" s="6" t="s">
        <v>1227</v>
      </c>
      <c r="D25" s="63" t="s">
        <v>78</v>
      </c>
      <c r="E25" s="21">
        <v>0.58799999999999997</v>
      </c>
      <c r="F25" s="24" t="s">
        <v>1243</v>
      </c>
      <c r="G25" s="1" t="s">
        <v>2028</v>
      </c>
      <c r="H25" s="1" t="s">
        <v>1987</v>
      </c>
      <c r="I25" s="61">
        <v>45135</v>
      </c>
    </row>
    <row r="26" spans="1:9">
      <c r="A26" s="15" t="s">
        <v>2031</v>
      </c>
      <c r="B26" s="61">
        <v>45166</v>
      </c>
      <c r="C26" s="6" t="s">
        <v>1256</v>
      </c>
      <c r="D26" s="63" t="s">
        <v>78</v>
      </c>
      <c r="E26" s="21">
        <v>0.33900000000000002</v>
      </c>
      <c r="F26" s="24" t="s">
        <v>1243</v>
      </c>
      <c r="G26" s="1" t="s">
        <v>2028</v>
      </c>
      <c r="H26" s="1" t="s">
        <v>1987</v>
      </c>
      <c r="I26" s="61">
        <v>45135</v>
      </c>
    </row>
    <row r="27" spans="1:9">
      <c r="A27" s="15"/>
      <c r="B27" s="61"/>
      <c r="C27" s="6"/>
      <c r="D27" s="1"/>
      <c r="E27" s="53">
        <f>SUM(E18:E26)</f>
        <v>31.373999999999995</v>
      </c>
      <c r="F27" s="24"/>
      <c r="G27" s="1"/>
      <c r="H27" s="1"/>
      <c r="I27" s="109"/>
    </row>
    <row r="28" spans="1:9">
      <c r="A28" s="15" t="s">
        <v>2061</v>
      </c>
      <c r="B28" s="61">
        <v>45167</v>
      </c>
      <c r="C28" s="6" t="s">
        <v>1317</v>
      </c>
      <c r="D28" s="63" t="s">
        <v>78</v>
      </c>
      <c r="E28" s="21">
        <v>3.7349999999999999</v>
      </c>
      <c r="F28" s="102" t="s">
        <v>97</v>
      </c>
      <c r="G28" s="14" t="s">
        <v>2062</v>
      </c>
      <c r="H28" s="1" t="s">
        <v>1593</v>
      </c>
      <c r="I28" s="61">
        <v>45135</v>
      </c>
    </row>
    <row r="29" spans="1:9">
      <c r="A29" s="15" t="s">
        <v>2061</v>
      </c>
      <c r="B29" s="61">
        <v>45167</v>
      </c>
      <c r="C29" s="6" t="s">
        <v>1251</v>
      </c>
      <c r="D29" s="63" t="s">
        <v>78</v>
      </c>
      <c r="E29" s="21">
        <v>6.194</v>
      </c>
      <c r="F29" s="102" t="s">
        <v>97</v>
      </c>
      <c r="G29" s="14" t="s">
        <v>2062</v>
      </c>
      <c r="H29" s="1" t="s">
        <v>1593</v>
      </c>
      <c r="I29" s="61">
        <v>45135</v>
      </c>
    </row>
    <row r="30" spans="1:9">
      <c r="A30" s="15" t="s">
        <v>2063</v>
      </c>
      <c r="B30" s="61">
        <v>45167</v>
      </c>
      <c r="C30" s="6" t="s">
        <v>1226</v>
      </c>
      <c r="D30" s="63" t="s">
        <v>78</v>
      </c>
      <c r="E30" s="22">
        <v>4.7359999999999998</v>
      </c>
      <c r="F30" s="102" t="s">
        <v>97</v>
      </c>
      <c r="G30" s="14" t="s">
        <v>2062</v>
      </c>
      <c r="H30" s="1" t="s">
        <v>1187</v>
      </c>
      <c r="I30" s="61">
        <v>45111</v>
      </c>
    </row>
    <row r="31" spans="1:9">
      <c r="A31" s="15" t="s">
        <v>2064</v>
      </c>
      <c r="B31" s="61">
        <v>45167</v>
      </c>
      <c r="C31" s="6" t="s">
        <v>1478</v>
      </c>
      <c r="D31" s="63" t="s">
        <v>78</v>
      </c>
      <c r="E31" s="21">
        <f>1.487+10.693</f>
        <v>12.18</v>
      </c>
      <c r="F31" s="102" t="s">
        <v>97</v>
      </c>
      <c r="G31" s="14" t="s">
        <v>2065</v>
      </c>
      <c r="H31" s="1" t="s">
        <v>2066</v>
      </c>
      <c r="I31" s="110">
        <v>45150</v>
      </c>
    </row>
    <row r="32" spans="1:9">
      <c r="A32" s="15" t="s">
        <v>2067</v>
      </c>
      <c r="B32" s="61">
        <v>45167</v>
      </c>
      <c r="C32" s="6" t="s">
        <v>1226</v>
      </c>
      <c r="D32" s="63" t="s">
        <v>78</v>
      </c>
      <c r="E32" s="21">
        <v>6.33</v>
      </c>
      <c r="F32" s="102" t="s">
        <v>97</v>
      </c>
      <c r="G32" s="14" t="s">
        <v>2065</v>
      </c>
      <c r="H32" s="1" t="s">
        <v>1112</v>
      </c>
      <c r="I32" s="61">
        <v>45111</v>
      </c>
    </row>
    <row r="33" spans="1:9">
      <c r="A33" s="15" t="s">
        <v>2068</v>
      </c>
      <c r="B33" s="61">
        <v>45167</v>
      </c>
      <c r="C33" s="6" t="s">
        <v>1226</v>
      </c>
      <c r="D33" s="63" t="s">
        <v>78</v>
      </c>
      <c r="E33" s="21">
        <v>11.118</v>
      </c>
      <c r="F33" s="102" t="s">
        <v>294</v>
      </c>
      <c r="G33" s="14" t="s">
        <v>2069</v>
      </c>
      <c r="H33" s="1" t="s">
        <v>1202</v>
      </c>
      <c r="I33" s="61">
        <v>45111</v>
      </c>
    </row>
    <row r="34" spans="1:9">
      <c r="A34" s="15" t="s">
        <v>2070</v>
      </c>
      <c r="B34" s="61">
        <v>45167</v>
      </c>
      <c r="C34" s="6" t="s">
        <v>1226</v>
      </c>
      <c r="D34" s="63" t="s">
        <v>78</v>
      </c>
      <c r="E34" s="21">
        <f>1.816+12.125</f>
        <v>13.941000000000001</v>
      </c>
      <c r="F34" s="102" t="s">
        <v>294</v>
      </c>
      <c r="G34" s="14" t="s">
        <v>2071</v>
      </c>
      <c r="H34" s="1" t="s">
        <v>1112</v>
      </c>
      <c r="I34" s="61">
        <v>45111</v>
      </c>
    </row>
    <row r="35" spans="1:9">
      <c r="A35" s="15" t="s">
        <v>2072</v>
      </c>
      <c r="B35" s="61">
        <v>45167</v>
      </c>
      <c r="C35" s="6" t="s">
        <v>1226</v>
      </c>
      <c r="D35" s="63" t="s">
        <v>78</v>
      </c>
      <c r="E35" s="21">
        <v>7.8789999999999996</v>
      </c>
      <c r="F35" s="102" t="s">
        <v>294</v>
      </c>
      <c r="G35" s="14" t="s">
        <v>2073</v>
      </c>
      <c r="H35" s="1" t="s">
        <v>1593</v>
      </c>
      <c r="I35" s="61">
        <v>45135</v>
      </c>
    </row>
    <row r="36" spans="1:9">
      <c r="A36" s="15"/>
      <c r="B36" s="61"/>
      <c r="C36" s="6"/>
      <c r="D36" s="63"/>
      <c r="E36" s="41">
        <f>SUM(E28:E35)</f>
        <v>66.113</v>
      </c>
      <c r="F36" s="24"/>
      <c r="G36" s="1"/>
      <c r="H36" s="1"/>
      <c r="I36" s="109"/>
    </row>
    <row r="37" spans="1:9">
      <c r="A37" s="15" t="s">
        <v>2074</v>
      </c>
      <c r="B37" s="61">
        <v>45168</v>
      </c>
      <c r="C37" s="6" t="s">
        <v>2075</v>
      </c>
      <c r="D37" s="63" t="s">
        <v>78</v>
      </c>
      <c r="E37" s="21">
        <v>10.592000000000001</v>
      </c>
      <c r="F37" s="24" t="s">
        <v>392</v>
      </c>
      <c r="G37" s="1" t="s">
        <v>2076</v>
      </c>
      <c r="H37" s="1" t="s">
        <v>1681</v>
      </c>
      <c r="I37" s="61">
        <v>45135</v>
      </c>
    </row>
    <row r="38" spans="1:9">
      <c r="A38" s="15" t="s">
        <v>2079</v>
      </c>
      <c r="B38" s="61">
        <v>45168</v>
      </c>
      <c r="C38" s="6" t="s">
        <v>1317</v>
      </c>
      <c r="D38" s="63" t="s">
        <v>78</v>
      </c>
      <c r="E38" s="21">
        <v>3.65</v>
      </c>
      <c r="F38" s="24" t="s">
        <v>392</v>
      </c>
      <c r="G38" s="1" t="s">
        <v>2078</v>
      </c>
      <c r="H38" s="1" t="s">
        <v>1593</v>
      </c>
      <c r="I38" s="61">
        <v>45135</v>
      </c>
    </row>
    <row r="39" spans="1:9">
      <c r="A39" s="15" t="s">
        <v>2077</v>
      </c>
      <c r="B39" s="61">
        <v>45168</v>
      </c>
      <c r="C39" s="6" t="s">
        <v>1478</v>
      </c>
      <c r="D39" s="63" t="s">
        <v>78</v>
      </c>
      <c r="E39" s="21">
        <v>11.22</v>
      </c>
      <c r="F39" s="24" t="s">
        <v>392</v>
      </c>
      <c r="G39" s="1" t="s">
        <v>2078</v>
      </c>
      <c r="H39" s="1" t="s">
        <v>2066</v>
      </c>
      <c r="I39" s="110">
        <v>45150</v>
      </c>
    </row>
    <row r="40" spans="1:9">
      <c r="A40" s="15" t="s">
        <v>2077</v>
      </c>
      <c r="B40" s="61">
        <v>45168</v>
      </c>
      <c r="C40" s="6" t="s">
        <v>1753</v>
      </c>
      <c r="D40" s="63" t="s">
        <v>78</v>
      </c>
      <c r="E40" s="21">
        <v>6.0540000000000003</v>
      </c>
      <c r="F40" s="24" t="s">
        <v>392</v>
      </c>
      <c r="G40" s="1" t="s">
        <v>2078</v>
      </c>
      <c r="H40" s="1" t="s">
        <v>2066</v>
      </c>
      <c r="I40" s="110">
        <v>45150</v>
      </c>
    </row>
    <row r="41" spans="1:9">
      <c r="A41" s="15"/>
      <c r="B41" s="61"/>
      <c r="C41" s="6"/>
      <c r="D41" s="1"/>
      <c r="E41" s="41">
        <f>SUM(E37:E40)</f>
        <v>31.516000000000005</v>
      </c>
      <c r="F41" s="24"/>
      <c r="G41" s="1"/>
      <c r="H41" s="1"/>
      <c r="I41" s="109"/>
    </row>
    <row r="42" spans="1:9">
      <c r="A42" s="15" t="s">
        <v>2094</v>
      </c>
      <c r="B42" s="61">
        <v>45169</v>
      </c>
      <c r="C42" s="6" t="s">
        <v>1791</v>
      </c>
      <c r="D42" s="63" t="s">
        <v>78</v>
      </c>
      <c r="E42" s="21">
        <v>2.3319999999999999</v>
      </c>
      <c r="F42" s="24" t="s">
        <v>392</v>
      </c>
      <c r="G42" s="1" t="s">
        <v>2095</v>
      </c>
      <c r="H42" s="1" t="s">
        <v>1681</v>
      </c>
      <c r="I42" s="61">
        <v>45135</v>
      </c>
    </row>
    <row r="43" spans="1:9">
      <c r="A43" s="15" t="s">
        <v>2094</v>
      </c>
      <c r="B43" s="61">
        <v>45169</v>
      </c>
      <c r="C43" s="6" t="s">
        <v>1756</v>
      </c>
      <c r="D43" s="63" t="s">
        <v>78</v>
      </c>
      <c r="E43" s="21">
        <v>0.65600000000000003</v>
      </c>
      <c r="F43" s="24" t="s">
        <v>392</v>
      </c>
      <c r="G43" s="1" t="s">
        <v>2095</v>
      </c>
      <c r="H43" s="1" t="s">
        <v>1681</v>
      </c>
      <c r="I43" s="61">
        <v>45135</v>
      </c>
    </row>
    <row r="44" spans="1:9">
      <c r="A44" s="15" t="s">
        <v>2096</v>
      </c>
      <c r="B44" s="61">
        <v>45169</v>
      </c>
      <c r="C44" s="6" t="s">
        <v>1245</v>
      </c>
      <c r="D44" s="63" t="s">
        <v>78</v>
      </c>
      <c r="E44" s="21">
        <v>1.1539999999999999</v>
      </c>
      <c r="F44" s="24" t="s">
        <v>392</v>
      </c>
      <c r="G44" s="1" t="s">
        <v>2097</v>
      </c>
      <c r="H44" s="1" t="s">
        <v>2066</v>
      </c>
      <c r="I44" s="110">
        <v>45150</v>
      </c>
    </row>
    <row r="45" spans="1:9">
      <c r="A45" s="15" t="s">
        <v>2096</v>
      </c>
      <c r="B45" s="61">
        <v>45169</v>
      </c>
      <c r="C45" s="6" t="s">
        <v>1226</v>
      </c>
      <c r="D45" s="63" t="s">
        <v>78</v>
      </c>
      <c r="E45" s="21">
        <v>2.629</v>
      </c>
      <c r="F45" s="24" t="s">
        <v>392</v>
      </c>
      <c r="G45" s="1" t="s">
        <v>2097</v>
      </c>
      <c r="H45" s="1" t="s">
        <v>2066</v>
      </c>
      <c r="I45" s="110">
        <v>45150</v>
      </c>
    </row>
    <row r="46" spans="1:9">
      <c r="A46" s="15" t="s">
        <v>2099</v>
      </c>
      <c r="B46" s="61">
        <v>45169</v>
      </c>
      <c r="C46" s="6" t="s">
        <v>1226</v>
      </c>
      <c r="D46" s="63" t="s">
        <v>78</v>
      </c>
      <c r="E46" s="21">
        <v>2.2189999999999999</v>
      </c>
      <c r="F46" s="24" t="s">
        <v>392</v>
      </c>
      <c r="G46" s="1" t="s">
        <v>2098</v>
      </c>
      <c r="H46" s="1" t="s">
        <v>1593</v>
      </c>
      <c r="I46" s="61">
        <v>45135</v>
      </c>
    </row>
    <row r="47" spans="1:9">
      <c r="A47" s="15" t="s">
        <v>2099</v>
      </c>
      <c r="B47" s="61">
        <v>45169</v>
      </c>
      <c r="C47" s="6" t="s">
        <v>1317</v>
      </c>
      <c r="D47" s="63" t="s">
        <v>78</v>
      </c>
      <c r="E47" s="21">
        <v>1.2290000000000001</v>
      </c>
      <c r="F47" s="24" t="s">
        <v>392</v>
      </c>
      <c r="G47" s="1" t="s">
        <v>2098</v>
      </c>
      <c r="H47" s="1" t="s">
        <v>1593</v>
      </c>
      <c r="I47" s="61">
        <v>45135</v>
      </c>
    </row>
    <row r="48" spans="1:9">
      <c r="A48" s="15" t="s">
        <v>2099</v>
      </c>
      <c r="B48" s="61">
        <v>45169</v>
      </c>
      <c r="C48" s="6" t="s">
        <v>1768</v>
      </c>
      <c r="D48" s="63" t="s">
        <v>78</v>
      </c>
      <c r="E48" s="21">
        <v>1.9390000000000001</v>
      </c>
      <c r="F48" s="24" t="s">
        <v>392</v>
      </c>
      <c r="G48" s="1" t="s">
        <v>2098</v>
      </c>
      <c r="H48" s="1" t="s">
        <v>1593</v>
      </c>
      <c r="I48" s="61">
        <v>45135</v>
      </c>
    </row>
    <row r="49" spans="1:9">
      <c r="A49" s="15" t="s">
        <v>2099</v>
      </c>
      <c r="B49" s="61">
        <v>45169</v>
      </c>
      <c r="C49" s="6" t="s">
        <v>1251</v>
      </c>
      <c r="D49" s="63" t="s">
        <v>78</v>
      </c>
      <c r="E49" s="21">
        <v>5.5469999999999997</v>
      </c>
      <c r="F49" s="24" t="s">
        <v>392</v>
      </c>
      <c r="G49" s="1" t="s">
        <v>2098</v>
      </c>
      <c r="H49" s="1" t="s">
        <v>1593</v>
      </c>
      <c r="I49" s="61">
        <v>45135</v>
      </c>
    </row>
    <row r="50" spans="1:9">
      <c r="A50" s="15" t="s">
        <v>2100</v>
      </c>
      <c r="B50" s="61">
        <v>45169</v>
      </c>
      <c r="C50" s="6" t="s">
        <v>1705</v>
      </c>
      <c r="D50" s="63" t="s">
        <v>78</v>
      </c>
      <c r="E50" s="21">
        <v>0.28799999999999998</v>
      </c>
      <c r="F50" s="24" t="s">
        <v>392</v>
      </c>
      <c r="G50" s="1" t="s">
        <v>2098</v>
      </c>
      <c r="H50" s="1" t="s">
        <v>1858</v>
      </c>
      <c r="I50" s="110">
        <v>45150</v>
      </c>
    </row>
    <row r="51" spans="1:9">
      <c r="A51" s="15" t="s">
        <v>2100</v>
      </c>
      <c r="B51" s="61">
        <v>45169</v>
      </c>
      <c r="C51" s="6" t="s">
        <v>1695</v>
      </c>
      <c r="D51" s="63" t="s">
        <v>78</v>
      </c>
      <c r="E51" s="21">
        <v>0.17299999999999999</v>
      </c>
      <c r="F51" s="24" t="s">
        <v>392</v>
      </c>
      <c r="G51" s="1" t="s">
        <v>2098</v>
      </c>
      <c r="H51" s="1" t="s">
        <v>1858</v>
      </c>
      <c r="I51" s="110">
        <v>45150</v>
      </c>
    </row>
    <row r="52" spans="1:9">
      <c r="A52" s="15" t="s">
        <v>2101</v>
      </c>
      <c r="B52" s="61">
        <v>45169</v>
      </c>
      <c r="C52" s="6" t="s">
        <v>1478</v>
      </c>
      <c r="D52" s="63" t="s">
        <v>78</v>
      </c>
      <c r="E52" s="21">
        <v>11.163</v>
      </c>
      <c r="F52" s="24" t="s">
        <v>392</v>
      </c>
      <c r="G52" s="1" t="s">
        <v>2098</v>
      </c>
      <c r="H52" s="1" t="s">
        <v>2102</v>
      </c>
      <c r="I52" s="110">
        <v>45150</v>
      </c>
    </row>
    <row r="53" spans="1:9">
      <c r="A53" s="15" t="s">
        <v>2103</v>
      </c>
      <c r="B53" s="61">
        <v>45169</v>
      </c>
      <c r="C53" s="6" t="s">
        <v>1478</v>
      </c>
      <c r="D53" s="63" t="s">
        <v>78</v>
      </c>
      <c r="E53" s="21">
        <v>15.055999999999999</v>
      </c>
      <c r="F53" s="24" t="s">
        <v>116</v>
      </c>
      <c r="G53" s="1" t="s">
        <v>2104</v>
      </c>
      <c r="H53" s="1" t="s">
        <v>2102</v>
      </c>
      <c r="I53" s="110">
        <v>45150</v>
      </c>
    </row>
    <row r="54" spans="1:9">
      <c r="A54" s="15" t="s">
        <v>2103</v>
      </c>
      <c r="B54" s="61">
        <v>45169</v>
      </c>
      <c r="C54" s="6" t="s">
        <v>1753</v>
      </c>
      <c r="D54" s="63" t="s">
        <v>78</v>
      </c>
      <c r="E54" s="21">
        <v>9.2010000000000005</v>
      </c>
      <c r="F54" s="24" t="s">
        <v>116</v>
      </c>
      <c r="G54" s="1" t="s">
        <v>2104</v>
      </c>
      <c r="H54" s="1" t="s">
        <v>2102</v>
      </c>
      <c r="I54" s="110">
        <v>45150</v>
      </c>
    </row>
    <row r="55" spans="1:9">
      <c r="A55" s="15" t="s">
        <v>2105</v>
      </c>
      <c r="B55" s="61">
        <v>45169</v>
      </c>
      <c r="C55" s="6" t="s">
        <v>1256</v>
      </c>
      <c r="D55" s="63" t="s">
        <v>78</v>
      </c>
      <c r="E55" s="21">
        <v>8.1660000000000004</v>
      </c>
      <c r="F55" s="24" t="s">
        <v>116</v>
      </c>
      <c r="G55" s="1" t="s">
        <v>2106</v>
      </c>
      <c r="H55" s="1" t="s">
        <v>2066</v>
      </c>
      <c r="I55" s="110">
        <v>45150</v>
      </c>
    </row>
    <row r="56" spans="1:9">
      <c r="A56" s="15"/>
      <c r="B56" s="61"/>
      <c r="C56" s="6"/>
      <c r="D56" s="1"/>
      <c r="E56" s="53">
        <f>SUM(E42:E55)</f>
        <v>61.751999999999995</v>
      </c>
      <c r="F56" s="24"/>
      <c r="G56" s="1"/>
      <c r="H56" s="1"/>
      <c r="I56" s="109"/>
    </row>
    <row r="57" spans="1:9">
      <c r="A57" s="15" t="s">
        <v>2107</v>
      </c>
      <c r="B57" s="103">
        <v>45170</v>
      </c>
      <c r="C57" s="6" t="s">
        <v>1272</v>
      </c>
      <c r="D57" s="1" t="s">
        <v>11</v>
      </c>
      <c r="E57" s="21">
        <v>26.387</v>
      </c>
      <c r="F57" s="24" t="s">
        <v>2108</v>
      </c>
      <c r="G57" s="1" t="s">
        <v>2109</v>
      </c>
      <c r="H57" s="1" t="s">
        <v>1636</v>
      </c>
      <c r="I57" s="61">
        <v>45111</v>
      </c>
    </row>
    <row r="58" spans="1:9">
      <c r="A58" s="15" t="s">
        <v>2110</v>
      </c>
      <c r="B58" s="103">
        <v>45170</v>
      </c>
      <c r="C58" s="6" t="s">
        <v>1271</v>
      </c>
      <c r="D58" s="63" t="s">
        <v>78</v>
      </c>
      <c r="E58" s="21">
        <v>3.456</v>
      </c>
      <c r="F58" s="24" t="s">
        <v>97</v>
      </c>
      <c r="G58" s="1" t="s">
        <v>2111</v>
      </c>
      <c r="H58" s="1" t="s">
        <v>1202</v>
      </c>
      <c r="I58" s="61">
        <v>45111</v>
      </c>
    </row>
    <row r="59" spans="1:9">
      <c r="A59" s="15" t="s">
        <v>2112</v>
      </c>
      <c r="B59" s="103">
        <v>45170</v>
      </c>
      <c r="C59" s="6" t="s">
        <v>1478</v>
      </c>
      <c r="D59" s="63" t="s">
        <v>78</v>
      </c>
      <c r="E59" s="21">
        <v>2.8170000000000002</v>
      </c>
      <c r="F59" s="24" t="s">
        <v>97</v>
      </c>
      <c r="G59" s="1" t="s">
        <v>2111</v>
      </c>
      <c r="H59" s="1" t="s">
        <v>2102</v>
      </c>
      <c r="I59" s="110">
        <v>45150</v>
      </c>
    </row>
    <row r="60" spans="1:9">
      <c r="A60" s="15" t="s">
        <v>2113</v>
      </c>
      <c r="B60" s="103">
        <v>45170</v>
      </c>
      <c r="C60" s="6" t="s">
        <v>1256</v>
      </c>
      <c r="D60" s="63" t="s">
        <v>78</v>
      </c>
      <c r="E60" s="21">
        <v>12.385999999999999</v>
      </c>
      <c r="F60" s="24" t="s">
        <v>97</v>
      </c>
      <c r="G60" s="1" t="s">
        <v>2114</v>
      </c>
      <c r="H60" s="1" t="s">
        <v>2066</v>
      </c>
      <c r="I60" s="110">
        <v>45150</v>
      </c>
    </row>
    <row r="61" spans="1:9">
      <c r="A61" s="15" t="s">
        <v>2116</v>
      </c>
      <c r="B61" s="103">
        <v>45170</v>
      </c>
      <c r="C61" s="6" t="s">
        <v>2115</v>
      </c>
      <c r="D61" s="63" t="s">
        <v>78</v>
      </c>
      <c r="E61" s="21">
        <v>14.44</v>
      </c>
      <c r="F61" s="24" t="s">
        <v>97</v>
      </c>
      <c r="G61" s="14" t="s">
        <v>2117</v>
      </c>
      <c r="H61" s="1" t="s">
        <v>1681</v>
      </c>
      <c r="I61" s="110">
        <v>45141</v>
      </c>
    </row>
    <row r="62" spans="1:9">
      <c r="A62" s="15"/>
      <c r="B62" s="61"/>
      <c r="C62" s="6"/>
      <c r="D62" s="1"/>
      <c r="E62" s="41">
        <f>SUM(E57:E61)</f>
        <v>59.48599999999999</v>
      </c>
      <c r="F62" s="24"/>
      <c r="G62" s="1"/>
      <c r="H62" s="1"/>
      <c r="I62" s="109"/>
    </row>
    <row r="63" spans="1:9">
      <c r="A63" s="15" t="s">
        <v>2120</v>
      </c>
      <c r="B63" s="103">
        <v>45171</v>
      </c>
      <c r="C63" s="6" t="s">
        <v>1328</v>
      </c>
      <c r="D63" s="1" t="s">
        <v>11</v>
      </c>
      <c r="E63" s="21">
        <v>24.934000000000001</v>
      </c>
      <c r="F63" s="24" t="s">
        <v>2121</v>
      </c>
      <c r="G63" s="1" t="s">
        <v>2122</v>
      </c>
      <c r="H63" s="1" t="s">
        <v>1636</v>
      </c>
      <c r="I63" s="61">
        <v>45111</v>
      </c>
    </row>
    <row r="64" spans="1:9">
      <c r="A64" s="15" t="s">
        <v>2123</v>
      </c>
      <c r="B64" s="103">
        <v>45171</v>
      </c>
      <c r="C64" s="6" t="s">
        <v>1328</v>
      </c>
      <c r="D64" s="1" t="s">
        <v>11</v>
      </c>
      <c r="E64" s="21">
        <v>8.0120000000000005</v>
      </c>
      <c r="F64" s="24" t="s">
        <v>2124</v>
      </c>
      <c r="G64" s="1" t="s">
        <v>2125</v>
      </c>
      <c r="H64" s="1" t="s">
        <v>1636</v>
      </c>
      <c r="I64" s="61">
        <v>45111</v>
      </c>
    </row>
    <row r="65" spans="1:9">
      <c r="A65" s="15" t="s">
        <v>2123</v>
      </c>
      <c r="B65" s="103">
        <v>45171</v>
      </c>
      <c r="C65" s="6" t="s">
        <v>1272</v>
      </c>
      <c r="D65" s="1" t="s">
        <v>11</v>
      </c>
      <c r="E65" s="21">
        <v>16.683</v>
      </c>
      <c r="F65" s="24" t="s">
        <v>2124</v>
      </c>
      <c r="G65" s="1" t="s">
        <v>2125</v>
      </c>
      <c r="H65" s="1" t="s">
        <v>1636</v>
      </c>
      <c r="I65" s="61">
        <v>45111</v>
      </c>
    </row>
    <row r="66" spans="1:9">
      <c r="A66" s="15" t="s">
        <v>2126</v>
      </c>
      <c r="B66" s="103">
        <v>45171</v>
      </c>
      <c r="C66" s="6" t="s">
        <v>1365</v>
      </c>
      <c r="D66" s="1" t="s">
        <v>11</v>
      </c>
      <c r="E66" s="21">
        <v>24.489000000000001</v>
      </c>
      <c r="F66" s="24" t="s">
        <v>2127</v>
      </c>
      <c r="G66" s="1" t="s">
        <v>2128</v>
      </c>
      <c r="H66" s="1" t="s">
        <v>1636</v>
      </c>
      <c r="I66" s="61">
        <v>45111</v>
      </c>
    </row>
    <row r="67" spans="1:9">
      <c r="A67" s="15"/>
      <c r="B67" s="61"/>
      <c r="C67" s="6"/>
      <c r="D67" s="1"/>
      <c r="E67" s="53">
        <f>SUM(E63:E66)</f>
        <v>74.117999999999995</v>
      </c>
      <c r="F67" s="24"/>
      <c r="G67" s="1"/>
      <c r="H67" s="1"/>
      <c r="I67" s="109"/>
    </row>
    <row r="68" spans="1:9">
      <c r="A68" s="15" t="s">
        <v>2129</v>
      </c>
      <c r="B68" s="103">
        <v>45172</v>
      </c>
      <c r="C68" s="6" t="s">
        <v>1271</v>
      </c>
      <c r="D68" s="63" t="s">
        <v>78</v>
      </c>
      <c r="E68" s="21">
        <v>1.8819999999999999</v>
      </c>
      <c r="F68" s="24" t="s">
        <v>116</v>
      </c>
      <c r="G68" s="1" t="s">
        <v>2130</v>
      </c>
      <c r="H68" s="1" t="s">
        <v>1858</v>
      </c>
      <c r="I68" s="110">
        <v>45150</v>
      </c>
    </row>
    <row r="69" spans="1:9">
      <c r="A69" s="15" t="s">
        <v>2131</v>
      </c>
      <c r="B69" s="103">
        <v>45172</v>
      </c>
      <c r="C69" s="6" t="s">
        <v>1365</v>
      </c>
      <c r="D69" s="63" t="s">
        <v>78</v>
      </c>
      <c r="E69" s="21">
        <v>1.69</v>
      </c>
      <c r="F69" s="24" t="s">
        <v>116</v>
      </c>
      <c r="G69" s="1" t="s">
        <v>2130</v>
      </c>
      <c r="H69" s="1" t="s">
        <v>2132</v>
      </c>
      <c r="I69" s="110">
        <v>45150</v>
      </c>
    </row>
    <row r="70" spans="1:9">
      <c r="A70" s="15" t="s">
        <v>2133</v>
      </c>
      <c r="B70" s="103">
        <v>45172</v>
      </c>
      <c r="C70" s="6" t="s">
        <v>1753</v>
      </c>
      <c r="D70" s="63" t="s">
        <v>78</v>
      </c>
      <c r="E70" s="21">
        <v>0.873</v>
      </c>
      <c r="F70" s="24" t="s">
        <v>116</v>
      </c>
      <c r="G70" s="1" t="s">
        <v>2130</v>
      </c>
      <c r="H70" s="1" t="s">
        <v>2102</v>
      </c>
      <c r="I70" s="110">
        <v>45150</v>
      </c>
    </row>
    <row r="71" spans="1:9">
      <c r="A71" s="15" t="s">
        <v>2133</v>
      </c>
      <c r="B71" s="103">
        <v>45172</v>
      </c>
      <c r="C71" s="6" t="s">
        <v>1638</v>
      </c>
      <c r="D71" s="63" t="s">
        <v>78</v>
      </c>
      <c r="E71" s="21">
        <v>12.096</v>
      </c>
      <c r="F71" s="24" t="s">
        <v>116</v>
      </c>
      <c r="G71" s="1" t="s">
        <v>2130</v>
      </c>
      <c r="H71" s="1" t="s">
        <v>2102</v>
      </c>
      <c r="I71" s="110">
        <v>45150</v>
      </c>
    </row>
    <row r="72" spans="1:9">
      <c r="A72" s="15" t="s">
        <v>2134</v>
      </c>
      <c r="B72" s="103">
        <v>45172</v>
      </c>
      <c r="C72" s="6" t="s">
        <v>1256</v>
      </c>
      <c r="D72" s="63" t="s">
        <v>78</v>
      </c>
      <c r="E72" s="21">
        <v>6.5309999999999997</v>
      </c>
      <c r="F72" s="24" t="s">
        <v>116</v>
      </c>
      <c r="G72" s="1" t="s">
        <v>2135</v>
      </c>
      <c r="H72" s="1" t="s">
        <v>2066</v>
      </c>
      <c r="I72" s="110">
        <v>45150</v>
      </c>
    </row>
    <row r="73" spans="1:9">
      <c r="A73" s="15" t="s">
        <v>2136</v>
      </c>
      <c r="B73" s="103">
        <v>45172</v>
      </c>
      <c r="C73" s="6" t="s">
        <v>2115</v>
      </c>
      <c r="D73" s="63" t="s">
        <v>78</v>
      </c>
      <c r="E73" s="21">
        <v>6.3819999999999997</v>
      </c>
      <c r="F73" s="24" t="s">
        <v>116</v>
      </c>
      <c r="G73" s="1" t="s">
        <v>2137</v>
      </c>
      <c r="H73" s="1" t="s">
        <v>1681</v>
      </c>
      <c r="I73" s="110">
        <v>45141</v>
      </c>
    </row>
    <row r="74" spans="1:9">
      <c r="A74" s="15" t="s">
        <v>2139</v>
      </c>
      <c r="B74" s="103">
        <v>45172</v>
      </c>
      <c r="C74" s="6" t="s">
        <v>2138</v>
      </c>
      <c r="D74" s="63" t="s">
        <v>78</v>
      </c>
      <c r="E74" s="21">
        <v>1.9279999999999999</v>
      </c>
      <c r="F74" s="24" t="s">
        <v>116</v>
      </c>
      <c r="G74" s="1" t="s">
        <v>2137</v>
      </c>
      <c r="H74" s="1" t="s">
        <v>1593</v>
      </c>
      <c r="I74" s="61">
        <v>45135</v>
      </c>
    </row>
    <row r="75" spans="1:9">
      <c r="A75" s="15" t="s">
        <v>2139</v>
      </c>
      <c r="B75" s="103">
        <v>45172</v>
      </c>
      <c r="C75" s="6" t="s">
        <v>1271</v>
      </c>
      <c r="D75" s="63" t="s">
        <v>78</v>
      </c>
      <c r="E75" s="21">
        <v>0.48799999999999999</v>
      </c>
      <c r="F75" s="24" t="s">
        <v>116</v>
      </c>
      <c r="G75" s="1" t="s">
        <v>2137</v>
      </c>
      <c r="H75" s="1" t="s">
        <v>1593</v>
      </c>
      <c r="I75" s="61">
        <v>45135</v>
      </c>
    </row>
    <row r="76" spans="1:9">
      <c r="A76" s="15" t="s">
        <v>2140</v>
      </c>
      <c r="B76" s="103">
        <v>45172</v>
      </c>
      <c r="C76" s="6" t="s">
        <v>1365</v>
      </c>
      <c r="D76" s="1" t="s">
        <v>11</v>
      </c>
      <c r="E76" s="21">
        <v>24.715</v>
      </c>
      <c r="F76" s="24" t="s">
        <v>2142</v>
      </c>
      <c r="G76" s="1" t="s">
        <v>2141</v>
      </c>
      <c r="H76" s="1" t="s">
        <v>1636</v>
      </c>
      <c r="I76" s="61">
        <v>45111</v>
      </c>
    </row>
    <row r="77" spans="1:9">
      <c r="A77" s="15" t="s">
        <v>2143</v>
      </c>
      <c r="B77" s="103">
        <v>45172</v>
      </c>
      <c r="C77" s="6" t="s">
        <v>1294</v>
      </c>
      <c r="D77" s="1" t="s">
        <v>11</v>
      </c>
      <c r="E77" s="21">
        <v>24.504999999999999</v>
      </c>
      <c r="F77" s="24" t="s">
        <v>2144</v>
      </c>
      <c r="G77" s="1" t="s">
        <v>2145</v>
      </c>
      <c r="H77" s="1" t="s">
        <v>1636</v>
      </c>
      <c r="I77" s="61">
        <v>45111</v>
      </c>
    </row>
    <row r="78" spans="1:9">
      <c r="A78" s="15" t="s">
        <v>2146</v>
      </c>
      <c r="B78" s="103">
        <v>45172</v>
      </c>
      <c r="C78" s="6" t="s">
        <v>1365</v>
      </c>
      <c r="D78" s="1" t="s">
        <v>11</v>
      </c>
      <c r="E78" s="21">
        <v>18.876000000000001</v>
      </c>
      <c r="F78" s="24" t="s">
        <v>2147</v>
      </c>
      <c r="G78" s="1" t="s">
        <v>2148</v>
      </c>
      <c r="H78" s="1" t="s">
        <v>1636</v>
      </c>
      <c r="I78" s="61">
        <v>45111</v>
      </c>
    </row>
    <row r="79" spans="1:9">
      <c r="A79" s="15" t="s">
        <v>2146</v>
      </c>
      <c r="B79" s="103">
        <v>45172</v>
      </c>
      <c r="C79" s="6" t="s">
        <v>1328</v>
      </c>
      <c r="D79" s="1" t="s">
        <v>11</v>
      </c>
      <c r="E79" s="21">
        <v>6.181</v>
      </c>
      <c r="F79" s="24" t="s">
        <v>2147</v>
      </c>
      <c r="G79" s="1" t="s">
        <v>2148</v>
      </c>
      <c r="H79" s="1" t="s">
        <v>1636</v>
      </c>
      <c r="I79" s="61">
        <v>45111</v>
      </c>
    </row>
    <row r="80" spans="1:9">
      <c r="A80" s="15"/>
      <c r="B80" s="61"/>
      <c r="C80" s="6"/>
      <c r="D80" s="1"/>
      <c r="E80" s="41">
        <f>SUM(E68:E79)</f>
        <v>106.14700000000001</v>
      </c>
      <c r="F80" s="24"/>
      <c r="G80" s="1"/>
      <c r="H80" s="1"/>
      <c r="I80" s="109"/>
    </row>
    <row r="81" spans="1:9">
      <c r="A81" s="15" t="s">
        <v>2149</v>
      </c>
      <c r="B81" s="103">
        <v>45173</v>
      </c>
      <c r="C81" s="6" t="s">
        <v>1638</v>
      </c>
      <c r="D81" s="63" t="s">
        <v>78</v>
      </c>
      <c r="E81" s="21">
        <v>20.622</v>
      </c>
      <c r="F81" s="24" t="s">
        <v>294</v>
      </c>
      <c r="G81" s="1" t="s">
        <v>2150</v>
      </c>
      <c r="H81" s="1" t="s">
        <v>2102</v>
      </c>
      <c r="I81" s="110">
        <v>45150</v>
      </c>
    </row>
    <row r="82" spans="1:9">
      <c r="A82" s="15" t="s">
        <v>2151</v>
      </c>
      <c r="B82" s="103">
        <v>45173</v>
      </c>
      <c r="C82" s="6" t="s">
        <v>1695</v>
      </c>
      <c r="D82" s="63" t="s">
        <v>78</v>
      </c>
      <c r="E82" s="21">
        <v>1.0369999999999999</v>
      </c>
      <c r="F82" s="24" t="s">
        <v>294</v>
      </c>
      <c r="G82" s="1" t="s">
        <v>2152</v>
      </c>
      <c r="H82" s="1" t="s">
        <v>2153</v>
      </c>
      <c r="I82" s="110">
        <v>45166</v>
      </c>
    </row>
    <row r="83" spans="1:9">
      <c r="A83" s="15" t="s">
        <v>2154</v>
      </c>
      <c r="B83" s="103">
        <v>45173</v>
      </c>
      <c r="C83" s="6" t="s">
        <v>1695</v>
      </c>
      <c r="D83" s="63" t="s">
        <v>78</v>
      </c>
      <c r="E83" s="21">
        <v>10.362</v>
      </c>
      <c r="F83" s="24" t="s">
        <v>294</v>
      </c>
      <c r="G83" s="1" t="s">
        <v>2152</v>
      </c>
      <c r="H83" s="1" t="s">
        <v>1681</v>
      </c>
      <c r="I83" s="110">
        <v>45141</v>
      </c>
    </row>
    <row r="84" spans="1:9">
      <c r="A84" s="15" t="s">
        <v>2155</v>
      </c>
      <c r="B84" s="103">
        <v>45173</v>
      </c>
      <c r="C84" s="6" t="s">
        <v>1272</v>
      </c>
      <c r="D84" s="1" t="s">
        <v>11</v>
      </c>
      <c r="E84" s="21">
        <v>7.2560000000000002</v>
      </c>
      <c r="F84" s="24" t="s">
        <v>2156</v>
      </c>
      <c r="G84" s="1" t="s">
        <v>2157</v>
      </c>
      <c r="H84" s="1" t="s">
        <v>1636</v>
      </c>
      <c r="I84" s="61">
        <v>45111</v>
      </c>
    </row>
    <row r="85" spans="1:9">
      <c r="A85" s="15" t="s">
        <v>2155</v>
      </c>
      <c r="B85" s="103">
        <v>45173</v>
      </c>
      <c r="C85" s="6" t="s">
        <v>1328</v>
      </c>
      <c r="D85" s="1" t="s">
        <v>11</v>
      </c>
      <c r="E85" s="21">
        <v>10.047000000000001</v>
      </c>
      <c r="F85" s="24" t="s">
        <v>2156</v>
      </c>
      <c r="G85" s="1" t="s">
        <v>2157</v>
      </c>
      <c r="H85" s="1" t="s">
        <v>1636</v>
      </c>
      <c r="I85" s="61">
        <v>45111</v>
      </c>
    </row>
    <row r="86" spans="1:9">
      <c r="A86" s="15" t="s">
        <v>2158</v>
      </c>
      <c r="B86" s="103">
        <v>45173</v>
      </c>
      <c r="C86" s="6" t="s">
        <v>2115</v>
      </c>
      <c r="D86" s="1" t="s">
        <v>11</v>
      </c>
      <c r="E86" s="21">
        <v>7.048</v>
      </c>
      <c r="F86" s="24" t="s">
        <v>2156</v>
      </c>
      <c r="G86" s="1" t="s">
        <v>2159</v>
      </c>
      <c r="H86" s="1" t="s">
        <v>1641</v>
      </c>
      <c r="I86" s="110">
        <v>45141</v>
      </c>
    </row>
    <row r="87" spans="1:9">
      <c r="A87" s="15" t="s">
        <v>2164</v>
      </c>
      <c r="B87" s="103">
        <v>45173</v>
      </c>
      <c r="C87" s="6" t="s">
        <v>1500</v>
      </c>
      <c r="D87" s="1" t="s">
        <v>11</v>
      </c>
      <c r="E87" s="21">
        <v>15.829000000000001</v>
      </c>
      <c r="F87" s="24" t="s">
        <v>2165</v>
      </c>
      <c r="G87" s="1" t="s">
        <v>2167</v>
      </c>
      <c r="H87" s="1" t="s">
        <v>1636</v>
      </c>
      <c r="I87" s="61">
        <v>45111</v>
      </c>
    </row>
    <row r="88" spans="1:9">
      <c r="A88" s="15" t="s">
        <v>2164</v>
      </c>
      <c r="B88" s="103">
        <v>45173</v>
      </c>
      <c r="C88" s="6" t="s">
        <v>1365</v>
      </c>
      <c r="D88" s="1" t="s">
        <v>11</v>
      </c>
      <c r="E88" s="21">
        <v>2.7210000000000001</v>
      </c>
      <c r="F88" s="24" t="s">
        <v>2165</v>
      </c>
      <c r="G88" s="1" t="s">
        <v>2167</v>
      </c>
      <c r="H88" s="1" t="s">
        <v>1636</v>
      </c>
      <c r="I88" s="61">
        <v>45111</v>
      </c>
    </row>
    <row r="89" spans="1:9">
      <c r="A89" s="15" t="s">
        <v>2166</v>
      </c>
      <c r="B89" s="103">
        <v>45173</v>
      </c>
      <c r="C89" s="6" t="s">
        <v>2075</v>
      </c>
      <c r="D89" s="1" t="s">
        <v>11</v>
      </c>
      <c r="E89" s="21">
        <v>6.2409999999999997</v>
      </c>
      <c r="F89" s="24" t="s">
        <v>2165</v>
      </c>
      <c r="G89" s="1" t="s">
        <v>2168</v>
      </c>
      <c r="H89" s="1" t="s">
        <v>1641</v>
      </c>
      <c r="I89" s="110">
        <v>45141</v>
      </c>
    </row>
    <row r="90" spans="1:9">
      <c r="A90" s="15"/>
      <c r="B90" s="61"/>
      <c r="C90" s="6"/>
      <c r="D90" s="1"/>
      <c r="E90" s="53">
        <f>SUM(E81:E89)</f>
        <v>81.162999999999997</v>
      </c>
      <c r="F90" s="24"/>
      <c r="G90" s="1"/>
      <c r="H90" s="1"/>
      <c r="I90" s="109"/>
    </row>
    <row r="91" spans="1:9">
      <c r="A91" s="15" t="s">
        <v>2169</v>
      </c>
      <c r="B91" s="103">
        <v>45174</v>
      </c>
      <c r="C91" s="6" t="s">
        <v>1328</v>
      </c>
      <c r="D91" s="1" t="s">
        <v>11</v>
      </c>
      <c r="E91" s="21">
        <v>4.4269999999999996</v>
      </c>
      <c r="F91" s="24" t="s">
        <v>2170</v>
      </c>
      <c r="G91" s="1" t="s">
        <v>2171</v>
      </c>
      <c r="H91" s="1" t="s">
        <v>1636</v>
      </c>
      <c r="I91" s="61">
        <v>45111</v>
      </c>
    </row>
    <row r="92" spans="1:9">
      <c r="A92" s="15" t="s">
        <v>2169</v>
      </c>
      <c r="B92" s="103">
        <v>45174</v>
      </c>
      <c r="C92" s="6" t="s">
        <v>1294</v>
      </c>
      <c r="D92" s="1" t="s">
        <v>11</v>
      </c>
      <c r="E92" s="21">
        <v>5.3259999999999996</v>
      </c>
      <c r="F92" s="24" t="s">
        <v>2170</v>
      </c>
      <c r="G92" s="1" t="s">
        <v>2171</v>
      </c>
      <c r="H92" s="1" t="s">
        <v>1636</v>
      </c>
      <c r="I92" s="61">
        <v>45111</v>
      </c>
    </row>
    <row r="93" spans="1:9">
      <c r="A93" s="15" t="s">
        <v>2169</v>
      </c>
      <c r="B93" s="103">
        <v>45174</v>
      </c>
      <c r="C93" s="6" t="s">
        <v>1271</v>
      </c>
      <c r="D93" s="1" t="s">
        <v>11</v>
      </c>
      <c r="E93" s="21">
        <v>1.718</v>
      </c>
      <c r="F93" s="24" t="s">
        <v>2170</v>
      </c>
      <c r="G93" s="1" t="s">
        <v>2171</v>
      </c>
      <c r="H93" s="1" t="s">
        <v>1636</v>
      </c>
      <c r="I93" s="61">
        <v>45111</v>
      </c>
    </row>
    <row r="94" spans="1:9">
      <c r="A94" s="15" t="s">
        <v>2169</v>
      </c>
      <c r="B94" s="103">
        <v>45174</v>
      </c>
      <c r="C94" s="6" t="s">
        <v>1701</v>
      </c>
      <c r="D94" s="1" t="s">
        <v>11</v>
      </c>
      <c r="E94" s="21">
        <v>11.081</v>
      </c>
      <c r="F94" s="24" t="s">
        <v>2170</v>
      </c>
      <c r="G94" s="1" t="s">
        <v>2171</v>
      </c>
      <c r="H94" s="1" t="s">
        <v>1636</v>
      </c>
      <c r="I94" s="61">
        <v>45111</v>
      </c>
    </row>
    <row r="95" spans="1:9">
      <c r="A95" s="15" t="s">
        <v>2172</v>
      </c>
      <c r="B95" s="103">
        <v>45174</v>
      </c>
      <c r="C95" s="6" t="s">
        <v>1701</v>
      </c>
      <c r="D95" s="1" t="s">
        <v>11</v>
      </c>
      <c r="E95" s="21">
        <v>0.98299999999999998</v>
      </c>
      <c r="F95" s="24" t="s">
        <v>2170</v>
      </c>
      <c r="G95" s="1" t="s">
        <v>2171</v>
      </c>
      <c r="H95" s="1" t="s">
        <v>1385</v>
      </c>
      <c r="I95" s="61">
        <v>45111</v>
      </c>
    </row>
    <row r="96" spans="1:9">
      <c r="A96" s="15" t="s">
        <v>2173</v>
      </c>
      <c r="B96" s="103">
        <v>45174</v>
      </c>
      <c r="C96" s="6" t="s">
        <v>1705</v>
      </c>
      <c r="D96" s="1" t="s">
        <v>11</v>
      </c>
      <c r="E96" s="21">
        <v>0.78</v>
      </c>
      <c r="F96" s="24" t="s">
        <v>2170</v>
      </c>
      <c r="G96" s="1" t="s">
        <v>2171</v>
      </c>
      <c r="H96" s="1" t="s">
        <v>1641</v>
      </c>
      <c r="I96" s="110">
        <v>45141</v>
      </c>
    </row>
    <row r="97" spans="1:9">
      <c r="A97" s="15" t="s">
        <v>2174</v>
      </c>
      <c r="B97" s="103">
        <v>45174</v>
      </c>
      <c r="C97" s="6" t="s">
        <v>1638</v>
      </c>
      <c r="D97" s="63" t="s">
        <v>78</v>
      </c>
      <c r="E97" s="21">
        <f>2.991+21.168</f>
        <v>24.158999999999999</v>
      </c>
      <c r="F97" s="24" t="s">
        <v>116</v>
      </c>
      <c r="G97" s="1" t="s">
        <v>2175</v>
      </c>
      <c r="H97" s="1" t="s">
        <v>2102</v>
      </c>
      <c r="I97" s="110">
        <v>45150</v>
      </c>
    </row>
    <row r="98" spans="1:9">
      <c r="A98" s="15" t="s">
        <v>2176</v>
      </c>
      <c r="B98" s="103">
        <v>45174</v>
      </c>
      <c r="C98" s="6" t="s">
        <v>2075</v>
      </c>
      <c r="D98" s="63" t="s">
        <v>78</v>
      </c>
      <c r="E98" s="21">
        <v>2.141</v>
      </c>
      <c r="F98" s="24" t="s">
        <v>116</v>
      </c>
      <c r="G98" s="1" t="s">
        <v>2177</v>
      </c>
      <c r="H98" s="1" t="s">
        <v>1681</v>
      </c>
      <c r="I98" s="110">
        <v>45141</v>
      </c>
    </row>
    <row r="99" spans="1:9">
      <c r="A99" s="15" t="s">
        <v>2178</v>
      </c>
      <c r="B99" s="103">
        <v>45174</v>
      </c>
      <c r="C99" s="6" t="s">
        <v>2115</v>
      </c>
      <c r="D99" s="63" t="s">
        <v>78</v>
      </c>
      <c r="E99" s="21">
        <v>4.742</v>
      </c>
      <c r="F99" s="24" t="s">
        <v>116</v>
      </c>
      <c r="G99" s="1" t="s">
        <v>2177</v>
      </c>
      <c r="H99" s="1" t="s">
        <v>2030</v>
      </c>
      <c r="I99" s="110">
        <v>45141</v>
      </c>
    </row>
    <row r="100" spans="1:9">
      <c r="A100" s="15" t="s">
        <v>2179</v>
      </c>
      <c r="B100" s="103">
        <v>45174</v>
      </c>
      <c r="C100" s="6" t="s">
        <v>2115</v>
      </c>
      <c r="D100" s="63" t="s">
        <v>78</v>
      </c>
      <c r="E100" s="21">
        <f>1.929+13.676</f>
        <v>15.605</v>
      </c>
      <c r="F100" s="24" t="s">
        <v>1243</v>
      </c>
      <c r="G100" s="1" t="s">
        <v>2180</v>
      </c>
      <c r="H100" s="1" t="s">
        <v>2030</v>
      </c>
      <c r="I100" s="110">
        <v>45141</v>
      </c>
    </row>
    <row r="101" spans="1:9">
      <c r="A101" s="15" t="s">
        <v>2181</v>
      </c>
      <c r="B101" s="103">
        <v>45174</v>
      </c>
      <c r="C101" s="6" t="s">
        <v>2182</v>
      </c>
      <c r="D101" s="63" t="s">
        <v>78</v>
      </c>
      <c r="E101" s="21">
        <v>6.2140000000000004</v>
      </c>
      <c r="F101" s="24" t="s">
        <v>1243</v>
      </c>
      <c r="G101" s="1" t="s">
        <v>2183</v>
      </c>
      <c r="H101" s="1" t="s">
        <v>1681</v>
      </c>
      <c r="I101" s="110">
        <v>45141</v>
      </c>
    </row>
    <row r="102" spans="1:9">
      <c r="A102" s="15" t="s">
        <v>2184</v>
      </c>
      <c r="B102" s="103">
        <v>45174</v>
      </c>
      <c r="C102" s="6" t="s">
        <v>1500</v>
      </c>
      <c r="D102" s="63" t="s">
        <v>78</v>
      </c>
      <c r="E102" s="21">
        <v>10.746</v>
      </c>
      <c r="F102" s="24" t="s">
        <v>1243</v>
      </c>
      <c r="G102" s="14" t="s">
        <v>2183</v>
      </c>
      <c r="H102" s="1" t="s">
        <v>2102</v>
      </c>
      <c r="I102" s="110">
        <v>45150</v>
      </c>
    </row>
    <row r="103" spans="1:9">
      <c r="A103" s="15" t="s">
        <v>2185</v>
      </c>
      <c r="B103" s="103">
        <v>45174</v>
      </c>
      <c r="C103" s="6" t="s">
        <v>1365</v>
      </c>
      <c r="D103" s="1" t="s">
        <v>11</v>
      </c>
      <c r="E103" s="21">
        <v>4.5460000000000003</v>
      </c>
      <c r="F103" s="24" t="s">
        <v>2186</v>
      </c>
      <c r="G103" s="1" t="s">
        <v>2187</v>
      </c>
      <c r="H103" s="1" t="s">
        <v>1636</v>
      </c>
      <c r="I103" s="61">
        <v>45111</v>
      </c>
    </row>
    <row r="104" spans="1:9">
      <c r="A104" s="15" t="s">
        <v>2185</v>
      </c>
      <c r="B104" s="103">
        <v>45174</v>
      </c>
      <c r="C104" s="6" t="s">
        <v>1500</v>
      </c>
      <c r="D104" s="1" t="s">
        <v>11</v>
      </c>
      <c r="E104" s="21">
        <f>4.775+14.93</f>
        <v>19.704999999999998</v>
      </c>
      <c r="F104" s="24" t="s">
        <v>2186</v>
      </c>
      <c r="G104" s="1" t="s">
        <v>2187</v>
      </c>
      <c r="H104" s="1" t="s">
        <v>1636</v>
      </c>
      <c r="I104" s="61">
        <v>45111</v>
      </c>
    </row>
    <row r="105" spans="1:9">
      <c r="A105" s="15"/>
      <c r="B105" s="61"/>
      <c r="C105" s="6"/>
      <c r="D105" s="1"/>
      <c r="E105" s="41">
        <f>SUM(E91:E104)</f>
        <v>112.173</v>
      </c>
      <c r="F105" s="24"/>
      <c r="G105" s="1"/>
      <c r="H105" s="1"/>
      <c r="I105" s="109"/>
    </row>
    <row r="106" spans="1:9">
      <c r="A106" s="66" t="s">
        <v>2188</v>
      </c>
      <c r="B106" s="103">
        <v>45175</v>
      </c>
      <c r="C106" s="13" t="s">
        <v>1365</v>
      </c>
      <c r="D106" s="13" t="s">
        <v>11</v>
      </c>
      <c r="E106" s="104">
        <v>8.4529999999999994</v>
      </c>
      <c r="F106" s="14" t="s">
        <v>2189</v>
      </c>
      <c r="G106" s="13" t="s">
        <v>2190</v>
      </c>
      <c r="H106" s="13" t="s">
        <v>1636</v>
      </c>
      <c r="I106" s="103">
        <v>45111</v>
      </c>
    </row>
    <row r="107" spans="1:9">
      <c r="A107" s="66" t="s">
        <v>2188</v>
      </c>
      <c r="B107" s="103">
        <v>45175</v>
      </c>
      <c r="C107" s="13" t="s">
        <v>1500</v>
      </c>
      <c r="D107" s="13" t="s">
        <v>11</v>
      </c>
      <c r="E107" s="104">
        <v>7.5679999999999996</v>
      </c>
      <c r="F107" s="14" t="s">
        <v>2189</v>
      </c>
      <c r="G107" s="13" t="s">
        <v>2190</v>
      </c>
      <c r="H107" s="13" t="s">
        <v>1636</v>
      </c>
      <c r="I107" s="103">
        <v>45111</v>
      </c>
    </row>
    <row r="108" spans="1:9" ht="15.75">
      <c r="A108" s="66" t="s">
        <v>2191</v>
      </c>
      <c r="B108" s="103">
        <v>45175</v>
      </c>
      <c r="C108" s="13" t="s">
        <v>2182</v>
      </c>
      <c r="D108" s="13" t="s">
        <v>11</v>
      </c>
      <c r="E108" s="107">
        <v>8.5749999999999993</v>
      </c>
      <c r="F108" s="14" t="s">
        <v>2189</v>
      </c>
      <c r="G108" s="13" t="s">
        <v>2190</v>
      </c>
      <c r="H108" s="13" t="s">
        <v>1641</v>
      </c>
      <c r="I108" s="111">
        <v>45141</v>
      </c>
    </row>
    <row r="109" spans="1:9" ht="15.75">
      <c r="A109" s="66"/>
      <c r="B109" s="103"/>
      <c r="C109" s="106"/>
      <c r="D109" s="13"/>
      <c r="E109" s="58">
        <f>SUM(E106:E108)</f>
        <v>24.596</v>
      </c>
      <c r="F109" s="14"/>
      <c r="G109" s="13"/>
      <c r="H109" s="13"/>
      <c r="I109" s="105"/>
    </row>
    <row r="110" spans="1:9">
      <c r="A110" s="66" t="s">
        <v>2203</v>
      </c>
      <c r="B110" s="103">
        <v>45176</v>
      </c>
      <c r="C110" s="13" t="s">
        <v>1365</v>
      </c>
      <c r="D110" s="13" t="s">
        <v>11</v>
      </c>
      <c r="E110" s="104">
        <v>24.539000000000001</v>
      </c>
      <c r="F110" s="24" t="s">
        <v>2204</v>
      </c>
      <c r="G110" s="1" t="s">
        <v>2205</v>
      </c>
      <c r="H110" s="13" t="s">
        <v>1636</v>
      </c>
      <c r="I110" s="103">
        <v>45111</v>
      </c>
    </row>
    <row r="111" spans="1:9">
      <c r="A111" s="66" t="s">
        <v>2206</v>
      </c>
      <c r="B111" s="103">
        <v>45176</v>
      </c>
      <c r="C111" s="13" t="s">
        <v>1377</v>
      </c>
      <c r="D111" s="63" t="s">
        <v>78</v>
      </c>
      <c r="E111" s="104">
        <v>0.38600000000000001</v>
      </c>
      <c r="F111" s="24" t="s">
        <v>267</v>
      </c>
      <c r="G111" s="1" t="s">
        <v>2207</v>
      </c>
      <c r="H111" s="1" t="s">
        <v>2208</v>
      </c>
      <c r="I111" s="61">
        <v>45135</v>
      </c>
    </row>
    <row r="112" spans="1:9">
      <c r="A112" s="66" t="s">
        <v>2206</v>
      </c>
      <c r="B112" s="103">
        <v>45176</v>
      </c>
      <c r="C112" s="13" t="s">
        <v>1387</v>
      </c>
      <c r="D112" s="63" t="s">
        <v>78</v>
      </c>
      <c r="E112" s="104">
        <v>3.5339999999999998</v>
      </c>
      <c r="F112" s="24" t="s">
        <v>267</v>
      </c>
      <c r="G112" s="1" t="s">
        <v>2207</v>
      </c>
      <c r="H112" s="1" t="s">
        <v>2208</v>
      </c>
      <c r="I112" s="61">
        <v>45135</v>
      </c>
    </row>
    <row r="113" spans="1:9">
      <c r="A113" s="66" t="s">
        <v>2206</v>
      </c>
      <c r="B113" s="103">
        <v>45176</v>
      </c>
      <c r="C113" s="13" t="s">
        <v>1355</v>
      </c>
      <c r="D113" s="63" t="s">
        <v>78</v>
      </c>
      <c r="E113" s="104">
        <v>0.214</v>
      </c>
      <c r="F113" s="24" t="s">
        <v>267</v>
      </c>
      <c r="G113" s="1" t="s">
        <v>2207</v>
      </c>
      <c r="H113" s="1" t="s">
        <v>2208</v>
      </c>
      <c r="I113" s="61">
        <v>45135</v>
      </c>
    </row>
    <row r="114" spans="1:9">
      <c r="A114" s="66" t="s">
        <v>2206</v>
      </c>
      <c r="B114" s="103">
        <v>45176</v>
      </c>
      <c r="C114" s="13" t="s">
        <v>1245</v>
      </c>
      <c r="D114" s="63" t="s">
        <v>78</v>
      </c>
      <c r="E114" s="104">
        <v>3.31</v>
      </c>
      <c r="F114" s="24" t="s">
        <v>267</v>
      </c>
      <c r="G114" s="1" t="s">
        <v>2207</v>
      </c>
      <c r="H114" s="1" t="s">
        <v>2208</v>
      </c>
      <c r="I114" s="61">
        <v>45135</v>
      </c>
    </row>
    <row r="115" spans="1:9">
      <c r="A115" s="66" t="s">
        <v>2206</v>
      </c>
      <c r="B115" s="103">
        <v>45176</v>
      </c>
      <c r="C115" s="13" t="s">
        <v>1271</v>
      </c>
      <c r="D115" s="63" t="s">
        <v>78</v>
      </c>
      <c r="E115" s="104">
        <v>0.871</v>
      </c>
      <c r="F115" s="24" t="s">
        <v>267</v>
      </c>
      <c r="G115" s="1" t="s">
        <v>2207</v>
      </c>
      <c r="H115" s="1" t="s">
        <v>2208</v>
      </c>
      <c r="I115" s="61">
        <v>45135</v>
      </c>
    </row>
    <row r="116" spans="1:9">
      <c r="A116" s="66" t="s">
        <v>2206</v>
      </c>
      <c r="B116" s="103">
        <v>45176</v>
      </c>
      <c r="C116" s="13" t="s">
        <v>1294</v>
      </c>
      <c r="D116" s="63" t="s">
        <v>78</v>
      </c>
      <c r="E116" s="104">
        <v>0.70399999999999996</v>
      </c>
      <c r="F116" s="24" t="s">
        <v>267</v>
      </c>
      <c r="G116" s="1" t="s">
        <v>2207</v>
      </c>
      <c r="H116" s="1" t="s">
        <v>2208</v>
      </c>
      <c r="I116" s="61">
        <v>45135</v>
      </c>
    </row>
    <row r="117" spans="1:9">
      <c r="A117" s="66" t="s">
        <v>2206</v>
      </c>
      <c r="B117" s="103">
        <v>45176</v>
      </c>
      <c r="C117" s="13" t="s">
        <v>1350</v>
      </c>
      <c r="D117" s="63" t="s">
        <v>78</v>
      </c>
      <c r="E117" s="104">
        <v>0.29199999999999998</v>
      </c>
      <c r="F117" s="24" t="s">
        <v>267</v>
      </c>
      <c r="G117" s="1" t="s">
        <v>2207</v>
      </c>
      <c r="H117" s="1" t="s">
        <v>2208</v>
      </c>
      <c r="I117" s="61">
        <v>45135</v>
      </c>
    </row>
    <row r="118" spans="1:9">
      <c r="A118" s="66" t="s">
        <v>2209</v>
      </c>
      <c r="B118" s="103">
        <v>45176</v>
      </c>
      <c r="C118" s="13" t="s">
        <v>1294</v>
      </c>
      <c r="D118" s="63" t="s">
        <v>78</v>
      </c>
      <c r="E118" s="104">
        <v>2.6989999999999998</v>
      </c>
      <c r="F118" s="24" t="s">
        <v>267</v>
      </c>
      <c r="G118" s="1" t="s">
        <v>2207</v>
      </c>
      <c r="H118" s="1" t="s">
        <v>1593</v>
      </c>
      <c r="I118" s="61">
        <v>45135</v>
      </c>
    </row>
    <row r="119" spans="1:9">
      <c r="A119" s="66" t="s">
        <v>2210</v>
      </c>
      <c r="B119" s="103">
        <v>45176</v>
      </c>
      <c r="C119" s="13" t="s">
        <v>2182</v>
      </c>
      <c r="D119" s="63" t="s">
        <v>78</v>
      </c>
      <c r="E119" s="104">
        <f>3.84+17.023</f>
        <v>20.863</v>
      </c>
      <c r="F119" s="24" t="s">
        <v>267</v>
      </c>
      <c r="G119" s="1" t="s">
        <v>2211</v>
      </c>
      <c r="H119" s="1" t="s">
        <v>1681</v>
      </c>
      <c r="I119" s="110">
        <v>45141</v>
      </c>
    </row>
    <row r="120" spans="1:9">
      <c r="A120" s="15"/>
      <c r="B120" s="61"/>
      <c r="C120" s="13"/>
      <c r="D120" s="1"/>
      <c r="E120" s="41">
        <f>SUM(E110:E119)</f>
        <v>57.411999999999999</v>
      </c>
      <c r="F120" s="24"/>
      <c r="G120" s="1"/>
      <c r="H120" s="1"/>
      <c r="I120" s="109"/>
    </row>
    <row r="121" spans="1:9">
      <c r="A121" s="66" t="s">
        <v>2228</v>
      </c>
      <c r="B121" s="103">
        <v>45177</v>
      </c>
      <c r="C121" s="13" t="s">
        <v>1500</v>
      </c>
      <c r="D121" s="63" t="s">
        <v>78</v>
      </c>
      <c r="E121" s="104">
        <v>12.72</v>
      </c>
      <c r="F121" s="24" t="s">
        <v>97</v>
      </c>
      <c r="G121" s="1" t="s">
        <v>2229</v>
      </c>
      <c r="H121" s="1" t="s">
        <v>1593</v>
      </c>
      <c r="I121" s="61">
        <v>45135</v>
      </c>
    </row>
    <row r="122" spans="1:9">
      <c r="A122" s="66" t="s">
        <v>2228</v>
      </c>
      <c r="B122" s="103">
        <v>45177</v>
      </c>
      <c r="C122" s="13" t="s">
        <v>1768</v>
      </c>
      <c r="D122" s="63" t="s">
        <v>78</v>
      </c>
      <c r="E122" s="104">
        <f>0.229+2.568</f>
        <v>2.7970000000000002</v>
      </c>
      <c r="F122" s="24" t="s">
        <v>97</v>
      </c>
      <c r="G122" s="1" t="s">
        <v>2229</v>
      </c>
      <c r="H122" s="1" t="s">
        <v>1593</v>
      </c>
      <c r="I122" s="61">
        <v>45135</v>
      </c>
    </row>
    <row r="123" spans="1:9">
      <c r="A123" s="66" t="s">
        <v>2231</v>
      </c>
      <c r="B123" s="103">
        <v>45177</v>
      </c>
      <c r="C123" s="13" t="s">
        <v>2182</v>
      </c>
      <c r="D123" s="63" t="s">
        <v>78</v>
      </c>
      <c r="E123" s="104">
        <v>17.047999999999998</v>
      </c>
      <c r="F123" s="24" t="s">
        <v>97</v>
      </c>
      <c r="G123" s="1" t="s">
        <v>2230</v>
      </c>
      <c r="H123" s="1" t="s">
        <v>1681</v>
      </c>
      <c r="I123" s="110">
        <v>45141</v>
      </c>
    </row>
    <row r="124" spans="1:9">
      <c r="A124" s="66" t="s">
        <v>2232</v>
      </c>
      <c r="B124" s="103">
        <v>45177</v>
      </c>
      <c r="C124" s="13" t="s">
        <v>2182</v>
      </c>
      <c r="D124" s="63" t="s">
        <v>78</v>
      </c>
      <c r="E124" s="104">
        <f>16.323+15.414</f>
        <v>31.737000000000002</v>
      </c>
      <c r="F124" s="24" t="s">
        <v>1243</v>
      </c>
      <c r="G124" s="1" t="s">
        <v>2234</v>
      </c>
      <c r="H124" s="1" t="s">
        <v>1681</v>
      </c>
      <c r="I124" s="110">
        <v>45141</v>
      </c>
    </row>
    <row r="125" spans="1:9">
      <c r="A125" s="66" t="s">
        <v>2233</v>
      </c>
      <c r="B125" s="103">
        <v>45177</v>
      </c>
      <c r="C125" s="13" t="s">
        <v>1695</v>
      </c>
      <c r="D125" s="63" t="s">
        <v>78</v>
      </c>
      <c r="E125" s="104">
        <v>0.17100000000000001</v>
      </c>
      <c r="F125" s="24" t="s">
        <v>1243</v>
      </c>
      <c r="G125" s="1" t="s">
        <v>2235</v>
      </c>
      <c r="H125" s="1" t="s">
        <v>2208</v>
      </c>
      <c r="I125" s="61">
        <v>45135</v>
      </c>
    </row>
    <row r="126" spans="1:9">
      <c r="A126" s="15"/>
      <c r="B126" s="61"/>
      <c r="C126" s="6"/>
      <c r="D126" s="1"/>
      <c r="E126" s="41">
        <f>SUM(E121:E125)</f>
        <v>64.472999999999999</v>
      </c>
      <c r="F126" s="24"/>
      <c r="G126" s="1"/>
      <c r="H126" s="1"/>
      <c r="I126" s="109"/>
    </row>
    <row r="127" spans="1:9">
      <c r="A127" s="66" t="s">
        <v>2236</v>
      </c>
      <c r="B127" s="103">
        <v>45178</v>
      </c>
      <c r="C127" s="13" t="s">
        <v>1500</v>
      </c>
      <c r="D127" s="13" t="s">
        <v>11</v>
      </c>
      <c r="E127" s="52">
        <v>5.8339999999999996</v>
      </c>
      <c r="F127" s="24" t="s">
        <v>2237</v>
      </c>
      <c r="G127" s="1" t="s">
        <v>2238</v>
      </c>
      <c r="H127" s="13" t="s">
        <v>1636</v>
      </c>
      <c r="I127" s="103">
        <v>45111</v>
      </c>
    </row>
    <row r="128" spans="1:9">
      <c r="A128" s="66" t="s">
        <v>2236</v>
      </c>
      <c r="B128" s="103">
        <v>45178</v>
      </c>
      <c r="C128" s="13" t="s">
        <v>1365</v>
      </c>
      <c r="D128" s="13" t="s">
        <v>11</v>
      </c>
      <c r="E128" s="52">
        <v>6.2759999999999998</v>
      </c>
      <c r="F128" s="24" t="s">
        <v>2237</v>
      </c>
      <c r="G128" s="1" t="s">
        <v>2238</v>
      </c>
      <c r="H128" s="13" t="s">
        <v>1636</v>
      </c>
      <c r="I128" s="103">
        <v>45111</v>
      </c>
    </row>
    <row r="129" spans="1:9">
      <c r="A129" s="66" t="s">
        <v>2239</v>
      </c>
      <c r="B129" s="103">
        <v>45178</v>
      </c>
      <c r="C129" s="13" t="s">
        <v>2182</v>
      </c>
      <c r="D129" s="13" t="s">
        <v>11</v>
      </c>
      <c r="E129" s="52">
        <f>3.926+8.735</f>
        <v>12.661</v>
      </c>
      <c r="F129" s="24" t="s">
        <v>2237</v>
      </c>
      <c r="G129" s="1" t="s">
        <v>2240</v>
      </c>
      <c r="H129" s="13" t="s">
        <v>1641</v>
      </c>
      <c r="I129" s="111">
        <v>45141</v>
      </c>
    </row>
    <row r="130" spans="1:9">
      <c r="A130" s="66" t="s">
        <v>2241</v>
      </c>
      <c r="B130" s="103">
        <v>45178</v>
      </c>
      <c r="C130" s="13" t="s">
        <v>2182</v>
      </c>
      <c r="D130" s="63" t="s">
        <v>78</v>
      </c>
      <c r="E130" s="52">
        <v>4.4139999999999997</v>
      </c>
      <c r="F130" s="24" t="s">
        <v>267</v>
      </c>
      <c r="G130" s="1" t="s">
        <v>2242</v>
      </c>
      <c r="H130" s="1" t="s">
        <v>1681</v>
      </c>
      <c r="I130" s="110">
        <v>45141</v>
      </c>
    </row>
    <row r="131" spans="1:9">
      <c r="A131" s="66" t="s">
        <v>2243</v>
      </c>
      <c r="B131" s="103">
        <v>45178</v>
      </c>
      <c r="C131" s="13" t="s">
        <v>1756</v>
      </c>
      <c r="D131" s="63" t="s">
        <v>78</v>
      </c>
      <c r="E131" s="52">
        <v>0.29899999999999999</v>
      </c>
      <c r="F131" s="24" t="s">
        <v>267</v>
      </c>
      <c r="G131" s="1" t="s">
        <v>2242</v>
      </c>
      <c r="H131" s="1" t="s">
        <v>2244</v>
      </c>
      <c r="I131" s="61">
        <v>45135</v>
      </c>
    </row>
    <row r="132" spans="1:9">
      <c r="A132" s="66" t="s">
        <v>2245</v>
      </c>
      <c r="B132" s="103">
        <v>45178</v>
      </c>
      <c r="C132" s="13" t="s">
        <v>1823</v>
      </c>
      <c r="D132" s="63" t="s">
        <v>78</v>
      </c>
      <c r="E132" s="52">
        <f>16.509+9.675</f>
        <v>26.184000000000001</v>
      </c>
      <c r="F132" s="24" t="s">
        <v>267</v>
      </c>
      <c r="G132" s="1" t="s">
        <v>2246</v>
      </c>
      <c r="H132" s="1" t="s">
        <v>2102</v>
      </c>
      <c r="I132" s="110">
        <v>45150</v>
      </c>
    </row>
    <row r="133" spans="1:9">
      <c r="A133" s="66" t="s">
        <v>2247</v>
      </c>
      <c r="B133" s="103">
        <v>45178</v>
      </c>
      <c r="C133" s="13" t="s">
        <v>1756</v>
      </c>
      <c r="D133" s="63" t="s">
        <v>78</v>
      </c>
      <c r="E133" s="52">
        <v>0.46500000000000002</v>
      </c>
      <c r="F133" s="24" t="s">
        <v>267</v>
      </c>
      <c r="G133" s="1" t="s">
        <v>2248</v>
      </c>
      <c r="H133" s="1" t="s">
        <v>1858</v>
      </c>
      <c r="I133" s="110">
        <v>45150</v>
      </c>
    </row>
    <row r="134" spans="1:9">
      <c r="A134" s="66" t="s">
        <v>2247</v>
      </c>
      <c r="B134" s="103">
        <v>45178</v>
      </c>
      <c r="C134" s="13" t="s">
        <v>1738</v>
      </c>
      <c r="D134" s="63" t="s">
        <v>78</v>
      </c>
      <c r="E134" s="52">
        <v>0.19</v>
      </c>
      <c r="F134" s="24" t="s">
        <v>267</v>
      </c>
      <c r="G134" s="1" t="s">
        <v>2248</v>
      </c>
      <c r="H134" s="1" t="s">
        <v>1858</v>
      </c>
      <c r="I134" s="110">
        <v>45150</v>
      </c>
    </row>
    <row r="135" spans="1:9">
      <c r="A135" s="66" t="s">
        <v>2249</v>
      </c>
      <c r="B135" s="103">
        <v>45178</v>
      </c>
      <c r="C135" s="13" t="s">
        <v>1370</v>
      </c>
      <c r="D135" s="63" t="s">
        <v>78</v>
      </c>
      <c r="E135" s="52">
        <v>1.2909999999999999</v>
      </c>
      <c r="F135" s="24" t="s">
        <v>267</v>
      </c>
      <c r="G135" s="1" t="s">
        <v>2248</v>
      </c>
      <c r="H135" s="1" t="s">
        <v>2250</v>
      </c>
      <c r="I135" s="110">
        <v>45167</v>
      </c>
    </row>
    <row r="136" spans="1:9">
      <c r="A136" s="15"/>
      <c r="B136" s="61"/>
      <c r="C136" s="6"/>
      <c r="D136" s="1"/>
      <c r="E136" s="41">
        <f>SUM(E127:E135)</f>
        <v>57.614000000000004</v>
      </c>
      <c r="F136" s="24"/>
      <c r="G136" s="1"/>
      <c r="H136" s="1"/>
      <c r="I136" s="109"/>
    </row>
    <row r="137" spans="1:9">
      <c r="A137" s="66" t="s">
        <v>2260</v>
      </c>
      <c r="B137" s="103">
        <v>45179</v>
      </c>
      <c r="C137" s="13" t="s">
        <v>1823</v>
      </c>
      <c r="D137" s="63" t="s">
        <v>78</v>
      </c>
      <c r="E137" s="104">
        <v>30.847999999999999</v>
      </c>
      <c r="F137" s="24" t="s">
        <v>1208</v>
      </c>
      <c r="G137" s="1" t="s">
        <v>2261</v>
      </c>
      <c r="H137" s="1" t="s">
        <v>2102</v>
      </c>
      <c r="I137" s="110">
        <v>45150</v>
      </c>
    </row>
    <row r="138" spans="1:9">
      <c r="A138" s="66" t="s">
        <v>2262</v>
      </c>
      <c r="B138" s="103">
        <v>45179</v>
      </c>
      <c r="C138" s="13" t="s">
        <v>1791</v>
      </c>
      <c r="D138" s="63" t="s">
        <v>78</v>
      </c>
      <c r="E138" s="104">
        <v>0.41699999999999998</v>
      </c>
      <c r="F138" s="24" t="s">
        <v>1208</v>
      </c>
      <c r="G138" s="1" t="s">
        <v>2261</v>
      </c>
      <c r="H138" s="1" t="s">
        <v>1681</v>
      </c>
      <c r="I138" s="110">
        <v>45141</v>
      </c>
    </row>
    <row r="139" spans="1:9">
      <c r="A139" s="66" t="s">
        <v>2263</v>
      </c>
      <c r="B139" s="103">
        <v>45179</v>
      </c>
      <c r="C139" s="13" t="s">
        <v>1705</v>
      </c>
      <c r="D139" s="63" t="s">
        <v>78</v>
      </c>
      <c r="E139" s="104">
        <v>0.26400000000000001</v>
      </c>
      <c r="F139" s="24" t="s">
        <v>1208</v>
      </c>
      <c r="G139" s="1" t="s">
        <v>2261</v>
      </c>
      <c r="H139" s="1" t="s">
        <v>2244</v>
      </c>
      <c r="I139" s="61">
        <v>45135</v>
      </c>
    </row>
    <row r="140" spans="1:9">
      <c r="A140" s="66" t="s">
        <v>2264</v>
      </c>
      <c r="B140" s="103">
        <v>45179</v>
      </c>
      <c r="C140" s="13" t="s">
        <v>1823</v>
      </c>
      <c r="D140" s="63" t="s">
        <v>78</v>
      </c>
      <c r="E140" s="104">
        <f>13.734+8.12</f>
        <v>21.853999999999999</v>
      </c>
      <c r="F140" s="24" t="s">
        <v>66</v>
      </c>
      <c r="G140" s="1" t="s">
        <v>2265</v>
      </c>
      <c r="H140" s="1" t="s">
        <v>2102</v>
      </c>
      <c r="I140" s="110">
        <v>45150</v>
      </c>
    </row>
    <row r="141" spans="1:9">
      <c r="A141" s="66" t="s">
        <v>2266</v>
      </c>
      <c r="B141" s="103">
        <v>45179</v>
      </c>
      <c r="C141" s="13" t="s">
        <v>1294</v>
      </c>
      <c r="D141" s="63" t="s">
        <v>78</v>
      </c>
      <c r="E141" s="104">
        <v>0.91100000000000003</v>
      </c>
      <c r="F141" s="24" t="s">
        <v>66</v>
      </c>
      <c r="G141" s="1" t="s">
        <v>2267</v>
      </c>
      <c r="H141" s="1" t="s">
        <v>1593</v>
      </c>
      <c r="I141" s="61">
        <v>45135</v>
      </c>
    </row>
    <row r="142" spans="1:9">
      <c r="A142" s="66" t="s">
        <v>2268</v>
      </c>
      <c r="B142" s="103">
        <v>45179</v>
      </c>
      <c r="C142" s="13" t="s">
        <v>1705</v>
      </c>
      <c r="D142" s="63" t="s">
        <v>78</v>
      </c>
      <c r="E142" s="104">
        <v>3.754</v>
      </c>
      <c r="F142" s="24" t="s">
        <v>66</v>
      </c>
      <c r="G142" s="1" t="s">
        <v>2267</v>
      </c>
      <c r="H142" s="1" t="s">
        <v>1681</v>
      </c>
      <c r="I142" s="110">
        <v>45141</v>
      </c>
    </row>
    <row r="143" spans="1:9">
      <c r="A143" s="66" t="s">
        <v>2268</v>
      </c>
      <c r="B143" s="103">
        <v>45179</v>
      </c>
      <c r="C143" s="13" t="s">
        <v>2182</v>
      </c>
      <c r="D143" s="63" t="s">
        <v>78</v>
      </c>
      <c r="E143" s="104">
        <v>0.66700000000000004</v>
      </c>
      <c r="F143" s="24" t="s">
        <v>66</v>
      </c>
      <c r="G143" s="1" t="s">
        <v>2267</v>
      </c>
      <c r="H143" s="1" t="s">
        <v>1681</v>
      </c>
      <c r="I143" s="110">
        <v>45141</v>
      </c>
    </row>
    <row r="144" spans="1:9">
      <c r="A144" s="66" t="s">
        <v>2269</v>
      </c>
      <c r="B144" s="103">
        <v>45179</v>
      </c>
      <c r="C144" s="13" t="s">
        <v>1251</v>
      </c>
      <c r="D144" s="63" t="s">
        <v>78</v>
      </c>
      <c r="E144" s="104">
        <v>0.871</v>
      </c>
      <c r="F144" s="24" t="s">
        <v>66</v>
      </c>
      <c r="G144" s="1" t="s">
        <v>2267</v>
      </c>
      <c r="H144" s="1" t="s">
        <v>2250</v>
      </c>
      <c r="I144" s="110">
        <v>45166</v>
      </c>
    </row>
    <row r="145" spans="1:9">
      <c r="A145" s="66" t="s">
        <v>2269</v>
      </c>
      <c r="B145" s="103">
        <v>45179</v>
      </c>
      <c r="C145" s="13" t="s">
        <v>1365</v>
      </c>
      <c r="D145" s="63" t="s">
        <v>78</v>
      </c>
      <c r="E145" s="104">
        <v>3.8029999999999999</v>
      </c>
      <c r="F145" s="24" t="s">
        <v>66</v>
      </c>
      <c r="G145" s="1" t="s">
        <v>2267</v>
      </c>
      <c r="H145" s="1" t="s">
        <v>2250</v>
      </c>
      <c r="I145" s="110">
        <v>45166</v>
      </c>
    </row>
    <row r="146" spans="1:9">
      <c r="A146" s="15"/>
      <c r="B146" s="61"/>
      <c r="C146" s="6"/>
      <c r="D146" s="1"/>
      <c r="E146" s="41">
        <f>SUM(E137:E145)</f>
        <v>63.388999999999996</v>
      </c>
      <c r="F146" s="24"/>
      <c r="G146" s="1"/>
      <c r="H146" s="1"/>
      <c r="I146" s="109"/>
    </row>
    <row r="147" spans="1:9">
      <c r="A147" s="66" t="s">
        <v>2270</v>
      </c>
      <c r="B147" s="103">
        <v>45180</v>
      </c>
      <c r="C147" s="13" t="s">
        <v>1823</v>
      </c>
      <c r="D147" s="63" t="s">
        <v>78</v>
      </c>
      <c r="E147" s="104">
        <f>11.837+4.08</f>
        <v>15.917</v>
      </c>
      <c r="F147" s="24" t="s">
        <v>267</v>
      </c>
      <c r="G147" s="1" t="s">
        <v>2271</v>
      </c>
      <c r="H147" s="1" t="s">
        <v>2102</v>
      </c>
      <c r="I147" s="110">
        <v>45150</v>
      </c>
    </row>
    <row r="148" spans="1:9">
      <c r="A148" s="66" t="s">
        <v>2270</v>
      </c>
      <c r="B148" s="103">
        <v>45180</v>
      </c>
      <c r="C148" s="13" t="s">
        <v>1500</v>
      </c>
      <c r="D148" s="63" t="s">
        <v>78</v>
      </c>
      <c r="E148" s="104">
        <v>14.289</v>
      </c>
      <c r="F148" s="24" t="s">
        <v>267</v>
      </c>
      <c r="G148" s="1" t="s">
        <v>2271</v>
      </c>
      <c r="H148" s="1" t="s">
        <v>2102</v>
      </c>
      <c r="I148" s="110">
        <v>45150</v>
      </c>
    </row>
    <row r="149" spans="1:9">
      <c r="A149" s="66" t="s">
        <v>2270</v>
      </c>
      <c r="B149" s="103">
        <v>45180</v>
      </c>
      <c r="C149" s="13" t="s">
        <v>1245</v>
      </c>
      <c r="D149" s="63" t="s">
        <v>78</v>
      </c>
      <c r="E149" s="104">
        <v>0.89800000000000002</v>
      </c>
      <c r="F149" s="24" t="s">
        <v>267</v>
      </c>
      <c r="G149" s="1" t="s">
        <v>2271</v>
      </c>
      <c r="H149" s="1" t="s">
        <v>2102</v>
      </c>
      <c r="I149" s="110">
        <v>45150</v>
      </c>
    </row>
    <row r="150" spans="1:9">
      <c r="A150" s="66" t="s">
        <v>2270</v>
      </c>
      <c r="B150" s="103">
        <v>45180</v>
      </c>
      <c r="C150" s="13" t="s">
        <v>1341</v>
      </c>
      <c r="D150" s="63" t="s">
        <v>78</v>
      </c>
      <c r="E150" s="104">
        <v>0.80700000000000005</v>
      </c>
      <c r="F150" s="24" t="s">
        <v>267</v>
      </c>
      <c r="G150" s="1" t="s">
        <v>2271</v>
      </c>
      <c r="H150" s="1" t="s">
        <v>2102</v>
      </c>
      <c r="I150" s="110">
        <v>45150</v>
      </c>
    </row>
    <row r="151" spans="1:9">
      <c r="A151" s="66" t="s">
        <v>2272</v>
      </c>
      <c r="B151" s="103">
        <v>45180</v>
      </c>
      <c r="C151" s="13" t="s">
        <v>1350</v>
      </c>
      <c r="D151" s="63" t="s">
        <v>78</v>
      </c>
      <c r="E151" s="104">
        <f>11.555+8.884</f>
        <v>20.439</v>
      </c>
      <c r="F151" s="24" t="s">
        <v>1243</v>
      </c>
      <c r="G151" s="1" t="s">
        <v>2274</v>
      </c>
      <c r="H151" s="1" t="s">
        <v>2102</v>
      </c>
      <c r="I151" s="110">
        <v>45150</v>
      </c>
    </row>
    <row r="152" spans="1:9">
      <c r="A152" s="66" t="s">
        <v>2272</v>
      </c>
      <c r="B152" s="103">
        <v>45180</v>
      </c>
      <c r="C152" s="13" t="s">
        <v>2273</v>
      </c>
      <c r="D152" s="63" t="s">
        <v>78</v>
      </c>
      <c r="E152" s="104">
        <v>11.99</v>
      </c>
      <c r="F152" s="24" t="s">
        <v>1243</v>
      </c>
      <c r="G152" s="1" t="s">
        <v>2274</v>
      </c>
      <c r="H152" s="1" t="s">
        <v>2102</v>
      </c>
      <c r="I152" s="110">
        <v>45150</v>
      </c>
    </row>
    <row r="153" spans="1:9">
      <c r="A153" s="15"/>
      <c r="B153" s="61"/>
      <c r="C153" s="6"/>
      <c r="D153" s="1"/>
      <c r="E153" s="41">
        <f>SUM(E147:E152)</f>
        <v>64.339999999999989</v>
      </c>
      <c r="F153" s="24"/>
      <c r="G153" s="1"/>
      <c r="H153" s="1"/>
      <c r="I153" s="109"/>
    </row>
    <row r="154" spans="1:9">
      <c r="A154" s="66" t="s">
        <v>2276</v>
      </c>
      <c r="B154" s="103">
        <v>45181</v>
      </c>
      <c r="C154" s="13" t="s">
        <v>1350</v>
      </c>
      <c r="D154" s="63" t="s">
        <v>78</v>
      </c>
      <c r="E154" s="104">
        <f>9.089+11.057</f>
        <v>20.146000000000001</v>
      </c>
      <c r="F154" s="24" t="s">
        <v>267</v>
      </c>
      <c r="G154" s="1" t="s">
        <v>2277</v>
      </c>
      <c r="H154" s="1" t="s">
        <v>2102</v>
      </c>
      <c r="I154" s="110">
        <v>45150</v>
      </c>
    </row>
    <row r="155" spans="1:9">
      <c r="A155" s="66" t="s">
        <v>2276</v>
      </c>
      <c r="B155" s="103">
        <v>45181</v>
      </c>
      <c r="C155" s="13" t="s">
        <v>2273</v>
      </c>
      <c r="D155" s="63" t="s">
        <v>78</v>
      </c>
      <c r="E155" s="104">
        <v>12.651</v>
      </c>
      <c r="F155" s="24" t="s">
        <v>267</v>
      </c>
      <c r="G155" s="1" t="s">
        <v>2277</v>
      </c>
      <c r="H155" s="1" t="s">
        <v>2102</v>
      </c>
      <c r="I155" s="110">
        <v>45150</v>
      </c>
    </row>
    <row r="156" spans="1:9">
      <c r="A156" s="66" t="s">
        <v>2278</v>
      </c>
      <c r="B156" s="103">
        <v>45181</v>
      </c>
      <c r="C156" s="13" t="s">
        <v>1387</v>
      </c>
      <c r="D156" s="13" t="s">
        <v>11</v>
      </c>
      <c r="E156" s="104">
        <f>6.256+16.757</f>
        <v>23.013000000000002</v>
      </c>
      <c r="F156" s="24" t="s">
        <v>2279</v>
      </c>
      <c r="G156" s="1" t="s">
        <v>2280</v>
      </c>
      <c r="H156" s="1" t="s">
        <v>2281</v>
      </c>
      <c r="I156" s="110">
        <v>45176</v>
      </c>
    </row>
    <row r="157" spans="1:9">
      <c r="A157" s="66" t="s">
        <v>2282</v>
      </c>
      <c r="B157" s="103">
        <v>45181</v>
      </c>
      <c r="C157" s="13" t="s">
        <v>1387</v>
      </c>
      <c r="D157" s="13" t="s">
        <v>11</v>
      </c>
      <c r="E157" s="104">
        <v>24.616</v>
      </c>
      <c r="F157" s="24" t="s">
        <v>2283</v>
      </c>
      <c r="G157" s="1" t="s">
        <v>2284</v>
      </c>
      <c r="H157" s="1" t="s">
        <v>2281</v>
      </c>
      <c r="I157" s="110">
        <v>45176</v>
      </c>
    </row>
    <row r="158" spans="1:9">
      <c r="A158" s="66" t="s">
        <v>2285</v>
      </c>
      <c r="B158" s="103">
        <v>45181</v>
      </c>
      <c r="C158" s="13" t="s">
        <v>2273</v>
      </c>
      <c r="D158" s="63" t="s">
        <v>78</v>
      </c>
      <c r="E158" s="104">
        <f>18.557+4.882</f>
        <v>23.439</v>
      </c>
      <c r="F158" s="24" t="s">
        <v>1243</v>
      </c>
      <c r="G158" s="1" t="s">
        <v>2286</v>
      </c>
      <c r="H158" s="1" t="s">
        <v>2102</v>
      </c>
      <c r="I158" s="110">
        <v>45150</v>
      </c>
    </row>
    <row r="159" spans="1:9">
      <c r="A159" s="66" t="s">
        <v>2285</v>
      </c>
      <c r="B159" s="103">
        <v>45181</v>
      </c>
      <c r="C159" s="13" t="s">
        <v>2273</v>
      </c>
      <c r="D159" s="63" t="s">
        <v>78</v>
      </c>
      <c r="E159" s="52">
        <v>5.0679999999999996</v>
      </c>
      <c r="F159" s="24" t="s">
        <v>1243</v>
      </c>
      <c r="G159" s="1" t="s">
        <v>2286</v>
      </c>
      <c r="H159" s="1" t="s">
        <v>2102</v>
      </c>
      <c r="I159" s="110">
        <v>45150</v>
      </c>
    </row>
    <row r="160" spans="1:9">
      <c r="A160" s="66" t="s">
        <v>2287</v>
      </c>
      <c r="B160" s="103">
        <v>45181</v>
      </c>
      <c r="C160" s="13" t="s">
        <v>1226</v>
      </c>
      <c r="D160" s="63" t="s">
        <v>78</v>
      </c>
      <c r="E160" s="52">
        <v>0.24099999999999999</v>
      </c>
      <c r="F160" s="24" t="s">
        <v>1243</v>
      </c>
      <c r="G160" s="1" t="s">
        <v>2288</v>
      </c>
      <c r="H160" s="1" t="s">
        <v>2289</v>
      </c>
      <c r="I160" s="110">
        <v>45150</v>
      </c>
    </row>
    <row r="161" spans="1:9">
      <c r="A161" s="66" t="s">
        <v>2287</v>
      </c>
      <c r="B161" s="103">
        <v>45181</v>
      </c>
      <c r="C161" s="13" t="s">
        <v>1705</v>
      </c>
      <c r="D161" s="63" t="s">
        <v>78</v>
      </c>
      <c r="E161" s="52">
        <v>0.35199999999999998</v>
      </c>
      <c r="F161" s="24" t="s">
        <v>1243</v>
      </c>
      <c r="G161" s="1" t="s">
        <v>2288</v>
      </c>
      <c r="H161" s="1" t="s">
        <v>2289</v>
      </c>
      <c r="I161" s="110">
        <v>45150</v>
      </c>
    </row>
    <row r="162" spans="1:9">
      <c r="A162" s="66" t="s">
        <v>2287</v>
      </c>
      <c r="B162" s="103">
        <v>45181</v>
      </c>
      <c r="C162" s="13" t="s">
        <v>1756</v>
      </c>
      <c r="D162" s="63" t="s">
        <v>78</v>
      </c>
      <c r="E162" s="52">
        <v>0.186</v>
      </c>
      <c r="F162" s="24" t="s">
        <v>1243</v>
      </c>
      <c r="G162" s="1" t="s">
        <v>2288</v>
      </c>
      <c r="H162" s="1" t="s">
        <v>2289</v>
      </c>
      <c r="I162" s="110">
        <v>45150</v>
      </c>
    </row>
    <row r="163" spans="1:9">
      <c r="A163" s="66" t="s">
        <v>2287</v>
      </c>
      <c r="B163" s="103">
        <v>45181</v>
      </c>
      <c r="C163" s="13" t="s">
        <v>1738</v>
      </c>
      <c r="D163" s="63" t="s">
        <v>78</v>
      </c>
      <c r="E163" s="52">
        <v>0.10100000000000001</v>
      </c>
      <c r="F163" s="24" t="s">
        <v>1243</v>
      </c>
      <c r="G163" s="1" t="s">
        <v>2288</v>
      </c>
      <c r="H163" s="1" t="s">
        <v>2289</v>
      </c>
      <c r="I163" s="110">
        <v>45150</v>
      </c>
    </row>
    <row r="164" spans="1:9">
      <c r="A164" s="66"/>
      <c r="B164" s="103"/>
      <c r="C164" s="13"/>
      <c r="D164" s="13"/>
      <c r="E164" s="58">
        <f>SUM(E154:E163)</f>
        <v>109.81300000000002</v>
      </c>
      <c r="F164" s="24"/>
      <c r="G164" s="1"/>
      <c r="H164" s="1"/>
      <c r="I164" s="110"/>
    </row>
    <row r="165" spans="1:9">
      <c r="A165" s="66" t="s">
        <v>2290</v>
      </c>
      <c r="B165" s="103">
        <v>45182</v>
      </c>
      <c r="C165" s="13" t="s">
        <v>1387</v>
      </c>
      <c r="D165" s="13" t="s">
        <v>11</v>
      </c>
      <c r="E165" s="104">
        <v>24.835999999999999</v>
      </c>
      <c r="F165" s="24" t="s">
        <v>2293</v>
      </c>
      <c r="G165" s="1" t="s">
        <v>2294</v>
      </c>
      <c r="H165" s="1" t="s">
        <v>2281</v>
      </c>
      <c r="I165" s="110">
        <v>45176</v>
      </c>
    </row>
    <row r="166" spans="1:9">
      <c r="A166" s="66" t="s">
        <v>2291</v>
      </c>
      <c r="B166" s="103">
        <v>45182</v>
      </c>
      <c r="C166" s="13" t="s">
        <v>1387</v>
      </c>
      <c r="D166" s="13" t="s">
        <v>11</v>
      </c>
      <c r="E166" s="104">
        <v>24.835999999999999</v>
      </c>
      <c r="F166" s="24" t="s">
        <v>2295</v>
      </c>
      <c r="G166" s="1" t="s">
        <v>2294</v>
      </c>
      <c r="H166" s="1" t="s">
        <v>2281</v>
      </c>
      <c r="I166" s="110">
        <v>45176</v>
      </c>
    </row>
    <row r="167" spans="1:9">
      <c r="A167" s="66" t="s">
        <v>2292</v>
      </c>
      <c r="B167" s="103">
        <v>45182</v>
      </c>
      <c r="C167" s="13" t="s">
        <v>1387</v>
      </c>
      <c r="D167" s="13" t="s">
        <v>11</v>
      </c>
      <c r="E167" s="104">
        <v>24.352</v>
      </c>
      <c r="F167" s="24" t="s">
        <v>2296</v>
      </c>
      <c r="G167" s="1" t="s">
        <v>2297</v>
      </c>
      <c r="H167" s="1" t="s">
        <v>2281</v>
      </c>
      <c r="I167" s="110">
        <v>45176</v>
      </c>
    </row>
    <row r="168" spans="1:9">
      <c r="A168" s="66"/>
      <c r="B168" s="103"/>
      <c r="C168" s="13"/>
      <c r="D168" s="13"/>
      <c r="E168" s="65">
        <f>SUM(E165:E167)</f>
        <v>74.024000000000001</v>
      </c>
      <c r="F168" s="24"/>
      <c r="G168" s="1"/>
      <c r="H168" s="1"/>
      <c r="I168" s="110"/>
    </row>
    <row r="169" spans="1:9">
      <c r="A169" s="66" t="s">
        <v>2305</v>
      </c>
      <c r="B169" s="103">
        <v>45183</v>
      </c>
      <c r="C169" s="13" t="s">
        <v>1387</v>
      </c>
      <c r="D169" s="13" t="s">
        <v>11</v>
      </c>
      <c r="E169" s="52">
        <v>24.497</v>
      </c>
      <c r="F169" s="24" t="s">
        <v>2306</v>
      </c>
      <c r="G169" s="1" t="s">
        <v>2307</v>
      </c>
      <c r="H169" s="1" t="s">
        <v>2281</v>
      </c>
      <c r="I169" s="110">
        <v>45176</v>
      </c>
    </row>
    <row r="170" spans="1:9">
      <c r="A170" s="66" t="s">
        <v>2308</v>
      </c>
      <c r="B170" s="103">
        <v>45183</v>
      </c>
      <c r="C170" s="13" t="s">
        <v>1387</v>
      </c>
      <c r="D170" s="13" t="s">
        <v>11</v>
      </c>
      <c r="E170" s="52">
        <v>24.097999999999999</v>
      </c>
      <c r="F170" s="24" t="s">
        <v>2142</v>
      </c>
      <c r="G170" s="1" t="s">
        <v>2309</v>
      </c>
      <c r="H170" s="1" t="s">
        <v>2281</v>
      </c>
      <c r="I170" s="110">
        <v>45176</v>
      </c>
    </row>
    <row r="171" spans="1:9">
      <c r="A171" s="66" t="s">
        <v>2310</v>
      </c>
      <c r="B171" s="103">
        <v>45183</v>
      </c>
      <c r="C171" s="13" t="s">
        <v>1387</v>
      </c>
      <c r="D171" s="13" t="s">
        <v>11</v>
      </c>
      <c r="E171" s="52">
        <v>21.303999999999998</v>
      </c>
      <c r="F171" s="24" t="s">
        <v>2018</v>
      </c>
      <c r="G171" s="1" t="s">
        <v>2311</v>
      </c>
      <c r="H171" s="1" t="s">
        <v>2281</v>
      </c>
      <c r="I171" s="110">
        <v>45176</v>
      </c>
    </row>
    <row r="172" spans="1:9">
      <c r="A172" s="66" t="s">
        <v>2312</v>
      </c>
      <c r="B172" s="103">
        <v>45183</v>
      </c>
      <c r="C172" s="13" t="s">
        <v>1365</v>
      </c>
      <c r="D172" s="13" t="s">
        <v>11</v>
      </c>
      <c r="E172" s="52">
        <f>3.011+0.342</f>
        <v>3.3530000000000002</v>
      </c>
      <c r="F172" s="24" t="s">
        <v>2018</v>
      </c>
      <c r="G172" s="1" t="s">
        <v>2313</v>
      </c>
      <c r="H172" s="13" t="s">
        <v>1636</v>
      </c>
      <c r="I172" s="103">
        <v>45111</v>
      </c>
    </row>
    <row r="173" spans="1:9">
      <c r="A173" s="66" t="s">
        <v>2316</v>
      </c>
      <c r="B173" s="103">
        <v>45183</v>
      </c>
      <c r="C173" s="13" t="s">
        <v>1355</v>
      </c>
      <c r="D173" s="13" t="s">
        <v>11</v>
      </c>
      <c r="E173" s="52">
        <v>24.274000000000001</v>
      </c>
      <c r="F173" s="24" t="s">
        <v>2314</v>
      </c>
      <c r="G173" s="1" t="s">
        <v>2315</v>
      </c>
      <c r="H173" s="1" t="s">
        <v>2281</v>
      </c>
      <c r="I173" s="110">
        <v>45176</v>
      </c>
    </row>
    <row r="174" spans="1:9">
      <c r="A174" s="66"/>
      <c r="B174" s="103"/>
      <c r="C174" s="13"/>
      <c r="D174" s="13"/>
      <c r="E174" s="58">
        <f>SUM(E169:E173)</f>
        <v>97.525999999999996</v>
      </c>
      <c r="F174" s="24"/>
      <c r="G174" s="1"/>
      <c r="H174" s="1"/>
      <c r="I174" s="110"/>
    </row>
    <row r="175" spans="1:9">
      <c r="A175" s="66" t="s">
        <v>2344</v>
      </c>
      <c r="B175" s="103">
        <v>45185</v>
      </c>
      <c r="C175" s="13" t="s">
        <v>1328</v>
      </c>
      <c r="D175" s="63" t="s">
        <v>78</v>
      </c>
      <c r="E175" s="104">
        <f>17.001+15.624</f>
        <v>32.625</v>
      </c>
      <c r="F175" s="24" t="s">
        <v>267</v>
      </c>
      <c r="G175" s="1" t="s">
        <v>2345</v>
      </c>
      <c r="H175" s="1" t="s">
        <v>2102</v>
      </c>
      <c r="I175" s="110">
        <v>45150</v>
      </c>
    </row>
    <row r="176" spans="1:9">
      <c r="A176" s="66" t="s">
        <v>2346</v>
      </c>
      <c r="B176" s="103">
        <v>45185</v>
      </c>
      <c r="C176" s="13" t="s">
        <v>1640</v>
      </c>
      <c r="D176" s="63" t="s">
        <v>78</v>
      </c>
      <c r="E176" s="104">
        <v>0.13700000000000001</v>
      </c>
      <c r="F176" s="24" t="s">
        <v>267</v>
      </c>
      <c r="G176" s="1" t="s">
        <v>2347</v>
      </c>
      <c r="H176" s="1" t="s">
        <v>2289</v>
      </c>
      <c r="I176" s="110">
        <v>45150</v>
      </c>
    </row>
    <row r="177" spans="1:9">
      <c r="A177" s="66" t="s">
        <v>2346</v>
      </c>
      <c r="B177" s="103">
        <v>45185</v>
      </c>
      <c r="C177" s="13" t="s">
        <v>1695</v>
      </c>
      <c r="D177" s="63" t="s">
        <v>78</v>
      </c>
      <c r="E177" s="104">
        <v>0.115</v>
      </c>
      <c r="F177" s="24" t="s">
        <v>267</v>
      </c>
      <c r="G177" s="1" t="s">
        <v>2347</v>
      </c>
      <c r="H177" s="1" t="s">
        <v>2289</v>
      </c>
      <c r="I177" s="110">
        <v>45150</v>
      </c>
    </row>
    <row r="178" spans="1:9">
      <c r="A178" s="66" t="s">
        <v>2348</v>
      </c>
      <c r="B178" s="103">
        <v>45185</v>
      </c>
      <c r="C178" s="13" t="s">
        <v>1294</v>
      </c>
      <c r="D178" s="13" t="s">
        <v>11</v>
      </c>
      <c r="E178" s="104">
        <f>24.088+0.523</f>
        <v>24.611000000000001</v>
      </c>
      <c r="F178" s="24" t="s">
        <v>2349</v>
      </c>
      <c r="G178" s="1" t="s">
        <v>2350</v>
      </c>
      <c r="H178" s="1" t="s">
        <v>2281</v>
      </c>
      <c r="I178" s="110">
        <v>45176</v>
      </c>
    </row>
    <row r="179" spans="1:9">
      <c r="A179" s="66" t="s">
        <v>2351</v>
      </c>
      <c r="B179" s="103">
        <v>45185</v>
      </c>
      <c r="C179" s="13" t="s">
        <v>1321</v>
      </c>
      <c r="D179" s="13" t="s">
        <v>11</v>
      </c>
      <c r="E179" s="104">
        <v>9.7409999999999997</v>
      </c>
      <c r="F179" s="24" t="s">
        <v>2352</v>
      </c>
      <c r="G179" s="1" t="s">
        <v>2353</v>
      </c>
      <c r="H179" s="1" t="s">
        <v>2281</v>
      </c>
      <c r="I179" s="110">
        <v>45176</v>
      </c>
    </row>
    <row r="180" spans="1:9">
      <c r="A180" s="66" t="s">
        <v>2351</v>
      </c>
      <c r="B180" s="103">
        <v>45185</v>
      </c>
      <c r="C180" s="13" t="s">
        <v>1294</v>
      </c>
      <c r="D180" s="13" t="s">
        <v>11</v>
      </c>
      <c r="E180" s="104">
        <v>14.318</v>
      </c>
      <c r="F180" s="24" t="s">
        <v>2352</v>
      </c>
      <c r="G180" s="1" t="s">
        <v>2353</v>
      </c>
      <c r="H180" s="1" t="s">
        <v>2281</v>
      </c>
      <c r="I180" s="110">
        <v>45176</v>
      </c>
    </row>
    <row r="181" spans="1:9">
      <c r="A181" s="66" t="s">
        <v>2354</v>
      </c>
      <c r="B181" s="103">
        <v>45185</v>
      </c>
      <c r="C181" s="13" t="s">
        <v>1294</v>
      </c>
      <c r="D181" s="13" t="s">
        <v>11</v>
      </c>
      <c r="E181" s="104">
        <v>23.516999999999999</v>
      </c>
      <c r="F181" s="24" t="s">
        <v>2355</v>
      </c>
      <c r="G181" s="1" t="s">
        <v>2356</v>
      </c>
      <c r="H181" s="1" t="s">
        <v>2281</v>
      </c>
      <c r="I181" s="110">
        <v>45176</v>
      </c>
    </row>
    <row r="182" spans="1:9">
      <c r="A182" s="66"/>
      <c r="B182" s="103"/>
      <c r="C182" s="13"/>
      <c r="D182" s="13"/>
      <c r="E182" s="58">
        <f>SUM(E175:E181)</f>
        <v>105.06399999999999</v>
      </c>
      <c r="F182" s="24"/>
      <c r="G182" s="1"/>
      <c r="H182" s="1"/>
      <c r="I182" s="110"/>
    </row>
    <row r="183" spans="1:9">
      <c r="A183" s="66" t="s">
        <v>2357</v>
      </c>
      <c r="B183" s="103">
        <v>45187</v>
      </c>
      <c r="C183" s="13" t="s">
        <v>1294</v>
      </c>
      <c r="D183" s="13" t="s">
        <v>11</v>
      </c>
      <c r="E183" s="104">
        <f>16.4+8.061</f>
        <v>24.460999999999999</v>
      </c>
      <c r="F183" s="102" t="s">
        <v>2358</v>
      </c>
      <c r="G183" s="4" t="s">
        <v>2359</v>
      </c>
      <c r="H183" s="4" t="s">
        <v>2281</v>
      </c>
      <c r="I183" s="110">
        <v>45176</v>
      </c>
    </row>
    <row r="184" spans="1:9">
      <c r="A184" s="66" t="s">
        <v>2360</v>
      </c>
      <c r="B184" s="103">
        <v>45187</v>
      </c>
      <c r="C184" s="13" t="s">
        <v>1271</v>
      </c>
      <c r="D184" s="13" t="s">
        <v>11</v>
      </c>
      <c r="E184" s="104">
        <v>24.111999999999998</v>
      </c>
      <c r="F184" s="102" t="s">
        <v>2361</v>
      </c>
      <c r="G184" s="4" t="s">
        <v>2362</v>
      </c>
      <c r="H184" s="4" t="s">
        <v>2281</v>
      </c>
      <c r="I184" s="110">
        <v>45176</v>
      </c>
    </row>
    <row r="185" spans="1:9">
      <c r="A185" s="66" t="s">
        <v>2371</v>
      </c>
      <c r="B185" s="103">
        <v>45187</v>
      </c>
      <c r="C185" s="13" t="s">
        <v>1328</v>
      </c>
      <c r="D185" s="113" t="s">
        <v>78</v>
      </c>
      <c r="E185" s="104">
        <f>18.048+14.443</f>
        <v>32.491</v>
      </c>
      <c r="F185" s="102" t="s">
        <v>116</v>
      </c>
      <c r="G185" s="4" t="s">
        <v>2368</v>
      </c>
      <c r="H185" s="4" t="s">
        <v>2102</v>
      </c>
      <c r="I185" s="110">
        <v>45150</v>
      </c>
    </row>
    <row r="186" spans="1:9">
      <c r="A186" s="66" t="s">
        <v>2367</v>
      </c>
      <c r="B186" s="103">
        <v>45187</v>
      </c>
      <c r="C186" s="13" t="s">
        <v>1328</v>
      </c>
      <c r="D186" s="113" t="s">
        <v>78</v>
      </c>
      <c r="E186" s="104">
        <v>32.136000000000003</v>
      </c>
      <c r="F186" s="102" t="s">
        <v>86</v>
      </c>
      <c r="G186" s="4" t="s">
        <v>2370</v>
      </c>
      <c r="H186" s="4" t="s">
        <v>2102</v>
      </c>
      <c r="I186" s="110">
        <v>45150</v>
      </c>
    </row>
    <row r="187" spans="1:9">
      <c r="A187" s="66" t="s">
        <v>2369</v>
      </c>
      <c r="B187" s="103">
        <v>45187</v>
      </c>
      <c r="C187" s="13" t="s">
        <v>1271</v>
      </c>
      <c r="D187" s="13" t="s">
        <v>11</v>
      </c>
      <c r="E187" s="104">
        <f>24.132+0.457</f>
        <v>24.589000000000002</v>
      </c>
      <c r="F187" s="102" t="s">
        <v>2372</v>
      </c>
      <c r="G187" s="4" t="s">
        <v>2373</v>
      </c>
      <c r="H187" s="4" t="s">
        <v>2281</v>
      </c>
      <c r="I187" s="110">
        <v>45176</v>
      </c>
    </row>
    <row r="188" spans="1:9">
      <c r="A188" s="66"/>
      <c r="B188" s="103"/>
      <c r="C188" s="13"/>
      <c r="D188" s="13"/>
      <c r="E188" s="58">
        <f>SUM(E183:E187)</f>
        <v>137.78899999999999</v>
      </c>
      <c r="F188" s="102"/>
      <c r="G188" s="4"/>
      <c r="H188" s="4"/>
      <c r="I188" s="110"/>
    </row>
    <row r="189" spans="1:9">
      <c r="A189" s="66" t="s">
        <v>2378</v>
      </c>
      <c r="B189" s="103">
        <v>45188</v>
      </c>
      <c r="C189" s="13" t="s">
        <v>1294</v>
      </c>
      <c r="D189" s="13" t="s">
        <v>11</v>
      </c>
      <c r="E189" s="104">
        <v>3.7989999999999999</v>
      </c>
      <c r="F189" s="102" t="s">
        <v>2379</v>
      </c>
      <c r="G189" s="4" t="s">
        <v>2380</v>
      </c>
      <c r="H189" s="4" t="s">
        <v>2281</v>
      </c>
      <c r="I189" s="110">
        <v>45176</v>
      </c>
    </row>
    <row r="190" spans="1:9">
      <c r="A190" s="66" t="s">
        <v>2378</v>
      </c>
      <c r="B190" s="103">
        <v>45188</v>
      </c>
      <c r="C190" s="13" t="s">
        <v>1321</v>
      </c>
      <c r="D190" s="13" t="s">
        <v>11</v>
      </c>
      <c r="E190" s="104">
        <v>2.0960000000000001</v>
      </c>
      <c r="F190" s="102" t="s">
        <v>2379</v>
      </c>
      <c r="G190" s="4" t="s">
        <v>2380</v>
      </c>
      <c r="H190" s="4" t="s">
        <v>2281</v>
      </c>
      <c r="I190" s="110">
        <v>45176</v>
      </c>
    </row>
    <row r="191" spans="1:9">
      <c r="A191" s="66" t="s">
        <v>2378</v>
      </c>
      <c r="B191" s="103">
        <v>45188</v>
      </c>
      <c r="C191" s="13" t="s">
        <v>1271</v>
      </c>
      <c r="D191" s="13" t="s">
        <v>11</v>
      </c>
      <c r="E191" s="104">
        <v>18.54</v>
      </c>
      <c r="F191" s="102" t="s">
        <v>2379</v>
      </c>
      <c r="G191" s="4" t="s">
        <v>2380</v>
      </c>
      <c r="H191" s="4" t="s">
        <v>2281</v>
      </c>
      <c r="I191" s="110">
        <v>45176</v>
      </c>
    </row>
    <row r="192" spans="1:9">
      <c r="A192" s="66" t="s">
        <v>2390</v>
      </c>
      <c r="B192" s="103">
        <v>45188</v>
      </c>
      <c r="C192" s="13" t="s">
        <v>1328</v>
      </c>
      <c r="D192" s="113" t="s">
        <v>78</v>
      </c>
      <c r="E192" s="104">
        <f>26.058+5.065</f>
        <v>31.123000000000001</v>
      </c>
      <c r="F192" s="102" t="s">
        <v>97</v>
      </c>
      <c r="G192" s="4" t="s">
        <v>2391</v>
      </c>
      <c r="H192" s="4" t="s">
        <v>2102</v>
      </c>
      <c r="I192" s="110">
        <v>45150</v>
      </c>
    </row>
    <row r="193" spans="1:9">
      <c r="A193" s="66" t="s">
        <v>2392</v>
      </c>
      <c r="B193" s="103">
        <v>45188</v>
      </c>
      <c r="C193" s="13" t="s">
        <v>1272</v>
      </c>
      <c r="D193" s="13" t="s">
        <v>11</v>
      </c>
      <c r="E193" s="104">
        <f>3.899+17.01</f>
        <v>20.909000000000002</v>
      </c>
      <c r="F193" s="102" t="s">
        <v>2393</v>
      </c>
      <c r="G193" s="4" t="s">
        <v>2394</v>
      </c>
      <c r="H193" s="4" t="s">
        <v>2281</v>
      </c>
      <c r="I193" s="110">
        <v>45176</v>
      </c>
    </row>
    <row r="194" spans="1:9">
      <c r="A194" s="66" t="s">
        <v>2392</v>
      </c>
      <c r="B194" s="103">
        <v>45188</v>
      </c>
      <c r="C194" s="13" t="s">
        <v>1328</v>
      </c>
      <c r="D194" s="13" t="s">
        <v>11</v>
      </c>
      <c r="E194" s="104">
        <v>3.7290000000000001</v>
      </c>
      <c r="F194" s="102" t="s">
        <v>2393</v>
      </c>
      <c r="G194" s="4" t="s">
        <v>2394</v>
      </c>
      <c r="H194" s="4" t="s">
        <v>2281</v>
      </c>
      <c r="I194" s="110">
        <v>45176</v>
      </c>
    </row>
    <row r="195" spans="1:9">
      <c r="A195" s="66" t="s">
        <v>2395</v>
      </c>
      <c r="B195" s="103">
        <v>45188</v>
      </c>
      <c r="C195" s="13" t="s">
        <v>1328</v>
      </c>
      <c r="D195" s="13" t="s">
        <v>11</v>
      </c>
      <c r="E195" s="104">
        <v>2.6749999999999998</v>
      </c>
      <c r="F195" s="102" t="s">
        <v>2396</v>
      </c>
      <c r="G195" s="4" t="s">
        <v>2397</v>
      </c>
      <c r="H195" s="4" t="s">
        <v>2281</v>
      </c>
      <c r="I195" s="110">
        <v>45176</v>
      </c>
    </row>
    <row r="196" spans="1:9">
      <c r="A196" s="66" t="s">
        <v>2395</v>
      </c>
      <c r="B196" s="103">
        <v>45188</v>
      </c>
      <c r="C196" s="13" t="s">
        <v>1271</v>
      </c>
      <c r="D196" s="13" t="s">
        <v>11</v>
      </c>
      <c r="E196" s="104">
        <v>4.008</v>
      </c>
      <c r="F196" s="102" t="s">
        <v>2396</v>
      </c>
      <c r="G196" s="4" t="s">
        <v>2397</v>
      </c>
      <c r="H196" s="4" t="s">
        <v>2281</v>
      </c>
      <c r="I196" s="110">
        <v>45176</v>
      </c>
    </row>
    <row r="197" spans="1:9">
      <c r="A197" s="66" t="s">
        <v>2395</v>
      </c>
      <c r="B197" s="103">
        <v>45188</v>
      </c>
      <c r="C197" s="13" t="s">
        <v>1294</v>
      </c>
      <c r="D197" s="13" t="s">
        <v>11</v>
      </c>
      <c r="E197" s="104">
        <v>5.59</v>
      </c>
      <c r="F197" s="102" t="s">
        <v>2396</v>
      </c>
      <c r="G197" s="4" t="s">
        <v>2397</v>
      </c>
      <c r="H197" s="4" t="s">
        <v>2281</v>
      </c>
      <c r="I197" s="110">
        <v>45176</v>
      </c>
    </row>
    <row r="198" spans="1:9">
      <c r="A198" s="66" t="s">
        <v>2395</v>
      </c>
      <c r="B198" s="103">
        <v>45188</v>
      </c>
      <c r="C198" s="13" t="s">
        <v>1272</v>
      </c>
      <c r="D198" s="13" t="s">
        <v>11</v>
      </c>
      <c r="E198" s="104">
        <v>8.7729999999999997</v>
      </c>
      <c r="F198" s="102" t="s">
        <v>2396</v>
      </c>
      <c r="G198" s="4" t="s">
        <v>2397</v>
      </c>
      <c r="H198" s="4" t="s">
        <v>2281</v>
      </c>
      <c r="I198" s="110">
        <v>45176</v>
      </c>
    </row>
    <row r="199" spans="1:9">
      <c r="A199" s="66" t="s">
        <v>2398</v>
      </c>
      <c r="B199" s="103">
        <v>45188</v>
      </c>
      <c r="C199" s="13" t="s">
        <v>1272</v>
      </c>
      <c r="D199" s="13" t="s">
        <v>11</v>
      </c>
      <c r="E199" s="104">
        <v>2.6560000000000001</v>
      </c>
      <c r="F199" s="102" t="s">
        <v>2396</v>
      </c>
      <c r="G199" s="4" t="s">
        <v>2397</v>
      </c>
      <c r="H199" s="13" t="s">
        <v>1636</v>
      </c>
      <c r="I199" s="103">
        <v>45111</v>
      </c>
    </row>
    <row r="200" spans="1:9">
      <c r="A200" s="15"/>
      <c r="B200" s="61"/>
      <c r="C200" s="6"/>
      <c r="D200" s="1"/>
      <c r="E200" s="41">
        <f>SUM(E189:E199)</f>
        <v>103.898</v>
      </c>
      <c r="F200" s="24"/>
      <c r="G200" s="1"/>
      <c r="H200" s="1"/>
      <c r="I200" s="109"/>
    </row>
    <row r="201" spans="1:9">
      <c r="A201" s="66" t="s">
        <v>2410</v>
      </c>
      <c r="B201" s="103">
        <v>45189</v>
      </c>
      <c r="C201" s="13" t="s">
        <v>1294</v>
      </c>
      <c r="D201" s="13" t="s">
        <v>11</v>
      </c>
      <c r="E201" s="104">
        <v>4.0430000000000001</v>
      </c>
      <c r="F201" s="4" t="s">
        <v>2412</v>
      </c>
      <c r="G201" s="102" t="s">
        <v>2411</v>
      </c>
      <c r="H201" s="4" t="s">
        <v>2281</v>
      </c>
      <c r="I201" s="110">
        <v>45176</v>
      </c>
    </row>
    <row r="202" spans="1:9">
      <c r="A202" s="66" t="s">
        <v>2410</v>
      </c>
      <c r="B202" s="103">
        <v>45189</v>
      </c>
      <c r="C202" s="13" t="s">
        <v>1272</v>
      </c>
      <c r="D202" s="13" t="s">
        <v>11</v>
      </c>
      <c r="E202" s="104">
        <v>4.968</v>
      </c>
      <c r="F202" s="4" t="s">
        <v>2412</v>
      </c>
      <c r="G202" s="102" t="s">
        <v>2411</v>
      </c>
      <c r="H202" s="4" t="s">
        <v>2281</v>
      </c>
      <c r="I202" s="110">
        <v>45176</v>
      </c>
    </row>
    <row r="203" spans="1:9">
      <c r="A203" s="66" t="s">
        <v>2410</v>
      </c>
      <c r="B203" s="103">
        <v>45189</v>
      </c>
      <c r="C203" s="13" t="s">
        <v>1328</v>
      </c>
      <c r="D203" s="13" t="s">
        <v>11</v>
      </c>
      <c r="E203" s="104">
        <f>0.207+3.262</f>
        <v>3.4689999999999999</v>
      </c>
      <c r="F203" s="4" t="s">
        <v>2412</v>
      </c>
      <c r="G203" s="102" t="s">
        <v>2411</v>
      </c>
      <c r="H203" s="4" t="s">
        <v>2281</v>
      </c>
      <c r="I203" s="110">
        <v>45176</v>
      </c>
    </row>
    <row r="204" spans="1:9">
      <c r="A204" s="66" t="s">
        <v>2410</v>
      </c>
      <c r="B204" s="103">
        <v>45189</v>
      </c>
      <c r="C204" s="13" t="s">
        <v>1701</v>
      </c>
      <c r="D204" s="13" t="s">
        <v>11</v>
      </c>
      <c r="E204" s="104">
        <v>2.5310000000000001</v>
      </c>
      <c r="F204" s="4" t="s">
        <v>2412</v>
      </c>
      <c r="G204" s="102" t="s">
        <v>2411</v>
      </c>
      <c r="H204" s="4" t="s">
        <v>2281</v>
      </c>
      <c r="I204" s="110">
        <v>45176</v>
      </c>
    </row>
    <row r="205" spans="1:9">
      <c r="A205" s="66" t="s">
        <v>2410</v>
      </c>
      <c r="B205" s="103">
        <v>45189</v>
      </c>
      <c r="C205" s="13" t="s">
        <v>1377</v>
      </c>
      <c r="D205" s="13" t="s">
        <v>11</v>
      </c>
      <c r="E205" s="104">
        <f>0.462+6.975</f>
        <v>7.4369999999999994</v>
      </c>
      <c r="F205" s="4" t="s">
        <v>2412</v>
      </c>
      <c r="G205" s="102" t="s">
        <v>2411</v>
      </c>
      <c r="H205" s="4" t="s">
        <v>2281</v>
      </c>
      <c r="I205" s="110">
        <v>45176</v>
      </c>
    </row>
    <row r="206" spans="1:9">
      <c r="A206" s="66" t="s">
        <v>2410</v>
      </c>
      <c r="B206" s="103">
        <v>45189</v>
      </c>
      <c r="C206" s="13" t="s">
        <v>1334</v>
      </c>
      <c r="D206" s="13" t="s">
        <v>11</v>
      </c>
      <c r="E206" s="104">
        <v>1.6639999999999999</v>
      </c>
      <c r="F206" s="4" t="s">
        <v>2412</v>
      </c>
      <c r="G206" s="102" t="s">
        <v>2411</v>
      </c>
      <c r="H206" s="4" t="s">
        <v>2281</v>
      </c>
      <c r="I206" s="110">
        <v>45176</v>
      </c>
    </row>
    <row r="207" spans="1:9">
      <c r="A207" s="15"/>
      <c r="B207" s="61"/>
      <c r="C207" s="13"/>
      <c r="D207" s="4"/>
      <c r="E207" s="41">
        <f>SUM(E201:E206)</f>
        <v>24.112000000000002</v>
      </c>
      <c r="F207" s="102"/>
      <c r="G207" s="4"/>
      <c r="H207" s="4"/>
      <c r="I207" s="109"/>
    </row>
    <row r="208" spans="1:9">
      <c r="A208" s="66" t="s">
        <v>2427</v>
      </c>
      <c r="B208" s="103">
        <v>45190</v>
      </c>
      <c r="C208" s="13" t="s">
        <v>1365</v>
      </c>
      <c r="D208" s="13" t="s">
        <v>11</v>
      </c>
      <c r="E208" s="104">
        <v>24.555</v>
      </c>
      <c r="F208" s="102" t="s">
        <v>2428</v>
      </c>
      <c r="G208" s="4" t="s">
        <v>2429</v>
      </c>
      <c r="H208" s="4" t="s">
        <v>2281</v>
      </c>
      <c r="I208" s="110">
        <v>45176</v>
      </c>
    </row>
    <row r="209" spans="1:9">
      <c r="A209" s="66" t="s">
        <v>2430</v>
      </c>
      <c r="B209" s="103">
        <v>45190</v>
      </c>
      <c r="C209" s="13" t="s">
        <v>1365</v>
      </c>
      <c r="D209" s="13" t="s">
        <v>11</v>
      </c>
      <c r="E209" s="104">
        <v>24.096</v>
      </c>
      <c r="F209" s="102" t="s">
        <v>2437</v>
      </c>
      <c r="G209" s="4" t="s">
        <v>2438</v>
      </c>
      <c r="H209" s="4" t="s">
        <v>2281</v>
      </c>
      <c r="I209" s="110">
        <v>45176</v>
      </c>
    </row>
    <row r="210" spans="1:9">
      <c r="A210" s="15"/>
      <c r="B210" s="61"/>
      <c r="C210" s="6"/>
      <c r="D210" s="1"/>
      <c r="E210" s="41">
        <f>SUM(E208:E209)</f>
        <v>48.650999999999996</v>
      </c>
      <c r="F210" s="102"/>
      <c r="G210" s="1"/>
      <c r="H210" s="1"/>
      <c r="I210" s="109"/>
    </row>
    <row r="211" spans="1:9">
      <c r="A211" s="66" t="s">
        <v>2442</v>
      </c>
      <c r="B211" s="103">
        <v>45191</v>
      </c>
      <c r="C211" s="13" t="s">
        <v>1328</v>
      </c>
      <c r="D211" s="113" t="s">
        <v>78</v>
      </c>
      <c r="E211" s="104">
        <f>0.597+4.426</f>
        <v>5.0229999999999997</v>
      </c>
      <c r="F211" s="102" t="s">
        <v>97</v>
      </c>
      <c r="G211" s="4" t="s">
        <v>2443</v>
      </c>
      <c r="H211" s="4" t="s">
        <v>2102</v>
      </c>
      <c r="I211" s="110">
        <v>45150</v>
      </c>
    </row>
    <row r="212" spans="1:9">
      <c r="A212" s="66" t="s">
        <v>2442</v>
      </c>
      <c r="B212" s="103">
        <v>45191</v>
      </c>
      <c r="C212" s="13" t="s">
        <v>1365</v>
      </c>
      <c r="D212" s="113" t="s">
        <v>78</v>
      </c>
      <c r="E212" s="104">
        <f>25.531+1.117</f>
        <v>26.648</v>
      </c>
      <c r="F212" s="102" t="s">
        <v>97</v>
      </c>
      <c r="G212" s="4" t="s">
        <v>2443</v>
      </c>
      <c r="H212" s="4" t="s">
        <v>2102</v>
      </c>
      <c r="I212" s="110">
        <v>45150</v>
      </c>
    </row>
    <row r="213" spans="1:9">
      <c r="A213" s="66" t="s">
        <v>2444</v>
      </c>
      <c r="B213" s="103">
        <v>45191</v>
      </c>
      <c r="C213" s="13" t="s">
        <v>1365</v>
      </c>
      <c r="D213" s="13" t="s">
        <v>11</v>
      </c>
      <c r="E213" s="104">
        <v>24.338999999999999</v>
      </c>
      <c r="F213" s="102" t="s">
        <v>2445</v>
      </c>
      <c r="G213" s="4" t="s">
        <v>2446</v>
      </c>
      <c r="H213" s="4" t="s">
        <v>2281</v>
      </c>
      <c r="I213" s="110">
        <v>45176</v>
      </c>
    </row>
    <row r="214" spans="1:9">
      <c r="A214" s="66" t="s">
        <v>2449</v>
      </c>
      <c r="B214" s="103">
        <v>45191</v>
      </c>
      <c r="C214" s="13" t="s">
        <v>1365</v>
      </c>
      <c r="D214" s="13" t="s">
        <v>11</v>
      </c>
      <c r="E214" s="104">
        <v>4.0359999999999996</v>
      </c>
      <c r="F214" s="102" t="s">
        <v>2447</v>
      </c>
      <c r="G214" s="4" t="s">
        <v>2448</v>
      </c>
      <c r="H214" s="4" t="s">
        <v>2281</v>
      </c>
      <c r="I214" s="110">
        <v>45176</v>
      </c>
    </row>
    <row r="215" spans="1:9">
      <c r="A215" s="66" t="s">
        <v>2449</v>
      </c>
      <c r="B215" s="103">
        <v>45191</v>
      </c>
      <c r="C215" s="13" t="s">
        <v>1294</v>
      </c>
      <c r="D215" s="13" t="s">
        <v>11</v>
      </c>
      <c r="E215" s="104">
        <f>0.465+2.98</f>
        <v>3.4449999999999998</v>
      </c>
      <c r="F215" s="102" t="s">
        <v>2447</v>
      </c>
      <c r="G215" s="4" t="s">
        <v>2448</v>
      </c>
      <c r="H215" s="4" t="s">
        <v>2281</v>
      </c>
      <c r="I215" s="110">
        <v>45176</v>
      </c>
    </row>
    <row r="216" spans="1:9">
      <c r="A216" s="66" t="s">
        <v>2449</v>
      </c>
      <c r="B216" s="103">
        <v>45191</v>
      </c>
      <c r="C216" s="13" t="s">
        <v>1328</v>
      </c>
      <c r="D216" s="13" t="s">
        <v>11</v>
      </c>
      <c r="E216" s="104">
        <v>3.4889999999999999</v>
      </c>
      <c r="F216" s="102" t="s">
        <v>2447</v>
      </c>
      <c r="G216" s="4" t="s">
        <v>2448</v>
      </c>
      <c r="H216" s="4" t="s">
        <v>2281</v>
      </c>
      <c r="I216" s="110">
        <v>45176</v>
      </c>
    </row>
    <row r="217" spans="1:9">
      <c r="A217" s="66" t="s">
        <v>2449</v>
      </c>
      <c r="B217" s="103">
        <v>45191</v>
      </c>
      <c r="C217" s="13" t="s">
        <v>1387</v>
      </c>
      <c r="D217" s="13" t="s">
        <v>11</v>
      </c>
      <c r="E217" s="104">
        <v>13.627000000000001</v>
      </c>
      <c r="F217" s="102" t="s">
        <v>2447</v>
      </c>
      <c r="G217" s="4" t="s">
        <v>2448</v>
      </c>
      <c r="H217" s="4" t="s">
        <v>2281</v>
      </c>
      <c r="I217" s="110">
        <v>45176</v>
      </c>
    </row>
    <row r="218" spans="1:9">
      <c r="A218" s="66"/>
      <c r="B218" s="103"/>
      <c r="C218" s="13"/>
      <c r="D218" s="4"/>
      <c r="E218" s="58">
        <f>SUM(E211:E217)</f>
        <v>80.606999999999999</v>
      </c>
      <c r="F218" s="102"/>
      <c r="G218" s="4"/>
      <c r="H218" s="4"/>
      <c r="I218" s="109"/>
    </row>
    <row r="219" spans="1:9">
      <c r="A219" s="66" t="s">
        <v>2464</v>
      </c>
      <c r="B219" s="103">
        <v>45193</v>
      </c>
      <c r="C219" s="13" t="s">
        <v>1271</v>
      </c>
      <c r="D219" s="13" t="s">
        <v>11</v>
      </c>
      <c r="E219" s="104">
        <v>2.605</v>
      </c>
      <c r="F219" s="102" t="s">
        <v>2465</v>
      </c>
      <c r="G219" s="4" t="s">
        <v>2466</v>
      </c>
      <c r="H219" s="4" t="s">
        <v>2281</v>
      </c>
      <c r="I219" s="110">
        <v>45176</v>
      </c>
    </row>
    <row r="220" spans="1:9">
      <c r="A220" s="66" t="s">
        <v>2464</v>
      </c>
      <c r="B220" s="103">
        <v>45193</v>
      </c>
      <c r="C220" s="13" t="s">
        <v>1272</v>
      </c>
      <c r="D220" s="13" t="s">
        <v>11</v>
      </c>
      <c r="E220" s="104">
        <v>1.3049999999999999</v>
      </c>
      <c r="F220" s="102" t="s">
        <v>2465</v>
      </c>
      <c r="G220" s="4" t="s">
        <v>2466</v>
      </c>
      <c r="H220" s="4" t="s">
        <v>2281</v>
      </c>
      <c r="I220" s="110">
        <v>45176</v>
      </c>
    </row>
    <row r="221" spans="1:9">
      <c r="A221" s="66" t="s">
        <v>2464</v>
      </c>
      <c r="B221" s="103">
        <v>45193</v>
      </c>
      <c r="C221" s="13" t="s">
        <v>1391</v>
      </c>
      <c r="D221" s="13" t="s">
        <v>11</v>
      </c>
      <c r="E221" s="104">
        <v>3.306</v>
      </c>
      <c r="F221" s="102" t="s">
        <v>2465</v>
      </c>
      <c r="G221" s="4" t="s">
        <v>2466</v>
      </c>
      <c r="H221" s="4" t="s">
        <v>2281</v>
      </c>
      <c r="I221" s="110">
        <v>45176</v>
      </c>
    </row>
    <row r="222" spans="1:9">
      <c r="A222" s="66" t="s">
        <v>2464</v>
      </c>
      <c r="B222" s="103">
        <v>45193</v>
      </c>
      <c r="C222" s="13" t="s">
        <v>1377</v>
      </c>
      <c r="D222" s="13" t="s">
        <v>11</v>
      </c>
      <c r="E222" s="104">
        <v>0.84199999999999997</v>
      </c>
      <c r="F222" s="102" t="s">
        <v>2465</v>
      </c>
      <c r="G222" s="4" t="s">
        <v>2466</v>
      </c>
      <c r="H222" s="4" t="s">
        <v>2281</v>
      </c>
      <c r="I222" s="110">
        <v>45176</v>
      </c>
    </row>
    <row r="223" spans="1:9">
      <c r="A223" s="66" t="s">
        <v>2464</v>
      </c>
      <c r="B223" s="103">
        <v>45193</v>
      </c>
      <c r="C223" s="13" t="s">
        <v>1328</v>
      </c>
      <c r="D223" s="13" t="s">
        <v>11</v>
      </c>
      <c r="E223" s="104">
        <v>1.7010000000000001</v>
      </c>
      <c r="F223" s="102" t="s">
        <v>2465</v>
      </c>
      <c r="G223" s="4" t="s">
        <v>2466</v>
      </c>
      <c r="H223" s="4" t="s">
        <v>2281</v>
      </c>
      <c r="I223" s="110">
        <v>45176</v>
      </c>
    </row>
    <row r="224" spans="1:9">
      <c r="A224" s="66" t="s">
        <v>2464</v>
      </c>
      <c r="B224" s="103">
        <v>45193</v>
      </c>
      <c r="C224" s="13" t="s">
        <v>1365</v>
      </c>
      <c r="D224" s="13" t="s">
        <v>11</v>
      </c>
      <c r="E224" s="104">
        <f>10.931+2.876</f>
        <v>13.806999999999999</v>
      </c>
      <c r="F224" s="102" t="s">
        <v>2465</v>
      </c>
      <c r="G224" s="4" t="s">
        <v>2466</v>
      </c>
      <c r="H224" s="4" t="s">
        <v>2281</v>
      </c>
      <c r="I224" s="110">
        <v>45176</v>
      </c>
    </row>
    <row r="225" spans="1:12">
      <c r="A225" s="66" t="s">
        <v>2467</v>
      </c>
      <c r="B225" s="103">
        <v>45193</v>
      </c>
      <c r="C225" s="13" t="s">
        <v>1365</v>
      </c>
      <c r="D225" s="13" t="s">
        <v>11</v>
      </c>
      <c r="E225" s="104">
        <v>0.78100000000000003</v>
      </c>
      <c r="F225" s="102" t="s">
        <v>2465</v>
      </c>
      <c r="G225" s="4" t="s">
        <v>2468</v>
      </c>
      <c r="H225" s="13" t="s">
        <v>1636</v>
      </c>
      <c r="I225" s="103">
        <v>45111</v>
      </c>
    </row>
    <row r="226" spans="1:12">
      <c r="A226" s="66" t="s">
        <v>2469</v>
      </c>
      <c r="B226" s="103">
        <v>45193</v>
      </c>
      <c r="C226" s="13" t="s">
        <v>1365</v>
      </c>
      <c r="D226" s="113" t="s">
        <v>78</v>
      </c>
      <c r="E226" s="104">
        <v>32.57</v>
      </c>
      <c r="F226" s="102" t="s">
        <v>86</v>
      </c>
      <c r="G226" s="4" t="s">
        <v>2470</v>
      </c>
      <c r="H226" s="4" t="s">
        <v>2102</v>
      </c>
      <c r="I226" s="110">
        <v>45150</v>
      </c>
    </row>
    <row r="227" spans="1:12">
      <c r="A227" s="15"/>
      <c r="B227" s="61"/>
      <c r="C227" s="13"/>
      <c r="D227" s="4"/>
      <c r="E227" s="41">
        <f>SUM(E219:E226)</f>
        <v>56.917000000000002</v>
      </c>
      <c r="F227" s="102"/>
      <c r="G227" s="4"/>
      <c r="H227" s="4"/>
      <c r="I227" s="109"/>
    </row>
    <row r="228" spans="1:12">
      <c r="A228" s="66" t="s">
        <v>2471</v>
      </c>
      <c r="B228" s="103">
        <v>45195</v>
      </c>
      <c r="C228" s="13" t="s">
        <v>1365</v>
      </c>
      <c r="D228" s="13" t="s">
        <v>11</v>
      </c>
      <c r="E228" s="104">
        <f>0.941+23.418</f>
        <v>24.358999999999998</v>
      </c>
      <c r="F228" s="102" t="s">
        <v>2472</v>
      </c>
      <c r="G228" s="4" t="s">
        <v>2473</v>
      </c>
      <c r="H228" s="4" t="s">
        <v>2281</v>
      </c>
      <c r="I228" s="110">
        <v>45176</v>
      </c>
    </row>
    <row r="229" spans="1:12">
      <c r="A229" s="66" t="s">
        <v>2474</v>
      </c>
      <c r="B229" s="103">
        <v>45195</v>
      </c>
      <c r="C229" s="13" t="s">
        <v>1365</v>
      </c>
      <c r="D229" s="13" t="s">
        <v>11</v>
      </c>
      <c r="E229" s="104">
        <v>24.093</v>
      </c>
      <c r="F229" s="102" t="s">
        <v>2475</v>
      </c>
      <c r="G229" s="4" t="s">
        <v>2476</v>
      </c>
      <c r="H229" s="4" t="s">
        <v>2281</v>
      </c>
      <c r="I229" s="110">
        <v>45176</v>
      </c>
    </row>
    <row r="230" spans="1:12">
      <c r="A230" s="15"/>
      <c r="B230" s="61"/>
      <c r="C230" s="6"/>
      <c r="D230" s="1"/>
      <c r="E230" s="41">
        <f>SUM(E228:E229)</f>
        <v>48.451999999999998</v>
      </c>
      <c r="F230" s="102"/>
      <c r="G230" s="1"/>
      <c r="H230" s="1"/>
      <c r="I230" s="109"/>
    </row>
    <row r="231" spans="1:12">
      <c r="A231" s="66" t="s">
        <v>2479</v>
      </c>
      <c r="B231" s="103">
        <v>45196</v>
      </c>
      <c r="C231" s="13" t="s">
        <v>1365</v>
      </c>
      <c r="D231" s="13" t="s">
        <v>11</v>
      </c>
      <c r="E231" s="104">
        <v>24.094999999999999</v>
      </c>
      <c r="F231" s="102" t="s">
        <v>2477</v>
      </c>
      <c r="G231" s="14" t="s">
        <v>2478</v>
      </c>
      <c r="H231" s="4" t="s">
        <v>2281</v>
      </c>
      <c r="I231" s="110">
        <v>45176</v>
      </c>
    </row>
    <row r="232" spans="1:12">
      <c r="A232" s="15"/>
      <c r="B232" s="61"/>
      <c r="C232" s="6"/>
      <c r="D232" s="1"/>
      <c r="E232" s="41">
        <f>SUM(E231:E231)</f>
        <v>24.094999999999999</v>
      </c>
      <c r="F232" s="102"/>
      <c r="G232" s="1"/>
      <c r="H232" s="1"/>
      <c r="I232" s="109"/>
    </row>
    <row r="233" spans="1:12">
      <c r="A233" s="66" t="s">
        <v>2492</v>
      </c>
      <c r="B233" s="103">
        <v>45198</v>
      </c>
      <c r="C233" s="13" t="s">
        <v>1365</v>
      </c>
      <c r="D233" s="13" t="s">
        <v>11</v>
      </c>
      <c r="E233" s="104">
        <v>24.366</v>
      </c>
      <c r="F233" s="102" t="s">
        <v>2493</v>
      </c>
      <c r="G233" s="1" t="s">
        <v>2494</v>
      </c>
      <c r="H233" s="4" t="s">
        <v>2281</v>
      </c>
      <c r="I233" s="110">
        <v>45176</v>
      </c>
    </row>
    <row r="234" spans="1:12">
      <c r="A234" s="15"/>
      <c r="B234" s="61"/>
      <c r="C234" s="6"/>
      <c r="D234" s="1"/>
      <c r="E234" s="41">
        <f>SUM(E233:E233)</f>
        <v>24.366</v>
      </c>
      <c r="F234" s="102"/>
      <c r="G234" s="1"/>
      <c r="H234" s="1"/>
      <c r="I234" s="109"/>
    </row>
    <row r="235" spans="1:12">
      <c r="A235" s="117"/>
      <c r="B235" s="118"/>
      <c r="C235" s="119"/>
      <c r="D235" s="93"/>
      <c r="E235" s="120"/>
      <c r="F235" s="121"/>
      <c r="G235" s="93"/>
      <c r="H235" s="93"/>
      <c r="I235" s="122"/>
      <c r="J235" t="s">
        <v>2275</v>
      </c>
    </row>
    <row r="236" spans="1:12">
      <c r="A236" s="1"/>
      <c r="B236" s="16"/>
      <c r="C236" s="1"/>
      <c r="D236" s="2" t="s">
        <v>2119</v>
      </c>
      <c r="E236" s="20">
        <f>SUM(E57:E235)/2</f>
        <v>1700.2249999999999</v>
      </c>
      <c r="F236" s="102"/>
      <c r="G236" s="1"/>
      <c r="H236" s="1"/>
      <c r="I236" s="109"/>
      <c r="J236">
        <f>+'KEC JBP DISPATCHED SEP'!E167</f>
        <v>644.96600000000012</v>
      </c>
      <c r="K236" s="97">
        <f>+E236+J236</f>
        <v>2345.1909999999998</v>
      </c>
      <c r="L236" s="97"/>
    </row>
    <row r="237" spans="1:12">
      <c r="A237" s="1"/>
      <c r="B237" s="16"/>
      <c r="C237" s="1"/>
      <c r="D237" s="1"/>
      <c r="E237" s="54"/>
      <c r="F237" s="24"/>
      <c r="G237" s="1"/>
      <c r="H237" s="1"/>
      <c r="I237" s="109"/>
    </row>
    <row r="238" spans="1:12">
      <c r="A238" s="1"/>
      <c r="B238" s="3"/>
      <c r="C238" s="1"/>
      <c r="D238" s="2" t="s">
        <v>2118</v>
      </c>
      <c r="E238" s="20">
        <f>+E4+E11+E15+E17+E27+E36+E41+E56</f>
        <v>416.90500000000003</v>
      </c>
      <c r="F238" s="24"/>
      <c r="G238" s="1"/>
      <c r="H238" s="1"/>
      <c r="I238" s="109"/>
    </row>
    <row r="239" spans="1:12">
      <c r="A239" s="1"/>
      <c r="B239" s="3"/>
      <c r="C239" s="1"/>
      <c r="D239" s="1"/>
      <c r="E239" s="55"/>
      <c r="F239" s="24"/>
      <c r="G239" s="1"/>
      <c r="H239" s="1"/>
      <c r="I239" s="109"/>
    </row>
    <row r="240" spans="1:12">
      <c r="A240" s="1"/>
      <c r="B240" s="3"/>
      <c r="C240" s="1"/>
      <c r="D240" s="2"/>
      <c r="E240" s="20">
        <f>+E238+E236</f>
        <v>2117.13</v>
      </c>
      <c r="F240" s="24"/>
      <c r="G240" s="1"/>
      <c r="H240" s="1"/>
      <c r="I240" s="109"/>
    </row>
    <row r="241" spans="1:9">
      <c r="A241" s="1"/>
      <c r="B241" s="3"/>
      <c r="C241" s="1"/>
      <c r="D241" s="2"/>
      <c r="E241" s="54"/>
      <c r="F241" s="24"/>
      <c r="G241" s="1"/>
      <c r="H241" s="1"/>
      <c r="I241" s="109"/>
    </row>
    <row r="242" spans="1:9">
      <c r="A242" s="1"/>
      <c r="B242" s="3"/>
      <c r="C242" s="1"/>
      <c r="D242" s="1"/>
      <c r="E242" s="2"/>
      <c r="F242" s="24"/>
      <c r="G242" s="1"/>
      <c r="H242" s="1"/>
      <c r="I242" s="109"/>
    </row>
    <row r="243" spans="1:9">
      <c r="A243" s="1"/>
      <c r="B243" s="3"/>
      <c r="C243" s="1"/>
      <c r="D243" s="1"/>
      <c r="E243" s="2"/>
      <c r="F243" s="24"/>
      <c r="G243" s="1"/>
      <c r="H243" s="1"/>
      <c r="I243" s="109"/>
    </row>
    <row r="244" spans="1:9">
      <c r="A244" s="1"/>
      <c r="B244" s="3"/>
      <c r="C244" s="1"/>
      <c r="D244" s="1"/>
      <c r="E244" s="2"/>
      <c r="F244" s="24"/>
      <c r="G244" s="1"/>
      <c r="H244" s="1"/>
      <c r="I244" s="109"/>
    </row>
    <row r="245" spans="1:9">
      <c r="A245" s="1"/>
      <c r="B245" s="3"/>
      <c r="C245" s="1"/>
      <c r="D245" s="1"/>
      <c r="E245" s="2"/>
      <c r="F245" s="24"/>
      <c r="G245" s="1"/>
      <c r="H245" s="1"/>
      <c r="I245" s="109"/>
    </row>
    <row r="246" spans="1:9">
      <c r="A246" s="1"/>
      <c r="B246" s="3"/>
      <c r="C246" s="1"/>
      <c r="D246" s="1"/>
      <c r="E246" s="2"/>
      <c r="F246" s="24"/>
      <c r="G246" s="1"/>
      <c r="H246" s="1"/>
      <c r="I246" s="109"/>
    </row>
    <row r="247" spans="1:9">
      <c r="A247" s="1"/>
      <c r="B247" s="1"/>
      <c r="C247" s="1"/>
      <c r="D247" s="1"/>
      <c r="E247" s="2"/>
      <c r="F247" s="24"/>
      <c r="G247" s="1"/>
      <c r="H247" s="1"/>
      <c r="I247" s="4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filterMode="1"/>
  <dimension ref="A1:K182"/>
  <sheetViews>
    <sheetView workbookViewId="0">
      <selection activeCell="I1" sqref="I1"/>
    </sheetView>
  </sheetViews>
  <sheetFormatPr defaultRowHeight="15"/>
  <cols>
    <col min="1" max="1" width="18.28515625" customWidth="1"/>
    <col min="2" max="2" width="10.28515625" bestFit="1" customWidth="1"/>
    <col min="3" max="3" width="24" bestFit="1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10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10" hidden="1">
      <c r="A2" s="15" t="s">
        <v>1774</v>
      </c>
      <c r="B2" s="16">
        <v>45155</v>
      </c>
      <c r="C2" s="6" t="s">
        <v>226</v>
      </c>
      <c r="D2" s="1" t="s">
        <v>716</v>
      </c>
      <c r="E2" s="56">
        <v>0.82399999999999995</v>
      </c>
      <c r="F2" s="24" t="s">
        <v>544</v>
      </c>
      <c r="G2" s="96" t="s">
        <v>1773</v>
      </c>
      <c r="H2" s="18" t="s">
        <v>1401</v>
      </c>
      <c r="I2" s="16">
        <v>45119</v>
      </c>
    </row>
    <row r="3" spans="1:10" hidden="1">
      <c r="A3" s="15"/>
      <c r="B3" s="16"/>
      <c r="C3" s="6"/>
      <c r="D3" s="1"/>
      <c r="E3" s="58">
        <f>SUM(E2:E2)</f>
        <v>0.82399999999999995</v>
      </c>
      <c r="F3" s="24"/>
      <c r="G3" s="96"/>
      <c r="H3" s="18"/>
      <c r="I3" s="16"/>
    </row>
    <row r="4" spans="1:10" hidden="1">
      <c r="A4" s="15" t="s">
        <v>1928</v>
      </c>
      <c r="B4" s="61">
        <v>45161</v>
      </c>
      <c r="C4" s="6" t="s">
        <v>311</v>
      </c>
      <c r="D4" s="1" t="s">
        <v>716</v>
      </c>
      <c r="E4" s="56">
        <v>5.2489999999999997</v>
      </c>
      <c r="F4" s="24" t="s">
        <v>1560</v>
      </c>
      <c r="G4" s="1" t="s">
        <v>1926</v>
      </c>
      <c r="H4" s="1" t="s">
        <v>1929</v>
      </c>
      <c r="I4" s="61">
        <v>45135</v>
      </c>
    </row>
    <row r="5" spans="1:10" hidden="1">
      <c r="A5" s="15"/>
      <c r="B5" s="61"/>
      <c r="C5" s="6"/>
      <c r="D5" s="1"/>
      <c r="E5" s="58">
        <f>SUM(E4:E4)</f>
        <v>5.2489999999999997</v>
      </c>
      <c r="F5" s="24"/>
      <c r="G5" s="1"/>
      <c r="H5" s="1"/>
      <c r="I5" s="61"/>
    </row>
    <row r="6" spans="1:10" hidden="1">
      <c r="A6" s="15" t="s">
        <v>1944</v>
      </c>
      <c r="B6" s="61">
        <v>45162</v>
      </c>
      <c r="C6" s="6" t="s">
        <v>260</v>
      </c>
      <c r="D6" s="1" t="s">
        <v>716</v>
      </c>
      <c r="E6" s="78">
        <f>3+8.406</f>
        <v>11.406000000000001</v>
      </c>
      <c r="F6" s="24" t="s">
        <v>557</v>
      </c>
      <c r="G6" s="1" t="s">
        <v>1945</v>
      </c>
      <c r="H6" s="1" t="s">
        <v>1895</v>
      </c>
      <c r="I6" s="61">
        <v>45135</v>
      </c>
    </row>
    <row r="7" spans="1:10" hidden="1">
      <c r="A7" s="15" t="s">
        <v>1946</v>
      </c>
      <c r="B7" s="61">
        <v>45162</v>
      </c>
      <c r="C7" s="6" t="s">
        <v>196</v>
      </c>
      <c r="D7" s="1" t="s">
        <v>716</v>
      </c>
      <c r="E7" s="78">
        <v>7.8049999999999997</v>
      </c>
      <c r="F7" s="24" t="s">
        <v>557</v>
      </c>
      <c r="G7" s="1" t="s">
        <v>1947</v>
      </c>
      <c r="H7" s="1" t="s">
        <v>1948</v>
      </c>
      <c r="I7" s="61">
        <v>45135</v>
      </c>
    </row>
    <row r="8" spans="1:10" hidden="1">
      <c r="A8" s="15" t="s">
        <v>1949</v>
      </c>
      <c r="B8" s="61">
        <v>45162</v>
      </c>
      <c r="C8" s="6" t="s">
        <v>196</v>
      </c>
      <c r="D8" s="1" t="s">
        <v>716</v>
      </c>
      <c r="E8" s="78">
        <v>5.8529999999999998</v>
      </c>
      <c r="F8" s="24" t="s">
        <v>557</v>
      </c>
      <c r="G8" s="1" t="s">
        <v>1947</v>
      </c>
      <c r="H8" s="1" t="s">
        <v>1887</v>
      </c>
      <c r="I8" s="61">
        <v>45135</v>
      </c>
    </row>
    <row r="9" spans="1:10" hidden="1">
      <c r="A9" s="15" t="s">
        <v>1949</v>
      </c>
      <c r="B9" s="61">
        <v>45162</v>
      </c>
      <c r="C9" s="6" t="s">
        <v>1772</v>
      </c>
      <c r="D9" s="1" t="s">
        <v>716</v>
      </c>
      <c r="E9" s="78">
        <v>1.1870000000000001</v>
      </c>
      <c r="F9" s="24" t="s">
        <v>557</v>
      </c>
      <c r="G9" s="1" t="s">
        <v>1947</v>
      </c>
      <c r="H9" s="1" t="s">
        <v>1887</v>
      </c>
      <c r="I9" s="61">
        <v>45135</v>
      </c>
    </row>
    <row r="10" spans="1:10" hidden="1">
      <c r="A10" s="15" t="s">
        <v>1961</v>
      </c>
      <c r="B10" s="61">
        <v>45162</v>
      </c>
      <c r="C10" s="6" t="s">
        <v>311</v>
      </c>
      <c r="D10" s="1" t="s">
        <v>716</v>
      </c>
      <c r="E10" s="56">
        <v>5.7569999999999997</v>
      </c>
      <c r="F10" s="24" t="s">
        <v>1957</v>
      </c>
      <c r="G10" s="1" t="s">
        <v>1960</v>
      </c>
      <c r="H10" s="1" t="s">
        <v>1929</v>
      </c>
      <c r="I10" s="61">
        <v>45135</v>
      </c>
    </row>
    <row r="11" spans="1:10" hidden="1">
      <c r="A11" s="15" t="s">
        <v>1961</v>
      </c>
      <c r="B11" s="61">
        <v>45162</v>
      </c>
      <c r="C11" s="6" t="s">
        <v>205</v>
      </c>
      <c r="D11" s="1" t="s">
        <v>716</v>
      </c>
      <c r="E11" s="56">
        <v>12.132999999999999</v>
      </c>
      <c r="F11" s="24" t="s">
        <v>1957</v>
      </c>
      <c r="G11" s="1" t="s">
        <v>1960</v>
      </c>
      <c r="H11" s="1" t="s">
        <v>1929</v>
      </c>
      <c r="I11" s="61">
        <v>45135</v>
      </c>
    </row>
    <row r="12" spans="1:10" hidden="1">
      <c r="A12" s="15" t="s">
        <v>1962</v>
      </c>
      <c r="B12" s="61">
        <v>45162</v>
      </c>
      <c r="C12" s="6" t="s">
        <v>252</v>
      </c>
      <c r="D12" s="1" t="s">
        <v>716</v>
      </c>
      <c r="E12" s="56">
        <v>2.6389999999999998</v>
      </c>
      <c r="F12" s="24" t="s">
        <v>1957</v>
      </c>
      <c r="G12" s="1" t="s">
        <v>1960</v>
      </c>
      <c r="H12" s="1" t="s">
        <v>1887</v>
      </c>
      <c r="I12" s="61">
        <v>45135</v>
      </c>
    </row>
    <row r="13" spans="1:10" hidden="1">
      <c r="A13" s="1"/>
      <c r="B13" s="16"/>
      <c r="C13" s="6"/>
      <c r="D13" s="1"/>
      <c r="E13" s="41">
        <f>SUM(E6:E12)</f>
        <v>46.780000000000008</v>
      </c>
      <c r="F13" s="24"/>
      <c r="G13" s="1"/>
      <c r="H13" s="1"/>
      <c r="I13" s="3"/>
    </row>
    <row r="14" spans="1:10" hidden="1">
      <c r="A14" s="15" t="s">
        <v>2009</v>
      </c>
      <c r="B14" s="61">
        <v>45164</v>
      </c>
      <c r="C14" s="6" t="s">
        <v>319</v>
      </c>
      <c r="D14" s="1" t="s">
        <v>716</v>
      </c>
      <c r="E14" s="56">
        <v>0.68400000000000005</v>
      </c>
      <c r="F14" s="24" t="s">
        <v>2010</v>
      </c>
      <c r="G14" s="1" t="s">
        <v>2011</v>
      </c>
      <c r="H14" s="1" t="s">
        <v>1889</v>
      </c>
      <c r="I14" s="61">
        <v>45135</v>
      </c>
      <c r="J14" s="1"/>
    </row>
    <row r="15" spans="1:10" hidden="1">
      <c r="A15" s="15" t="s">
        <v>2012</v>
      </c>
      <c r="B15" s="61">
        <v>45164</v>
      </c>
      <c r="C15" s="6" t="s">
        <v>283</v>
      </c>
      <c r="D15" s="1" t="s">
        <v>716</v>
      </c>
      <c r="E15" s="56">
        <v>18.167999999999999</v>
      </c>
      <c r="F15" s="24" t="s">
        <v>2010</v>
      </c>
      <c r="G15" s="1" t="s">
        <v>2011</v>
      </c>
      <c r="H15" s="1" t="s">
        <v>1658</v>
      </c>
      <c r="I15" s="61">
        <v>45135</v>
      </c>
      <c r="J15" s="1"/>
    </row>
    <row r="16" spans="1:10" hidden="1">
      <c r="A16" s="15" t="s">
        <v>2012</v>
      </c>
      <c r="B16" s="61">
        <v>45164</v>
      </c>
      <c r="C16" s="6" t="s">
        <v>200</v>
      </c>
      <c r="D16" s="1" t="s">
        <v>716</v>
      </c>
      <c r="E16" s="56">
        <v>6.7720000000000002</v>
      </c>
      <c r="F16" s="24" t="s">
        <v>2010</v>
      </c>
      <c r="G16" s="1" t="s">
        <v>2011</v>
      </c>
      <c r="H16" s="1" t="s">
        <v>1658</v>
      </c>
      <c r="I16" s="61">
        <v>45135</v>
      </c>
      <c r="J16" s="1"/>
    </row>
    <row r="17" spans="1:10" hidden="1">
      <c r="A17" s="15" t="s">
        <v>2012</v>
      </c>
      <c r="B17" s="61">
        <v>45164</v>
      </c>
      <c r="C17" s="6" t="s">
        <v>255</v>
      </c>
      <c r="D17" s="1" t="s">
        <v>716</v>
      </c>
      <c r="E17" s="56">
        <v>4.5309999999999997</v>
      </c>
      <c r="F17" s="24" t="s">
        <v>2010</v>
      </c>
      <c r="G17" s="1" t="s">
        <v>2011</v>
      </c>
      <c r="H17" s="1" t="s">
        <v>1658</v>
      </c>
      <c r="I17" s="61">
        <v>45135</v>
      </c>
      <c r="J17" s="1"/>
    </row>
    <row r="18" spans="1:10" hidden="1">
      <c r="A18" s="15" t="s">
        <v>2013</v>
      </c>
      <c r="B18" s="61">
        <v>45164</v>
      </c>
      <c r="C18" s="6" t="s">
        <v>205</v>
      </c>
      <c r="D18" s="1" t="s">
        <v>716</v>
      </c>
      <c r="E18" s="56">
        <v>0.74299999999999999</v>
      </c>
      <c r="F18" s="24" t="s">
        <v>2010</v>
      </c>
      <c r="G18" s="1" t="s">
        <v>2011</v>
      </c>
      <c r="H18" s="1" t="s">
        <v>1929</v>
      </c>
      <c r="I18" s="61">
        <v>45135</v>
      </c>
      <c r="J18" s="1"/>
    </row>
    <row r="19" spans="1:10" hidden="1">
      <c r="A19" s="15" t="s">
        <v>2014</v>
      </c>
      <c r="B19" s="61">
        <v>45164</v>
      </c>
      <c r="C19" s="6" t="s">
        <v>319</v>
      </c>
      <c r="D19" s="1" t="s">
        <v>716</v>
      </c>
      <c r="E19" s="56">
        <v>1.484</v>
      </c>
      <c r="F19" s="24" t="s">
        <v>2010</v>
      </c>
      <c r="G19" s="1" t="s">
        <v>2011</v>
      </c>
      <c r="H19" s="1" t="s">
        <v>1895</v>
      </c>
      <c r="I19" s="61">
        <v>45135</v>
      </c>
      <c r="J19" s="1"/>
    </row>
    <row r="20" spans="1:10" hidden="1">
      <c r="A20" s="1"/>
      <c r="B20" s="16"/>
      <c r="C20" s="6"/>
      <c r="D20" s="1"/>
      <c r="E20" s="41">
        <f>SUM(E14:E19)</f>
        <v>32.381999999999998</v>
      </c>
      <c r="F20" s="24"/>
      <c r="G20" s="1"/>
      <c r="H20" s="1"/>
      <c r="I20" s="3"/>
      <c r="J20" s="1"/>
    </row>
    <row r="21" spans="1:10" hidden="1">
      <c r="A21" s="15" t="s">
        <v>2036</v>
      </c>
      <c r="B21" s="61">
        <v>45166</v>
      </c>
      <c r="C21" s="6" t="s">
        <v>244</v>
      </c>
      <c r="D21" s="1" t="s">
        <v>716</v>
      </c>
      <c r="E21" s="56">
        <v>1.69</v>
      </c>
      <c r="F21" s="24" t="s">
        <v>717</v>
      </c>
      <c r="G21" s="1" t="s">
        <v>2037</v>
      </c>
      <c r="H21" s="1" t="s">
        <v>1887</v>
      </c>
      <c r="I21" s="61">
        <v>45135</v>
      </c>
      <c r="J21" s="1"/>
    </row>
    <row r="22" spans="1:10" hidden="1">
      <c r="A22" s="15" t="s">
        <v>2036</v>
      </c>
      <c r="B22" s="61">
        <v>45166</v>
      </c>
      <c r="C22" s="6" t="s">
        <v>1311</v>
      </c>
      <c r="D22" s="1" t="s">
        <v>716</v>
      </c>
      <c r="E22" s="56">
        <f>1.518+0.647</f>
        <v>2.165</v>
      </c>
      <c r="F22" s="24" t="s">
        <v>717</v>
      </c>
      <c r="G22" s="1" t="s">
        <v>2037</v>
      </c>
      <c r="H22" s="1" t="s">
        <v>1887</v>
      </c>
      <c r="I22" s="61">
        <v>45135</v>
      </c>
      <c r="J22" s="1"/>
    </row>
    <row r="23" spans="1:10" hidden="1">
      <c r="A23" s="15" t="s">
        <v>2038</v>
      </c>
      <c r="B23" s="61">
        <v>45166</v>
      </c>
      <c r="C23" s="6" t="s">
        <v>699</v>
      </c>
      <c r="D23" s="1" t="s">
        <v>716</v>
      </c>
      <c r="E23" s="56">
        <f>5.059+2.959</f>
        <v>8.0180000000000007</v>
      </c>
      <c r="F23" s="24" t="s">
        <v>717</v>
      </c>
      <c r="G23" s="1" t="s">
        <v>2039</v>
      </c>
      <c r="H23" s="1" t="s">
        <v>2040</v>
      </c>
      <c r="I23" s="61">
        <v>45150</v>
      </c>
      <c r="J23" s="1"/>
    </row>
    <row r="24" spans="1:10" hidden="1">
      <c r="A24" s="15" t="s">
        <v>2043</v>
      </c>
      <c r="B24" s="61">
        <v>45166</v>
      </c>
      <c r="C24" s="6" t="s">
        <v>2041</v>
      </c>
      <c r="D24" s="1" t="s">
        <v>716</v>
      </c>
      <c r="E24" s="56">
        <v>2.9569999999999999</v>
      </c>
      <c r="F24" s="24" t="s">
        <v>717</v>
      </c>
      <c r="G24" s="50" t="s">
        <v>2045</v>
      </c>
      <c r="H24" s="1" t="s">
        <v>1658</v>
      </c>
      <c r="I24" s="61">
        <v>45135</v>
      </c>
      <c r="J24" s="1"/>
    </row>
    <row r="25" spans="1:10" hidden="1">
      <c r="A25" s="15" t="s">
        <v>2043</v>
      </c>
      <c r="B25" s="61">
        <v>45166</v>
      </c>
      <c r="C25" s="6" t="s">
        <v>2042</v>
      </c>
      <c r="D25" s="1" t="s">
        <v>716</v>
      </c>
      <c r="E25" s="56">
        <v>2.395</v>
      </c>
      <c r="F25" s="24" t="s">
        <v>717</v>
      </c>
      <c r="G25" s="50" t="s">
        <v>2045</v>
      </c>
      <c r="H25" s="1" t="s">
        <v>1658</v>
      </c>
      <c r="I25" s="61">
        <v>45135</v>
      </c>
      <c r="J25" s="1"/>
    </row>
    <row r="26" spans="1:10" hidden="1">
      <c r="A26" s="15" t="s">
        <v>2043</v>
      </c>
      <c r="B26" s="61">
        <v>45166</v>
      </c>
      <c r="C26" s="6" t="s">
        <v>234</v>
      </c>
      <c r="D26" s="1" t="s">
        <v>716</v>
      </c>
      <c r="E26" s="56">
        <v>10.103</v>
      </c>
      <c r="F26" s="24" t="s">
        <v>717</v>
      </c>
      <c r="G26" s="50" t="s">
        <v>2045</v>
      </c>
      <c r="H26" s="1" t="s">
        <v>1658</v>
      </c>
      <c r="I26" s="61">
        <v>45135</v>
      </c>
      <c r="J26" s="1"/>
    </row>
    <row r="27" spans="1:10" hidden="1">
      <c r="A27" s="15" t="s">
        <v>2043</v>
      </c>
      <c r="B27" s="61">
        <v>45166</v>
      </c>
      <c r="C27" s="6" t="s">
        <v>208</v>
      </c>
      <c r="D27" s="1" t="s">
        <v>716</v>
      </c>
      <c r="E27" s="56">
        <v>8.0399999999999991</v>
      </c>
      <c r="F27" s="24" t="s">
        <v>717</v>
      </c>
      <c r="G27" s="50" t="s">
        <v>2045</v>
      </c>
      <c r="H27" s="1" t="s">
        <v>1658</v>
      </c>
      <c r="I27" s="61">
        <v>45135</v>
      </c>
      <c r="J27" s="1"/>
    </row>
    <row r="28" spans="1:10" hidden="1">
      <c r="A28" s="15" t="s">
        <v>2043</v>
      </c>
      <c r="B28" s="61">
        <v>45166</v>
      </c>
      <c r="C28" s="6" t="s">
        <v>230</v>
      </c>
      <c r="D28" s="1" t="s">
        <v>716</v>
      </c>
      <c r="E28" s="56">
        <v>3.984</v>
      </c>
      <c r="F28" s="24" t="s">
        <v>717</v>
      </c>
      <c r="G28" s="50" t="s">
        <v>2045</v>
      </c>
      <c r="H28" s="1" t="s">
        <v>1658</v>
      </c>
      <c r="I28" s="61">
        <v>45135</v>
      </c>
      <c r="J28" s="1"/>
    </row>
    <row r="29" spans="1:10" hidden="1">
      <c r="A29" s="15" t="s">
        <v>2044</v>
      </c>
      <c r="B29" s="61">
        <v>45166</v>
      </c>
      <c r="C29" s="6" t="s">
        <v>195</v>
      </c>
      <c r="D29" s="1" t="s">
        <v>716</v>
      </c>
      <c r="E29" s="56">
        <v>0.39600000000000002</v>
      </c>
      <c r="F29" s="24" t="s">
        <v>717</v>
      </c>
      <c r="G29" s="50" t="s">
        <v>2045</v>
      </c>
      <c r="H29" s="1" t="s">
        <v>1895</v>
      </c>
      <c r="I29" s="61">
        <v>45135</v>
      </c>
      <c r="J29" s="99"/>
    </row>
    <row r="30" spans="1:10" hidden="1">
      <c r="A30" s="1"/>
      <c r="B30" s="16"/>
      <c r="C30" s="6"/>
      <c r="D30" s="1"/>
      <c r="E30" s="41">
        <f>SUM(E21:E29)</f>
        <v>39.748000000000005</v>
      </c>
      <c r="F30" s="24"/>
      <c r="G30" s="1"/>
      <c r="H30" s="1"/>
      <c r="I30" s="3"/>
      <c r="J30" s="99"/>
    </row>
    <row r="31" spans="1:10" hidden="1">
      <c r="A31" s="15" t="s">
        <v>2087</v>
      </c>
      <c r="B31" s="61">
        <v>45169</v>
      </c>
      <c r="C31" s="6" t="s">
        <v>208</v>
      </c>
      <c r="D31" s="1" t="s">
        <v>716</v>
      </c>
      <c r="E31" s="56">
        <v>5.15</v>
      </c>
      <c r="F31" s="24" t="s">
        <v>906</v>
      </c>
      <c r="G31" s="1" t="s">
        <v>2088</v>
      </c>
      <c r="H31" s="1" t="s">
        <v>1658</v>
      </c>
      <c r="I31" s="61">
        <v>45135</v>
      </c>
      <c r="J31" s="99"/>
    </row>
    <row r="32" spans="1:10" hidden="1">
      <c r="A32" s="15" t="s">
        <v>2087</v>
      </c>
      <c r="B32" s="61">
        <v>45169</v>
      </c>
      <c r="C32" s="6" t="s">
        <v>283</v>
      </c>
      <c r="D32" s="1" t="s">
        <v>716</v>
      </c>
      <c r="E32" s="56">
        <v>0.30599999999999999</v>
      </c>
      <c r="F32" s="24" t="s">
        <v>906</v>
      </c>
      <c r="G32" s="1" t="s">
        <v>2088</v>
      </c>
      <c r="H32" s="1" t="s">
        <v>1658</v>
      </c>
      <c r="I32" s="61">
        <v>45135</v>
      </c>
      <c r="J32" s="99"/>
    </row>
    <row r="33" spans="1:10" hidden="1">
      <c r="A33" s="15" t="s">
        <v>2087</v>
      </c>
      <c r="B33" s="61">
        <v>45169</v>
      </c>
      <c r="C33" s="6" t="s">
        <v>255</v>
      </c>
      <c r="D33" s="1" t="s">
        <v>716</v>
      </c>
      <c r="E33" s="56">
        <v>1.444</v>
      </c>
      <c r="F33" s="24" t="s">
        <v>906</v>
      </c>
      <c r="G33" s="1" t="s">
        <v>2088</v>
      </c>
      <c r="H33" s="1" t="s">
        <v>1658</v>
      </c>
      <c r="I33" s="61">
        <v>45135</v>
      </c>
      <c r="J33" s="99"/>
    </row>
    <row r="34" spans="1:10" hidden="1">
      <c r="A34" s="15" t="s">
        <v>2087</v>
      </c>
      <c r="B34" s="61">
        <v>45169</v>
      </c>
      <c r="C34" s="6" t="s">
        <v>303</v>
      </c>
      <c r="D34" s="1" t="s">
        <v>716</v>
      </c>
      <c r="E34" s="56">
        <v>0.33500000000000002</v>
      </c>
      <c r="F34" s="24" t="s">
        <v>906</v>
      </c>
      <c r="G34" s="1" t="s">
        <v>2088</v>
      </c>
      <c r="H34" s="1" t="s">
        <v>1658</v>
      </c>
      <c r="I34" s="61">
        <v>45135</v>
      </c>
      <c r="J34" s="99"/>
    </row>
    <row r="35" spans="1:10" hidden="1">
      <c r="A35" s="15" t="s">
        <v>2089</v>
      </c>
      <c r="B35" s="61">
        <v>45169</v>
      </c>
      <c r="C35" s="6" t="s">
        <v>699</v>
      </c>
      <c r="D35" s="1" t="s">
        <v>716</v>
      </c>
      <c r="E35" s="56">
        <v>5.5359999999999996</v>
      </c>
      <c r="F35" s="24" t="s">
        <v>906</v>
      </c>
      <c r="G35" s="1" t="s">
        <v>2090</v>
      </c>
      <c r="H35" s="1" t="s">
        <v>2040</v>
      </c>
      <c r="I35" s="61">
        <v>45150</v>
      </c>
      <c r="J35" s="99"/>
    </row>
    <row r="36" spans="1:10" hidden="1">
      <c r="A36" s="15" t="s">
        <v>2089</v>
      </c>
      <c r="B36" s="61">
        <v>45169</v>
      </c>
      <c r="C36" s="6" t="s">
        <v>578</v>
      </c>
      <c r="D36" s="1" t="s">
        <v>716</v>
      </c>
      <c r="E36" s="56">
        <v>9.7240000000000002</v>
      </c>
      <c r="F36" s="24" t="s">
        <v>906</v>
      </c>
      <c r="G36" s="1" t="s">
        <v>2090</v>
      </c>
      <c r="H36" s="1" t="s">
        <v>2040</v>
      </c>
      <c r="I36" s="61">
        <v>45150</v>
      </c>
      <c r="J36" s="99"/>
    </row>
    <row r="37" spans="1:10" hidden="1">
      <c r="A37" s="15" t="s">
        <v>2091</v>
      </c>
      <c r="B37" s="61">
        <v>45169</v>
      </c>
      <c r="C37" s="6" t="s">
        <v>578</v>
      </c>
      <c r="D37" s="1" t="s">
        <v>716</v>
      </c>
      <c r="E37" s="56">
        <v>0.65900000000000003</v>
      </c>
      <c r="F37" s="24" t="s">
        <v>906</v>
      </c>
      <c r="G37" s="1" t="s">
        <v>2090</v>
      </c>
      <c r="H37" s="1" t="s">
        <v>2092</v>
      </c>
      <c r="I37" s="61">
        <v>45166</v>
      </c>
      <c r="J37" s="99"/>
    </row>
    <row r="38" spans="1:10" hidden="1">
      <c r="A38" s="15" t="s">
        <v>2093</v>
      </c>
      <c r="B38" s="61">
        <v>45169</v>
      </c>
      <c r="C38" s="6" t="s">
        <v>227</v>
      </c>
      <c r="D38" s="1" t="s">
        <v>716</v>
      </c>
      <c r="E38" s="56">
        <v>1.19</v>
      </c>
      <c r="F38" s="24" t="s">
        <v>906</v>
      </c>
      <c r="G38" s="1" t="s">
        <v>2090</v>
      </c>
      <c r="H38" s="1" t="s">
        <v>564</v>
      </c>
      <c r="I38" s="61">
        <v>45071</v>
      </c>
      <c r="J38" s="99"/>
    </row>
    <row r="39" spans="1:10" hidden="1">
      <c r="A39" s="15" t="s">
        <v>2093</v>
      </c>
      <c r="B39" s="61">
        <v>45169</v>
      </c>
      <c r="C39" s="6" t="s">
        <v>543</v>
      </c>
      <c r="D39" s="1" t="s">
        <v>716</v>
      </c>
      <c r="E39" s="56">
        <v>1.08</v>
      </c>
      <c r="F39" s="24" t="s">
        <v>906</v>
      </c>
      <c r="G39" s="1" t="s">
        <v>2090</v>
      </c>
      <c r="H39" s="1" t="s">
        <v>564</v>
      </c>
      <c r="I39" s="61">
        <v>45071</v>
      </c>
      <c r="J39" s="99"/>
    </row>
    <row r="40" spans="1:10" hidden="1">
      <c r="A40" s="1"/>
      <c r="B40" s="16"/>
      <c r="C40" s="6"/>
      <c r="D40" s="1"/>
      <c r="E40" s="41">
        <f>SUM(E31:E39)</f>
        <v>25.423999999999999</v>
      </c>
      <c r="F40" s="24"/>
      <c r="G40" s="1"/>
      <c r="H40" s="1"/>
      <c r="I40" s="3"/>
      <c r="J40" s="99"/>
    </row>
    <row r="41" spans="1:10" hidden="1">
      <c r="A41" s="15" t="s">
        <v>2160</v>
      </c>
      <c r="B41" s="103">
        <v>45173</v>
      </c>
      <c r="C41" s="6" t="s">
        <v>1287</v>
      </c>
      <c r="D41" s="1" t="s">
        <v>716</v>
      </c>
      <c r="E41" s="21">
        <v>6.4189999999999996</v>
      </c>
      <c r="F41" s="24" t="s">
        <v>993</v>
      </c>
      <c r="G41" s="1" t="s">
        <v>2161</v>
      </c>
      <c r="H41" s="1" t="s">
        <v>2040</v>
      </c>
      <c r="I41" s="61">
        <v>45150</v>
      </c>
      <c r="J41" s="99"/>
    </row>
    <row r="42" spans="1:10" hidden="1">
      <c r="A42" s="15" t="s">
        <v>2162</v>
      </c>
      <c r="B42" s="103">
        <v>45173</v>
      </c>
      <c r="C42" s="6" t="s">
        <v>2041</v>
      </c>
      <c r="D42" s="1" t="s">
        <v>716</v>
      </c>
      <c r="E42" s="21">
        <v>2.9569999999999999</v>
      </c>
      <c r="F42" s="24" t="s">
        <v>993</v>
      </c>
      <c r="G42" s="1" t="s">
        <v>2161</v>
      </c>
      <c r="H42" s="1" t="s">
        <v>1658</v>
      </c>
      <c r="I42" s="61">
        <v>45135</v>
      </c>
      <c r="J42" s="99"/>
    </row>
    <row r="43" spans="1:10" hidden="1">
      <c r="A43" s="15" t="s">
        <v>2162</v>
      </c>
      <c r="B43" s="103">
        <v>45173</v>
      </c>
      <c r="C43" s="6" t="s">
        <v>1585</v>
      </c>
      <c r="D43" s="1" t="s">
        <v>716</v>
      </c>
      <c r="E43" s="21">
        <v>0.81899999999999995</v>
      </c>
      <c r="F43" s="24" t="s">
        <v>993</v>
      </c>
      <c r="G43" s="1" t="s">
        <v>2161</v>
      </c>
      <c r="H43" s="1" t="s">
        <v>1658</v>
      </c>
      <c r="I43" s="61">
        <v>45135</v>
      </c>
      <c r="J43" s="99"/>
    </row>
    <row r="44" spans="1:10" hidden="1">
      <c r="A44" s="15" t="s">
        <v>2162</v>
      </c>
      <c r="B44" s="103">
        <v>45173</v>
      </c>
      <c r="C44" s="6" t="s">
        <v>2163</v>
      </c>
      <c r="D44" s="1" t="s">
        <v>716</v>
      </c>
      <c r="E44" s="21">
        <v>0.56599999999999995</v>
      </c>
      <c r="F44" s="24" t="s">
        <v>993</v>
      </c>
      <c r="G44" s="1" t="s">
        <v>2161</v>
      </c>
      <c r="H44" s="1" t="s">
        <v>1658</v>
      </c>
      <c r="I44" s="61">
        <v>45135</v>
      </c>
      <c r="J44" s="99"/>
    </row>
    <row r="45" spans="1:10" hidden="1">
      <c r="A45" s="15" t="s">
        <v>2162</v>
      </c>
      <c r="B45" s="103">
        <v>45173</v>
      </c>
      <c r="C45" s="6" t="s">
        <v>862</v>
      </c>
      <c r="D45" s="1" t="s">
        <v>716</v>
      </c>
      <c r="E45" s="21">
        <v>5.1509999999999998</v>
      </c>
      <c r="F45" s="24" t="s">
        <v>993</v>
      </c>
      <c r="G45" s="1" t="s">
        <v>2161</v>
      </c>
      <c r="H45" s="1" t="s">
        <v>1658</v>
      </c>
      <c r="I45" s="61">
        <v>45135</v>
      </c>
      <c r="J45" s="99"/>
    </row>
    <row r="46" spans="1:10" hidden="1">
      <c r="A46" s="1"/>
      <c r="B46" s="3"/>
      <c r="C46" s="1"/>
      <c r="D46" s="1"/>
      <c r="E46" s="41">
        <f>SUM(E41:E45)</f>
        <v>15.912000000000001</v>
      </c>
      <c r="F46" s="24"/>
      <c r="G46" s="1"/>
      <c r="H46" s="1"/>
      <c r="I46" s="3"/>
    </row>
    <row r="47" spans="1:10" hidden="1">
      <c r="A47" s="66" t="s">
        <v>2192</v>
      </c>
      <c r="B47" s="103">
        <v>45175</v>
      </c>
      <c r="C47" s="13" t="s">
        <v>1756</v>
      </c>
      <c r="D47" s="13" t="s">
        <v>716</v>
      </c>
      <c r="E47" s="104">
        <f>2.608+20.439</f>
        <v>23.047000000000001</v>
      </c>
      <c r="F47" s="14" t="s">
        <v>1899</v>
      </c>
      <c r="G47" s="13" t="s">
        <v>2193</v>
      </c>
      <c r="H47" s="13" t="s">
        <v>1929</v>
      </c>
      <c r="I47" s="103">
        <v>45135</v>
      </c>
    </row>
    <row r="48" spans="1:10" hidden="1">
      <c r="A48" s="66" t="s">
        <v>2194</v>
      </c>
      <c r="B48" s="103">
        <v>45175</v>
      </c>
      <c r="C48" s="13" t="s">
        <v>1823</v>
      </c>
      <c r="D48" s="13" t="s">
        <v>716</v>
      </c>
      <c r="E48" s="104">
        <v>6.15</v>
      </c>
      <c r="F48" s="14" t="s">
        <v>1899</v>
      </c>
      <c r="G48" s="13" t="s">
        <v>2195</v>
      </c>
      <c r="H48" s="13" t="s">
        <v>1889</v>
      </c>
      <c r="I48" s="103">
        <v>45135</v>
      </c>
    </row>
    <row r="49" spans="1:9" hidden="1">
      <c r="A49" s="66" t="s">
        <v>2196</v>
      </c>
      <c r="B49" s="103">
        <v>45175</v>
      </c>
      <c r="C49" s="13" t="s">
        <v>2197</v>
      </c>
      <c r="D49" s="13" t="s">
        <v>716</v>
      </c>
      <c r="E49" s="104">
        <v>3.5270000000000001</v>
      </c>
      <c r="F49" s="14" t="s">
        <v>1899</v>
      </c>
      <c r="G49" s="13" t="s">
        <v>2195</v>
      </c>
      <c r="H49" s="13" t="s">
        <v>2198</v>
      </c>
      <c r="I49" s="103">
        <v>45139</v>
      </c>
    </row>
    <row r="50" spans="1:9" hidden="1">
      <c r="A50" s="66" t="s">
        <v>2199</v>
      </c>
      <c r="B50" s="103">
        <v>45175</v>
      </c>
      <c r="C50" s="13" t="s">
        <v>1756</v>
      </c>
      <c r="D50" s="13" t="s">
        <v>716</v>
      </c>
      <c r="E50" s="104">
        <v>7.3220000000000001</v>
      </c>
      <c r="F50" s="14" t="s">
        <v>2200</v>
      </c>
      <c r="G50" s="13" t="s">
        <v>2201</v>
      </c>
      <c r="H50" s="13" t="s">
        <v>1889</v>
      </c>
      <c r="I50" s="103">
        <v>45135</v>
      </c>
    </row>
    <row r="51" spans="1:9" hidden="1">
      <c r="A51" s="66" t="s">
        <v>2199</v>
      </c>
      <c r="B51" s="103">
        <v>45175</v>
      </c>
      <c r="C51" s="13" t="s">
        <v>1801</v>
      </c>
      <c r="D51" s="13" t="s">
        <v>716</v>
      </c>
      <c r="E51" s="104">
        <v>4.468</v>
      </c>
      <c r="F51" s="14" t="s">
        <v>2200</v>
      </c>
      <c r="G51" s="13" t="s">
        <v>2201</v>
      </c>
      <c r="H51" s="13" t="s">
        <v>1889</v>
      </c>
      <c r="I51" s="103">
        <v>45135</v>
      </c>
    </row>
    <row r="52" spans="1:9" hidden="1">
      <c r="A52" s="66" t="s">
        <v>2199</v>
      </c>
      <c r="B52" s="103">
        <v>45175</v>
      </c>
      <c r="C52" s="13" t="s">
        <v>2197</v>
      </c>
      <c r="D52" s="13" t="s">
        <v>716</v>
      </c>
      <c r="E52" s="52">
        <v>9.94</v>
      </c>
      <c r="F52" s="14" t="s">
        <v>2200</v>
      </c>
      <c r="G52" s="13" t="s">
        <v>2201</v>
      </c>
      <c r="H52" s="13" t="s">
        <v>1889</v>
      </c>
      <c r="I52" s="103">
        <v>45135</v>
      </c>
    </row>
    <row r="53" spans="1:9" hidden="1">
      <c r="A53" s="66" t="s">
        <v>2202</v>
      </c>
      <c r="B53" s="103">
        <v>45175</v>
      </c>
      <c r="C53" s="13" t="s">
        <v>2197</v>
      </c>
      <c r="D53" s="13" t="s">
        <v>716</v>
      </c>
      <c r="E53" s="108">
        <v>10.629</v>
      </c>
      <c r="F53" s="14" t="s">
        <v>2200</v>
      </c>
      <c r="G53" s="13" t="s">
        <v>2201</v>
      </c>
      <c r="H53" s="13" t="s">
        <v>2198</v>
      </c>
      <c r="I53" s="103">
        <v>45139</v>
      </c>
    </row>
    <row r="54" spans="1:9" hidden="1">
      <c r="A54" s="1"/>
      <c r="B54" s="3"/>
      <c r="C54" s="1"/>
      <c r="D54" s="1"/>
      <c r="E54" s="54">
        <f>SUM(E47:E53)</f>
        <v>65.083000000000013</v>
      </c>
      <c r="F54" s="24"/>
      <c r="G54" s="1"/>
      <c r="H54" s="1"/>
      <c r="I54" s="3"/>
    </row>
    <row r="55" spans="1:9" hidden="1">
      <c r="A55" s="66" t="s">
        <v>2212</v>
      </c>
      <c r="B55" s="103">
        <v>45176</v>
      </c>
      <c r="C55" s="13" t="s">
        <v>2197</v>
      </c>
      <c r="D55" s="13" t="s">
        <v>716</v>
      </c>
      <c r="E55" s="104">
        <v>3.415</v>
      </c>
      <c r="F55" s="24" t="s">
        <v>2213</v>
      </c>
      <c r="G55" s="1" t="s">
        <v>2214</v>
      </c>
      <c r="H55" s="13" t="s">
        <v>2198</v>
      </c>
      <c r="I55" s="103">
        <v>45139</v>
      </c>
    </row>
    <row r="56" spans="1:9" hidden="1">
      <c r="A56" s="66" t="s">
        <v>2215</v>
      </c>
      <c r="B56" s="103">
        <v>45176</v>
      </c>
      <c r="C56" s="13" t="s">
        <v>1227</v>
      </c>
      <c r="D56" s="13" t="s">
        <v>716</v>
      </c>
      <c r="E56" s="104">
        <f>4.465+0.066</f>
        <v>4.5309999999999997</v>
      </c>
      <c r="F56" s="24" t="s">
        <v>2213</v>
      </c>
      <c r="G56" s="1" t="s">
        <v>2216</v>
      </c>
      <c r="H56" s="1" t="s">
        <v>1658</v>
      </c>
      <c r="I56" s="61">
        <v>45135</v>
      </c>
    </row>
    <row r="57" spans="1:9" hidden="1">
      <c r="A57" s="66" t="s">
        <v>2215</v>
      </c>
      <c r="B57" s="103">
        <v>45176</v>
      </c>
      <c r="C57" s="13" t="s">
        <v>1245</v>
      </c>
      <c r="D57" s="13" t="s">
        <v>716</v>
      </c>
      <c r="E57" s="104">
        <v>4.1619999999999999</v>
      </c>
      <c r="F57" s="24" t="s">
        <v>2213</v>
      </c>
      <c r="G57" s="1" t="s">
        <v>2216</v>
      </c>
      <c r="H57" s="1" t="s">
        <v>1658</v>
      </c>
      <c r="I57" s="61">
        <v>45135</v>
      </c>
    </row>
    <row r="58" spans="1:9" hidden="1">
      <c r="A58" s="66" t="s">
        <v>2217</v>
      </c>
      <c r="B58" s="103">
        <v>45176</v>
      </c>
      <c r="C58" s="13" t="s">
        <v>1260</v>
      </c>
      <c r="D58" s="13" t="s">
        <v>716</v>
      </c>
      <c r="E58" s="104">
        <f>1.446+2.135</f>
        <v>3.5809999999999995</v>
      </c>
      <c r="F58" s="24" t="s">
        <v>2213</v>
      </c>
      <c r="G58" s="1" t="s">
        <v>2218</v>
      </c>
      <c r="H58" s="1" t="s">
        <v>2040</v>
      </c>
      <c r="I58" s="61">
        <v>45150</v>
      </c>
    </row>
    <row r="59" spans="1:9" hidden="1">
      <c r="A59" s="66" t="s">
        <v>2219</v>
      </c>
      <c r="B59" s="103">
        <v>45176</v>
      </c>
      <c r="C59" s="13" t="s">
        <v>2197</v>
      </c>
      <c r="D59" s="13" t="s">
        <v>716</v>
      </c>
      <c r="E59" s="104">
        <v>0.90600000000000003</v>
      </c>
      <c r="F59" s="24" t="s">
        <v>2213</v>
      </c>
      <c r="G59" s="1" t="s">
        <v>2220</v>
      </c>
      <c r="H59" s="13" t="s">
        <v>1889</v>
      </c>
      <c r="I59" s="103">
        <v>45135</v>
      </c>
    </row>
    <row r="60" spans="1:9" hidden="1">
      <c r="A60" s="66" t="s">
        <v>2219</v>
      </c>
      <c r="B60" s="103">
        <v>45176</v>
      </c>
      <c r="C60" s="13" t="s">
        <v>1791</v>
      </c>
      <c r="D60" s="13" t="s">
        <v>716</v>
      </c>
      <c r="E60" s="104">
        <v>4.4619999999999997</v>
      </c>
      <c r="F60" s="24" t="s">
        <v>2213</v>
      </c>
      <c r="G60" s="1" t="s">
        <v>2220</v>
      </c>
      <c r="H60" s="13" t="s">
        <v>1889</v>
      </c>
      <c r="I60" s="103">
        <v>45135</v>
      </c>
    </row>
    <row r="61" spans="1:9" hidden="1">
      <c r="A61" s="66" t="s">
        <v>2219</v>
      </c>
      <c r="B61" s="103">
        <v>45176</v>
      </c>
      <c r="C61" s="13" t="s">
        <v>1705</v>
      </c>
      <c r="D61" s="13" t="s">
        <v>716</v>
      </c>
      <c r="E61" s="104">
        <v>7.2270000000000003</v>
      </c>
      <c r="F61" s="24" t="s">
        <v>2213</v>
      </c>
      <c r="G61" s="1" t="s">
        <v>2220</v>
      </c>
      <c r="H61" s="13" t="s">
        <v>1889</v>
      </c>
      <c r="I61" s="103">
        <v>45135</v>
      </c>
    </row>
    <row r="62" spans="1:9" hidden="1">
      <c r="A62" s="66" t="s">
        <v>2221</v>
      </c>
      <c r="B62" s="103">
        <v>45176</v>
      </c>
      <c r="C62" s="13" t="s">
        <v>2197</v>
      </c>
      <c r="D62" s="13" t="s">
        <v>716</v>
      </c>
      <c r="E62" s="104">
        <v>3.827</v>
      </c>
      <c r="F62" s="24" t="s">
        <v>2213</v>
      </c>
      <c r="G62" s="1" t="s">
        <v>2220</v>
      </c>
      <c r="H62" s="13" t="s">
        <v>1929</v>
      </c>
      <c r="I62" s="103">
        <v>45135</v>
      </c>
    </row>
    <row r="63" spans="1:9" hidden="1">
      <c r="A63" s="66"/>
      <c r="B63" s="103"/>
      <c r="C63" s="11"/>
      <c r="D63" s="13"/>
      <c r="E63" s="58">
        <f>SUM(E55:E62)</f>
        <v>32.110999999999997</v>
      </c>
      <c r="F63" s="24"/>
      <c r="G63" s="1"/>
      <c r="H63" s="13"/>
      <c r="I63" s="103"/>
    </row>
    <row r="64" spans="1:9" hidden="1">
      <c r="A64" s="66" t="s">
        <v>2222</v>
      </c>
      <c r="B64" s="103">
        <v>45177</v>
      </c>
      <c r="C64" s="13" t="s">
        <v>1753</v>
      </c>
      <c r="D64" s="13" t="s">
        <v>716</v>
      </c>
      <c r="E64" s="52">
        <v>17.521000000000001</v>
      </c>
      <c r="F64" s="24" t="s">
        <v>1911</v>
      </c>
      <c r="G64" s="1" t="s">
        <v>2223</v>
      </c>
      <c r="H64" s="13" t="s">
        <v>2198</v>
      </c>
      <c r="I64" s="103">
        <v>45139</v>
      </c>
    </row>
    <row r="65" spans="1:9" hidden="1">
      <c r="A65" s="66" t="s">
        <v>2224</v>
      </c>
      <c r="B65" s="103">
        <v>45177</v>
      </c>
      <c r="C65" s="13" t="s">
        <v>1753</v>
      </c>
      <c r="D65" s="13" t="s">
        <v>716</v>
      </c>
      <c r="E65" s="52">
        <f>0.501+4.011</f>
        <v>4.5120000000000005</v>
      </c>
      <c r="F65" s="24" t="s">
        <v>1911</v>
      </c>
      <c r="G65" s="1" t="s">
        <v>2225</v>
      </c>
      <c r="H65" s="13" t="s">
        <v>1889</v>
      </c>
      <c r="I65" s="103">
        <v>45135</v>
      </c>
    </row>
    <row r="66" spans="1:9" hidden="1">
      <c r="A66" s="66" t="s">
        <v>2224</v>
      </c>
      <c r="B66" s="103">
        <v>45177</v>
      </c>
      <c r="C66" s="13" t="s">
        <v>1756</v>
      </c>
      <c r="D66" s="13" t="s">
        <v>716</v>
      </c>
      <c r="E66" s="52">
        <v>0.16600000000000001</v>
      </c>
      <c r="F66" s="24" t="s">
        <v>1911</v>
      </c>
      <c r="G66" s="1" t="s">
        <v>2225</v>
      </c>
      <c r="H66" s="13" t="s">
        <v>1889</v>
      </c>
      <c r="I66" s="103">
        <v>45135</v>
      </c>
    </row>
    <row r="67" spans="1:9" hidden="1">
      <c r="A67" s="66" t="s">
        <v>2226</v>
      </c>
      <c r="B67" s="103">
        <v>45177</v>
      </c>
      <c r="C67" s="13" t="s">
        <v>1756</v>
      </c>
      <c r="D67" s="13" t="s">
        <v>716</v>
      </c>
      <c r="E67" s="52">
        <v>10.785</v>
      </c>
      <c r="F67" s="24" t="s">
        <v>1911</v>
      </c>
      <c r="G67" s="1" t="s">
        <v>2227</v>
      </c>
      <c r="H67" s="13" t="s">
        <v>1929</v>
      </c>
      <c r="I67" s="103">
        <v>45135</v>
      </c>
    </row>
    <row r="68" spans="1:9" hidden="1">
      <c r="A68" s="66"/>
      <c r="B68" s="103"/>
      <c r="C68" s="11"/>
      <c r="D68" s="13"/>
      <c r="E68" s="54">
        <f>SUM(E64:E67)</f>
        <v>32.984000000000002</v>
      </c>
      <c r="F68" s="24"/>
      <c r="G68" s="1"/>
      <c r="H68" s="1"/>
      <c r="I68" s="3"/>
    </row>
    <row r="69" spans="1:9" hidden="1">
      <c r="A69" s="66" t="s">
        <v>2252</v>
      </c>
      <c r="B69" s="103">
        <v>45178</v>
      </c>
      <c r="C69" s="13" t="s">
        <v>1753</v>
      </c>
      <c r="D69" s="13" t="s">
        <v>716</v>
      </c>
      <c r="E69" s="104">
        <v>7.81</v>
      </c>
      <c r="F69" s="24" t="s">
        <v>2253</v>
      </c>
      <c r="G69" s="1" t="s">
        <v>2254</v>
      </c>
      <c r="H69" s="13" t="s">
        <v>2198</v>
      </c>
      <c r="I69" s="103">
        <v>45139</v>
      </c>
    </row>
    <row r="70" spans="1:9" hidden="1">
      <c r="A70" s="66" t="s">
        <v>2255</v>
      </c>
      <c r="B70" s="103">
        <v>45178</v>
      </c>
      <c r="C70" s="13" t="s">
        <v>1756</v>
      </c>
      <c r="D70" s="13" t="s">
        <v>716</v>
      </c>
      <c r="E70" s="104">
        <v>0.53400000000000003</v>
      </c>
      <c r="F70" s="24" t="s">
        <v>2253</v>
      </c>
      <c r="G70" s="1" t="s">
        <v>2254</v>
      </c>
      <c r="H70" s="13" t="s">
        <v>1929</v>
      </c>
      <c r="I70" s="103">
        <v>45135</v>
      </c>
    </row>
    <row r="71" spans="1:9" hidden="1">
      <c r="A71" s="66" t="s">
        <v>2255</v>
      </c>
      <c r="B71" s="103">
        <v>45178</v>
      </c>
      <c r="C71" s="13" t="s">
        <v>2197</v>
      </c>
      <c r="D71" s="13" t="s">
        <v>716</v>
      </c>
      <c r="E71" s="104">
        <v>1.1679999999999999</v>
      </c>
      <c r="F71" s="24" t="s">
        <v>2253</v>
      </c>
      <c r="G71" s="1" t="s">
        <v>2254</v>
      </c>
      <c r="H71" s="13" t="s">
        <v>1929</v>
      </c>
      <c r="I71" s="103">
        <v>45135</v>
      </c>
    </row>
    <row r="72" spans="1:9" hidden="1">
      <c r="A72" s="66" t="s">
        <v>2256</v>
      </c>
      <c r="B72" s="103">
        <v>45178</v>
      </c>
      <c r="C72" s="13" t="s">
        <v>1823</v>
      </c>
      <c r="D72" s="13" t="s">
        <v>716</v>
      </c>
      <c r="E72" s="104">
        <v>4.4000000000000004</v>
      </c>
      <c r="F72" s="24" t="s">
        <v>2253</v>
      </c>
      <c r="G72" s="1" t="s">
        <v>2254</v>
      </c>
      <c r="H72" s="13" t="s">
        <v>1889</v>
      </c>
      <c r="I72" s="103">
        <v>45135</v>
      </c>
    </row>
    <row r="73" spans="1:9" hidden="1">
      <c r="A73" s="66" t="s">
        <v>2256</v>
      </c>
      <c r="B73" s="103">
        <v>45178</v>
      </c>
      <c r="C73" s="13" t="s">
        <v>2197</v>
      </c>
      <c r="D73" s="13" t="s">
        <v>716</v>
      </c>
      <c r="E73" s="104">
        <v>0.38700000000000001</v>
      </c>
      <c r="F73" s="24" t="s">
        <v>2253</v>
      </c>
      <c r="G73" s="1" t="s">
        <v>2254</v>
      </c>
      <c r="H73" s="13" t="s">
        <v>1889</v>
      </c>
      <c r="I73" s="103">
        <v>45135</v>
      </c>
    </row>
    <row r="74" spans="1:9" hidden="1">
      <c r="A74" s="66" t="s">
        <v>2256</v>
      </c>
      <c r="B74" s="103">
        <v>45178</v>
      </c>
      <c r="C74" s="13" t="s">
        <v>1761</v>
      </c>
      <c r="D74" s="13" t="s">
        <v>716</v>
      </c>
      <c r="E74" s="104">
        <v>0.14699999999999999</v>
      </c>
      <c r="F74" s="24" t="s">
        <v>2253</v>
      </c>
      <c r="G74" s="1" t="s">
        <v>2254</v>
      </c>
      <c r="H74" s="13" t="s">
        <v>1889</v>
      </c>
      <c r="I74" s="103">
        <v>45135</v>
      </c>
    </row>
    <row r="75" spans="1:9" hidden="1">
      <c r="A75" s="66" t="s">
        <v>2256</v>
      </c>
      <c r="B75" s="103">
        <v>45178</v>
      </c>
      <c r="C75" s="13" t="s">
        <v>1796</v>
      </c>
      <c r="D75" s="13" t="s">
        <v>716</v>
      </c>
      <c r="E75" s="104">
        <v>3.202</v>
      </c>
      <c r="F75" s="24" t="s">
        <v>2253</v>
      </c>
      <c r="G75" s="1" t="s">
        <v>2254</v>
      </c>
      <c r="H75" s="13" t="s">
        <v>1889</v>
      </c>
      <c r="I75" s="103">
        <v>45135</v>
      </c>
    </row>
    <row r="76" spans="1:9" hidden="1">
      <c r="A76" s="66" t="s">
        <v>2257</v>
      </c>
      <c r="B76" s="103">
        <v>45178</v>
      </c>
      <c r="C76" s="13" t="s">
        <v>1366</v>
      </c>
      <c r="D76" s="13" t="s">
        <v>716</v>
      </c>
      <c r="E76" s="104">
        <v>1.72</v>
      </c>
      <c r="F76" s="24" t="s">
        <v>2253</v>
      </c>
      <c r="G76" s="1" t="s">
        <v>2254</v>
      </c>
      <c r="H76" s="6" t="s">
        <v>2258</v>
      </c>
      <c r="I76" s="103">
        <v>45167</v>
      </c>
    </row>
    <row r="77" spans="1:9" hidden="1">
      <c r="A77" s="66" t="s">
        <v>2259</v>
      </c>
      <c r="B77" s="103">
        <v>45178</v>
      </c>
      <c r="C77" s="13" t="s">
        <v>1227</v>
      </c>
      <c r="D77" s="13" t="s">
        <v>716</v>
      </c>
      <c r="E77" s="104">
        <v>1.9179999999999999</v>
      </c>
      <c r="F77" s="24" t="s">
        <v>2253</v>
      </c>
      <c r="G77" s="1" t="s">
        <v>2254</v>
      </c>
      <c r="H77" s="1" t="s">
        <v>1658</v>
      </c>
      <c r="I77" s="61">
        <v>45135</v>
      </c>
    </row>
    <row r="78" spans="1:9" hidden="1">
      <c r="A78" s="1"/>
      <c r="B78" s="3"/>
      <c r="C78" s="1"/>
      <c r="D78" s="1"/>
      <c r="E78" s="54">
        <f>SUM(E69:E77)</f>
        <v>21.285999999999998</v>
      </c>
      <c r="F78" s="24"/>
      <c r="G78" s="1"/>
      <c r="H78" s="1"/>
      <c r="I78" s="3"/>
    </row>
    <row r="79" spans="1:9" hidden="1">
      <c r="A79" s="66" t="s">
        <v>2298</v>
      </c>
      <c r="B79" s="103">
        <v>45182</v>
      </c>
      <c r="C79" s="13" t="s">
        <v>2299</v>
      </c>
      <c r="D79" s="13" t="s">
        <v>716</v>
      </c>
      <c r="E79" s="104">
        <f>0.425+13.6</f>
        <v>14.025</v>
      </c>
      <c r="F79" s="24" t="s">
        <v>1127</v>
      </c>
      <c r="G79" s="1" t="s">
        <v>2300</v>
      </c>
      <c r="H79" s="6" t="s">
        <v>2301</v>
      </c>
      <c r="I79" s="103">
        <v>45164</v>
      </c>
    </row>
    <row r="80" spans="1:9" hidden="1">
      <c r="A80" s="66" t="s">
        <v>2298</v>
      </c>
      <c r="B80" s="103">
        <v>45182</v>
      </c>
      <c r="C80" s="13" t="s">
        <v>1478</v>
      </c>
      <c r="D80" s="13" t="s">
        <v>716</v>
      </c>
      <c r="E80" s="104">
        <v>3.3410000000000002</v>
      </c>
      <c r="F80" s="24" t="s">
        <v>1127</v>
      </c>
      <c r="G80" s="1" t="s">
        <v>2300</v>
      </c>
      <c r="H80" s="6" t="s">
        <v>2301</v>
      </c>
      <c r="I80" s="103">
        <v>45164</v>
      </c>
    </row>
    <row r="81" spans="1:9" hidden="1">
      <c r="A81" s="66" t="s">
        <v>2302</v>
      </c>
      <c r="B81" s="103">
        <v>45182</v>
      </c>
      <c r="C81" s="13" t="s">
        <v>2299</v>
      </c>
      <c r="D81" s="13" t="s">
        <v>716</v>
      </c>
      <c r="E81" s="104">
        <v>13.59</v>
      </c>
      <c r="F81" s="24" t="s">
        <v>1127</v>
      </c>
      <c r="G81" s="1" t="s">
        <v>2303</v>
      </c>
      <c r="H81" s="6" t="s">
        <v>2304</v>
      </c>
      <c r="I81" s="103">
        <v>45166</v>
      </c>
    </row>
    <row r="82" spans="1:9" hidden="1">
      <c r="A82" s="66" t="s">
        <v>2302</v>
      </c>
      <c r="B82" s="103">
        <v>45182</v>
      </c>
      <c r="C82" s="13" t="s">
        <v>1478</v>
      </c>
      <c r="D82" s="13" t="s">
        <v>716</v>
      </c>
      <c r="E82" s="104">
        <v>1.4990000000000001</v>
      </c>
      <c r="F82" s="24" t="s">
        <v>1127</v>
      </c>
      <c r="G82" s="1" t="s">
        <v>2303</v>
      </c>
      <c r="H82" s="6" t="s">
        <v>2304</v>
      </c>
      <c r="I82" s="103">
        <v>45166</v>
      </c>
    </row>
    <row r="83" spans="1:9" hidden="1">
      <c r="A83" s="1"/>
      <c r="B83" s="3"/>
      <c r="C83" s="1"/>
      <c r="D83" s="1"/>
      <c r="E83" s="41">
        <f>SUM(E79:E82)</f>
        <v>32.454999999999998</v>
      </c>
      <c r="F83" s="24"/>
      <c r="G83" s="1"/>
      <c r="H83" s="1"/>
      <c r="I83" s="3"/>
    </row>
    <row r="84" spans="1:9" hidden="1">
      <c r="A84" s="66" t="s">
        <v>2317</v>
      </c>
      <c r="B84" s="103">
        <v>45184</v>
      </c>
      <c r="C84" s="13" t="s">
        <v>1366</v>
      </c>
      <c r="D84" s="13" t="s">
        <v>716</v>
      </c>
      <c r="E84" s="104">
        <f>4.529+19.254</f>
        <v>23.783000000000001</v>
      </c>
      <c r="F84" s="24" t="s">
        <v>2318</v>
      </c>
      <c r="G84" s="1" t="s">
        <v>2319</v>
      </c>
      <c r="H84" s="13" t="s">
        <v>1929</v>
      </c>
      <c r="I84" s="103">
        <v>45135</v>
      </c>
    </row>
    <row r="85" spans="1:9" hidden="1">
      <c r="A85" s="66" t="s">
        <v>2317</v>
      </c>
      <c r="B85" s="103">
        <v>45184</v>
      </c>
      <c r="C85" s="13" t="s">
        <v>1507</v>
      </c>
      <c r="D85" s="13" t="s">
        <v>716</v>
      </c>
      <c r="E85" s="104">
        <v>7.1520000000000001</v>
      </c>
      <c r="F85" s="24" t="s">
        <v>2318</v>
      </c>
      <c r="G85" s="1" t="s">
        <v>2319</v>
      </c>
      <c r="H85" s="13" t="s">
        <v>1929</v>
      </c>
      <c r="I85" s="103">
        <v>45135</v>
      </c>
    </row>
    <row r="86" spans="1:9" hidden="1">
      <c r="A86" s="66" t="s">
        <v>2320</v>
      </c>
      <c r="B86" s="103">
        <v>45184</v>
      </c>
      <c r="C86" s="13" t="s">
        <v>1366</v>
      </c>
      <c r="D86" s="13" t="s">
        <v>716</v>
      </c>
      <c r="E86" s="104">
        <v>1.782</v>
      </c>
      <c r="F86" s="24" t="s">
        <v>2318</v>
      </c>
      <c r="G86" s="1" t="s">
        <v>2322</v>
      </c>
      <c r="H86" s="1" t="s">
        <v>1887</v>
      </c>
      <c r="I86" s="61">
        <v>45135</v>
      </c>
    </row>
    <row r="87" spans="1:9" hidden="1">
      <c r="A87" s="66" t="s">
        <v>2321</v>
      </c>
      <c r="B87" s="103">
        <v>45184</v>
      </c>
      <c r="C87" s="13" t="s">
        <v>1341</v>
      </c>
      <c r="D87" s="13" t="s">
        <v>716</v>
      </c>
      <c r="E87" s="104">
        <v>7.593</v>
      </c>
      <c r="F87" s="24" t="s">
        <v>2323</v>
      </c>
      <c r="G87" s="1" t="s">
        <v>2324</v>
      </c>
      <c r="H87" s="13" t="s">
        <v>1889</v>
      </c>
      <c r="I87" s="103">
        <v>45135</v>
      </c>
    </row>
    <row r="88" spans="1:9" hidden="1">
      <c r="A88" s="66" t="s">
        <v>2321</v>
      </c>
      <c r="B88" s="103">
        <v>45184</v>
      </c>
      <c r="C88" s="13" t="s">
        <v>1342</v>
      </c>
      <c r="D88" s="13" t="s">
        <v>716</v>
      </c>
      <c r="E88" s="104">
        <f>2.307+7.491</f>
        <v>9.798</v>
      </c>
      <c r="F88" s="24" t="s">
        <v>2323</v>
      </c>
      <c r="G88" s="1" t="s">
        <v>2324</v>
      </c>
      <c r="H88" s="13" t="s">
        <v>1889</v>
      </c>
      <c r="I88" s="103">
        <v>45135</v>
      </c>
    </row>
    <row r="89" spans="1:9" hidden="1">
      <c r="A89" s="66" t="s">
        <v>2321</v>
      </c>
      <c r="B89" s="103">
        <v>45184</v>
      </c>
      <c r="C89" s="13" t="s">
        <v>1251</v>
      </c>
      <c r="D89" s="13" t="s">
        <v>716</v>
      </c>
      <c r="E89" s="104">
        <v>2.923</v>
      </c>
      <c r="F89" s="24" t="s">
        <v>2323</v>
      </c>
      <c r="G89" s="1" t="s">
        <v>2324</v>
      </c>
      <c r="H89" s="13" t="s">
        <v>1889</v>
      </c>
      <c r="I89" s="103">
        <v>45135</v>
      </c>
    </row>
    <row r="90" spans="1:9" hidden="1">
      <c r="A90" s="66" t="s">
        <v>2321</v>
      </c>
      <c r="B90" s="103">
        <v>45184</v>
      </c>
      <c r="C90" s="13" t="s">
        <v>1245</v>
      </c>
      <c r="D90" s="13" t="s">
        <v>716</v>
      </c>
      <c r="E90" s="104">
        <v>7.181</v>
      </c>
      <c r="F90" s="24" t="s">
        <v>2323</v>
      </c>
      <c r="G90" s="1" t="s">
        <v>2324</v>
      </c>
      <c r="H90" s="13" t="s">
        <v>1889</v>
      </c>
      <c r="I90" s="103">
        <v>45135</v>
      </c>
    </row>
    <row r="91" spans="1:9" hidden="1">
      <c r="A91" s="66" t="s">
        <v>2321</v>
      </c>
      <c r="B91" s="103">
        <v>45184</v>
      </c>
      <c r="C91" s="13" t="s">
        <v>1227</v>
      </c>
      <c r="D91" s="13" t="s">
        <v>716</v>
      </c>
      <c r="E91" s="104">
        <v>4.891</v>
      </c>
      <c r="F91" s="24" t="s">
        <v>2323</v>
      </c>
      <c r="G91" s="1" t="s">
        <v>2324</v>
      </c>
      <c r="H91" s="13" t="s">
        <v>1889</v>
      </c>
      <c r="I91" s="103">
        <v>45135</v>
      </c>
    </row>
    <row r="92" spans="1:9" hidden="1">
      <c r="A92" s="66" t="s">
        <v>2325</v>
      </c>
      <c r="B92" s="103">
        <v>45184</v>
      </c>
      <c r="C92" s="13" t="s">
        <v>1350</v>
      </c>
      <c r="D92" s="13" t="s">
        <v>716</v>
      </c>
      <c r="E92" s="104">
        <f>15.639+10.618</f>
        <v>26.256999999999998</v>
      </c>
      <c r="F92" s="24" t="s">
        <v>919</v>
      </c>
      <c r="G92" s="1" t="s">
        <v>2326</v>
      </c>
      <c r="H92" s="13" t="s">
        <v>1889</v>
      </c>
      <c r="I92" s="103">
        <v>45135</v>
      </c>
    </row>
    <row r="93" spans="1:9" hidden="1">
      <c r="A93" s="66" t="s">
        <v>2325</v>
      </c>
      <c r="B93" s="103">
        <v>45184</v>
      </c>
      <c r="C93" s="13" t="s">
        <v>1251</v>
      </c>
      <c r="D93" s="13" t="s">
        <v>716</v>
      </c>
      <c r="E93" s="104">
        <v>5.8460000000000001</v>
      </c>
      <c r="F93" s="24" t="s">
        <v>919</v>
      </c>
      <c r="G93" s="1" t="s">
        <v>2326</v>
      </c>
      <c r="H93" s="13" t="s">
        <v>1889</v>
      </c>
      <c r="I93" s="103">
        <v>45135</v>
      </c>
    </row>
    <row r="94" spans="1:9" hidden="1">
      <c r="A94" s="66" t="s">
        <v>2327</v>
      </c>
      <c r="B94" s="103">
        <v>45184</v>
      </c>
      <c r="C94" s="13" t="s">
        <v>1251</v>
      </c>
      <c r="D94" s="13" t="s">
        <v>716</v>
      </c>
      <c r="E94" s="104">
        <v>0.58499999999999996</v>
      </c>
      <c r="F94" s="24" t="s">
        <v>919</v>
      </c>
      <c r="G94" s="14" t="s">
        <v>2328</v>
      </c>
      <c r="H94" s="1" t="s">
        <v>2329</v>
      </c>
      <c r="I94" s="61">
        <v>45150</v>
      </c>
    </row>
    <row r="95" spans="1:9" hidden="1">
      <c r="A95" s="66" t="s">
        <v>2330</v>
      </c>
      <c r="B95" s="103">
        <v>45184</v>
      </c>
      <c r="C95" s="13" t="s">
        <v>1227</v>
      </c>
      <c r="D95" s="13" t="s">
        <v>716</v>
      </c>
      <c r="E95" s="104">
        <f>7.92+2.038</f>
        <v>9.9580000000000002</v>
      </c>
      <c r="F95" s="24" t="s">
        <v>2331</v>
      </c>
      <c r="G95" s="1" t="s">
        <v>2332</v>
      </c>
      <c r="H95" s="13" t="s">
        <v>1889</v>
      </c>
      <c r="I95" s="103">
        <v>45135</v>
      </c>
    </row>
    <row r="96" spans="1:9" hidden="1">
      <c r="A96" s="66" t="s">
        <v>2330</v>
      </c>
      <c r="B96" s="103">
        <v>45184</v>
      </c>
      <c r="C96" s="13" t="s">
        <v>1367</v>
      </c>
      <c r="D96" s="13" t="s">
        <v>716</v>
      </c>
      <c r="E96" s="104">
        <v>5.5309999999999997</v>
      </c>
      <c r="F96" s="24" t="s">
        <v>2331</v>
      </c>
      <c r="G96" s="1" t="s">
        <v>2332</v>
      </c>
      <c r="H96" s="13" t="s">
        <v>1889</v>
      </c>
      <c r="I96" s="103">
        <v>45135</v>
      </c>
    </row>
    <row r="97" spans="1:9" hidden="1">
      <c r="A97" s="66" t="s">
        <v>2333</v>
      </c>
      <c r="B97" s="103">
        <v>45184</v>
      </c>
      <c r="C97" s="13" t="s">
        <v>1753</v>
      </c>
      <c r="D97" s="13" t="s">
        <v>716</v>
      </c>
      <c r="E97" s="104">
        <v>1.125</v>
      </c>
      <c r="F97" s="24" t="s">
        <v>2331</v>
      </c>
      <c r="G97" s="1" t="s">
        <v>2334</v>
      </c>
      <c r="H97" s="13" t="s">
        <v>1929</v>
      </c>
      <c r="I97" s="103">
        <v>45135</v>
      </c>
    </row>
    <row r="98" spans="1:9" hidden="1">
      <c r="A98" s="66" t="s">
        <v>2333</v>
      </c>
      <c r="B98" s="103">
        <v>45184</v>
      </c>
      <c r="C98" s="13" t="s">
        <v>1695</v>
      </c>
      <c r="D98" s="13" t="s">
        <v>716</v>
      </c>
      <c r="E98" s="104">
        <v>4.7210000000000001</v>
      </c>
      <c r="F98" s="24" t="s">
        <v>2331</v>
      </c>
      <c r="G98" s="1" t="s">
        <v>2334</v>
      </c>
      <c r="H98" s="13" t="s">
        <v>1929</v>
      </c>
      <c r="I98" s="103">
        <v>45135</v>
      </c>
    </row>
    <row r="99" spans="1:9" hidden="1">
      <c r="A99" s="66" t="s">
        <v>2335</v>
      </c>
      <c r="B99" s="103">
        <v>45184</v>
      </c>
      <c r="C99" s="13" t="s">
        <v>1640</v>
      </c>
      <c r="D99" s="13" t="s">
        <v>716</v>
      </c>
      <c r="E99" s="104">
        <v>5.7789999999999999</v>
      </c>
      <c r="F99" s="24" t="s">
        <v>2331</v>
      </c>
      <c r="G99" s="1" t="s">
        <v>2334</v>
      </c>
      <c r="H99" s="6" t="s">
        <v>2198</v>
      </c>
      <c r="I99" s="103">
        <v>45135</v>
      </c>
    </row>
    <row r="100" spans="1:9" hidden="1">
      <c r="A100" s="66" t="s">
        <v>2335</v>
      </c>
      <c r="B100" s="103">
        <v>45184</v>
      </c>
      <c r="C100" s="13" t="s">
        <v>1695</v>
      </c>
      <c r="D100" s="13" t="s">
        <v>716</v>
      </c>
      <c r="E100" s="104">
        <v>5.6820000000000004</v>
      </c>
      <c r="F100" s="24" t="s">
        <v>2331</v>
      </c>
      <c r="G100" s="1" t="s">
        <v>2334</v>
      </c>
      <c r="H100" s="6" t="s">
        <v>2198</v>
      </c>
      <c r="I100" s="103">
        <v>45135</v>
      </c>
    </row>
    <row r="101" spans="1:9" hidden="1">
      <c r="A101" s="4"/>
      <c r="B101" s="109"/>
      <c r="C101" s="4"/>
      <c r="D101" s="4"/>
      <c r="E101" s="41">
        <f>SUM(E84:E100)</f>
        <v>130.58700000000002</v>
      </c>
      <c r="F101" s="102"/>
      <c r="G101" s="4"/>
      <c r="H101" s="4"/>
      <c r="I101" s="109"/>
    </row>
    <row r="102" spans="1:9" hidden="1">
      <c r="A102" s="66" t="s">
        <v>2336</v>
      </c>
      <c r="B102" s="103">
        <v>45185</v>
      </c>
      <c r="C102" s="13" t="s">
        <v>1227</v>
      </c>
      <c r="D102" s="13" t="s">
        <v>716</v>
      </c>
      <c r="E102" s="104">
        <v>5.6479999999999997</v>
      </c>
      <c r="F102" s="102" t="s">
        <v>2337</v>
      </c>
      <c r="G102" s="4" t="s">
        <v>2338</v>
      </c>
      <c r="H102" s="13" t="s">
        <v>1889</v>
      </c>
      <c r="I102" s="103">
        <v>45135</v>
      </c>
    </row>
    <row r="103" spans="1:9" hidden="1">
      <c r="A103" s="66" t="s">
        <v>2336</v>
      </c>
      <c r="B103" s="103">
        <v>45185</v>
      </c>
      <c r="C103" s="13" t="s">
        <v>1226</v>
      </c>
      <c r="D103" s="13" t="s">
        <v>716</v>
      </c>
      <c r="E103" s="104">
        <v>7.1559999999999997</v>
      </c>
      <c r="F103" s="102" t="s">
        <v>2337</v>
      </c>
      <c r="G103" s="4" t="s">
        <v>2338</v>
      </c>
      <c r="H103" s="13" t="s">
        <v>1889</v>
      </c>
      <c r="I103" s="103">
        <v>45135</v>
      </c>
    </row>
    <row r="104" spans="1:9" hidden="1">
      <c r="A104" s="66" t="s">
        <v>2336</v>
      </c>
      <c r="B104" s="103">
        <v>45185</v>
      </c>
      <c r="C104" s="13" t="s">
        <v>1350</v>
      </c>
      <c r="D104" s="13" t="s">
        <v>716</v>
      </c>
      <c r="E104" s="104">
        <f>0.316+0.691</f>
        <v>1.0069999999999999</v>
      </c>
      <c r="F104" s="102" t="s">
        <v>2337</v>
      </c>
      <c r="G104" s="4" t="s">
        <v>2338</v>
      </c>
      <c r="H104" s="13" t="s">
        <v>1889</v>
      </c>
      <c r="I104" s="103">
        <v>45135</v>
      </c>
    </row>
    <row r="105" spans="1:9" hidden="1">
      <c r="A105" s="66" t="s">
        <v>2339</v>
      </c>
      <c r="B105" s="103">
        <v>45185</v>
      </c>
      <c r="C105" s="13" t="s">
        <v>1695</v>
      </c>
      <c r="D105" s="13" t="s">
        <v>716</v>
      </c>
      <c r="E105" s="104">
        <v>0.29799999999999999</v>
      </c>
      <c r="F105" s="102" t="s">
        <v>2337</v>
      </c>
      <c r="G105" s="4" t="s">
        <v>2340</v>
      </c>
      <c r="H105" s="13" t="s">
        <v>1929</v>
      </c>
      <c r="I105" s="103">
        <v>45135</v>
      </c>
    </row>
    <row r="106" spans="1:9" hidden="1">
      <c r="A106" s="66" t="s">
        <v>2339</v>
      </c>
      <c r="B106" s="103">
        <v>45185</v>
      </c>
      <c r="C106" s="13" t="s">
        <v>1507</v>
      </c>
      <c r="D106" s="13" t="s">
        <v>716</v>
      </c>
      <c r="E106" s="104">
        <v>1.89</v>
      </c>
      <c r="F106" s="102" t="s">
        <v>2337</v>
      </c>
      <c r="G106" s="4" t="s">
        <v>2340</v>
      </c>
      <c r="H106" s="13" t="s">
        <v>1929</v>
      </c>
      <c r="I106" s="103">
        <v>45135</v>
      </c>
    </row>
    <row r="107" spans="1:9" hidden="1">
      <c r="A107" s="66" t="s">
        <v>2339</v>
      </c>
      <c r="B107" s="103">
        <v>45185</v>
      </c>
      <c r="C107" s="13" t="s">
        <v>1753</v>
      </c>
      <c r="D107" s="13" t="s">
        <v>716</v>
      </c>
      <c r="E107" s="104">
        <v>1.1679999999999999</v>
      </c>
      <c r="F107" s="102" t="s">
        <v>2337</v>
      </c>
      <c r="G107" s="4" t="s">
        <v>2340</v>
      </c>
      <c r="H107" s="13" t="s">
        <v>1929</v>
      </c>
      <c r="I107" s="103">
        <v>45135</v>
      </c>
    </row>
    <row r="108" spans="1:9" hidden="1">
      <c r="A108" s="66" t="s">
        <v>2341</v>
      </c>
      <c r="B108" s="103">
        <v>45185</v>
      </c>
      <c r="C108" s="13" t="s">
        <v>1640</v>
      </c>
      <c r="D108" s="13" t="s">
        <v>716</v>
      </c>
      <c r="E108" s="104">
        <v>2.7890000000000001</v>
      </c>
      <c r="F108" s="102" t="s">
        <v>2337</v>
      </c>
      <c r="G108" s="4" t="s">
        <v>2340</v>
      </c>
      <c r="H108" s="13" t="s">
        <v>2198</v>
      </c>
      <c r="I108" s="103">
        <v>45139</v>
      </c>
    </row>
    <row r="109" spans="1:9" hidden="1">
      <c r="A109" s="66" t="s">
        <v>2342</v>
      </c>
      <c r="B109" s="103">
        <v>45185</v>
      </c>
      <c r="C109" s="13" t="s">
        <v>1350</v>
      </c>
      <c r="D109" s="13" t="s">
        <v>716</v>
      </c>
      <c r="E109" s="104">
        <v>0.66700000000000004</v>
      </c>
      <c r="F109" s="102" t="s">
        <v>2337</v>
      </c>
      <c r="G109" s="4" t="s">
        <v>2340</v>
      </c>
      <c r="H109" s="4" t="s">
        <v>2329</v>
      </c>
      <c r="I109" s="61">
        <v>45150</v>
      </c>
    </row>
    <row r="110" spans="1:9" hidden="1">
      <c r="A110" s="66" t="s">
        <v>2343</v>
      </c>
      <c r="B110" s="103">
        <v>45185</v>
      </c>
      <c r="C110" s="13" t="s">
        <v>2299</v>
      </c>
      <c r="D110" s="13" t="s">
        <v>716</v>
      </c>
      <c r="E110" s="104">
        <v>2.9159999999999999</v>
      </c>
      <c r="F110" s="102" t="s">
        <v>2337</v>
      </c>
      <c r="G110" s="4" t="s">
        <v>2340</v>
      </c>
      <c r="H110" s="4" t="s">
        <v>2304</v>
      </c>
      <c r="I110" s="61">
        <v>45150</v>
      </c>
    </row>
    <row r="111" spans="1:9" hidden="1">
      <c r="A111" s="4"/>
      <c r="B111" s="109"/>
      <c r="C111" s="4"/>
      <c r="D111" s="4"/>
      <c r="E111" s="54">
        <f>SUM(E102:E110)</f>
        <v>23.539000000000001</v>
      </c>
      <c r="F111" s="102"/>
      <c r="G111" s="4"/>
      <c r="H111" s="4"/>
      <c r="I111" s="109"/>
    </row>
    <row r="112" spans="1:9" hidden="1">
      <c r="A112" s="66" t="s">
        <v>2363</v>
      </c>
      <c r="B112" s="103">
        <v>45187</v>
      </c>
      <c r="C112" s="13" t="s">
        <v>1227</v>
      </c>
      <c r="D112" s="13" t="s">
        <v>716</v>
      </c>
      <c r="E112" s="104">
        <f>27.614+3.059</f>
        <v>30.673000000000002</v>
      </c>
      <c r="F112" s="24" t="s">
        <v>2318</v>
      </c>
      <c r="G112" s="14" t="s">
        <v>2364</v>
      </c>
      <c r="H112" s="13" t="s">
        <v>2198</v>
      </c>
      <c r="I112" s="103">
        <v>45139</v>
      </c>
    </row>
    <row r="113" spans="1:9" hidden="1">
      <c r="A113" s="66" t="s">
        <v>2365</v>
      </c>
      <c r="B113" s="103">
        <v>45187</v>
      </c>
      <c r="C113" s="13" t="s">
        <v>1227</v>
      </c>
      <c r="D113" s="13" t="s">
        <v>716</v>
      </c>
      <c r="E113" s="104">
        <v>2.5489999999999999</v>
      </c>
      <c r="F113" s="24" t="s">
        <v>2318</v>
      </c>
      <c r="G113" s="1" t="s">
        <v>2366</v>
      </c>
      <c r="H113" s="13" t="s">
        <v>1929</v>
      </c>
      <c r="I113" s="103">
        <v>45135</v>
      </c>
    </row>
    <row r="114" spans="1:9" hidden="1">
      <c r="A114" s="1"/>
      <c r="B114" s="3"/>
      <c r="C114" s="1"/>
      <c r="D114" s="1"/>
      <c r="E114" s="54">
        <f>SUM(E112:E113)</f>
        <v>33.222000000000001</v>
      </c>
      <c r="F114" s="24"/>
      <c r="G114" s="1"/>
      <c r="H114" s="1"/>
      <c r="I114" s="3"/>
    </row>
    <row r="115" spans="1:9" hidden="1">
      <c r="A115" s="66" t="s">
        <v>2374</v>
      </c>
      <c r="B115" s="103">
        <v>45188</v>
      </c>
      <c r="C115" s="13" t="s">
        <v>1226</v>
      </c>
      <c r="D115" s="13" t="s">
        <v>716</v>
      </c>
      <c r="E115" s="104">
        <f>6.039+11.077</f>
        <v>17.116</v>
      </c>
      <c r="F115" s="102" t="s">
        <v>2323</v>
      </c>
      <c r="G115" s="4" t="s">
        <v>2375</v>
      </c>
      <c r="H115" s="13" t="s">
        <v>2198</v>
      </c>
      <c r="I115" s="103">
        <v>45139</v>
      </c>
    </row>
    <row r="116" spans="1:9" hidden="1">
      <c r="A116" s="66" t="s">
        <v>2376</v>
      </c>
      <c r="B116" s="103">
        <v>45188</v>
      </c>
      <c r="C116" s="13" t="s">
        <v>1226</v>
      </c>
      <c r="D116" s="13" t="s">
        <v>716</v>
      </c>
      <c r="E116" s="104">
        <v>2.4119999999999999</v>
      </c>
      <c r="F116" s="102" t="s">
        <v>2323</v>
      </c>
      <c r="G116" s="14" t="s">
        <v>2377</v>
      </c>
      <c r="H116" s="13" t="s">
        <v>1929</v>
      </c>
      <c r="I116" s="103">
        <v>45135</v>
      </c>
    </row>
    <row r="117" spans="1:9" hidden="1">
      <c r="A117" s="66" t="s">
        <v>2381</v>
      </c>
      <c r="B117" s="103">
        <v>45188</v>
      </c>
      <c r="C117" s="13" t="s">
        <v>1367</v>
      </c>
      <c r="D117" s="13" t="s">
        <v>716</v>
      </c>
      <c r="E117" s="104">
        <v>1.3919999999999999</v>
      </c>
      <c r="F117" s="102" t="s">
        <v>2382</v>
      </c>
      <c r="G117" s="4" t="s">
        <v>2383</v>
      </c>
      <c r="H117" s="13" t="s">
        <v>2198</v>
      </c>
      <c r="I117" s="103">
        <v>45139</v>
      </c>
    </row>
    <row r="118" spans="1:9" hidden="1">
      <c r="A118" s="66" t="s">
        <v>2381</v>
      </c>
      <c r="B118" s="103">
        <v>45188</v>
      </c>
      <c r="C118" s="13" t="s">
        <v>1227</v>
      </c>
      <c r="D118" s="13" t="s">
        <v>716</v>
      </c>
      <c r="E118" s="104">
        <v>7.53</v>
      </c>
      <c r="F118" s="102" t="s">
        <v>2382</v>
      </c>
      <c r="G118" s="4" t="s">
        <v>2383</v>
      </c>
      <c r="H118" s="13" t="s">
        <v>2198</v>
      </c>
      <c r="I118" s="103">
        <v>45139</v>
      </c>
    </row>
    <row r="119" spans="1:9" hidden="1">
      <c r="A119" s="66" t="s">
        <v>2381</v>
      </c>
      <c r="B119" s="103">
        <v>45188</v>
      </c>
      <c r="C119" s="13" t="s">
        <v>1245</v>
      </c>
      <c r="D119" s="13" t="s">
        <v>716</v>
      </c>
      <c r="E119" s="104">
        <f>2.466+8.713</f>
        <v>11.178999999999998</v>
      </c>
      <c r="F119" s="102" t="s">
        <v>2382</v>
      </c>
      <c r="G119" s="4" t="s">
        <v>2383</v>
      </c>
      <c r="H119" s="13" t="s">
        <v>2198</v>
      </c>
      <c r="I119" s="103">
        <v>45139</v>
      </c>
    </row>
    <row r="120" spans="1:9">
      <c r="A120" s="66" t="s">
        <v>2384</v>
      </c>
      <c r="B120" s="103">
        <v>45188</v>
      </c>
      <c r="C120" s="13" t="s">
        <v>1367</v>
      </c>
      <c r="D120" s="13" t="s">
        <v>716</v>
      </c>
      <c r="E120" s="104">
        <v>4.1820000000000004</v>
      </c>
      <c r="F120" s="102" t="s">
        <v>2382</v>
      </c>
      <c r="G120" s="4" t="s">
        <v>2385</v>
      </c>
      <c r="H120" s="13" t="s">
        <v>2386</v>
      </c>
      <c r="I120" s="103">
        <v>45167</v>
      </c>
    </row>
    <row r="121" spans="1:9">
      <c r="A121" s="66" t="s">
        <v>2384</v>
      </c>
      <c r="B121" s="103">
        <v>45188</v>
      </c>
      <c r="C121" s="13" t="s">
        <v>1245</v>
      </c>
      <c r="D121" s="13" t="s">
        <v>716</v>
      </c>
      <c r="E121" s="104">
        <v>6.5990000000000002</v>
      </c>
      <c r="F121" s="102" t="s">
        <v>2382</v>
      </c>
      <c r="G121" s="4" t="s">
        <v>2385</v>
      </c>
      <c r="H121" s="13" t="s">
        <v>2386</v>
      </c>
      <c r="I121" s="103">
        <v>45167</v>
      </c>
    </row>
    <row r="122" spans="1:9" hidden="1">
      <c r="A122" s="66" t="s">
        <v>2387</v>
      </c>
      <c r="B122" s="103">
        <v>45188</v>
      </c>
      <c r="C122" s="13" t="s">
        <v>1245</v>
      </c>
      <c r="D122" s="13" t="s">
        <v>716</v>
      </c>
      <c r="E122" s="104">
        <v>1.7390000000000001</v>
      </c>
      <c r="F122" s="102" t="s">
        <v>2382</v>
      </c>
      <c r="G122" s="4" t="s">
        <v>2385</v>
      </c>
      <c r="H122" s="13" t="s">
        <v>1929</v>
      </c>
      <c r="I122" s="103">
        <v>45135</v>
      </c>
    </row>
    <row r="123" spans="1:9" hidden="1">
      <c r="A123" s="66" t="s">
        <v>2388</v>
      </c>
      <c r="B123" s="103">
        <v>45188</v>
      </c>
      <c r="C123" s="13" t="s">
        <v>1226</v>
      </c>
      <c r="D123" s="13" t="s">
        <v>716</v>
      </c>
      <c r="E123" s="104">
        <v>31.742000000000001</v>
      </c>
      <c r="F123" s="102" t="s">
        <v>1560</v>
      </c>
      <c r="G123" s="4" t="s">
        <v>2389</v>
      </c>
      <c r="H123" s="13" t="s">
        <v>1929</v>
      </c>
      <c r="I123" s="103">
        <v>45135</v>
      </c>
    </row>
    <row r="124" spans="1:9" hidden="1">
      <c r="A124" s="1"/>
      <c r="B124" s="3"/>
      <c r="C124" s="1"/>
      <c r="D124" s="1"/>
      <c r="E124" s="54">
        <f>SUM(E115:E123)</f>
        <v>83.890999999999991</v>
      </c>
      <c r="F124" s="24"/>
      <c r="G124" s="1"/>
      <c r="H124" s="1"/>
      <c r="I124" s="3"/>
    </row>
    <row r="125" spans="1:9" hidden="1">
      <c r="A125" s="66" t="s">
        <v>2399</v>
      </c>
      <c r="B125" s="103">
        <v>45189</v>
      </c>
      <c r="C125" s="13" t="s">
        <v>1226</v>
      </c>
      <c r="D125" s="13" t="s">
        <v>716</v>
      </c>
      <c r="E125" s="104">
        <v>2.0649999999999999</v>
      </c>
      <c r="F125" s="102" t="s">
        <v>906</v>
      </c>
      <c r="G125" s="4" t="s">
        <v>2400</v>
      </c>
      <c r="H125" s="13" t="s">
        <v>1929</v>
      </c>
      <c r="I125" s="103">
        <v>45135</v>
      </c>
    </row>
    <row r="126" spans="1:9" hidden="1">
      <c r="A126" s="66" t="s">
        <v>2399</v>
      </c>
      <c r="B126" s="103">
        <v>45189</v>
      </c>
      <c r="C126" s="13" t="s">
        <v>1500</v>
      </c>
      <c r="D126" s="13" t="s">
        <v>716</v>
      </c>
      <c r="E126" s="104">
        <v>1.4330000000000001</v>
      </c>
      <c r="F126" s="102" t="s">
        <v>906</v>
      </c>
      <c r="G126" s="4" t="s">
        <v>2400</v>
      </c>
      <c r="H126" s="13" t="s">
        <v>1929</v>
      </c>
      <c r="I126" s="103">
        <v>45135</v>
      </c>
    </row>
    <row r="127" spans="1:9" hidden="1">
      <c r="A127" s="66" t="s">
        <v>2401</v>
      </c>
      <c r="B127" s="103">
        <v>45189</v>
      </c>
      <c r="C127" s="13" t="s">
        <v>1226</v>
      </c>
      <c r="D127" s="13" t="s">
        <v>716</v>
      </c>
      <c r="E127" s="104">
        <f>1.984+14.12</f>
        <v>16.103999999999999</v>
      </c>
      <c r="F127" s="102" t="s">
        <v>906</v>
      </c>
      <c r="G127" s="14" t="s">
        <v>2402</v>
      </c>
      <c r="H127" s="13" t="s">
        <v>2198</v>
      </c>
      <c r="I127" s="103">
        <v>45139</v>
      </c>
    </row>
    <row r="128" spans="1:9" hidden="1">
      <c r="A128" s="66" t="s">
        <v>2403</v>
      </c>
      <c r="B128" s="103">
        <v>45189</v>
      </c>
      <c r="C128" s="13" t="s">
        <v>1365</v>
      </c>
      <c r="D128" s="13" t="s">
        <v>716</v>
      </c>
      <c r="E128" s="104">
        <v>13.48</v>
      </c>
      <c r="F128" s="102" t="s">
        <v>906</v>
      </c>
      <c r="G128" s="14" t="s">
        <v>2404</v>
      </c>
      <c r="H128" s="4" t="s">
        <v>1887</v>
      </c>
      <c r="I128" s="61">
        <v>45135</v>
      </c>
    </row>
    <row r="129" spans="1:9" hidden="1">
      <c r="A129" s="66" t="s">
        <v>2405</v>
      </c>
      <c r="B129" s="103">
        <v>45189</v>
      </c>
      <c r="C129" s="13" t="s">
        <v>1226</v>
      </c>
      <c r="D129" s="13" t="s">
        <v>716</v>
      </c>
      <c r="E129" s="104">
        <f>8.887+0.554</f>
        <v>9.4410000000000007</v>
      </c>
      <c r="F129" s="102" t="s">
        <v>557</v>
      </c>
      <c r="G129" s="4" t="s">
        <v>2406</v>
      </c>
      <c r="H129" s="13" t="s">
        <v>1929</v>
      </c>
      <c r="I129" s="103">
        <v>45135</v>
      </c>
    </row>
    <row r="130" spans="1:9" hidden="1">
      <c r="A130" s="66" t="s">
        <v>2407</v>
      </c>
      <c r="B130" s="103">
        <v>45189</v>
      </c>
      <c r="C130" s="13" t="s">
        <v>1226</v>
      </c>
      <c r="D130" s="13" t="s">
        <v>716</v>
      </c>
      <c r="E130" s="104">
        <v>23.501000000000001</v>
      </c>
      <c r="F130" s="102" t="s">
        <v>557</v>
      </c>
      <c r="G130" s="14" t="s">
        <v>2408</v>
      </c>
      <c r="H130" s="13" t="s">
        <v>2198</v>
      </c>
      <c r="I130" s="103">
        <v>45139</v>
      </c>
    </row>
    <row r="131" spans="1:9" hidden="1">
      <c r="A131" s="66" t="s">
        <v>2409</v>
      </c>
      <c r="B131" s="103">
        <v>45189</v>
      </c>
      <c r="C131" s="13" t="s">
        <v>1226</v>
      </c>
      <c r="D131" s="13" t="s">
        <v>716</v>
      </c>
      <c r="E131" s="104">
        <v>0.14099999999999999</v>
      </c>
      <c r="F131" s="102" t="s">
        <v>557</v>
      </c>
      <c r="G131" s="14" t="s">
        <v>2408</v>
      </c>
      <c r="H131" s="4" t="s">
        <v>2329</v>
      </c>
      <c r="I131" s="61">
        <v>45150</v>
      </c>
    </row>
    <row r="132" spans="1:9" hidden="1">
      <c r="A132" s="66" t="s">
        <v>2413</v>
      </c>
      <c r="B132" s="103">
        <v>45189</v>
      </c>
      <c r="C132" s="13" t="s">
        <v>1245</v>
      </c>
      <c r="D132" s="13" t="s">
        <v>716</v>
      </c>
      <c r="E132" s="104">
        <v>2.0419999999999998</v>
      </c>
      <c r="F132" s="102" t="s">
        <v>2414</v>
      </c>
      <c r="G132" s="4" t="s">
        <v>2415</v>
      </c>
      <c r="H132" s="13" t="s">
        <v>1929</v>
      </c>
      <c r="I132" s="103">
        <v>45135</v>
      </c>
    </row>
    <row r="133" spans="1:9" hidden="1">
      <c r="A133" s="66" t="s">
        <v>2413</v>
      </c>
      <c r="B133" s="103">
        <v>45189</v>
      </c>
      <c r="C133" s="13" t="s">
        <v>1500</v>
      </c>
      <c r="D133" s="13" t="s">
        <v>716</v>
      </c>
      <c r="E133" s="104">
        <v>2.0299999999999998</v>
      </c>
      <c r="F133" s="102" t="s">
        <v>2414</v>
      </c>
      <c r="G133" s="4" t="s">
        <v>2415</v>
      </c>
      <c r="H133" s="13" t="s">
        <v>1929</v>
      </c>
      <c r="I133" s="103">
        <v>45135</v>
      </c>
    </row>
    <row r="134" spans="1:9" hidden="1">
      <c r="A134" s="66" t="s">
        <v>2416</v>
      </c>
      <c r="B134" s="103">
        <v>45189</v>
      </c>
      <c r="C134" s="13" t="s">
        <v>1227</v>
      </c>
      <c r="D134" s="13" t="s">
        <v>716</v>
      </c>
      <c r="E134" s="104">
        <f>8.311+8.74+3.039</f>
        <v>20.090000000000003</v>
      </c>
      <c r="F134" s="102" t="s">
        <v>2414</v>
      </c>
      <c r="G134" s="4" t="s">
        <v>2417</v>
      </c>
      <c r="H134" s="13" t="s">
        <v>2198</v>
      </c>
      <c r="I134" s="103">
        <v>45139</v>
      </c>
    </row>
    <row r="135" spans="1:9" hidden="1">
      <c r="A135" s="66" t="s">
        <v>2416</v>
      </c>
      <c r="B135" s="103">
        <v>45189</v>
      </c>
      <c r="C135" s="13" t="s">
        <v>1245</v>
      </c>
      <c r="D135" s="13" t="s">
        <v>716</v>
      </c>
      <c r="E135" s="104">
        <v>8.4250000000000007</v>
      </c>
      <c r="F135" s="102" t="s">
        <v>2414</v>
      </c>
      <c r="G135" s="4" t="s">
        <v>2417</v>
      </c>
      <c r="H135" s="13" t="s">
        <v>2198</v>
      </c>
      <c r="I135" s="103">
        <v>45139</v>
      </c>
    </row>
    <row r="136" spans="1:9" hidden="1">
      <c r="A136" s="1"/>
      <c r="B136" s="3"/>
      <c r="C136" s="1"/>
      <c r="D136" s="1"/>
      <c r="E136" s="54">
        <f>SUM(E125:E135)</f>
        <v>98.75200000000001</v>
      </c>
      <c r="F136" s="24"/>
      <c r="G136" s="1"/>
      <c r="H136" s="1"/>
      <c r="I136" s="3"/>
    </row>
    <row r="137" spans="1:9" hidden="1">
      <c r="A137" s="66" t="s">
        <v>2418</v>
      </c>
      <c r="B137" s="103">
        <v>45190</v>
      </c>
      <c r="C137" s="13" t="s">
        <v>1223</v>
      </c>
      <c r="D137" s="13" t="s">
        <v>716</v>
      </c>
      <c r="E137" s="104">
        <v>0.54700000000000004</v>
      </c>
      <c r="F137" s="102" t="s">
        <v>1127</v>
      </c>
      <c r="G137" s="4" t="s">
        <v>2419</v>
      </c>
      <c r="H137" s="4" t="s">
        <v>2329</v>
      </c>
      <c r="I137" s="61">
        <v>45150</v>
      </c>
    </row>
    <row r="138" spans="1:9" hidden="1">
      <c r="A138" s="66" t="s">
        <v>2420</v>
      </c>
      <c r="B138" s="103">
        <v>45190</v>
      </c>
      <c r="C138" s="13" t="s">
        <v>1223</v>
      </c>
      <c r="D138" s="13" t="s">
        <v>716</v>
      </c>
      <c r="E138" s="104">
        <v>3.4820000000000002</v>
      </c>
      <c r="F138" s="102" t="s">
        <v>1127</v>
      </c>
      <c r="G138" s="4" t="s">
        <v>2419</v>
      </c>
      <c r="H138" s="4" t="s">
        <v>2421</v>
      </c>
      <c r="I138" s="61">
        <v>45150</v>
      </c>
    </row>
    <row r="139" spans="1:9">
      <c r="A139" s="66" t="s">
        <v>2422</v>
      </c>
      <c r="B139" s="103">
        <v>45190</v>
      </c>
      <c r="C139" s="13" t="s">
        <v>1223</v>
      </c>
      <c r="D139" s="13" t="s">
        <v>716</v>
      </c>
      <c r="E139" s="104">
        <f>7.765+3.616</f>
        <v>11.381</v>
      </c>
      <c r="F139" s="102" t="s">
        <v>1127</v>
      </c>
      <c r="G139" s="4" t="s">
        <v>2423</v>
      </c>
      <c r="H139" s="13" t="s">
        <v>2386</v>
      </c>
      <c r="I139" s="103">
        <v>45167</v>
      </c>
    </row>
    <row r="140" spans="1:9" hidden="1">
      <c r="A140" s="66" t="s">
        <v>2424</v>
      </c>
      <c r="B140" s="103">
        <v>45190</v>
      </c>
      <c r="C140" s="13" t="s">
        <v>1245</v>
      </c>
      <c r="D140" s="13" t="s">
        <v>716</v>
      </c>
      <c r="E140" s="104">
        <v>13.476000000000001</v>
      </c>
      <c r="F140" s="102" t="s">
        <v>1127</v>
      </c>
      <c r="G140" s="4" t="s">
        <v>2425</v>
      </c>
      <c r="H140" s="13" t="s">
        <v>2198</v>
      </c>
      <c r="I140" s="103">
        <v>45139</v>
      </c>
    </row>
    <row r="141" spans="1:9" hidden="1">
      <c r="A141" s="66" t="s">
        <v>2426</v>
      </c>
      <c r="B141" s="103">
        <v>45190</v>
      </c>
      <c r="C141" s="13" t="s">
        <v>1245</v>
      </c>
      <c r="D141" s="13" t="s">
        <v>716</v>
      </c>
      <c r="E141" s="104">
        <v>3.9630000000000001</v>
      </c>
      <c r="F141" s="102" t="s">
        <v>1127</v>
      </c>
      <c r="G141" s="4" t="s">
        <v>2425</v>
      </c>
      <c r="H141" s="13" t="s">
        <v>1929</v>
      </c>
      <c r="I141" s="103">
        <v>45135</v>
      </c>
    </row>
    <row r="142" spans="1:9" hidden="1">
      <c r="A142" s="66" t="s">
        <v>2431</v>
      </c>
      <c r="B142" s="103">
        <v>45190</v>
      </c>
      <c r="C142" s="13" t="s">
        <v>1227</v>
      </c>
      <c r="D142" s="13" t="s">
        <v>716</v>
      </c>
      <c r="E142" s="104">
        <v>8.2460000000000004</v>
      </c>
      <c r="F142" s="102" t="s">
        <v>1886</v>
      </c>
      <c r="G142" s="4" t="s">
        <v>2432</v>
      </c>
      <c r="H142" s="13" t="s">
        <v>2198</v>
      </c>
      <c r="I142" s="103">
        <v>45139</v>
      </c>
    </row>
    <row r="143" spans="1:9" hidden="1">
      <c r="A143" s="66" t="s">
        <v>2431</v>
      </c>
      <c r="B143" s="103">
        <v>45190</v>
      </c>
      <c r="C143" s="13" t="s">
        <v>1226</v>
      </c>
      <c r="D143" s="13" t="s">
        <v>716</v>
      </c>
      <c r="E143" s="104">
        <v>4.734</v>
      </c>
      <c r="F143" s="102" t="s">
        <v>1886</v>
      </c>
      <c r="G143" s="4" t="s">
        <v>2432</v>
      </c>
      <c r="H143" s="13" t="s">
        <v>2198</v>
      </c>
      <c r="I143" s="103">
        <v>45139</v>
      </c>
    </row>
    <row r="144" spans="1:9" hidden="1">
      <c r="A144" s="66" t="s">
        <v>2431</v>
      </c>
      <c r="B144" s="103">
        <v>45190</v>
      </c>
      <c r="C144" s="13" t="s">
        <v>1500</v>
      </c>
      <c r="D144" s="13" t="s">
        <v>716</v>
      </c>
      <c r="E144" s="104">
        <v>0.58399999999999996</v>
      </c>
      <c r="F144" s="102" t="s">
        <v>1886</v>
      </c>
      <c r="G144" s="4" t="s">
        <v>2432</v>
      </c>
      <c r="H144" s="13" t="s">
        <v>2198</v>
      </c>
      <c r="I144" s="103">
        <v>45139</v>
      </c>
    </row>
    <row r="145" spans="1:9" hidden="1">
      <c r="A145" s="66" t="s">
        <v>2431</v>
      </c>
      <c r="B145" s="103">
        <v>45190</v>
      </c>
      <c r="C145" s="13" t="s">
        <v>1245</v>
      </c>
      <c r="D145" s="13" t="s">
        <v>716</v>
      </c>
      <c r="E145" s="104">
        <v>1.7829999999999999</v>
      </c>
      <c r="F145" s="102" t="s">
        <v>1886</v>
      </c>
      <c r="G145" s="4" t="s">
        <v>2432</v>
      </c>
      <c r="H145" s="13" t="s">
        <v>2198</v>
      </c>
      <c r="I145" s="103">
        <v>45139</v>
      </c>
    </row>
    <row r="146" spans="1:9" hidden="1">
      <c r="A146" s="66" t="s">
        <v>2431</v>
      </c>
      <c r="B146" s="103">
        <v>45190</v>
      </c>
      <c r="C146" s="13" t="s">
        <v>1367</v>
      </c>
      <c r="D146" s="13" t="s">
        <v>716</v>
      </c>
      <c r="E146" s="104">
        <v>0.72899999999999998</v>
      </c>
      <c r="F146" s="102" t="s">
        <v>1886</v>
      </c>
      <c r="G146" s="4" t="s">
        <v>2432</v>
      </c>
      <c r="H146" s="13" t="s">
        <v>2198</v>
      </c>
      <c r="I146" s="103">
        <v>45139</v>
      </c>
    </row>
    <row r="147" spans="1:9" hidden="1">
      <c r="A147" s="66" t="s">
        <v>2431</v>
      </c>
      <c r="B147" s="103">
        <v>45190</v>
      </c>
      <c r="C147" s="13" t="s">
        <v>1255</v>
      </c>
      <c r="D147" s="13" t="s">
        <v>716</v>
      </c>
      <c r="E147" s="104">
        <v>0.51900000000000002</v>
      </c>
      <c r="F147" s="102" t="s">
        <v>1886</v>
      </c>
      <c r="G147" s="4" t="s">
        <v>2432</v>
      </c>
      <c r="H147" s="13" t="s">
        <v>2198</v>
      </c>
      <c r="I147" s="103">
        <v>45139</v>
      </c>
    </row>
    <row r="148" spans="1:9">
      <c r="A148" s="66" t="s">
        <v>2433</v>
      </c>
      <c r="B148" s="103">
        <v>45190</v>
      </c>
      <c r="C148" s="13" t="s">
        <v>1367</v>
      </c>
      <c r="D148" s="13" t="s">
        <v>716</v>
      </c>
      <c r="E148" s="104">
        <v>1.9379999999999999</v>
      </c>
      <c r="F148" s="102" t="s">
        <v>1886</v>
      </c>
      <c r="G148" s="4" t="s">
        <v>2432</v>
      </c>
      <c r="H148" s="13" t="s">
        <v>2386</v>
      </c>
      <c r="I148" s="103">
        <v>45167</v>
      </c>
    </row>
    <row r="149" spans="1:9" hidden="1">
      <c r="A149" s="66" t="s">
        <v>2434</v>
      </c>
      <c r="B149" s="103">
        <v>45190</v>
      </c>
      <c r="C149" s="13" t="s">
        <v>1500</v>
      </c>
      <c r="D149" s="13" t="s">
        <v>716</v>
      </c>
      <c r="E149" s="104">
        <v>0.63300000000000001</v>
      </c>
      <c r="F149" s="102" t="s">
        <v>1886</v>
      </c>
      <c r="G149" s="4" t="s">
        <v>2432</v>
      </c>
      <c r="H149" s="4" t="s">
        <v>2435</v>
      </c>
      <c r="I149" s="61">
        <v>45150</v>
      </c>
    </row>
    <row r="150" spans="1:9" hidden="1">
      <c r="A150" s="66" t="s">
        <v>2436</v>
      </c>
      <c r="B150" s="103">
        <v>45190</v>
      </c>
      <c r="C150" s="13" t="s">
        <v>1500</v>
      </c>
      <c r="D150" s="13" t="s">
        <v>716</v>
      </c>
      <c r="E150" s="104">
        <v>4.8470000000000004</v>
      </c>
      <c r="F150" s="102" t="s">
        <v>1886</v>
      </c>
      <c r="G150" s="4" t="s">
        <v>2432</v>
      </c>
      <c r="H150" s="13" t="s">
        <v>1929</v>
      </c>
      <c r="I150" s="103">
        <v>45135</v>
      </c>
    </row>
    <row r="151" spans="1:9" hidden="1">
      <c r="A151" s="66" t="s">
        <v>2436</v>
      </c>
      <c r="B151" s="103">
        <v>45190</v>
      </c>
      <c r="C151" s="13" t="s">
        <v>1226</v>
      </c>
      <c r="D151" s="13" t="s">
        <v>716</v>
      </c>
      <c r="E151" s="104">
        <v>8.5389999999999997</v>
      </c>
      <c r="F151" s="102" t="s">
        <v>1886</v>
      </c>
      <c r="G151" s="4" t="s">
        <v>2432</v>
      </c>
      <c r="H151" s="13" t="s">
        <v>1929</v>
      </c>
      <c r="I151" s="103">
        <v>45135</v>
      </c>
    </row>
    <row r="152" spans="1:9" hidden="1">
      <c r="A152" s="66"/>
      <c r="B152" s="103"/>
      <c r="C152" s="11"/>
      <c r="D152" s="13"/>
      <c r="E152" s="58">
        <f>SUM(E137:E151)</f>
        <v>65.40100000000001</v>
      </c>
      <c r="F152" s="24"/>
      <c r="G152" s="1"/>
      <c r="H152" s="13"/>
      <c r="I152" s="103"/>
    </row>
    <row r="153" spans="1:9" hidden="1">
      <c r="A153" s="66" t="s">
        <v>2453</v>
      </c>
      <c r="B153" s="103">
        <v>45191</v>
      </c>
      <c r="C153" s="13" t="s">
        <v>1245</v>
      </c>
      <c r="D153" s="13" t="s">
        <v>716</v>
      </c>
      <c r="E153" s="104">
        <v>4.6500000000000004</v>
      </c>
      <c r="F153" s="102" t="s">
        <v>973</v>
      </c>
      <c r="G153" s="4" t="s">
        <v>2454</v>
      </c>
      <c r="H153" s="13" t="s">
        <v>2198</v>
      </c>
      <c r="I153" s="103">
        <v>45139</v>
      </c>
    </row>
    <row r="154" spans="1:9" hidden="1">
      <c r="A154" s="66" t="s">
        <v>2453</v>
      </c>
      <c r="B154" s="103">
        <v>45191</v>
      </c>
      <c r="C154" s="13" t="s">
        <v>1367</v>
      </c>
      <c r="D154" s="13" t="s">
        <v>716</v>
      </c>
      <c r="E154" s="104">
        <v>1.429</v>
      </c>
      <c r="F154" s="102" t="s">
        <v>973</v>
      </c>
      <c r="G154" s="4" t="s">
        <v>2454</v>
      </c>
      <c r="H154" s="13" t="s">
        <v>2198</v>
      </c>
      <c r="I154" s="103">
        <v>45139</v>
      </c>
    </row>
    <row r="155" spans="1:9" hidden="1">
      <c r="A155" s="66" t="s">
        <v>2453</v>
      </c>
      <c r="B155" s="103">
        <v>45191</v>
      </c>
      <c r="C155" s="13" t="s">
        <v>1223</v>
      </c>
      <c r="D155" s="13" t="s">
        <v>716</v>
      </c>
      <c r="E155" s="104">
        <v>0.73099999999999998</v>
      </c>
      <c r="F155" s="102" t="s">
        <v>973</v>
      </c>
      <c r="G155" s="4" t="s">
        <v>2454</v>
      </c>
      <c r="H155" s="13" t="s">
        <v>2198</v>
      </c>
      <c r="I155" s="103">
        <v>45139</v>
      </c>
    </row>
    <row r="156" spans="1:9" hidden="1">
      <c r="A156" s="66" t="s">
        <v>2453</v>
      </c>
      <c r="B156" s="103">
        <v>45191</v>
      </c>
      <c r="C156" s="13" t="s">
        <v>1256</v>
      </c>
      <c r="D156" s="13" t="s">
        <v>716</v>
      </c>
      <c r="E156" s="104">
        <v>0.32200000000000001</v>
      </c>
      <c r="F156" s="102" t="s">
        <v>973</v>
      </c>
      <c r="G156" s="4" t="s">
        <v>2454</v>
      </c>
      <c r="H156" s="13" t="s">
        <v>2198</v>
      </c>
      <c r="I156" s="103">
        <v>45139</v>
      </c>
    </row>
    <row r="157" spans="1:9">
      <c r="A157" s="66" t="s">
        <v>2455</v>
      </c>
      <c r="B157" s="103">
        <v>45191</v>
      </c>
      <c r="C157" s="13" t="s">
        <v>1367</v>
      </c>
      <c r="D157" s="13" t="s">
        <v>716</v>
      </c>
      <c r="E157" s="104">
        <v>0.755</v>
      </c>
      <c r="F157" s="102" t="s">
        <v>973</v>
      </c>
      <c r="G157" s="4" t="s">
        <v>2454</v>
      </c>
      <c r="H157" s="13" t="s">
        <v>2386</v>
      </c>
      <c r="I157" s="103">
        <v>45167</v>
      </c>
    </row>
    <row r="158" spans="1:9" hidden="1">
      <c r="A158" s="66" t="s">
        <v>2456</v>
      </c>
      <c r="B158" s="103">
        <v>45191</v>
      </c>
      <c r="C158" s="13" t="s">
        <v>1256</v>
      </c>
      <c r="D158" s="13" t="s">
        <v>716</v>
      </c>
      <c r="E158" s="104">
        <v>0.32200000000000001</v>
      </c>
      <c r="F158" s="102" t="s">
        <v>973</v>
      </c>
      <c r="G158" s="4" t="s">
        <v>2454</v>
      </c>
      <c r="H158" s="4" t="s">
        <v>2329</v>
      </c>
      <c r="I158" s="61">
        <v>45150</v>
      </c>
    </row>
    <row r="159" spans="1:9" hidden="1">
      <c r="A159" s="66" t="s">
        <v>2457</v>
      </c>
      <c r="B159" s="103">
        <v>45191</v>
      </c>
      <c r="C159" s="13" t="s">
        <v>1365</v>
      </c>
      <c r="D159" s="13" t="s">
        <v>716</v>
      </c>
      <c r="E159" s="104">
        <v>0.65800000000000003</v>
      </c>
      <c r="F159" s="102" t="s">
        <v>973</v>
      </c>
      <c r="G159" s="4" t="s">
        <v>2454</v>
      </c>
      <c r="H159" s="4" t="s">
        <v>1887</v>
      </c>
      <c r="I159" s="61">
        <v>45135</v>
      </c>
    </row>
    <row r="160" spans="1:9" hidden="1">
      <c r="A160" s="66" t="s">
        <v>2458</v>
      </c>
      <c r="B160" s="103">
        <v>45191</v>
      </c>
      <c r="C160" s="13" t="s">
        <v>1500</v>
      </c>
      <c r="D160" s="13" t="s">
        <v>716</v>
      </c>
      <c r="E160" s="104">
        <v>0.876</v>
      </c>
      <c r="F160" s="102" t="s">
        <v>973</v>
      </c>
      <c r="G160" s="4" t="s">
        <v>2454</v>
      </c>
      <c r="H160" s="13" t="s">
        <v>1929</v>
      </c>
      <c r="I160" s="103">
        <v>45135</v>
      </c>
    </row>
    <row r="161" spans="1:9" hidden="1">
      <c r="A161" s="66"/>
      <c r="B161" s="103"/>
      <c r="C161" s="13"/>
      <c r="D161" s="13"/>
      <c r="E161" s="58">
        <f>SUM(E153:E160)</f>
        <v>9.7429999999999986</v>
      </c>
      <c r="F161" s="102"/>
      <c r="G161" s="4"/>
      <c r="H161" s="13"/>
      <c r="I161" s="103"/>
    </row>
    <row r="162" spans="1:9" hidden="1">
      <c r="A162" s="66"/>
      <c r="B162" s="103"/>
      <c r="C162" s="11"/>
      <c r="D162" s="13"/>
      <c r="E162" s="58"/>
      <c r="F162" s="24"/>
      <c r="G162" s="1"/>
      <c r="H162" s="13"/>
      <c r="I162" s="103"/>
    </row>
    <row r="163" spans="1:9" hidden="1">
      <c r="A163" s="66"/>
      <c r="B163" s="103"/>
      <c r="C163" s="11"/>
      <c r="D163" s="13"/>
      <c r="E163" s="58"/>
      <c r="G163" s="1"/>
      <c r="H163" s="13"/>
      <c r="I163" s="103"/>
    </row>
    <row r="164" spans="1:9" hidden="1">
      <c r="A164" s="66"/>
      <c r="B164" s="103"/>
      <c r="C164" s="11"/>
      <c r="D164" s="13"/>
      <c r="E164" s="58"/>
      <c r="F164" s="24"/>
      <c r="G164" s="1"/>
      <c r="H164" s="13"/>
      <c r="I164" s="103"/>
    </row>
    <row r="165" spans="1:9" hidden="1">
      <c r="A165" s="1"/>
      <c r="B165" s="3"/>
      <c r="C165" s="1"/>
      <c r="D165" s="1"/>
      <c r="E165" s="2"/>
      <c r="F165" s="24"/>
      <c r="G165" s="1"/>
      <c r="H165" s="1"/>
      <c r="I165" s="3"/>
    </row>
    <row r="166" spans="1:9">
      <c r="A166" s="1"/>
      <c r="B166" s="3"/>
      <c r="C166" s="1"/>
      <c r="D166" s="1"/>
      <c r="E166" s="2"/>
      <c r="F166" s="24"/>
      <c r="G166" s="1"/>
      <c r="H166" s="1"/>
      <c r="I166" s="3"/>
    </row>
    <row r="167" spans="1:9">
      <c r="A167" s="1"/>
      <c r="B167" s="3"/>
      <c r="C167" s="1"/>
      <c r="D167" s="2" t="s">
        <v>2119</v>
      </c>
      <c r="E167" s="20">
        <f>SUM(E41:E166)/2</f>
        <v>644.96600000000012</v>
      </c>
      <c r="F167" s="24"/>
      <c r="G167" s="1"/>
      <c r="H167" s="1"/>
      <c r="I167" s="3"/>
    </row>
    <row r="168" spans="1:9">
      <c r="A168" s="1"/>
      <c r="B168" s="3"/>
      <c r="C168" s="1"/>
      <c r="D168" s="1"/>
      <c r="E168" s="2"/>
      <c r="F168" s="24"/>
      <c r="G168" s="1"/>
      <c r="H168" s="1"/>
      <c r="I168" s="3"/>
    </row>
    <row r="169" spans="1:9">
      <c r="A169" s="1"/>
      <c r="B169" s="3"/>
      <c r="C169" s="1"/>
      <c r="D169" s="2" t="s">
        <v>2118</v>
      </c>
      <c r="E169" s="20">
        <f>SUM(E2:E40)/2</f>
        <v>150.40699999999998</v>
      </c>
      <c r="F169" s="24"/>
      <c r="G169" s="98"/>
      <c r="H169" s="1"/>
      <c r="I169" s="3"/>
    </row>
    <row r="170" spans="1:9">
      <c r="A170" s="1"/>
      <c r="B170" s="3"/>
      <c r="C170" s="1"/>
      <c r="D170" s="1"/>
      <c r="E170" s="54"/>
      <c r="F170" s="24"/>
      <c r="G170" s="1"/>
      <c r="H170" s="1"/>
      <c r="I170" s="3"/>
    </row>
    <row r="171" spans="1:9">
      <c r="A171" s="1"/>
      <c r="B171" s="3"/>
      <c r="C171" s="1"/>
      <c r="D171" s="2"/>
      <c r="E171" s="20"/>
      <c r="F171" s="24"/>
      <c r="G171" s="1"/>
      <c r="H171" s="1"/>
      <c r="I171" s="3"/>
    </row>
    <row r="172" spans="1:9">
      <c r="A172" s="1"/>
      <c r="B172" s="3"/>
      <c r="C172" s="1"/>
      <c r="D172" s="1"/>
      <c r="E172" s="55"/>
      <c r="F172" s="24"/>
      <c r="G172" s="1"/>
      <c r="H172" s="1"/>
      <c r="I172" s="3"/>
    </row>
    <row r="173" spans="1:9">
      <c r="A173" s="1"/>
      <c r="B173" s="3"/>
      <c r="C173" s="1"/>
      <c r="D173" s="2"/>
      <c r="E173" s="20">
        <f>+E167+E169</f>
        <v>795.37300000000005</v>
      </c>
      <c r="F173" s="24"/>
      <c r="G173" s="1"/>
      <c r="H173" s="1"/>
      <c r="I173" s="3"/>
    </row>
    <row r="174" spans="1:9">
      <c r="A174" s="1"/>
      <c r="B174" s="3"/>
      <c r="C174" s="1"/>
      <c r="D174" s="1"/>
      <c r="E174" s="2"/>
      <c r="F174" s="24"/>
      <c r="G174" s="1"/>
      <c r="H174" s="1"/>
      <c r="I174" s="3"/>
    </row>
    <row r="175" spans="1:9">
      <c r="A175" s="1"/>
      <c r="B175" s="1"/>
      <c r="C175" s="1"/>
      <c r="D175" s="1"/>
      <c r="E175" s="2"/>
      <c r="F175" s="24"/>
      <c r="G175" s="1"/>
      <c r="H175" s="1"/>
      <c r="I175" s="1"/>
    </row>
    <row r="180" spans="1:11" s="31" customFormat="1">
      <c r="A180"/>
      <c r="B180"/>
      <c r="C180"/>
      <c r="D180"/>
      <c r="E180" s="23"/>
      <c r="G180">
        <v>146.05099999999999</v>
      </c>
      <c r="H180"/>
      <c r="I180"/>
      <c r="J180"/>
      <c r="K180"/>
    </row>
    <row r="181" spans="1:11" s="31" customFormat="1">
      <c r="A181"/>
      <c r="B181"/>
      <c r="C181"/>
      <c r="D181"/>
      <c r="E181"/>
      <c r="F181" s="31" t="s">
        <v>2251</v>
      </c>
      <c r="G181">
        <f>G180/92%</f>
        <v>158.75108695652173</v>
      </c>
      <c r="H181">
        <f>196.16+75</f>
        <v>271.15999999999997</v>
      </c>
      <c r="I181">
        <f>H181-G181</f>
        <v>112.40891304347824</v>
      </c>
      <c r="J181"/>
      <c r="K181"/>
    </row>
    <row r="182" spans="1:11">
      <c r="I182">
        <f>I181*92%</f>
        <v>103.41619999999998</v>
      </c>
    </row>
  </sheetData>
  <autoFilter ref="A1:I165">
    <filterColumn colId="7">
      <filters>
        <filter val="LOI-766"/>
      </filters>
    </filterColumn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90"/>
  <sheetViews>
    <sheetView topLeftCell="A260" workbookViewId="0">
      <selection activeCell="A246" sqref="A246:I247"/>
    </sheetView>
  </sheetViews>
  <sheetFormatPr defaultRowHeight="15"/>
  <cols>
    <col min="1" max="1" width="18.28515625" customWidth="1"/>
    <col min="2" max="2" width="10.28515625" bestFit="1" customWidth="1"/>
    <col min="3" max="3" width="30.5703125" customWidth="1"/>
    <col min="4" max="4" width="39.7109375" customWidth="1"/>
    <col min="5" max="5" width="12" customWidth="1"/>
    <col min="6" max="6" width="15" style="31" customWidth="1"/>
    <col min="7" max="7" width="29.7109375" customWidth="1"/>
    <col min="8" max="8" width="16.5703125" customWidth="1"/>
    <col min="9" max="9" width="12.7109375" style="112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66" t="s">
        <v>2439</v>
      </c>
      <c r="B2" s="103">
        <v>45190</v>
      </c>
      <c r="C2" s="13" t="s">
        <v>1328</v>
      </c>
      <c r="D2" s="113" t="s">
        <v>78</v>
      </c>
      <c r="E2" s="101">
        <f>2.638+23.723</f>
        <v>26.360999999999997</v>
      </c>
      <c r="F2" s="102" t="s">
        <v>97</v>
      </c>
      <c r="G2" s="4" t="s">
        <v>2440</v>
      </c>
      <c r="H2" s="4" t="s">
        <v>2441</v>
      </c>
      <c r="I2" s="110">
        <v>45167</v>
      </c>
    </row>
    <row r="3" spans="1:9">
      <c r="A3" s="66" t="s">
        <v>2439</v>
      </c>
      <c r="B3" s="103">
        <v>45190</v>
      </c>
      <c r="C3" s="13" t="s">
        <v>1761</v>
      </c>
      <c r="D3" s="113" t="s">
        <v>78</v>
      </c>
      <c r="E3" s="101">
        <v>5.6369999999999996</v>
      </c>
      <c r="F3" s="102" t="s">
        <v>97</v>
      </c>
      <c r="G3" s="4" t="s">
        <v>2440</v>
      </c>
      <c r="H3" s="4" t="s">
        <v>2441</v>
      </c>
      <c r="I3" s="110">
        <v>45167</v>
      </c>
    </row>
    <row r="4" spans="1:9">
      <c r="A4" s="15"/>
      <c r="B4" s="61"/>
      <c r="C4" s="6"/>
      <c r="D4" s="1"/>
      <c r="E4" s="57">
        <f>SUM(E2:E3)</f>
        <v>31.997999999999998</v>
      </c>
      <c r="F4" s="102"/>
      <c r="G4" s="1"/>
      <c r="H4" s="1"/>
      <c r="I4" s="109"/>
    </row>
    <row r="5" spans="1:9">
      <c r="A5" s="66" t="s">
        <v>2450</v>
      </c>
      <c r="B5" s="103">
        <v>45191</v>
      </c>
      <c r="C5" s="13" t="s">
        <v>1365</v>
      </c>
      <c r="D5" s="113" t="s">
        <v>78</v>
      </c>
      <c r="E5" s="101">
        <v>2.9609999999999999</v>
      </c>
      <c r="F5" s="102" t="s">
        <v>116</v>
      </c>
      <c r="G5" s="4" t="s">
        <v>2451</v>
      </c>
      <c r="H5" s="4" t="s">
        <v>2102</v>
      </c>
      <c r="I5" s="110">
        <v>45150</v>
      </c>
    </row>
    <row r="6" spans="1:9">
      <c r="A6" s="66" t="s">
        <v>2452</v>
      </c>
      <c r="B6" s="103">
        <v>45191</v>
      </c>
      <c r="C6" s="13" t="s">
        <v>1328</v>
      </c>
      <c r="D6" s="113" t="s">
        <v>78</v>
      </c>
      <c r="E6" s="101">
        <f>6.377+5.53</f>
        <v>11.907</v>
      </c>
      <c r="F6" s="102" t="s">
        <v>116</v>
      </c>
      <c r="G6" s="1" t="s">
        <v>2459</v>
      </c>
      <c r="H6" s="4" t="s">
        <v>2441</v>
      </c>
      <c r="I6" s="110">
        <v>45167</v>
      </c>
    </row>
    <row r="7" spans="1:9">
      <c r="A7" s="66" t="s">
        <v>2452</v>
      </c>
      <c r="B7" s="103">
        <v>45191</v>
      </c>
      <c r="C7" s="13" t="s">
        <v>1761</v>
      </c>
      <c r="D7" s="113" t="s">
        <v>78</v>
      </c>
      <c r="E7" s="101">
        <f>11.692+6.178</f>
        <v>17.87</v>
      </c>
      <c r="F7" s="102" t="s">
        <v>116</v>
      </c>
      <c r="G7" s="1" t="s">
        <v>2459</v>
      </c>
      <c r="H7" s="4" t="s">
        <v>2441</v>
      </c>
      <c r="I7" s="110">
        <v>45167</v>
      </c>
    </row>
    <row r="8" spans="1:9">
      <c r="A8" s="66"/>
      <c r="B8" s="103"/>
      <c r="C8" s="13"/>
      <c r="D8" s="4"/>
      <c r="E8" s="58">
        <f>SUM(E5:E7)</f>
        <v>32.738</v>
      </c>
      <c r="F8" s="102"/>
      <c r="G8" s="4"/>
      <c r="H8" s="4"/>
      <c r="I8" s="109"/>
    </row>
    <row r="9" spans="1:9">
      <c r="A9" s="66" t="s">
        <v>2462</v>
      </c>
      <c r="B9" s="103">
        <v>45192</v>
      </c>
      <c r="C9" s="13" t="s">
        <v>1365</v>
      </c>
      <c r="D9" s="113" t="s">
        <v>78</v>
      </c>
      <c r="E9" s="101">
        <v>8.8829999999999991</v>
      </c>
      <c r="F9" s="102" t="s">
        <v>97</v>
      </c>
      <c r="G9" s="4" t="s">
        <v>2460</v>
      </c>
      <c r="H9" s="4" t="s">
        <v>2102</v>
      </c>
      <c r="I9" s="110">
        <v>45150</v>
      </c>
    </row>
    <row r="10" spans="1:9">
      <c r="A10" s="66" t="s">
        <v>2462</v>
      </c>
      <c r="B10" s="103">
        <v>45192</v>
      </c>
      <c r="C10" s="13" t="s">
        <v>1753</v>
      </c>
      <c r="D10" s="113" t="s">
        <v>78</v>
      </c>
      <c r="E10" s="101">
        <v>1.5640000000000001</v>
      </c>
      <c r="F10" s="102" t="s">
        <v>97</v>
      </c>
      <c r="G10" s="4" t="s">
        <v>2460</v>
      </c>
      <c r="H10" s="4" t="s">
        <v>2102</v>
      </c>
      <c r="I10" s="110">
        <v>45150</v>
      </c>
    </row>
    <row r="11" spans="1:9">
      <c r="A11" s="66" t="s">
        <v>2463</v>
      </c>
      <c r="B11" s="103">
        <v>45192</v>
      </c>
      <c r="C11" s="13" t="s">
        <v>1350</v>
      </c>
      <c r="D11" s="113" t="s">
        <v>78</v>
      </c>
      <c r="E11" s="101">
        <v>6.0010000000000003</v>
      </c>
      <c r="F11" s="102" t="s">
        <v>97</v>
      </c>
      <c r="G11" s="4" t="s">
        <v>2461</v>
      </c>
      <c r="H11" s="4" t="s">
        <v>2441</v>
      </c>
      <c r="I11" s="110">
        <v>45167</v>
      </c>
    </row>
    <row r="12" spans="1:9">
      <c r="A12" s="66" t="s">
        <v>2463</v>
      </c>
      <c r="B12" s="103">
        <v>45192</v>
      </c>
      <c r="C12" s="13" t="s">
        <v>1328</v>
      </c>
      <c r="D12" s="113" t="s">
        <v>78</v>
      </c>
      <c r="E12" s="101">
        <v>5.7830000000000004</v>
      </c>
      <c r="F12" s="102" t="s">
        <v>97</v>
      </c>
      <c r="G12" s="4" t="s">
        <v>2461</v>
      </c>
      <c r="H12" s="4" t="s">
        <v>2441</v>
      </c>
      <c r="I12" s="110">
        <v>45167</v>
      </c>
    </row>
    <row r="13" spans="1:9">
      <c r="A13" s="66" t="s">
        <v>2463</v>
      </c>
      <c r="B13" s="103">
        <v>45192</v>
      </c>
      <c r="C13" s="13" t="s">
        <v>1761</v>
      </c>
      <c r="D13" s="113" t="s">
        <v>78</v>
      </c>
      <c r="E13" s="101">
        <f>1.548+5.946</f>
        <v>7.4939999999999998</v>
      </c>
      <c r="F13" s="102" t="s">
        <v>97</v>
      </c>
      <c r="G13" s="4" t="s">
        <v>2461</v>
      </c>
      <c r="H13" s="4" t="s">
        <v>2441</v>
      </c>
      <c r="I13" s="110">
        <v>45167</v>
      </c>
    </row>
    <row r="14" spans="1:9">
      <c r="A14" s="15"/>
      <c r="B14" s="61"/>
      <c r="C14" s="13"/>
      <c r="D14" s="4"/>
      <c r="E14" s="58">
        <f>SUM(E9:E13)</f>
        <v>29.725000000000001</v>
      </c>
      <c r="F14" s="102"/>
      <c r="G14" s="4"/>
      <c r="H14" s="4"/>
      <c r="I14" s="109"/>
    </row>
    <row r="15" spans="1:9">
      <c r="A15" s="66" t="s">
        <v>2480</v>
      </c>
      <c r="B15" s="103">
        <v>45196</v>
      </c>
      <c r="C15" s="13" t="s">
        <v>1365</v>
      </c>
      <c r="D15" s="113" t="s">
        <v>78</v>
      </c>
      <c r="E15" s="101">
        <v>6.9020000000000001</v>
      </c>
      <c r="F15" s="102" t="s">
        <v>116</v>
      </c>
      <c r="G15" s="14" t="s">
        <v>2481</v>
      </c>
      <c r="H15" s="4" t="s">
        <v>2102</v>
      </c>
      <c r="I15" s="110">
        <v>45150</v>
      </c>
    </row>
    <row r="16" spans="1:9">
      <c r="A16" s="66" t="s">
        <v>2482</v>
      </c>
      <c r="B16" s="103">
        <v>45196</v>
      </c>
      <c r="C16" s="13" t="s">
        <v>1756</v>
      </c>
      <c r="D16" s="113" t="s">
        <v>78</v>
      </c>
      <c r="E16" s="101">
        <v>6.7489999999999997</v>
      </c>
      <c r="F16" s="102" t="s">
        <v>116</v>
      </c>
      <c r="G16" s="14" t="s">
        <v>2483</v>
      </c>
      <c r="H16" s="1" t="s">
        <v>2484</v>
      </c>
      <c r="I16" s="110">
        <v>45150</v>
      </c>
    </row>
    <row r="17" spans="1:9">
      <c r="A17" s="66" t="s">
        <v>2482</v>
      </c>
      <c r="B17" s="103">
        <v>45196</v>
      </c>
      <c r="C17" s="13" t="s">
        <v>1705</v>
      </c>
      <c r="D17" s="113" t="s">
        <v>78</v>
      </c>
      <c r="E17" s="101">
        <v>5.1970000000000001</v>
      </c>
      <c r="F17" s="102" t="s">
        <v>116</v>
      </c>
      <c r="G17" s="14" t="s">
        <v>2483</v>
      </c>
      <c r="H17" s="1" t="s">
        <v>2484</v>
      </c>
      <c r="I17" s="110">
        <v>45150</v>
      </c>
    </row>
    <row r="18" spans="1:9">
      <c r="A18" s="66" t="s">
        <v>2482</v>
      </c>
      <c r="B18" s="103">
        <v>45196</v>
      </c>
      <c r="C18" s="13" t="s">
        <v>1341</v>
      </c>
      <c r="D18" s="113" t="s">
        <v>78</v>
      </c>
      <c r="E18" s="101">
        <f>0.662+1.493</f>
        <v>2.1550000000000002</v>
      </c>
      <c r="F18" s="102" t="s">
        <v>116</v>
      </c>
      <c r="G18" s="14" t="s">
        <v>2483</v>
      </c>
      <c r="H18" s="1" t="s">
        <v>2484</v>
      </c>
      <c r="I18" s="110">
        <v>45150</v>
      </c>
    </row>
    <row r="19" spans="1:9">
      <c r="A19" s="66" t="s">
        <v>2482</v>
      </c>
      <c r="B19" s="103">
        <v>45196</v>
      </c>
      <c r="C19" s="13" t="s">
        <v>1342</v>
      </c>
      <c r="D19" s="113" t="s">
        <v>78</v>
      </c>
      <c r="E19" s="101">
        <v>4.5679999999999996</v>
      </c>
      <c r="F19" s="102" t="s">
        <v>116</v>
      </c>
      <c r="G19" s="14" t="s">
        <v>2483</v>
      </c>
      <c r="H19" s="1" t="s">
        <v>2484</v>
      </c>
      <c r="I19" s="110">
        <v>45150</v>
      </c>
    </row>
    <row r="20" spans="1:9">
      <c r="A20" s="66" t="s">
        <v>2482</v>
      </c>
      <c r="B20" s="103">
        <v>45196</v>
      </c>
      <c r="C20" s="13" t="s">
        <v>1738</v>
      </c>
      <c r="D20" s="113" t="s">
        <v>78</v>
      </c>
      <c r="E20" s="101">
        <v>2.2970000000000002</v>
      </c>
      <c r="F20" s="102" t="s">
        <v>116</v>
      </c>
      <c r="G20" s="14" t="s">
        <v>2483</v>
      </c>
      <c r="H20" s="1" t="s">
        <v>2484</v>
      </c>
      <c r="I20" s="110">
        <v>45150</v>
      </c>
    </row>
    <row r="21" spans="1:9">
      <c r="A21" s="66" t="s">
        <v>2482</v>
      </c>
      <c r="B21" s="103">
        <v>45196</v>
      </c>
      <c r="C21" s="13" t="s">
        <v>1387</v>
      </c>
      <c r="D21" s="113" t="s">
        <v>78</v>
      </c>
      <c r="E21" s="101">
        <v>3.3279999999999998</v>
      </c>
      <c r="F21" s="102" t="s">
        <v>116</v>
      </c>
      <c r="G21" s="14" t="s">
        <v>2483</v>
      </c>
      <c r="H21" s="1" t="s">
        <v>2484</v>
      </c>
      <c r="I21" s="110">
        <v>45150</v>
      </c>
    </row>
    <row r="22" spans="1:9">
      <c r="A22" s="66" t="s">
        <v>2482</v>
      </c>
      <c r="B22" s="103">
        <v>45196</v>
      </c>
      <c r="C22" s="13" t="s">
        <v>1738</v>
      </c>
      <c r="D22" s="113" t="s">
        <v>78</v>
      </c>
      <c r="E22" s="101">
        <v>0.80700000000000005</v>
      </c>
      <c r="F22" s="102" t="s">
        <v>116</v>
      </c>
      <c r="G22" s="14" t="s">
        <v>2483</v>
      </c>
      <c r="H22" s="1" t="s">
        <v>2484</v>
      </c>
      <c r="I22" s="110">
        <v>45150</v>
      </c>
    </row>
    <row r="23" spans="1:9">
      <c r="A23" s="15"/>
      <c r="B23" s="61"/>
      <c r="C23" s="6"/>
      <c r="D23" s="1"/>
      <c r="E23" s="58">
        <f>SUM(E15:E22)</f>
        <v>32.003</v>
      </c>
      <c r="F23" s="102"/>
      <c r="G23" s="1"/>
      <c r="H23" s="1"/>
      <c r="I23" s="109"/>
    </row>
    <row r="24" spans="1:9">
      <c r="A24" s="66" t="s">
        <v>2485</v>
      </c>
      <c r="B24" s="103">
        <v>45197</v>
      </c>
      <c r="C24" s="13" t="s">
        <v>1251</v>
      </c>
      <c r="D24" s="113" t="s">
        <v>78</v>
      </c>
      <c r="E24" s="101">
        <v>5.8230000000000004</v>
      </c>
      <c r="F24" s="102" t="s">
        <v>116</v>
      </c>
      <c r="G24" s="1" t="s">
        <v>2491</v>
      </c>
      <c r="H24" s="1" t="s">
        <v>2484</v>
      </c>
      <c r="I24" s="110">
        <v>45150</v>
      </c>
    </row>
    <row r="25" spans="1:9">
      <c r="A25" s="66" t="s">
        <v>2485</v>
      </c>
      <c r="B25" s="103">
        <v>45197</v>
      </c>
      <c r="C25" s="13" t="s">
        <v>2273</v>
      </c>
      <c r="D25" s="113" t="s">
        <v>78</v>
      </c>
      <c r="E25" s="101">
        <v>2.5230000000000001</v>
      </c>
      <c r="F25" s="102" t="s">
        <v>116</v>
      </c>
      <c r="G25" s="1" t="s">
        <v>2491</v>
      </c>
      <c r="H25" s="1" t="s">
        <v>2484</v>
      </c>
      <c r="I25" s="110">
        <v>45150</v>
      </c>
    </row>
    <row r="26" spans="1:9">
      <c r="A26" s="66" t="s">
        <v>2485</v>
      </c>
      <c r="B26" s="103">
        <v>45197</v>
      </c>
      <c r="C26" s="13" t="s">
        <v>1761</v>
      </c>
      <c r="D26" s="113" t="s">
        <v>78</v>
      </c>
      <c r="E26" s="101">
        <v>2.3780000000000001</v>
      </c>
      <c r="F26" s="102" t="s">
        <v>116</v>
      </c>
      <c r="G26" s="1" t="s">
        <v>2491</v>
      </c>
      <c r="H26" s="1" t="s">
        <v>2484</v>
      </c>
      <c r="I26" s="110">
        <v>45150</v>
      </c>
    </row>
    <row r="27" spans="1:9">
      <c r="A27" s="66" t="s">
        <v>2485</v>
      </c>
      <c r="B27" s="103">
        <v>45197</v>
      </c>
      <c r="C27" s="13" t="s">
        <v>1673</v>
      </c>
      <c r="D27" s="113" t="s">
        <v>78</v>
      </c>
      <c r="E27" s="101">
        <v>0.76</v>
      </c>
      <c r="F27" s="102" t="s">
        <v>116</v>
      </c>
      <c r="G27" s="1" t="s">
        <v>2491</v>
      </c>
      <c r="H27" s="1" t="s">
        <v>2484</v>
      </c>
      <c r="I27" s="110">
        <v>45150</v>
      </c>
    </row>
    <row r="28" spans="1:9">
      <c r="A28" s="66" t="s">
        <v>2485</v>
      </c>
      <c r="B28" s="103">
        <v>45197</v>
      </c>
      <c r="C28" s="13" t="s">
        <v>1350</v>
      </c>
      <c r="D28" s="113" t="s">
        <v>78</v>
      </c>
      <c r="E28" s="101">
        <v>0.86699999999999999</v>
      </c>
      <c r="F28" s="102" t="s">
        <v>116</v>
      </c>
      <c r="G28" s="1" t="s">
        <v>2491</v>
      </c>
      <c r="H28" s="1" t="s">
        <v>2484</v>
      </c>
      <c r="I28" s="110">
        <v>45150</v>
      </c>
    </row>
    <row r="29" spans="1:9">
      <c r="A29" s="66" t="s">
        <v>2485</v>
      </c>
      <c r="B29" s="103">
        <v>45197</v>
      </c>
      <c r="C29" s="13" t="s">
        <v>2486</v>
      </c>
      <c r="D29" s="113" t="s">
        <v>78</v>
      </c>
      <c r="E29" s="101">
        <v>1.5109999999999999</v>
      </c>
      <c r="F29" s="102" t="s">
        <v>116</v>
      </c>
      <c r="G29" s="1" t="s">
        <v>2491</v>
      </c>
      <c r="H29" s="1" t="s">
        <v>2484</v>
      </c>
      <c r="I29" s="110">
        <v>45150</v>
      </c>
    </row>
    <row r="30" spans="1:9">
      <c r="A30" s="66" t="s">
        <v>2485</v>
      </c>
      <c r="B30" s="103">
        <v>45197</v>
      </c>
      <c r="C30" s="13" t="s">
        <v>2487</v>
      </c>
      <c r="D30" s="113" t="s">
        <v>78</v>
      </c>
      <c r="E30" s="101">
        <v>7.2649999999999997</v>
      </c>
      <c r="F30" s="102" t="s">
        <v>116</v>
      </c>
      <c r="G30" s="1" t="s">
        <v>2491</v>
      </c>
      <c r="H30" s="1" t="s">
        <v>2484</v>
      </c>
      <c r="I30" s="110">
        <v>45150</v>
      </c>
    </row>
    <row r="31" spans="1:9">
      <c r="A31" s="66" t="s">
        <v>2485</v>
      </c>
      <c r="B31" s="103">
        <v>45197</v>
      </c>
      <c r="C31" s="13" t="s">
        <v>2488</v>
      </c>
      <c r="D31" s="113" t="s">
        <v>78</v>
      </c>
      <c r="E31" s="123">
        <v>3.3050000000000002</v>
      </c>
      <c r="F31" s="102" t="s">
        <v>116</v>
      </c>
      <c r="G31" s="1" t="s">
        <v>2491</v>
      </c>
      <c r="H31" s="1" t="s">
        <v>2484</v>
      </c>
      <c r="I31" s="110">
        <v>45150</v>
      </c>
    </row>
    <row r="32" spans="1:9">
      <c r="A32" s="66" t="s">
        <v>2485</v>
      </c>
      <c r="B32" s="103">
        <v>45197</v>
      </c>
      <c r="C32" s="13" t="s">
        <v>2489</v>
      </c>
      <c r="D32" s="113" t="s">
        <v>78</v>
      </c>
      <c r="E32" s="56">
        <f>8.095+0.0005</f>
        <v>8.0955000000000013</v>
      </c>
      <c r="F32" s="102" t="s">
        <v>116</v>
      </c>
      <c r="G32" s="1" t="s">
        <v>2491</v>
      </c>
      <c r="H32" s="1" t="s">
        <v>2484</v>
      </c>
      <c r="I32" s="110">
        <v>45150</v>
      </c>
    </row>
    <row r="33" spans="1:9">
      <c r="A33" s="66" t="s">
        <v>2485</v>
      </c>
      <c r="B33" s="103">
        <v>45197</v>
      </c>
      <c r="C33" s="13" t="s">
        <v>2490</v>
      </c>
      <c r="D33" s="113" t="s">
        <v>78</v>
      </c>
      <c r="E33" s="123">
        <v>8.7999999999999995E-2</v>
      </c>
      <c r="F33" s="102" t="s">
        <v>116</v>
      </c>
      <c r="G33" s="1" t="s">
        <v>2491</v>
      </c>
      <c r="H33" s="1" t="s">
        <v>2484</v>
      </c>
      <c r="I33" s="110">
        <v>45150</v>
      </c>
    </row>
    <row r="34" spans="1:9">
      <c r="A34" s="15"/>
      <c r="B34" s="61"/>
      <c r="C34" s="6"/>
      <c r="D34" s="1"/>
      <c r="E34" s="58">
        <f>SUM(E24:E33)</f>
        <v>32.615500000000004</v>
      </c>
      <c r="F34" s="102"/>
      <c r="G34" s="1"/>
      <c r="H34" s="1"/>
      <c r="I34" s="109"/>
    </row>
    <row r="35" spans="1:9">
      <c r="A35" s="66" t="s">
        <v>2495</v>
      </c>
      <c r="B35" s="103">
        <v>45198</v>
      </c>
      <c r="C35" s="13" t="s">
        <v>1366</v>
      </c>
      <c r="D35" s="113" t="s">
        <v>78</v>
      </c>
      <c r="E35" s="101">
        <v>3.4129999999999998</v>
      </c>
      <c r="F35" s="102" t="s">
        <v>97</v>
      </c>
      <c r="G35" s="1" t="s">
        <v>2496</v>
      </c>
      <c r="H35" s="1" t="s">
        <v>2484</v>
      </c>
      <c r="I35" s="110">
        <v>45150</v>
      </c>
    </row>
    <row r="36" spans="1:9">
      <c r="A36" s="66" t="s">
        <v>2495</v>
      </c>
      <c r="B36" s="103">
        <v>45198</v>
      </c>
      <c r="C36" s="13" t="s">
        <v>1365</v>
      </c>
      <c r="D36" s="113" t="s">
        <v>78</v>
      </c>
      <c r="E36" s="101">
        <f>1.007+0.886</f>
        <v>1.8929999999999998</v>
      </c>
      <c r="F36" s="102" t="s">
        <v>97</v>
      </c>
      <c r="G36" s="1" t="s">
        <v>2496</v>
      </c>
      <c r="H36" s="1" t="s">
        <v>2484</v>
      </c>
      <c r="I36" s="110">
        <v>45150</v>
      </c>
    </row>
    <row r="37" spans="1:9">
      <c r="A37" s="66" t="s">
        <v>2495</v>
      </c>
      <c r="B37" s="103">
        <v>45198</v>
      </c>
      <c r="C37" s="13" t="s">
        <v>1334</v>
      </c>
      <c r="D37" s="113" t="s">
        <v>78</v>
      </c>
      <c r="E37" s="101">
        <v>1.6240000000000001</v>
      </c>
      <c r="F37" s="102" t="s">
        <v>97</v>
      </c>
      <c r="G37" s="1" t="s">
        <v>2496</v>
      </c>
      <c r="H37" s="1" t="s">
        <v>2484</v>
      </c>
      <c r="I37" s="110">
        <v>45150</v>
      </c>
    </row>
    <row r="38" spans="1:9">
      <c r="A38" s="66" t="s">
        <v>2497</v>
      </c>
      <c r="B38" s="103">
        <v>45198</v>
      </c>
      <c r="C38" s="13" t="s">
        <v>1227</v>
      </c>
      <c r="D38" s="113" t="s">
        <v>78</v>
      </c>
      <c r="E38" s="101">
        <v>25.225999999999999</v>
      </c>
      <c r="F38" s="102" t="s">
        <v>97</v>
      </c>
      <c r="G38" s="1" t="s">
        <v>2498</v>
      </c>
      <c r="H38" s="1" t="s">
        <v>2499</v>
      </c>
      <c r="I38" s="110">
        <v>45139</v>
      </c>
    </row>
    <row r="39" spans="1:9">
      <c r="A39" s="66" t="s">
        <v>2501</v>
      </c>
      <c r="B39" s="103">
        <v>45198</v>
      </c>
      <c r="C39" s="13" t="s">
        <v>2500</v>
      </c>
      <c r="D39" s="113" t="s">
        <v>78</v>
      </c>
      <c r="E39" s="101">
        <v>32.399000000000001</v>
      </c>
      <c r="F39" s="24" t="s">
        <v>116</v>
      </c>
      <c r="G39" s="1" t="s">
        <v>2502</v>
      </c>
      <c r="H39" s="1" t="s">
        <v>2499</v>
      </c>
      <c r="I39" s="110">
        <v>45139</v>
      </c>
    </row>
    <row r="40" spans="1:9">
      <c r="A40" s="15"/>
      <c r="B40" s="61"/>
      <c r="C40" s="6"/>
      <c r="D40" s="1"/>
      <c r="E40" s="58">
        <f>SUM(E35:E39)</f>
        <v>64.555000000000007</v>
      </c>
      <c r="F40" s="102"/>
      <c r="G40" s="1"/>
      <c r="H40" s="1"/>
      <c r="I40" s="109"/>
    </row>
    <row r="41" spans="1:9">
      <c r="A41" s="66" t="s">
        <v>2503</v>
      </c>
      <c r="B41" s="103">
        <v>45199</v>
      </c>
      <c r="C41" s="13" t="s">
        <v>1341</v>
      </c>
      <c r="D41" s="113" t="s">
        <v>78</v>
      </c>
      <c r="E41" s="101">
        <v>1.4590000000000001</v>
      </c>
      <c r="F41" s="102" t="s">
        <v>116</v>
      </c>
      <c r="G41" s="4" t="s">
        <v>2504</v>
      </c>
      <c r="H41" s="4" t="s">
        <v>2484</v>
      </c>
      <c r="I41" s="110">
        <v>45150</v>
      </c>
    </row>
    <row r="42" spans="1:9">
      <c r="A42" s="66" t="s">
        <v>2503</v>
      </c>
      <c r="B42" s="103">
        <v>45199</v>
      </c>
      <c r="C42" s="13" t="s">
        <v>1470</v>
      </c>
      <c r="D42" s="113" t="s">
        <v>78</v>
      </c>
      <c r="E42" s="101">
        <v>0.86199999999999999</v>
      </c>
      <c r="F42" s="102" t="s">
        <v>116</v>
      </c>
      <c r="G42" s="4" t="s">
        <v>2504</v>
      </c>
      <c r="H42" s="4" t="s">
        <v>2484</v>
      </c>
      <c r="I42" s="110">
        <v>45150</v>
      </c>
    </row>
    <row r="43" spans="1:9">
      <c r="A43" s="66" t="s">
        <v>2503</v>
      </c>
      <c r="B43" s="103">
        <v>45199</v>
      </c>
      <c r="C43" s="13" t="s">
        <v>1223</v>
      </c>
      <c r="D43" s="113" t="s">
        <v>78</v>
      </c>
      <c r="E43" s="101">
        <v>1.153</v>
      </c>
      <c r="F43" s="102" t="s">
        <v>116</v>
      </c>
      <c r="G43" s="4" t="s">
        <v>2504</v>
      </c>
      <c r="H43" s="4" t="s">
        <v>2484</v>
      </c>
      <c r="I43" s="110">
        <v>45150</v>
      </c>
    </row>
    <row r="44" spans="1:9">
      <c r="A44" s="66" t="s">
        <v>2503</v>
      </c>
      <c r="B44" s="103">
        <v>45199</v>
      </c>
      <c r="C44" s="13" t="s">
        <v>1730</v>
      </c>
      <c r="D44" s="113" t="s">
        <v>78</v>
      </c>
      <c r="E44" s="101">
        <v>3.3980000000000001</v>
      </c>
      <c r="F44" s="102" t="s">
        <v>116</v>
      </c>
      <c r="G44" s="4" t="s">
        <v>2504</v>
      </c>
      <c r="H44" s="4" t="s">
        <v>2484</v>
      </c>
      <c r="I44" s="110">
        <v>45150</v>
      </c>
    </row>
    <row r="45" spans="1:9">
      <c r="A45" s="66" t="s">
        <v>2503</v>
      </c>
      <c r="B45" s="103">
        <v>45199</v>
      </c>
      <c r="C45" s="13" t="s">
        <v>1366</v>
      </c>
      <c r="D45" s="113" t="s">
        <v>78</v>
      </c>
      <c r="E45" s="101">
        <v>2.1240000000000001</v>
      </c>
      <c r="F45" s="102" t="s">
        <v>116</v>
      </c>
      <c r="G45" s="4" t="s">
        <v>2504</v>
      </c>
      <c r="H45" s="4" t="s">
        <v>2484</v>
      </c>
      <c r="I45" s="110">
        <v>45150</v>
      </c>
    </row>
    <row r="46" spans="1:9">
      <c r="A46" s="66" t="s">
        <v>2503</v>
      </c>
      <c r="B46" s="103">
        <v>45199</v>
      </c>
      <c r="C46" s="13" t="s">
        <v>1791</v>
      </c>
      <c r="D46" s="113" t="s">
        <v>78</v>
      </c>
      <c r="E46" s="101">
        <v>0.81</v>
      </c>
      <c r="F46" s="102" t="s">
        <v>116</v>
      </c>
      <c r="G46" s="4" t="s">
        <v>2504</v>
      </c>
      <c r="H46" s="4" t="s">
        <v>2484</v>
      </c>
      <c r="I46" s="110">
        <v>45150</v>
      </c>
    </row>
    <row r="47" spans="1:9">
      <c r="A47" s="66" t="s">
        <v>2505</v>
      </c>
      <c r="B47" s="103">
        <v>45199</v>
      </c>
      <c r="C47" s="13" t="s">
        <v>1500</v>
      </c>
      <c r="D47" s="113" t="s">
        <v>78</v>
      </c>
      <c r="E47" s="101">
        <v>4.2290000000000001</v>
      </c>
      <c r="F47" s="102" t="s">
        <v>116</v>
      </c>
      <c r="G47" s="4" t="s">
        <v>2504</v>
      </c>
      <c r="H47" s="4" t="s">
        <v>2102</v>
      </c>
      <c r="I47" s="110">
        <v>45150</v>
      </c>
    </row>
    <row r="48" spans="1:9">
      <c r="A48" s="66" t="s">
        <v>2506</v>
      </c>
      <c r="B48" s="103">
        <v>45199</v>
      </c>
      <c r="C48" s="13" t="s">
        <v>1500</v>
      </c>
      <c r="D48" s="113" t="s">
        <v>78</v>
      </c>
      <c r="E48" s="101">
        <f>5.575+13.221</f>
        <v>18.795999999999999</v>
      </c>
      <c r="F48" s="102" t="s">
        <v>116</v>
      </c>
      <c r="G48" s="4" t="s">
        <v>2507</v>
      </c>
      <c r="H48" s="4" t="s">
        <v>2441</v>
      </c>
      <c r="I48" s="110">
        <v>45167</v>
      </c>
    </row>
    <row r="49" spans="1:9">
      <c r="A49" s="66" t="s">
        <v>2508</v>
      </c>
      <c r="B49" s="103">
        <v>45199</v>
      </c>
      <c r="C49" s="13" t="s">
        <v>1365</v>
      </c>
      <c r="D49" s="13" t="s">
        <v>11</v>
      </c>
      <c r="E49" s="101">
        <v>12.968999999999999</v>
      </c>
      <c r="F49" s="102" t="s">
        <v>2509</v>
      </c>
      <c r="G49" s="4" t="s">
        <v>2510</v>
      </c>
      <c r="H49" s="4" t="s">
        <v>2281</v>
      </c>
      <c r="I49" s="110">
        <v>45176</v>
      </c>
    </row>
    <row r="50" spans="1:9">
      <c r="A50" s="66" t="s">
        <v>2508</v>
      </c>
      <c r="B50" s="103">
        <v>45199</v>
      </c>
      <c r="C50" s="13" t="s">
        <v>1453</v>
      </c>
      <c r="D50" s="13" t="s">
        <v>11</v>
      </c>
      <c r="E50" s="101">
        <f>3.011+6.565</f>
        <v>9.5760000000000005</v>
      </c>
      <c r="F50" s="102" t="s">
        <v>2509</v>
      </c>
      <c r="G50" s="4" t="s">
        <v>2510</v>
      </c>
      <c r="H50" s="4" t="s">
        <v>2281</v>
      </c>
      <c r="I50" s="110">
        <v>45176</v>
      </c>
    </row>
    <row r="51" spans="1:9">
      <c r="A51" s="66" t="s">
        <v>2508</v>
      </c>
      <c r="B51" s="103">
        <v>45199</v>
      </c>
      <c r="C51" s="13" t="s">
        <v>1470</v>
      </c>
      <c r="D51" s="13" t="s">
        <v>11</v>
      </c>
      <c r="E51" s="101">
        <v>2.226</v>
      </c>
      <c r="F51" s="102" t="s">
        <v>2509</v>
      </c>
      <c r="G51" s="4" t="s">
        <v>2510</v>
      </c>
      <c r="H51" s="4" t="s">
        <v>2281</v>
      </c>
      <c r="I51" s="110">
        <v>45176</v>
      </c>
    </row>
    <row r="52" spans="1:9">
      <c r="A52" s="66" t="s">
        <v>2511</v>
      </c>
      <c r="B52" s="103">
        <v>45199</v>
      </c>
      <c r="C52" s="13" t="s">
        <v>1453</v>
      </c>
      <c r="D52" s="113" t="s">
        <v>78</v>
      </c>
      <c r="E52" s="101">
        <v>1.21</v>
      </c>
      <c r="F52" s="102" t="s">
        <v>1481</v>
      </c>
      <c r="G52" s="4" t="s">
        <v>2512</v>
      </c>
      <c r="H52" s="4" t="s">
        <v>2484</v>
      </c>
      <c r="I52" s="110">
        <v>45150</v>
      </c>
    </row>
    <row r="53" spans="1:9">
      <c r="A53" s="66" t="s">
        <v>2511</v>
      </c>
      <c r="B53" s="103">
        <v>45199</v>
      </c>
      <c r="C53" s="13" t="s">
        <v>1453</v>
      </c>
      <c r="D53" s="113" t="s">
        <v>78</v>
      </c>
      <c r="E53" s="101">
        <v>0.90900000000000003</v>
      </c>
      <c r="F53" s="102" t="s">
        <v>1481</v>
      </c>
      <c r="G53" s="4" t="s">
        <v>2512</v>
      </c>
      <c r="H53" s="4" t="s">
        <v>2484</v>
      </c>
      <c r="I53" s="110">
        <v>45150</v>
      </c>
    </row>
    <row r="54" spans="1:9">
      <c r="A54" s="66" t="s">
        <v>2511</v>
      </c>
      <c r="B54" s="103">
        <v>45199</v>
      </c>
      <c r="C54" s="13" t="s">
        <v>1470</v>
      </c>
      <c r="D54" s="113" t="s">
        <v>78</v>
      </c>
      <c r="E54" s="101">
        <v>2.4119999999999999</v>
      </c>
      <c r="F54" s="102" t="s">
        <v>1481</v>
      </c>
      <c r="G54" s="4" t="s">
        <v>2512</v>
      </c>
      <c r="H54" s="4" t="s">
        <v>2484</v>
      </c>
      <c r="I54" s="110">
        <v>45150</v>
      </c>
    </row>
    <row r="55" spans="1:9">
      <c r="A55" s="66" t="s">
        <v>2513</v>
      </c>
      <c r="B55" s="103">
        <v>45199</v>
      </c>
      <c r="C55" s="13" t="s">
        <v>1470</v>
      </c>
      <c r="D55" s="113" t="s">
        <v>78</v>
      </c>
      <c r="E55" s="101">
        <f>23.772+1.071</f>
        <v>24.843</v>
      </c>
      <c r="F55" s="102" t="s">
        <v>1481</v>
      </c>
      <c r="G55" s="4" t="s">
        <v>2514</v>
      </c>
      <c r="H55" s="4" t="s">
        <v>2441</v>
      </c>
      <c r="I55" s="110">
        <v>45167</v>
      </c>
    </row>
    <row r="56" spans="1:9">
      <c r="A56" s="66" t="s">
        <v>2515</v>
      </c>
      <c r="B56" s="103">
        <v>45199</v>
      </c>
      <c r="C56" s="13" t="s">
        <v>1227</v>
      </c>
      <c r="D56" s="113" t="s">
        <v>78</v>
      </c>
      <c r="E56" s="101">
        <v>2.7850000000000001</v>
      </c>
      <c r="F56" s="102" t="s">
        <v>1481</v>
      </c>
      <c r="G56" s="4" t="s">
        <v>2516</v>
      </c>
      <c r="H56" s="4" t="s">
        <v>2499</v>
      </c>
      <c r="I56" s="110">
        <v>45139</v>
      </c>
    </row>
    <row r="57" spans="1:9">
      <c r="A57" s="66" t="s">
        <v>2517</v>
      </c>
      <c r="B57" s="103">
        <v>45199</v>
      </c>
      <c r="C57" s="13" t="s">
        <v>1367</v>
      </c>
      <c r="D57" s="113" t="s">
        <v>78</v>
      </c>
      <c r="E57" s="101">
        <v>26.260999999999999</v>
      </c>
      <c r="F57" s="102" t="s">
        <v>1971</v>
      </c>
      <c r="G57" s="4" t="s">
        <v>2518</v>
      </c>
      <c r="H57" s="4" t="s">
        <v>2499</v>
      </c>
      <c r="I57" s="110">
        <v>45139</v>
      </c>
    </row>
    <row r="58" spans="1:9">
      <c r="A58" s="66" t="s">
        <v>2517</v>
      </c>
      <c r="B58" s="103">
        <v>45199</v>
      </c>
      <c r="C58" s="13" t="s">
        <v>1245</v>
      </c>
      <c r="D58" s="113" t="s">
        <v>78</v>
      </c>
      <c r="E58" s="101">
        <v>6.2960000000000003</v>
      </c>
      <c r="F58" s="102" t="s">
        <v>1971</v>
      </c>
      <c r="G58" s="4" t="s">
        <v>2518</v>
      </c>
      <c r="H58" s="4" t="s">
        <v>2499</v>
      </c>
      <c r="I58" s="110">
        <v>45139</v>
      </c>
    </row>
    <row r="59" spans="1:9">
      <c r="A59" s="66" t="s">
        <v>2519</v>
      </c>
      <c r="B59" s="103">
        <v>45199</v>
      </c>
      <c r="C59" s="13" t="s">
        <v>1365</v>
      </c>
      <c r="D59" s="13" t="s">
        <v>11</v>
      </c>
      <c r="E59" s="101">
        <v>49.838999999999999</v>
      </c>
      <c r="F59" s="102" t="s">
        <v>2520</v>
      </c>
      <c r="G59" s="4" t="s">
        <v>2521</v>
      </c>
      <c r="H59" s="4" t="s">
        <v>2281</v>
      </c>
      <c r="I59" s="110">
        <v>45176</v>
      </c>
    </row>
    <row r="60" spans="1:9">
      <c r="A60" s="66" t="s">
        <v>2522</v>
      </c>
      <c r="B60" s="103">
        <v>45199</v>
      </c>
      <c r="C60" s="13" t="s">
        <v>1245</v>
      </c>
      <c r="D60" s="113" t="s">
        <v>78</v>
      </c>
      <c r="E60" s="101">
        <f>14.506+10.798</f>
        <v>25.304000000000002</v>
      </c>
      <c r="F60" s="102" t="s">
        <v>1208</v>
      </c>
      <c r="G60" s="4" t="s">
        <v>2523</v>
      </c>
      <c r="H60" s="4" t="s">
        <v>2499</v>
      </c>
      <c r="I60" s="110">
        <v>45139</v>
      </c>
    </row>
    <row r="61" spans="1:9">
      <c r="A61" s="66" t="s">
        <v>2522</v>
      </c>
      <c r="B61" s="103">
        <v>45199</v>
      </c>
      <c r="C61" s="13" t="s">
        <v>1756</v>
      </c>
      <c r="D61" s="113" t="s">
        <v>78</v>
      </c>
      <c r="E61" s="101">
        <v>6.3730000000000002</v>
      </c>
      <c r="F61" s="102" t="s">
        <v>1208</v>
      </c>
      <c r="G61" s="4" t="s">
        <v>2523</v>
      </c>
      <c r="H61" s="4" t="s">
        <v>2499</v>
      </c>
      <c r="I61" s="110">
        <v>45139</v>
      </c>
    </row>
    <row r="62" spans="1:9">
      <c r="A62" s="66" t="s">
        <v>2524</v>
      </c>
      <c r="B62" s="103">
        <v>45199</v>
      </c>
      <c r="C62" s="13" t="s">
        <v>1730</v>
      </c>
      <c r="D62" s="13" t="s">
        <v>11</v>
      </c>
      <c r="E62" s="101">
        <f>11.956+3.216</f>
        <v>15.172000000000001</v>
      </c>
      <c r="F62" s="102" t="s">
        <v>2525</v>
      </c>
      <c r="G62" s="4" t="s">
        <v>2526</v>
      </c>
      <c r="H62" s="4" t="s">
        <v>2281</v>
      </c>
      <c r="I62" s="110">
        <v>45176</v>
      </c>
    </row>
    <row r="63" spans="1:9">
      <c r="A63" s="66" t="s">
        <v>2524</v>
      </c>
      <c r="B63" s="103">
        <v>45199</v>
      </c>
      <c r="C63" s="13" t="s">
        <v>1500</v>
      </c>
      <c r="D63" s="13" t="s">
        <v>11</v>
      </c>
      <c r="E63" s="101">
        <f>20.152+2.059</f>
        <v>22.211000000000002</v>
      </c>
      <c r="F63" s="102" t="s">
        <v>2525</v>
      </c>
      <c r="G63" s="4" t="s">
        <v>2526</v>
      </c>
      <c r="H63" s="4" t="s">
        <v>2281</v>
      </c>
      <c r="I63" s="110">
        <v>45176</v>
      </c>
    </row>
    <row r="64" spans="1:9">
      <c r="A64" s="66" t="s">
        <v>2524</v>
      </c>
      <c r="B64" s="103">
        <v>45199</v>
      </c>
      <c r="C64" s="13" t="s">
        <v>1365</v>
      </c>
      <c r="D64" s="13" t="s">
        <v>11</v>
      </c>
      <c r="E64" s="101">
        <v>8.9339999999999993</v>
      </c>
      <c r="F64" s="102" t="s">
        <v>2525</v>
      </c>
      <c r="G64" s="4" t="s">
        <v>2526</v>
      </c>
      <c r="H64" s="4" t="s">
        <v>2281</v>
      </c>
      <c r="I64" s="110">
        <v>45176</v>
      </c>
    </row>
    <row r="65" spans="1:9">
      <c r="A65" s="66" t="s">
        <v>2524</v>
      </c>
      <c r="B65" s="103">
        <v>45199</v>
      </c>
      <c r="C65" s="13" t="s">
        <v>1387</v>
      </c>
      <c r="D65" s="13" t="s">
        <v>11</v>
      </c>
      <c r="E65" s="101">
        <v>2.4159999999999999</v>
      </c>
      <c r="F65" s="102" t="s">
        <v>2525</v>
      </c>
      <c r="G65" s="4" t="s">
        <v>2526</v>
      </c>
      <c r="H65" s="4" t="s">
        <v>2281</v>
      </c>
      <c r="I65" s="110">
        <v>45176</v>
      </c>
    </row>
    <row r="66" spans="1:9">
      <c r="A66" s="34"/>
      <c r="B66" s="114"/>
      <c r="C66" s="36"/>
      <c r="D66" s="37"/>
      <c r="E66" s="129">
        <f>SUM(E41:E65)</f>
        <v>252.56699999999998</v>
      </c>
      <c r="F66" s="115"/>
      <c r="G66" s="37"/>
      <c r="H66" s="37"/>
      <c r="I66" s="116"/>
    </row>
    <row r="67" spans="1:9">
      <c r="A67" s="66" t="s">
        <v>2527</v>
      </c>
      <c r="B67" s="103">
        <v>45200</v>
      </c>
      <c r="C67" s="6" t="s">
        <v>1756</v>
      </c>
      <c r="D67" s="113" t="s">
        <v>78</v>
      </c>
      <c r="E67" s="56">
        <f>9.959+22.36</f>
        <v>32.319000000000003</v>
      </c>
      <c r="F67" s="102" t="s">
        <v>116</v>
      </c>
      <c r="G67" s="1" t="s">
        <v>2528</v>
      </c>
      <c r="H67" s="4" t="s">
        <v>2499</v>
      </c>
      <c r="I67" s="110">
        <v>45139</v>
      </c>
    </row>
    <row r="68" spans="1:9">
      <c r="A68" s="66" t="s">
        <v>2529</v>
      </c>
      <c r="B68" s="103">
        <v>45200</v>
      </c>
      <c r="C68" s="6" t="s">
        <v>1500</v>
      </c>
      <c r="D68" s="113" t="s">
        <v>78</v>
      </c>
      <c r="E68" s="56">
        <f>14.679+0.66</f>
        <v>15.339</v>
      </c>
      <c r="F68" s="102" t="s">
        <v>97</v>
      </c>
      <c r="G68" s="1" t="s">
        <v>2530</v>
      </c>
      <c r="H68" s="4" t="s">
        <v>2102</v>
      </c>
      <c r="I68" s="110">
        <v>45150</v>
      </c>
    </row>
    <row r="69" spans="1:9">
      <c r="A69" s="66" t="s">
        <v>2531</v>
      </c>
      <c r="B69" s="103">
        <v>45200</v>
      </c>
      <c r="C69" s="6" t="s">
        <v>1366</v>
      </c>
      <c r="D69" s="113" t="s">
        <v>78</v>
      </c>
      <c r="E69" s="56">
        <v>16.722999999999999</v>
      </c>
      <c r="F69" s="102" t="s">
        <v>97</v>
      </c>
      <c r="G69" s="1" t="s">
        <v>2532</v>
      </c>
      <c r="H69" s="4" t="s">
        <v>2499</v>
      </c>
      <c r="I69" s="110">
        <v>45139</v>
      </c>
    </row>
    <row r="70" spans="1:9">
      <c r="A70" s="66" t="s">
        <v>2533</v>
      </c>
      <c r="B70" s="103">
        <v>45200</v>
      </c>
      <c r="C70" s="6" t="s">
        <v>1507</v>
      </c>
      <c r="D70" s="13" t="s">
        <v>11</v>
      </c>
      <c r="E70" s="56">
        <v>3.9009999999999998</v>
      </c>
      <c r="F70" s="102" t="s">
        <v>2393</v>
      </c>
      <c r="G70" s="1" t="s">
        <v>2534</v>
      </c>
      <c r="H70" s="4" t="s">
        <v>2281</v>
      </c>
      <c r="I70" s="110">
        <v>45176</v>
      </c>
    </row>
    <row r="71" spans="1:9">
      <c r="A71" s="66" t="s">
        <v>2533</v>
      </c>
      <c r="B71" s="103">
        <v>45200</v>
      </c>
      <c r="C71" s="6" t="s">
        <v>1500</v>
      </c>
      <c r="D71" s="13" t="s">
        <v>11</v>
      </c>
      <c r="E71" s="56">
        <v>0.67700000000000005</v>
      </c>
      <c r="F71" s="102" t="s">
        <v>2393</v>
      </c>
      <c r="G71" s="1" t="s">
        <v>2534</v>
      </c>
      <c r="H71" s="4" t="s">
        <v>2281</v>
      </c>
      <c r="I71" s="110">
        <v>45176</v>
      </c>
    </row>
    <row r="72" spans="1:9">
      <c r="A72" s="66" t="s">
        <v>2533</v>
      </c>
      <c r="B72" s="103">
        <v>45200</v>
      </c>
      <c r="C72" s="6" t="s">
        <v>1453</v>
      </c>
      <c r="D72" s="13" t="s">
        <v>11</v>
      </c>
      <c r="E72" s="56">
        <v>1.7210000000000001</v>
      </c>
      <c r="F72" s="102" t="s">
        <v>2393</v>
      </c>
      <c r="G72" s="1" t="s">
        <v>2534</v>
      </c>
      <c r="H72" s="4" t="s">
        <v>2281</v>
      </c>
      <c r="I72" s="110">
        <v>45176</v>
      </c>
    </row>
    <row r="73" spans="1:9">
      <c r="A73" s="66" t="s">
        <v>2533</v>
      </c>
      <c r="B73" s="103">
        <v>45200</v>
      </c>
      <c r="C73" s="6" t="s">
        <v>1365</v>
      </c>
      <c r="D73" s="13" t="s">
        <v>11</v>
      </c>
      <c r="E73" s="56">
        <v>14.904</v>
      </c>
      <c r="F73" s="102" t="s">
        <v>2393</v>
      </c>
      <c r="G73" s="1" t="s">
        <v>2534</v>
      </c>
      <c r="H73" s="4" t="s">
        <v>2281</v>
      </c>
      <c r="I73" s="110">
        <v>45176</v>
      </c>
    </row>
    <row r="74" spans="1:9">
      <c r="A74" s="66" t="s">
        <v>2533</v>
      </c>
      <c r="B74" s="103">
        <v>45200</v>
      </c>
      <c r="C74" s="6" t="s">
        <v>1377</v>
      </c>
      <c r="D74" s="13" t="s">
        <v>11</v>
      </c>
      <c r="E74" s="56">
        <v>0.316</v>
      </c>
      <c r="F74" s="102" t="s">
        <v>2393</v>
      </c>
      <c r="G74" s="1" t="s">
        <v>2534</v>
      </c>
      <c r="H74" s="4" t="s">
        <v>2281</v>
      </c>
      <c r="I74" s="110">
        <v>45176</v>
      </c>
    </row>
    <row r="75" spans="1:9">
      <c r="A75" s="66" t="s">
        <v>2533</v>
      </c>
      <c r="B75" s="103">
        <v>45200</v>
      </c>
      <c r="C75" s="6" t="s">
        <v>1387</v>
      </c>
      <c r="D75" s="13" t="s">
        <v>11</v>
      </c>
      <c r="E75" s="56">
        <v>3.516</v>
      </c>
      <c r="F75" s="102" t="s">
        <v>2393</v>
      </c>
      <c r="G75" s="1" t="s">
        <v>2534</v>
      </c>
      <c r="H75" s="4" t="s">
        <v>2281</v>
      </c>
      <c r="I75" s="110">
        <v>45176</v>
      </c>
    </row>
    <row r="76" spans="1:9">
      <c r="A76" s="15"/>
      <c r="B76" s="61"/>
      <c r="C76" s="6"/>
      <c r="D76" s="1"/>
      <c r="E76" s="58">
        <f>SUM(E67:E75)</f>
        <v>89.416000000000011</v>
      </c>
      <c r="F76" s="102"/>
      <c r="G76" s="1"/>
      <c r="H76" s="1"/>
      <c r="I76" s="109"/>
    </row>
    <row r="77" spans="1:9">
      <c r="A77" s="66" t="s">
        <v>2537</v>
      </c>
      <c r="B77" s="103">
        <v>45201</v>
      </c>
      <c r="C77" s="13" t="s">
        <v>1227</v>
      </c>
      <c r="D77" s="113" t="s">
        <v>78</v>
      </c>
      <c r="E77" s="101">
        <v>11.196999999999999</v>
      </c>
      <c r="F77" s="102" t="s">
        <v>97</v>
      </c>
      <c r="G77" s="4" t="s">
        <v>2538</v>
      </c>
      <c r="H77" s="4" t="s">
        <v>2499</v>
      </c>
      <c r="I77" s="110">
        <v>45139</v>
      </c>
    </row>
    <row r="78" spans="1:9">
      <c r="A78" s="66" t="s">
        <v>2537</v>
      </c>
      <c r="B78" s="103">
        <v>45201</v>
      </c>
      <c r="C78" s="13" t="s">
        <v>1507</v>
      </c>
      <c r="D78" s="113" t="s">
        <v>78</v>
      </c>
      <c r="E78" s="101">
        <v>4.5259999999999998</v>
      </c>
      <c r="F78" s="102" t="s">
        <v>97</v>
      </c>
      <c r="G78" s="4" t="s">
        <v>2538</v>
      </c>
      <c r="H78" s="4" t="s">
        <v>2499</v>
      </c>
      <c r="I78" s="110">
        <v>45139</v>
      </c>
    </row>
    <row r="79" spans="1:9">
      <c r="A79" s="66" t="s">
        <v>2537</v>
      </c>
      <c r="B79" s="103">
        <v>45201</v>
      </c>
      <c r="C79" s="13" t="s">
        <v>2500</v>
      </c>
      <c r="D79" s="113" t="s">
        <v>78</v>
      </c>
      <c r="E79" s="101">
        <f>3.988+11.826</f>
        <v>15.814</v>
      </c>
      <c r="F79" s="102" t="s">
        <v>97</v>
      </c>
      <c r="G79" s="4" t="s">
        <v>2538</v>
      </c>
      <c r="H79" s="4" t="s">
        <v>2499</v>
      </c>
      <c r="I79" s="110">
        <v>45139</v>
      </c>
    </row>
    <row r="80" spans="1:9">
      <c r="A80" s="66" t="s">
        <v>2539</v>
      </c>
      <c r="B80" s="103">
        <v>45201</v>
      </c>
      <c r="C80" s="13" t="s">
        <v>1640</v>
      </c>
      <c r="D80" s="113" t="s">
        <v>78</v>
      </c>
      <c r="E80" s="101">
        <f>0.178+18.893</f>
        <v>19.071000000000002</v>
      </c>
      <c r="F80" s="102" t="s">
        <v>116</v>
      </c>
      <c r="G80" s="4" t="s">
        <v>2540</v>
      </c>
      <c r="H80" s="4" t="s">
        <v>2499</v>
      </c>
      <c r="I80" s="110">
        <v>45139</v>
      </c>
    </row>
    <row r="81" spans="1:9">
      <c r="A81" s="66" t="s">
        <v>2539</v>
      </c>
      <c r="B81" s="103">
        <v>45201</v>
      </c>
      <c r="C81" s="13" t="s">
        <v>1695</v>
      </c>
      <c r="D81" s="113" t="s">
        <v>78</v>
      </c>
      <c r="E81" s="101">
        <f>4.493+4.474</f>
        <v>8.9670000000000005</v>
      </c>
      <c r="F81" s="102" t="s">
        <v>116</v>
      </c>
      <c r="G81" s="4" t="s">
        <v>2540</v>
      </c>
      <c r="H81" s="4" t="s">
        <v>2499</v>
      </c>
      <c r="I81" s="110">
        <v>45139</v>
      </c>
    </row>
    <row r="82" spans="1:9">
      <c r="A82" s="66" t="s">
        <v>2539</v>
      </c>
      <c r="B82" s="103">
        <v>45201</v>
      </c>
      <c r="C82" s="13" t="s">
        <v>1756</v>
      </c>
      <c r="D82" s="113" t="s">
        <v>78</v>
      </c>
      <c r="E82" s="101">
        <v>5.1859999999999999</v>
      </c>
      <c r="F82" s="102" t="s">
        <v>116</v>
      </c>
      <c r="G82" s="4" t="s">
        <v>2540</v>
      </c>
      <c r="H82" s="4" t="s">
        <v>2499</v>
      </c>
      <c r="I82" s="110">
        <v>45139</v>
      </c>
    </row>
    <row r="83" spans="1:9">
      <c r="A83" s="66" t="s">
        <v>2541</v>
      </c>
      <c r="B83" s="103">
        <v>45201</v>
      </c>
      <c r="C83" s="13" t="s">
        <v>1753</v>
      </c>
      <c r="D83" s="113" t="s">
        <v>2542</v>
      </c>
      <c r="E83" s="101">
        <v>14.898999999999999</v>
      </c>
      <c r="F83" s="102" t="s">
        <v>2544</v>
      </c>
      <c r="G83" s="102" t="s">
        <v>2543</v>
      </c>
      <c r="H83" s="4" t="s">
        <v>2545</v>
      </c>
      <c r="I83" s="110">
        <v>45139</v>
      </c>
    </row>
    <row r="84" spans="1:9">
      <c r="A84" s="66" t="s">
        <v>2541</v>
      </c>
      <c r="B84" s="103">
        <v>45201</v>
      </c>
      <c r="C84" s="13" t="s">
        <v>1796</v>
      </c>
      <c r="D84" s="113" t="s">
        <v>2542</v>
      </c>
      <c r="E84" s="101">
        <f>0.759+17.09</f>
        <v>17.849</v>
      </c>
      <c r="F84" s="102" t="s">
        <v>2544</v>
      </c>
      <c r="G84" s="102" t="s">
        <v>2543</v>
      </c>
      <c r="H84" s="4" t="s">
        <v>2545</v>
      </c>
      <c r="I84" s="110">
        <v>45139</v>
      </c>
    </row>
    <row r="85" spans="1:9">
      <c r="A85" s="66" t="s">
        <v>2546</v>
      </c>
      <c r="B85" s="103">
        <v>45201</v>
      </c>
      <c r="C85" s="13" t="s">
        <v>1227</v>
      </c>
      <c r="D85" s="113" t="s">
        <v>2542</v>
      </c>
      <c r="E85" s="101">
        <f>8.118+8.176</f>
        <v>16.294</v>
      </c>
      <c r="F85" s="102" t="s">
        <v>544</v>
      </c>
      <c r="G85" s="4" t="s">
        <v>2547</v>
      </c>
      <c r="H85" s="4" t="s">
        <v>2545</v>
      </c>
      <c r="I85" s="110">
        <v>45139</v>
      </c>
    </row>
    <row r="86" spans="1:9">
      <c r="A86" s="66" t="s">
        <v>2546</v>
      </c>
      <c r="B86" s="103">
        <v>45201</v>
      </c>
      <c r="C86" s="13" t="s">
        <v>1245</v>
      </c>
      <c r="D86" s="113" t="s">
        <v>2542</v>
      </c>
      <c r="E86" s="101">
        <v>7.6029999999999998</v>
      </c>
      <c r="F86" s="102" t="s">
        <v>544</v>
      </c>
      <c r="G86" s="4" t="s">
        <v>2547</v>
      </c>
      <c r="H86" s="4" t="s">
        <v>2545</v>
      </c>
      <c r="I86" s="110">
        <v>45139</v>
      </c>
    </row>
    <row r="87" spans="1:9">
      <c r="A87" s="66" t="s">
        <v>2546</v>
      </c>
      <c r="B87" s="103">
        <v>45201</v>
      </c>
      <c r="C87" s="13" t="s">
        <v>1367</v>
      </c>
      <c r="D87" s="113" t="s">
        <v>2542</v>
      </c>
      <c r="E87" s="101">
        <v>8.2309999999999999</v>
      </c>
      <c r="F87" s="102" t="s">
        <v>544</v>
      </c>
      <c r="G87" s="4" t="s">
        <v>2547</v>
      </c>
      <c r="H87" s="4" t="s">
        <v>2545</v>
      </c>
      <c r="I87" s="110">
        <v>45139</v>
      </c>
    </row>
    <row r="88" spans="1:9">
      <c r="A88" s="66" t="s">
        <v>2548</v>
      </c>
      <c r="B88" s="103">
        <v>45201</v>
      </c>
      <c r="C88" s="13" t="s">
        <v>1470</v>
      </c>
      <c r="D88" s="113" t="s">
        <v>78</v>
      </c>
      <c r="E88" s="101">
        <f>5.154+25.72</f>
        <v>30.873999999999999</v>
      </c>
      <c r="F88" s="102" t="s">
        <v>86</v>
      </c>
      <c r="G88" s="4" t="s">
        <v>2549</v>
      </c>
      <c r="H88" s="4" t="s">
        <v>2441</v>
      </c>
      <c r="I88" s="110">
        <v>45167</v>
      </c>
    </row>
    <row r="89" spans="1:9">
      <c r="A89" s="66" t="s">
        <v>2548</v>
      </c>
      <c r="B89" s="103">
        <v>45201</v>
      </c>
      <c r="C89" s="13" t="s">
        <v>1408</v>
      </c>
      <c r="D89" s="113" t="s">
        <v>78</v>
      </c>
      <c r="E89" s="101">
        <v>2.0449999999999999</v>
      </c>
      <c r="F89" s="102" t="s">
        <v>86</v>
      </c>
      <c r="G89" s="4" t="s">
        <v>2549</v>
      </c>
      <c r="H89" s="4" t="s">
        <v>2441</v>
      </c>
      <c r="I89" s="110">
        <v>45167</v>
      </c>
    </row>
    <row r="90" spans="1:9">
      <c r="A90" s="66" t="s">
        <v>2550</v>
      </c>
      <c r="B90" s="103">
        <v>45201</v>
      </c>
      <c r="C90" s="13" t="s">
        <v>1245</v>
      </c>
      <c r="D90" s="113" t="s">
        <v>78</v>
      </c>
      <c r="E90" s="101">
        <f>9.072+5.772</f>
        <v>14.843999999999999</v>
      </c>
      <c r="F90" s="102" t="s">
        <v>66</v>
      </c>
      <c r="G90" s="4" t="s">
        <v>2551</v>
      </c>
      <c r="H90" s="4" t="s">
        <v>2499</v>
      </c>
      <c r="I90" s="110">
        <v>45139</v>
      </c>
    </row>
    <row r="91" spans="1:9">
      <c r="A91" s="66" t="s">
        <v>2550</v>
      </c>
      <c r="B91" s="103">
        <v>45201</v>
      </c>
      <c r="C91" s="13" t="s">
        <v>1226</v>
      </c>
      <c r="D91" s="113" t="s">
        <v>78</v>
      </c>
      <c r="E91" s="101">
        <v>18.173999999999999</v>
      </c>
      <c r="F91" s="102" t="s">
        <v>66</v>
      </c>
      <c r="G91" s="4" t="s">
        <v>2551</v>
      </c>
      <c r="H91" s="4" t="s">
        <v>2499</v>
      </c>
      <c r="I91" s="110">
        <v>45139</v>
      </c>
    </row>
    <row r="92" spans="1:9">
      <c r="A92" s="66" t="s">
        <v>2552</v>
      </c>
      <c r="B92" s="103">
        <v>45201</v>
      </c>
      <c r="C92" s="13" t="s">
        <v>1365</v>
      </c>
      <c r="D92" s="113" t="s">
        <v>2542</v>
      </c>
      <c r="E92" s="101">
        <v>2.4279999999999999</v>
      </c>
      <c r="F92" s="102" t="s">
        <v>1127</v>
      </c>
      <c r="G92" s="4" t="s">
        <v>2553</v>
      </c>
      <c r="H92" s="4" t="s">
        <v>2545</v>
      </c>
      <c r="I92" s="110">
        <v>45139</v>
      </c>
    </row>
    <row r="93" spans="1:9">
      <c r="A93" s="66" t="s">
        <v>2552</v>
      </c>
      <c r="B93" s="103">
        <v>45201</v>
      </c>
      <c r="C93" s="13" t="s">
        <v>1366</v>
      </c>
      <c r="D93" s="113" t="s">
        <v>2542</v>
      </c>
      <c r="E93" s="101">
        <v>4.38</v>
      </c>
      <c r="F93" s="102" t="s">
        <v>1127</v>
      </c>
      <c r="G93" s="4" t="s">
        <v>2553</v>
      </c>
      <c r="H93" s="4" t="s">
        <v>2545</v>
      </c>
      <c r="I93" s="110">
        <v>45139</v>
      </c>
    </row>
    <row r="94" spans="1:9">
      <c r="A94" s="66" t="s">
        <v>2552</v>
      </c>
      <c r="B94" s="103">
        <v>45201</v>
      </c>
      <c r="C94" s="13" t="s">
        <v>2500</v>
      </c>
      <c r="D94" s="113" t="s">
        <v>2542</v>
      </c>
      <c r="E94" s="101">
        <v>2.2909999999999999</v>
      </c>
      <c r="F94" s="102" t="s">
        <v>1127</v>
      </c>
      <c r="G94" s="4" t="s">
        <v>2553</v>
      </c>
      <c r="H94" s="4" t="s">
        <v>2545</v>
      </c>
      <c r="I94" s="110">
        <v>45139</v>
      </c>
    </row>
    <row r="95" spans="1:9">
      <c r="A95" s="66" t="s">
        <v>2552</v>
      </c>
      <c r="B95" s="103">
        <v>45201</v>
      </c>
      <c r="C95" s="13" t="s">
        <v>1227</v>
      </c>
      <c r="D95" s="113" t="s">
        <v>2542</v>
      </c>
      <c r="E95" s="101">
        <v>9.7739999999999991</v>
      </c>
      <c r="F95" s="102" t="s">
        <v>1127</v>
      </c>
      <c r="G95" s="4" t="s">
        <v>2553</v>
      </c>
      <c r="H95" s="4" t="s">
        <v>2545</v>
      </c>
      <c r="I95" s="110">
        <v>45139</v>
      </c>
    </row>
    <row r="96" spans="1:9">
      <c r="A96" s="66" t="s">
        <v>2552</v>
      </c>
      <c r="B96" s="103">
        <v>45201</v>
      </c>
      <c r="C96" s="13" t="s">
        <v>1226</v>
      </c>
      <c r="D96" s="113" t="s">
        <v>2542</v>
      </c>
      <c r="E96" s="101">
        <v>6.2569999999999997</v>
      </c>
      <c r="F96" s="102" t="s">
        <v>1127</v>
      </c>
      <c r="G96" s="4" t="s">
        <v>2553</v>
      </c>
      <c r="H96" s="4" t="s">
        <v>2545</v>
      </c>
      <c r="I96" s="110">
        <v>45139</v>
      </c>
    </row>
    <row r="97" spans="1:9">
      <c r="A97" s="66" t="s">
        <v>2552</v>
      </c>
      <c r="B97" s="103">
        <v>45201</v>
      </c>
      <c r="C97" s="13" t="s">
        <v>1695</v>
      </c>
      <c r="D97" s="113" t="s">
        <v>2542</v>
      </c>
      <c r="E97" s="101">
        <v>3.383</v>
      </c>
      <c r="F97" s="102" t="s">
        <v>1127</v>
      </c>
      <c r="G97" s="4" t="s">
        <v>2553</v>
      </c>
      <c r="H97" s="4" t="s">
        <v>2545</v>
      </c>
      <c r="I97" s="110">
        <v>45139</v>
      </c>
    </row>
    <row r="98" spans="1:9">
      <c r="A98" s="66" t="s">
        <v>2552</v>
      </c>
      <c r="B98" s="103">
        <v>45201</v>
      </c>
      <c r="C98" s="13" t="s">
        <v>1640</v>
      </c>
      <c r="D98" s="113" t="s">
        <v>2542</v>
      </c>
      <c r="E98" s="101">
        <v>3.8860000000000001</v>
      </c>
      <c r="F98" s="102" t="s">
        <v>1127</v>
      </c>
      <c r="G98" s="4" t="s">
        <v>2553</v>
      </c>
      <c r="H98" s="4" t="s">
        <v>2545</v>
      </c>
      <c r="I98" s="110">
        <v>45139</v>
      </c>
    </row>
    <row r="99" spans="1:9">
      <c r="A99" s="117"/>
      <c r="B99" s="118"/>
      <c r="C99" s="125"/>
      <c r="D99" s="126"/>
      <c r="E99" s="130">
        <f>SUM(E77:E98)</f>
        <v>227.97299999999998</v>
      </c>
      <c r="F99" s="121"/>
      <c r="G99" s="126"/>
      <c r="H99" s="126"/>
      <c r="I99" s="122"/>
    </row>
    <row r="100" spans="1:9">
      <c r="A100" s="117"/>
      <c r="B100" s="118"/>
      <c r="C100" s="119"/>
      <c r="D100" s="93"/>
      <c r="E100" s="130"/>
      <c r="F100" s="121"/>
      <c r="G100" s="93"/>
      <c r="H100" s="93"/>
      <c r="I100" s="122"/>
    </row>
    <row r="101" spans="1:9">
      <c r="A101" s="66" t="s">
        <v>2577</v>
      </c>
      <c r="B101" s="103">
        <v>45202</v>
      </c>
      <c r="C101" s="13" t="s">
        <v>1370</v>
      </c>
      <c r="D101" s="113" t="s">
        <v>78</v>
      </c>
      <c r="E101" s="101">
        <v>3.5710000000000002</v>
      </c>
      <c r="F101" s="102" t="s">
        <v>97</v>
      </c>
      <c r="G101" s="14" t="s">
        <v>2578</v>
      </c>
      <c r="H101" s="4" t="s">
        <v>2484</v>
      </c>
      <c r="I101" s="110">
        <v>45150</v>
      </c>
    </row>
    <row r="102" spans="1:9">
      <c r="A102" s="66" t="s">
        <v>2577</v>
      </c>
      <c r="B102" s="103">
        <v>45202</v>
      </c>
      <c r="C102" s="13" t="s">
        <v>1408</v>
      </c>
      <c r="D102" s="113" t="s">
        <v>78</v>
      </c>
      <c r="E102" s="101">
        <f>1.518+3.928</f>
        <v>5.4459999999999997</v>
      </c>
      <c r="F102" s="102" t="s">
        <v>97</v>
      </c>
      <c r="G102" s="14" t="s">
        <v>2578</v>
      </c>
      <c r="H102" s="4" t="s">
        <v>2484</v>
      </c>
      <c r="I102" s="110">
        <v>45150</v>
      </c>
    </row>
    <row r="103" spans="1:9">
      <c r="A103" s="66" t="s">
        <v>2580</v>
      </c>
      <c r="B103" s="103">
        <v>45202</v>
      </c>
      <c r="C103" s="13" t="s">
        <v>1500</v>
      </c>
      <c r="D103" s="113" t="s">
        <v>78</v>
      </c>
      <c r="E103" s="101">
        <v>13.432</v>
      </c>
      <c r="F103" s="102" t="s">
        <v>97</v>
      </c>
      <c r="G103" s="14" t="s">
        <v>2579</v>
      </c>
      <c r="H103" s="4" t="s">
        <v>2441</v>
      </c>
      <c r="I103" s="110">
        <v>45167</v>
      </c>
    </row>
    <row r="104" spans="1:9">
      <c r="A104" s="66" t="s">
        <v>2580</v>
      </c>
      <c r="B104" s="103">
        <v>45202</v>
      </c>
      <c r="C104" s="13" t="s">
        <v>1408</v>
      </c>
      <c r="D104" s="113" t="s">
        <v>78</v>
      </c>
      <c r="E104" s="101">
        <f>5.934+1.224</f>
        <v>7.1580000000000004</v>
      </c>
      <c r="F104" s="102" t="s">
        <v>97</v>
      </c>
      <c r="G104" s="14" t="s">
        <v>2579</v>
      </c>
      <c r="H104" s="4" t="s">
        <v>2441</v>
      </c>
      <c r="I104" s="110">
        <v>45167</v>
      </c>
    </row>
    <row r="105" spans="1:9">
      <c r="A105" s="66" t="s">
        <v>2580</v>
      </c>
      <c r="B105" s="103">
        <v>45202</v>
      </c>
      <c r="C105" s="13" t="s">
        <v>1366</v>
      </c>
      <c r="D105" s="113" t="s">
        <v>78</v>
      </c>
      <c r="E105" s="101">
        <v>2.0289999999999999</v>
      </c>
      <c r="F105" s="102" t="s">
        <v>97</v>
      </c>
      <c r="G105" s="14" t="s">
        <v>2579</v>
      </c>
      <c r="H105" s="4" t="s">
        <v>2441</v>
      </c>
      <c r="I105" s="110">
        <v>45167</v>
      </c>
    </row>
    <row r="106" spans="1:9">
      <c r="A106" s="66" t="s">
        <v>2581</v>
      </c>
      <c r="B106" s="103">
        <v>45202</v>
      </c>
      <c r="C106" s="13" t="s">
        <v>1245</v>
      </c>
      <c r="D106" s="113" t="s">
        <v>78</v>
      </c>
      <c r="E106" s="101">
        <f>3.19+6.662</f>
        <v>9.8520000000000003</v>
      </c>
      <c r="F106" s="102" t="s">
        <v>116</v>
      </c>
      <c r="G106" s="14" t="s">
        <v>2582</v>
      </c>
      <c r="H106" s="4" t="s">
        <v>2499</v>
      </c>
      <c r="I106" s="110">
        <v>45139</v>
      </c>
    </row>
    <row r="107" spans="1:9">
      <c r="A107" s="66" t="s">
        <v>2581</v>
      </c>
      <c r="B107" s="103">
        <v>45202</v>
      </c>
      <c r="C107" s="13" t="s">
        <v>1367</v>
      </c>
      <c r="D107" s="113" t="s">
        <v>78</v>
      </c>
      <c r="E107" s="101">
        <f>18.546+3.929</f>
        <v>22.474999999999998</v>
      </c>
      <c r="F107" s="102" t="s">
        <v>116</v>
      </c>
      <c r="G107" s="14" t="s">
        <v>2582</v>
      </c>
      <c r="H107" s="4" t="s">
        <v>2499</v>
      </c>
      <c r="I107" s="110">
        <v>45139</v>
      </c>
    </row>
    <row r="108" spans="1:9">
      <c r="A108" s="66" t="s">
        <v>2583</v>
      </c>
      <c r="B108" s="103">
        <v>45202</v>
      </c>
      <c r="C108" s="13" t="s">
        <v>1355</v>
      </c>
      <c r="D108" s="113" t="s">
        <v>78</v>
      </c>
      <c r="E108" s="101">
        <v>11.82</v>
      </c>
      <c r="F108" s="102" t="s">
        <v>86</v>
      </c>
      <c r="G108" s="14" t="s">
        <v>2584</v>
      </c>
      <c r="H108" s="4" t="s">
        <v>2499</v>
      </c>
      <c r="I108" s="110">
        <v>45139</v>
      </c>
    </row>
    <row r="109" spans="1:9">
      <c r="A109" s="66" t="s">
        <v>2583</v>
      </c>
      <c r="B109" s="103">
        <v>45202</v>
      </c>
      <c r="C109" s="13" t="s">
        <v>1695</v>
      </c>
      <c r="D109" s="113" t="s">
        <v>78</v>
      </c>
      <c r="E109" s="101">
        <v>9.5429999999999993</v>
      </c>
      <c r="F109" s="102" t="s">
        <v>86</v>
      </c>
      <c r="G109" s="14" t="s">
        <v>2584</v>
      </c>
      <c r="H109" s="4" t="s">
        <v>2499</v>
      </c>
      <c r="I109" s="110">
        <v>45139</v>
      </c>
    </row>
    <row r="110" spans="1:9">
      <c r="A110" s="66" t="s">
        <v>2583</v>
      </c>
      <c r="B110" s="103">
        <v>45202</v>
      </c>
      <c r="C110" s="13" t="s">
        <v>1640</v>
      </c>
      <c r="D110" s="113" t="s">
        <v>78</v>
      </c>
      <c r="E110" s="101">
        <v>0.9</v>
      </c>
      <c r="F110" s="102" t="s">
        <v>86</v>
      </c>
      <c r="G110" s="14" t="s">
        <v>2584</v>
      </c>
      <c r="H110" s="4" t="s">
        <v>2499</v>
      </c>
      <c r="I110" s="110">
        <v>45139</v>
      </c>
    </row>
    <row r="111" spans="1:9">
      <c r="A111" s="66" t="s">
        <v>2583</v>
      </c>
      <c r="B111" s="103">
        <v>45202</v>
      </c>
      <c r="C111" s="13" t="s">
        <v>1478</v>
      </c>
      <c r="D111" s="113" t="s">
        <v>78</v>
      </c>
      <c r="E111" s="101">
        <v>9.6940000000000008</v>
      </c>
      <c r="F111" s="102" t="s">
        <v>86</v>
      </c>
      <c r="G111" s="14" t="s">
        <v>2584</v>
      </c>
      <c r="H111" s="4" t="s">
        <v>2499</v>
      </c>
      <c r="I111" s="110">
        <v>45139</v>
      </c>
    </row>
    <row r="112" spans="1:9">
      <c r="A112" s="66" t="s">
        <v>2585</v>
      </c>
      <c r="B112" s="103">
        <v>45202</v>
      </c>
      <c r="C112" s="13" t="s">
        <v>1507</v>
      </c>
      <c r="D112" s="113" t="s">
        <v>78</v>
      </c>
      <c r="E112" s="101">
        <v>10.052</v>
      </c>
      <c r="F112" s="102" t="s">
        <v>267</v>
      </c>
      <c r="G112" s="14" t="s">
        <v>2586</v>
      </c>
      <c r="H112" s="4" t="s">
        <v>2499</v>
      </c>
      <c r="I112" s="110">
        <v>45139</v>
      </c>
    </row>
    <row r="113" spans="1:9">
      <c r="A113" s="66" t="s">
        <v>2585</v>
      </c>
      <c r="B113" s="103">
        <v>45202</v>
      </c>
      <c r="C113" s="13" t="s">
        <v>2500</v>
      </c>
      <c r="D113" s="113" t="s">
        <v>78</v>
      </c>
      <c r="E113" s="101">
        <v>4.9720000000000004</v>
      </c>
      <c r="F113" s="102" t="s">
        <v>267</v>
      </c>
      <c r="G113" s="14" t="s">
        <v>2586</v>
      </c>
      <c r="H113" s="4" t="s">
        <v>2499</v>
      </c>
      <c r="I113" s="110">
        <v>45139</v>
      </c>
    </row>
    <row r="114" spans="1:9">
      <c r="A114" s="66" t="s">
        <v>2585</v>
      </c>
      <c r="B114" s="103">
        <v>45202</v>
      </c>
      <c r="C114" s="13" t="s">
        <v>1245</v>
      </c>
      <c r="D114" s="113" t="s">
        <v>78</v>
      </c>
      <c r="E114" s="101">
        <v>13.413</v>
      </c>
      <c r="F114" s="102" t="s">
        <v>267</v>
      </c>
      <c r="G114" s="14" t="s">
        <v>2586</v>
      </c>
      <c r="H114" s="4" t="s">
        <v>2499</v>
      </c>
      <c r="I114" s="110">
        <v>45139</v>
      </c>
    </row>
    <row r="115" spans="1:9">
      <c r="A115" s="66" t="s">
        <v>2587</v>
      </c>
      <c r="B115" s="103">
        <v>45202</v>
      </c>
      <c r="C115" s="13" t="s">
        <v>1640</v>
      </c>
      <c r="D115" s="113" t="s">
        <v>78</v>
      </c>
      <c r="E115" s="101">
        <v>2.7130000000000001</v>
      </c>
      <c r="F115" s="102" t="s">
        <v>267</v>
      </c>
      <c r="G115" s="14" t="s">
        <v>2586</v>
      </c>
      <c r="H115" s="4" t="s">
        <v>2484</v>
      </c>
      <c r="I115" s="110">
        <v>45150</v>
      </c>
    </row>
    <row r="116" spans="1:9">
      <c r="A116" s="15"/>
      <c r="B116" s="61"/>
      <c r="C116" s="6"/>
      <c r="D116" s="1"/>
      <c r="E116" s="58">
        <f>SUM(E101:E115)</f>
        <v>127.07</v>
      </c>
      <c r="F116" s="102"/>
      <c r="G116" s="1"/>
      <c r="H116" s="1"/>
      <c r="I116" s="109"/>
    </row>
    <row r="117" spans="1:9">
      <c r="A117" s="66" t="s">
        <v>2554</v>
      </c>
      <c r="B117" s="103">
        <v>45203</v>
      </c>
      <c r="C117" s="13" t="s">
        <v>1507</v>
      </c>
      <c r="D117" s="113" t="s">
        <v>78</v>
      </c>
      <c r="E117" s="101">
        <v>17.731000000000002</v>
      </c>
      <c r="F117" s="102" t="s">
        <v>83</v>
      </c>
      <c r="G117" s="14" t="s">
        <v>2555</v>
      </c>
      <c r="H117" s="4" t="s">
        <v>2499</v>
      </c>
      <c r="I117" s="110">
        <v>45139</v>
      </c>
    </row>
    <row r="118" spans="1:9">
      <c r="A118" s="66" t="s">
        <v>2554</v>
      </c>
      <c r="B118" s="103">
        <v>45203</v>
      </c>
      <c r="C118" s="13" t="s">
        <v>1245</v>
      </c>
      <c r="D118" s="113" t="s">
        <v>78</v>
      </c>
      <c r="E118" s="101">
        <v>8.1059999999999999</v>
      </c>
      <c r="F118" s="102" t="s">
        <v>83</v>
      </c>
      <c r="G118" s="14" t="s">
        <v>2555</v>
      </c>
      <c r="H118" s="4" t="s">
        <v>2499</v>
      </c>
      <c r="I118" s="110">
        <v>45139</v>
      </c>
    </row>
    <row r="119" spans="1:9">
      <c r="A119" s="66" t="s">
        <v>2554</v>
      </c>
      <c r="B119" s="103">
        <v>45203</v>
      </c>
      <c r="C119" s="13" t="s">
        <v>1227</v>
      </c>
      <c r="D119" s="113" t="s">
        <v>78</v>
      </c>
      <c r="E119" s="101">
        <v>5.7060000000000004</v>
      </c>
      <c r="F119" s="102" t="s">
        <v>83</v>
      </c>
      <c r="G119" s="14" t="s">
        <v>2555</v>
      </c>
      <c r="H119" s="4" t="s">
        <v>2499</v>
      </c>
      <c r="I119" s="110">
        <v>45139</v>
      </c>
    </row>
    <row r="120" spans="1:9">
      <c r="A120" s="66" t="s">
        <v>2556</v>
      </c>
      <c r="B120" s="103">
        <v>45203</v>
      </c>
      <c r="C120" s="13" t="s">
        <v>2557</v>
      </c>
      <c r="D120" s="113" t="s">
        <v>78</v>
      </c>
      <c r="E120" s="101">
        <v>4.3029999999999999</v>
      </c>
      <c r="F120" s="102" t="s">
        <v>267</v>
      </c>
      <c r="G120" s="14" t="s">
        <v>2559</v>
      </c>
      <c r="H120" s="4" t="s">
        <v>2441</v>
      </c>
      <c r="I120" s="110">
        <v>45167</v>
      </c>
    </row>
    <row r="121" spans="1:9">
      <c r="A121" s="66" t="s">
        <v>2556</v>
      </c>
      <c r="B121" s="103">
        <v>45203</v>
      </c>
      <c r="C121" s="13" t="s">
        <v>2558</v>
      </c>
      <c r="D121" s="113" t="s">
        <v>78</v>
      </c>
      <c r="E121" s="101">
        <v>12.634</v>
      </c>
      <c r="F121" s="102" t="s">
        <v>267</v>
      </c>
      <c r="G121" s="14" t="s">
        <v>2559</v>
      </c>
      <c r="H121" s="4" t="s">
        <v>2441</v>
      </c>
      <c r="I121" s="110">
        <v>45167</v>
      </c>
    </row>
    <row r="122" spans="1:9">
      <c r="A122" s="66" t="s">
        <v>2560</v>
      </c>
      <c r="B122" s="103">
        <v>45203</v>
      </c>
      <c r="C122" s="13" t="s">
        <v>2557</v>
      </c>
      <c r="D122" s="113" t="s">
        <v>78</v>
      </c>
      <c r="E122" s="101">
        <v>2.1749999999999998</v>
      </c>
      <c r="F122" s="102" t="s">
        <v>267</v>
      </c>
      <c r="G122" s="14" t="s">
        <v>2561</v>
      </c>
      <c r="H122" s="4" t="s">
        <v>2484</v>
      </c>
      <c r="I122" s="110">
        <v>45150</v>
      </c>
    </row>
    <row r="123" spans="1:9">
      <c r="A123" s="66" t="s">
        <v>2562</v>
      </c>
      <c r="B123" s="103">
        <v>45203</v>
      </c>
      <c r="C123" s="13" t="s">
        <v>2558</v>
      </c>
      <c r="D123" s="113" t="s">
        <v>78</v>
      </c>
      <c r="E123" s="101">
        <v>3.37</v>
      </c>
      <c r="F123" s="102" t="s">
        <v>267</v>
      </c>
      <c r="G123" s="14" t="s">
        <v>2561</v>
      </c>
      <c r="H123" s="1" t="s">
        <v>2563</v>
      </c>
      <c r="I123" s="110">
        <v>45188</v>
      </c>
    </row>
    <row r="124" spans="1:9">
      <c r="A124" s="66" t="s">
        <v>2564</v>
      </c>
      <c r="B124" s="103">
        <v>45203</v>
      </c>
      <c r="C124" s="13" t="s">
        <v>1227</v>
      </c>
      <c r="D124" s="113" t="s">
        <v>78</v>
      </c>
      <c r="E124" s="101">
        <v>6.9880000000000004</v>
      </c>
      <c r="F124" s="102" t="s">
        <v>267</v>
      </c>
      <c r="G124" s="14" t="s">
        <v>2561</v>
      </c>
      <c r="H124" s="4" t="s">
        <v>2499</v>
      </c>
      <c r="I124" s="110">
        <v>45139</v>
      </c>
    </row>
    <row r="125" spans="1:9">
      <c r="A125" s="66" t="s">
        <v>2564</v>
      </c>
      <c r="B125" s="103">
        <v>45203</v>
      </c>
      <c r="C125" s="13" t="s">
        <v>1226</v>
      </c>
      <c r="D125" s="113" t="s">
        <v>78</v>
      </c>
      <c r="E125" s="101">
        <v>3.1989999999999998</v>
      </c>
      <c r="F125" s="102" t="s">
        <v>267</v>
      </c>
      <c r="G125" s="14" t="s">
        <v>2561</v>
      </c>
      <c r="H125" s="4" t="s">
        <v>2499</v>
      </c>
      <c r="I125" s="110">
        <v>45139</v>
      </c>
    </row>
    <row r="126" spans="1:9">
      <c r="A126" s="66" t="s">
        <v>2565</v>
      </c>
      <c r="B126" s="103">
        <v>45203</v>
      </c>
      <c r="C126" s="13" t="s">
        <v>1753</v>
      </c>
      <c r="D126" s="113" t="s">
        <v>78</v>
      </c>
      <c r="E126" s="101">
        <v>4.2679999999999998</v>
      </c>
      <c r="F126" s="102" t="s">
        <v>116</v>
      </c>
      <c r="G126" s="14" t="s">
        <v>2566</v>
      </c>
      <c r="H126" s="4" t="s">
        <v>2441</v>
      </c>
      <c r="I126" s="110">
        <v>45167</v>
      </c>
    </row>
    <row r="127" spans="1:9">
      <c r="A127" s="66" t="s">
        <v>2565</v>
      </c>
      <c r="B127" s="103">
        <v>45203</v>
      </c>
      <c r="C127" s="13" t="s">
        <v>1823</v>
      </c>
      <c r="D127" s="113" t="s">
        <v>78</v>
      </c>
      <c r="E127" s="101">
        <v>6.7850000000000001</v>
      </c>
      <c r="F127" s="102" t="s">
        <v>116</v>
      </c>
      <c r="G127" s="14" t="s">
        <v>2566</v>
      </c>
      <c r="H127" s="4" t="s">
        <v>2441</v>
      </c>
      <c r="I127" s="110">
        <v>45167</v>
      </c>
    </row>
    <row r="128" spans="1:9">
      <c r="A128" s="66" t="s">
        <v>2565</v>
      </c>
      <c r="B128" s="103">
        <v>45203</v>
      </c>
      <c r="C128" s="13" t="s">
        <v>1478</v>
      </c>
      <c r="D128" s="113" t="s">
        <v>78</v>
      </c>
      <c r="E128" s="101">
        <v>2.8540000000000001</v>
      </c>
      <c r="F128" s="102" t="s">
        <v>116</v>
      </c>
      <c r="G128" s="14" t="s">
        <v>2566</v>
      </c>
      <c r="H128" s="4" t="s">
        <v>2441</v>
      </c>
      <c r="I128" s="110">
        <v>45167</v>
      </c>
    </row>
    <row r="129" spans="1:9">
      <c r="A129" s="66" t="s">
        <v>2567</v>
      </c>
      <c r="B129" s="103">
        <v>45203</v>
      </c>
      <c r="C129" s="13" t="s">
        <v>1753</v>
      </c>
      <c r="D129" s="113" t="s">
        <v>78</v>
      </c>
      <c r="E129" s="101">
        <v>0.26500000000000001</v>
      </c>
      <c r="F129" s="102" t="s">
        <v>116</v>
      </c>
      <c r="G129" s="14" t="s">
        <v>2566</v>
      </c>
      <c r="H129" s="4" t="s">
        <v>2484</v>
      </c>
      <c r="I129" s="110">
        <v>45150</v>
      </c>
    </row>
    <row r="130" spans="1:9">
      <c r="A130" s="66" t="s">
        <v>2567</v>
      </c>
      <c r="B130" s="103">
        <v>45203</v>
      </c>
      <c r="C130" s="13" t="s">
        <v>1478</v>
      </c>
      <c r="D130" s="113" t="s">
        <v>78</v>
      </c>
      <c r="E130" s="101">
        <v>2.302</v>
      </c>
      <c r="F130" s="102" t="s">
        <v>116</v>
      </c>
      <c r="G130" s="14" t="s">
        <v>2566</v>
      </c>
      <c r="H130" s="4" t="s">
        <v>2484</v>
      </c>
      <c r="I130" s="110">
        <v>45150</v>
      </c>
    </row>
    <row r="131" spans="1:9">
      <c r="A131" s="66" t="s">
        <v>2567</v>
      </c>
      <c r="B131" s="103">
        <v>45203</v>
      </c>
      <c r="C131" s="13" t="s">
        <v>1695</v>
      </c>
      <c r="D131" s="113" t="s">
        <v>78</v>
      </c>
      <c r="E131" s="101">
        <v>1.76</v>
      </c>
      <c r="F131" s="102" t="s">
        <v>116</v>
      </c>
      <c r="G131" s="14" t="s">
        <v>2566</v>
      </c>
      <c r="H131" s="4" t="s">
        <v>2484</v>
      </c>
      <c r="I131" s="110">
        <v>45150</v>
      </c>
    </row>
    <row r="132" spans="1:9">
      <c r="A132" s="66" t="s">
        <v>2568</v>
      </c>
      <c r="B132" s="103">
        <v>45203</v>
      </c>
      <c r="C132" s="13" t="s">
        <v>1753</v>
      </c>
      <c r="D132" s="113" t="s">
        <v>78</v>
      </c>
      <c r="E132" s="101">
        <v>2.117</v>
      </c>
      <c r="F132" s="102" t="s">
        <v>116</v>
      </c>
      <c r="G132" s="14" t="s">
        <v>2566</v>
      </c>
      <c r="H132" s="1" t="s">
        <v>2563</v>
      </c>
      <c r="I132" s="110">
        <v>45188</v>
      </c>
    </row>
    <row r="133" spans="1:9">
      <c r="A133" s="66" t="s">
        <v>2568</v>
      </c>
      <c r="B133" s="103">
        <v>45203</v>
      </c>
      <c r="C133" s="13" t="s">
        <v>1478</v>
      </c>
      <c r="D133" s="113" t="s">
        <v>78</v>
      </c>
      <c r="E133" s="101">
        <v>2.6779999999999999</v>
      </c>
      <c r="F133" s="102" t="s">
        <v>116</v>
      </c>
      <c r="G133" s="14" t="s">
        <v>2566</v>
      </c>
      <c r="H133" s="1" t="s">
        <v>2563</v>
      </c>
      <c r="I133" s="110">
        <v>45188</v>
      </c>
    </row>
    <row r="134" spans="1:9">
      <c r="A134" s="66" t="s">
        <v>2569</v>
      </c>
      <c r="B134" s="103">
        <v>45203</v>
      </c>
      <c r="C134" s="13" t="s">
        <v>1753</v>
      </c>
      <c r="D134" s="113" t="s">
        <v>78</v>
      </c>
      <c r="E134" s="101">
        <v>8.9920000000000009</v>
      </c>
      <c r="F134" s="102" t="s">
        <v>116</v>
      </c>
      <c r="G134" s="14" t="s">
        <v>2566</v>
      </c>
      <c r="H134" s="1" t="s">
        <v>2570</v>
      </c>
      <c r="I134" s="110">
        <v>45197</v>
      </c>
    </row>
    <row r="135" spans="1:9">
      <c r="A135" s="66" t="s">
        <v>2571</v>
      </c>
      <c r="B135" s="103">
        <v>45203</v>
      </c>
      <c r="C135" s="13" t="s">
        <v>1365</v>
      </c>
      <c r="D135" s="13" t="s">
        <v>11</v>
      </c>
      <c r="E135" s="101">
        <v>24.684000000000001</v>
      </c>
      <c r="F135" s="102" t="s">
        <v>2572</v>
      </c>
      <c r="G135" s="14" t="s">
        <v>2573</v>
      </c>
      <c r="H135" s="4" t="s">
        <v>2281</v>
      </c>
      <c r="I135" s="110">
        <v>45176</v>
      </c>
    </row>
    <row r="136" spans="1:9">
      <c r="A136" s="15"/>
      <c r="B136" s="61"/>
      <c r="C136" s="6"/>
      <c r="D136" s="1"/>
      <c r="E136" s="41">
        <f>SUM(E117:E135)</f>
        <v>120.91700000000002</v>
      </c>
      <c r="F136" s="102"/>
      <c r="G136" s="1"/>
      <c r="H136" s="1"/>
      <c r="I136" s="109"/>
    </row>
    <row r="137" spans="1:9">
      <c r="A137" s="66" t="s">
        <v>2588</v>
      </c>
      <c r="B137" s="103">
        <v>45204</v>
      </c>
      <c r="C137" s="13" t="s">
        <v>1823</v>
      </c>
      <c r="D137" s="113" t="s">
        <v>78</v>
      </c>
      <c r="E137" s="101">
        <v>9.923</v>
      </c>
      <c r="F137" s="102" t="s">
        <v>1481</v>
      </c>
      <c r="G137" s="4" t="s">
        <v>2589</v>
      </c>
      <c r="H137" s="4" t="s">
        <v>2441</v>
      </c>
      <c r="I137" s="110">
        <v>45167</v>
      </c>
    </row>
    <row r="138" spans="1:9">
      <c r="A138" s="66" t="s">
        <v>2588</v>
      </c>
      <c r="B138" s="103">
        <v>45204</v>
      </c>
      <c r="C138" s="13" t="s">
        <v>1478</v>
      </c>
      <c r="D138" s="113" t="s">
        <v>78</v>
      </c>
      <c r="E138" s="101">
        <v>3.403</v>
      </c>
      <c r="F138" s="102" t="s">
        <v>1481</v>
      </c>
      <c r="G138" s="4" t="s">
        <v>2589</v>
      </c>
      <c r="H138" s="4" t="s">
        <v>2441</v>
      </c>
      <c r="I138" s="110">
        <v>45167</v>
      </c>
    </row>
    <row r="139" spans="1:9">
      <c r="A139" s="66" t="s">
        <v>2588</v>
      </c>
      <c r="B139" s="103">
        <v>45204</v>
      </c>
      <c r="C139" s="13" t="s">
        <v>1470</v>
      </c>
      <c r="D139" s="113" t="s">
        <v>78</v>
      </c>
      <c r="E139" s="101">
        <v>3.2869999999999999</v>
      </c>
      <c r="F139" s="102" t="s">
        <v>1481</v>
      </c>
      <c r="G139" s="4" t="s">
        <v>2589</v>
      </c>
      <c r="H139" s="4" t="s">
        <v>2441</v>
      </c>
      <c r="I139" s="110">
        <v>45167</v>
      </c>
    </row>
    <row r="140" spans="1:9">
      <c r="A140" s="66" t="s">
        <v>2590</v>
      </c>
      <c r="B140" s="103">
        <v>45204</v>
      </c>
      <c r="C140" s="13" t="s">
        <v>1753</v>
      </c>
      <c r="D140" s="113" t="s">
        <v>78</v>
      </c>
      <c r="E140" s="101">
        <v>0.53</v>
      </c>
      <c r="F140" s="102" t="s">
        <v>1481</v>
      </c>
      <c r="G140" s="4" t="s">
        <v>2589</v>
      </c>
      <c r="H140" s="4" t="s">
        <v>2563</v>
      </c>
      <c r="I140" s="110">
        <v>45188</v>
      </c>
    </row>
    <row r="141" spans="1:9">
      <c r="A141" s="66" t="s">
        <v>2591</v>
      </c>
      <c r="B141" s="103">
        <v>45204</v>
      </c>
      <c r="C141" s="13" t="s">
        <v>1823</v>
      </c>
      <c r="D141" s="113" t="s">
        <v>78</v>
      </c>
      <c r="E141" s="101">
        <v>2.4900000000000002</v>
      </c>
      <c r="F141" s="102" t="s">
        <v>1481</v>
      </c>
      <c r="G141" s="4" t="s">
        <v>2589</v>
      </c>
      <c r="H141" s="4" t="s">
        <v>2484</v>
      </c>
      <c r="I141" s="110">
        <v>45150</v>
      </c>
    </row>
    <row r="142" spans="1:9">
      <c r="A142" s="66" t="s">
        <v>2591</v>
      </c>
      <c r="B142" s="103">
        <v>45204</v>
      </c>
      <c r="C142" s="13" t="s">
        <v>1500</v>
      </c>
      <c r="D142" s="113" t="s">
        <v>78</v>
      </c>
      <c r="E142" s="101">
        <v>4.702</v>
      </c>
      <c r="F142" s="102" t="s">
        <v>1481</v>
      </c>
      <c r="G142" s="4" t="s">
        <v>2589</v>
      </c>
      <c r="H142" s="4" t="s">
        <v>2484</v>
      </c>
      <c r="I142" s="110">
        <v>45150</v>
      </c>
    </row>
    <row r="143" spans="1:9">
      <c r="A143" s="66" t="s">
        <v>2592</v>
      </c>
      <c r="B143" s="103">
        <v>45204</v>
      </c>
      <c r="C143" s="13" t="s">
        <v>1500</v>
      </c>
      <c r="D143" s="113" t="s">
        <v>78</v>
      </c>
      <c r="E143" s="101">
        <v>8.2919999999999998</v>
      </c>
      <c r="F143" s="102" t="s">
        <v>1481</v>
      </c>
      <c r="G143" s="4" t="s">
        <v>2589</v>
      </c>
      <c r="H143" s="4" t="s">
        <v>2102</v>
      </c>
      <c r="I143" s="110">
        <v>45150</v>
      </c>
    </row>
    <row r="144" spans="1:9">
      <c r="A144" s="66" t="s">
        <v>2593</v>
      </c>
      <c r="B144" s="103">
        <v>45204</v>
      </c>
      <c r="C144" s="13" t="s">
        <v>1507</v>
      </c>
      <c r="D144" s="113" t="s">
        <v>78</v>
      </c>
      <c r="E144" s="101">
        <v>4.5960000000000001</v>
      </c>
      <c r="F144" s="102" t="s">
        <v>294</v>
      </c>
      <c r="G144" s="4" t="s">
        <v>2594</v>
      </c>
      <c r="H144" s="4" t="s">
        <v>2499</v>
      </c>
      <c r="I144" s="110">
        <v>45139</v>
      </c>
    </row>
    <row r="145" spans="1:9">
      <c r="A145" s="66" t="s">
        <v>2593</v>
      </c>
      <c r="B145" s="103">
        <v>45204</v>
      </c>
      <c r="C145" s="13" t="s">
        <v>1355</v>
      </c>
      <c r="D145" s="113" t="s">
        <v>78</v>
      </c>
      <c r="E145" s="101">
        <v>5.8209999999999997</v>
      </c>
      <c r="F145" s="102" t="s">
        <v>294</v>
      </c>
      <c r="G145" s="4" t="s">
        <v>2594</v>
      </c>
      <c r="H145" s="4" t="s">
        <v>2499</v>
      </c>
      <c r="I145" s="110">
        <v>45139</v>
      </c>
    </row>
    <row r="146" spans="1:9">
      <c r="A146" s="66" t="s">
        <v>2593</v>
      </c>
      <c r="B146" s="103">
        <v>45204</v>
      </c>
      <c r="C146" s="13" t="s">
        <v>1366</v>
      </c>
      <c r="D146" s="113" t="s">
        <v>78</v>
      </c>
      <c r="E146" s="101">
        <v>1.548</v>
      </c>
      <c r="F146" s="102" t="s">
        <v>294</v>
      </c>
      <c r="G146" s="4" t="s">
        <v>2594</v>
      </c>
      <c r="H146" s="4" t="s">
        <v>2499</v>
      </c>
      <c r="I146" s="110">
        <v>45139</v>
      </c>
    </row>
    <row r="147" spans="1:9">
      <c r="A147" s="66" t="s">
        <v>2593</v>
      </c>
      <c r="B147" s="103">
        <v>45204</v>
      </c>
      <c r="C147" s="13" t="s">
        <v>2500</v>
      </c>
      <c r="D147" s="113" t="s">
        <v>78</v>
      </c>
      <c r="E147" s="101">
        <v>7.4930000000000003</v>
      </c>
      <c r="F147" s="102" t="s">
        <v>294</v>
      </c>
      <c r="G147" s="4" t="s">
        <v>2594</v>
      </c>
      <c r="H147" s="4" t="s">
        <v>2499</v>
      </c>
      <c r="I147" s="110">
        <v>45139</v>
      </c>
    </row>
    <row r="148" spans="1:9">
      <c r="A148" s="66" t="s">
        <v>2593</v>
      </c>
      <c r="B148" s="103">
        <v>45204</v>
      </c>
      <c r="C148" s="13" t="s">
        <v>2197</v>
      </c>
      <c r="D148" s="113" t="s">
        <v>78</v>
      </c>
      <c r="E148" s="101">
        <v>2.714</v>
      </c>
      <c r="F148" s="102" t="s">
        <v>294</v>
      </c>
      <c r="G148" s="4" t="s">
        <v>2594</v>
      </c>
      <c r="H148" s="4" t="s">
        <v>2499</v>
      </c>
      <c r="I148" s="110">
        <v>45139</v>
      </c>
    </row>
    <row r="149" spans="1:9">
      <c r="A149" s="66" t="s">
        <v>2595</v>
      </c>
      <c r="B149" s="103">
        <v>45204</v>
      </c>
      <c r="C149" s="13" t="s">
        <v>1408</v>
      </c>
      <c r="D149" s="113" t="s">
        <v>78</v>
      </c>
      <c r="E149" s="101">
        <v>2.0049999999999999</v>
      </c>
      <c r="F149" s="102" t="s">
        <v>294</v>
      </c>
      <c r="G149" s="4" t="s">
        <v>2594</v>
      </c>
      <c r="H149" s="4" t="s">
        <v>2441</v>
      </c>
      <c r="I149" s="110">
        <v>45167</v>
      </c>
    </row>
    <row r="150" spans="1:9">
      <c r="A150" s="66" t="s">
        <v>2595</v>
      </c>
      <c r="B150" s="103">
        <v>45204</v>
      </c>
      <c r="C150" s="13" t="s">
        <v>1453</v>
      </c>
      <c r="D150" s="113" t="s">
        <v>78</v>
      </c>
      <c r="E150" s="101">
        <v>4.8419999999999996</v>
      </c>
      <c r="F150" s="102" t="s">
        <v>294</v>
      </c>
      <c r="G150" s="4" t="s">
        <v>2594</v>
      </c>
      <c r="H150" s="4" t="s">
        <v>2441</v>
      </c>
      <c r="I150" s="110">
        <v>45167</v>
      </c>
    </row>
    <row r="151" spans="1:9">
      <c r="A151" s="66" t="s">
        <v>2596</v>
      </c>
      <c r="B151" s="103">
        <v>45204</v>
      </c>
      <c r="C151" s="13" t="s">
        <v>1370</v>
      </c>
      <c r="D151" s="113" t="s">
        <v>78</v>
      </c>
      <c r="E151" s="101">
        <v>1.8740000000000001</v>
      </c>
      <c r="F151" s="102" t="s">
        <v>294</v>
      </c>
      <c r="G151" s="4" t="s">
        <v>2594</v>
      </c>
      <c r="H151" s="4" t="s">
        <v>2484</v>
      </c>
      <c r="I151" s="110">
        <v>45150</v>
      </c>
    </row>
    <row r="152" spans="1:9">
      <c r="A152" s="15"/>
      <c r="B152" s="61"/>
      <c r="C152" s="11"/>
      <c r="D152" s="1"/>
      <c r="E152" s="41">
        <f>SUM(E137:E151)</f>
        <v>63.52</v>
      </c>
      <c r="F152" s="102"/>
      <c r="G152" s="1"/>
      <c r="H152" s="1"/>
      <c r="I152" s="109"/>
    </row>
    <row r="153" spans="1:9">
      <c r="A153" s="66" t="s">
        <v>2597</v>
      </c>
      <c r="B153" s="103">
        <v>45205</v>
      </c>
      <c r="C153" s="13" t="s">
        <v>1245</v>
      </c>
      <c r="D153" s="113" t="s">
        <v>78</v>
      </c>
      <c r="E153" s="101">
        <v>1.133</v>
      </c>
      <c r="F153" s="102" t="s">
        <v>116</v>
      </c>
      <c r="G153" s="4" t="s">
        <v>2598</v>
      </c>
      <c r="H153" s="4" t="s">
        <v>2499</v>
      </c>
      <c r="I153" s="110">
        <v>45139</v>
      </c>
    </row>
    <row r="154" spans="1:9">
      <c r="A154" s="66" t="s">
        <v>2597</v>
      </c>
      <c r="B154" s="103">
        <v>45205</v>
      </c>
      <c r="C154" s="13" t="s">
        <v>1227</v>
      </c>
      <c r="D154" s="113" t="s">
        <v>78</v>
      </c>
      <c r="E154" s="101">
        <v>1.1579999999999999</v>
      </c>
      <c r="F154" s="102" t="s">
        <v>116</v>
      </c>
      <c r="G154" s="4" t="s">
        <v>2598</v>
      </c>
      <c r="H154" s="4" t="s">
        <v>2499</v>
      </c>
      <c r="I154" s="110">
        <v>45139</v>
      </c>
    </row>
    <row r="155" spans="1:9">
      <c r="A155" s="66" t="s">
        <v>2597</v>
      </c>
      <c r="B155" s="103">
        <v>45205</v>
      </c>
      <c r="C155" s="13" t="s">
        <v>1226</v>
      </c>
      <c r="D155" s="113" t="s">
        <v>78</v>
      </c>
      <c r="E155" s="101">
        <v>0.72099999999999997</v>
      </c>
      <c r="F155" s="102" t="s">
        <v>116</v>
      </c>
      <c r="G155" s="4" t="s">
        <v>2598</v>
      </c>
      <c r="H155" s="4" t="s">
        <v>2499</v>
      </c>
      <c r="I155" s="110">
        <v>45139</v>
      </c>
    </row>
    <row r="156" spans="1:9">
      <c r="A156" s="66" t="s">
        <v>2597</v>
      </c>
      <c r="B156" s="103">
        <v>45205</v>
      </c>
      <c r="C156" s="13" t="s">
        <v>1355</v>
      </c>
      <c r="D156" s="113" t="s">
        <v>78</v>
      </c>
      <c r="E156" s="101">
        <v>0.46300000000000002</v>
      </c>
      <c r="F156" s="102" t="s">
        <v>116</v>
      </c>
      <c r="G156" s="4" t="s">
        <v>2598</v>
      </c>
      <c r="H156" s="4" t="s">
        <v>2499</v>
      </c>
      <c r="I156" s="110">
        <v>45139</v>
      </c>
    </row>
    <row r="157" spans="1:9">
      <c r="A157" s="66" t="s">
        <v>2597</v>
      </c>
      <c r="B157" s="103">
        <v>45205</v>
      </c>
      <c r="C157" s="13" t="s">
        <v>1695</v>
      </c>
      <c r="D157" s="113" t="s">
        <v>78</v>
      </c>
      <c r="E157" s="101">
        <v>2.13</v>
      </c>
      <c r="F157" s="102" t="s">
        <v>116</v>
      </c>
      <c r="G157" s="4" t="s">
        <v>2598</v>
      </c>
      <c r="H157" s="4" t="s">
        <v>2499</v>
      </c>
      <c r="I157" s="110">
        <v>45139</v>
      </c>
    </row>
    <row r="158" spans="1:9">
      <c r="A158" s="66" t="s">
        <v>2597</v>
      </c>
      <c r="B158" s="103">
        <v>45205</v>
      </c>
      <c r="C158" s="13" t="s">
        <v>1366</v>
      </c>
      <c r="D158" s="113" t="s">
        <v>78</v>
      </c>
      <c r="E158" s="101">
        <v>1.5169999999999999</v>
      </c>
      <c r="F158" s="102" t="s">
        <v>116</v>
      </c>
      <c r="G158" s="4" t="s">
        <v>2598</v>
      </c>
      <c r="H158" s="4" t="s">
        <v>2499</v>
      </c>
      <c r="I158" s="110">
        <v>45139</v>
      </c>
    </row>
    <row r="159" spans="1:9">
      <c r="A159" s="66" t="s">
        <v>2597</v>
      </c>
      <c r="B159" s="103">
        <v>45205</v>
      </c>
      <c r="C159" s="13" t="s">
        <v>2197</v>
      </c>
      <c r="D159" s="113" t="s">
        <v>78</v>
      </c>
      <c r="E159" s="101">
        <v>2.206</v>
      </c>
      <c r="F159" s="102" t="s">
        <v>116</v>
      </c>
      <c r="G159" s="4" t="s">
        <v>2598</v>
      </c>
      <c r="H159" s="4" t="s">
        <v>2499</v>
      </c>
      <c r="I159" s="110">
        <v>45139</v>
      </c>
    </row>
    <row r="160" spans="1:9">
      <c r="A160" s="66" t="s">
        <v>2599</v>
      </c>
      <c r="B160" s="103">
        <v>45205</v>
      </c>
      <c r="C160" s="13" t="s">
        <v>1370</v>
      </c>
      <c r="D160" s="113" t="s">
        <v>78</v>
      </c>
      <c r="E160" s="101">
        <v>0.26500000000000001</v>
      </c>
      <c r="F160" s="102" t="s">
        <v>116</v>
      </c>
      <c r="G160" s="4" t="s">
        <v>2600</v>
      </c>
      <c r="H160" s="4" t="s">
        <v>2484</v>
      </c>
      <c r="I160" s="110">
        <v>45150</v>
      </c>
    </row>
    <row r="161" spans="1:9">
      <c r="A161" s="66" t="s">
        <v>2599</v>
      </c>
      <c r="B161" s="103">
        <v>45205</v>
      </c>
      <c r="C161" s="13" t="s">
        <v>1370</v>
      </c>
      <c r="D161" s="113" t="s">
        <v>78</v>
      </c>
      <c r="E161" s="101">
        <v>0.26500000000000001</v>
      </c>
      <c r="F161" s="102" t="s">
        <v>116</v>
      </c>
      <c r="G161" s="4" t="s">
        <v>2600</v>
      </c>
      <c r="H161" s="4" t="s">
        <v>2484</v>
      </c>
      <c r="I161" s="110">
        <v>45150</v>
      </c>
    </row>
    <row r="162" spans="1:9">
      <c r="A162" s="66" t="s">
        <v>2599</v>
      </c>
      <c r="B162" s="103">
        <v>45205</v>
      </c>
      <c r="C162" s="13" t="s">
        <v>1226</v>
      </c>
      <c r="D162" s="113" t="s">
        <v>78</v>
      </c>
      <c r="E162" s="101">
        <f>5.21+1.256</f>
        <v>6.4660000000000002</v>
      </c>
      <c r="F162" s="102" t="s">
        <v>116</v>
      </c>
      <c r="G162" s="4" t="s">
        <v>2600</v>
      </c>
      <c r="H162" s="4" t="s">
        <v>2484</v>
      </c>
      <c r="I162" s="110">
        <v>45150</v>
      </c>
    </row>
    <row r="163" spans="1:9">
      <c r="A163" s="66" t="s">
        <v>2599</v>
      </c>
      <c r="B163" s="103">
        <v>45205</v>
      </c>
      <c r="C163" s="13" t="s">
        <v>1408</v>
      </c>
      <c r="D163" s="113" t="s">
        <v>78</v>
      </c>
      <c r="E163" s="101">
        <v>0.77800000000000002</v>
      </c>
      <c r="F163" s="102" t="s">
        <v>116</v>
      </c>
      <c r="G163" s="4" t="s">
        <v>2600</v>
      </c>
      <c r="H163" s="4" t="s">
        <v>2484</v>
      </c>
      <c r="I163" s="110">
        <v>45150</v>
      </c>
    </row>
    <row r="164" spans="1:9">
      <c r="A164" s="66" t="s">
        <v>2599</v>
      </c>
      <c r="B164" s="103">
        <v>45205</v>
      </c>
      <c r="C164" s="13" t="s">
        <v>1756</v>
      </c>
      <c r="D164" s="113" t="s">
        <v>78</v>
      </c>
      <c r="E164" s="101">
        <v>0.69699999999999995</v>
      </c>
      <c r="F164" s="102" t="s">
        <v>116</v>
      </c>
      <c r="G164" s="4" t="s">
        <v>2600</v>
      </c>
      <c r="H164" s="4" t="s">
        <v>2484</v>
      </c>
      <c r="I164" s="110">
        <v>45150</v>
      </c>
    </row>
    <row r="165" spans="1:9">
      <c r="A165" s="66" t="s">
        <v>2601</v>
      </c>
      <c r="B165" s="103">
        <v>45205</v>
      </c>
      <c r="C165" s="13" t="s">
        <v>1500</v>
      </c>
      <c r="D165" s="113" t="s">
        <v>78</v>
      </c>
      <c r="E165" s="101">
        <v>3.1309999999999998</v>
      </c>
      <c r="F165" s="102" t="s">
        <v>116</v>
      </c>
      <c r="G165" s="4" t="s">
        <v>2602</v>
      </c>
      <c r="H165" s="4" t="s">
        <v>2441</v>
      </c>
      <c r="I165" s="110">
        <v>45167</v>
      </c>
    </row>
    <row r="166" spans="1:9">
      <c r="A166" s="66" t="s">
        <v>2601</v>
      </c>
      <c r="B166" s="103">
        <v>45205</v>
      </c>
      <c r="C166" s="13" t="s">
        <v>1408</v>
      </c>
      <c r="D166" s="113" t="s">
        <v>78</v>
      </c>
      <c r="E166" s="101">
        <f>1.144+1.242</f>
        <v>2.3860000000000001</v>
      </c>
      <c r="F166" s="102" t="s">
        <v>116</v>
      </c>
      <c r="G166" s="4" t="s">
        <v>2602</v>
      </c>
      <c r="H166" s="4" t="s">
        <v>2441</v>
      </c>
      <c r="I166" s="110">
        <v>45167</v>
      </c>
    </row>
    <row r="167" spans="1:9">
      <c r="A167" s="66" t="s">
        <v>2601</v>
      </c>
      <c r="B167" s="103">
        <v>45205</v>
      </c>
      <c r="C167" s="13" t="s">
        <v>1823</v>
      </c>
      <c r="D167" s="113" t="s">
        <v>78</v>
      </c>
      <c r="E167" s="101">
        <f>1.343+0.194</f>
        <v>1.5369999999999999</v>
      </c>
      <c r="F167" s="102" t="s">
        <v>116</v>
      </c>
      <c r="G167" s="4" t="s">
        <v>2602</v>
      </c>
      <c r="H167" s="4" t="s">
        <v>2441</v>
      </c>
      <c r="I167" s="110">
        <v>45167</v>
      </c>
    </row>
    <row r="168" spans="1:9">
      <c r="A168" s="66" t="s">
        <v>2603</v>
      </c>
      <c r="B168" s="103">
        <v>45205</v>
      </c>
      <c r="C168" s="13" t="s">
        <v>1226</v>
      </c>
      <c r="D168" s="113" t="s">
        <v>78</v>
      </c>
      <c r="E168" s="101">
        <v>2.629</v>
      </c>
      <c r="F168" s="102" t="s">
        <v>116</v>
      </c>
      <c r="G168" s="4" t="s">
        <v>2604</v>
      </c>
      <c r="H168" s="4" t="s">
        <v>2102</v>
      </c>
      <c r="I168" s="110">
        <v>45150</v>
      </c>
    </row>
    <row r="169" spans="1:9">
      <c r="A169" s="66" t="s">
        <v>2605</v>
      </c>
      <c r="B169" s="103">
        <v>45205</v>
      </c>
      <c r="C169" s="13" t="s">
        <v>1226</v>
      </c>
      <c r="D169" s="113" t="s">
        <v>78</v>
      </c>
      <c r="E169" s="101">
        <v>0.46899999999999997</v>
      </c>
      <c r="F169" s="102" t="s">
        <v>116</v>
      </c>
      <c r="G169" s="4" t="s">
        <v>2604</v>
      </c>
      <c r="H169" s="4" t="s">
        <v>2563</v>
      </c>
      <c r="I169" s="110">
        <v>45188</v>
      </c>
    </row>
    <row r="170" spans="1:9">
      <c r="A170" s="66" t="s">
        <v>2607</v>
      </c>
      <c r="B170" s="103">
        <v>45205</v>
      </c>
      <c r="C170" s="13" t="s">
        <v>2606</v>
      </c>
      <c r="D170" s="113" t="s">
        <v>78</v>
      </c>
      <c r="E170" s="101">
        <f>2.942+1.157</f>
        <v>4.0990000000000002</v>
      </c>
      <c r="F170" s="102" t="s">
        <v>116</v>
      </c>
      <c r="G170" s="4" t="s">
        <v>2608</v>
      </c>
      <c r="H170" s="4" t="s">
        <v>2570</v>
      </c>
      <c r="I170" s="110">
        <v>45197</v>
      </c>
    </row>
    <row r="171" spans="1:9">
      <c r="A171" s="66" t="s">
        <v>2609</v>
      </c>
      <c r="B171" s="103">
        <v>45205</v>
      </c>
      <c r="C171" s="13" t="s">
        <v>1256</v>
      </c>
      <c r="D171" s="113" t="s">
        <v>78</v>
      </c>
      <c r="E171" s="101">
        <v>0.56799999999999995</v>
      </c>
      <c r="F171" s="102" t="s">
        <v>294</v>
      </c>
      <c r="G171" s="4" t="s">
        <v>2610</v>
      </c>
      <c r="H171" s="4" t="s">
        <v>2484</v>
      </c>
      <c r="I171" s="110">
        <v>45150</v>
      </c>
    </row>
    <row r="172" spans="1:9">
      <c r="A172" s="66" t="s">
        <v>2611</v>
      </c>
      <c r="B172" s="103">
        <v>45205</v>
      </c>
      <c r="C172" s="13" t="s">
        <v>1256</v>
      </c>
      <c r="D172" s="113" t="s">
        <v>78</v>
      </c>
      <c r="E172" s="101">
        <f>6.28+21.592</f>
        <v>27.872</v>
      </c>
      <c r="F172" s="102" t="s">
        <v>294</v>
      </c>
      <c r="G172" s="4" t="s">
        <v>2612</v>
      </c>
      <c r="H172" s="4" t="s">
        <v>2102</v>
      </c>
      <c r="I172" s="110">
        <v>45150</v>
      </c>
    </row>
    <row r="173" spans="1:9">
      <c r="A173" s="15"/>
      <c r="B173" s="61"/>
      <c r="C173" s="13"/>
      <c r="D173" s="4"/>
      <c r="E173" s="41">
        <f>SUM(E153:E172)</f>
        <v>60.489999999999995</v>
      </c>
      <c r="F173" s="102"/>
      <c r="G173" s="4"/>
      <c r="H173" s="4"/>
      <c r="I173" s="109"/>
    </row>
    <row r="174" spans="1:9">
      <c r="A174" s="66" t="s">
        <v>2646</v>
      </c>
      <c r="B174" s="103">
        <v>45207</v>
      </c>
      <c r="C174" s="13" t="s">
        <v>1350</v>
      </c>
      <c r="D174" s="113" t="s">
        <v>78</v>
      </c>
      <c r="E174" s="101">
        <v>14.164</v>
      </c>
      <c r="F174" s="102" t="s">
        <v>97</v>
      </c>
      <c r="G174" s="4" t="s">
        <v>2644</v>
      </c>
      <c r="H174" s="4" t="s">
        <v>2499</v>
      </c>
      <c r="I174" s="110">
        <v>45139</v>
      </c>
    </row>
    <row r="175" spans="1:9">
      <c r="A175" s="66" t="s">
        <v>2647</v>
      </c>
      <c r="B175" s="103">
        <v>45207</v>
      </c>
      <c r="C175" s="13" t="s">
        <v>1695</v>
      </c>
      <c r="D175" s="113" t="s">
        <v>78</v>
      </c>
      <c r="E175" s="101">
        <v>0.27100000000000002</v>
      </c>
      <c r="F175" s="102" t="s">
        <v>97</v>
      </c>
      <c r="G175" s="4" t="s">
        <v>2644</v>
      </c>
      <c r="H175" s="4" t="s">
        <v>2484</v>
      </c>
      <c r="I175" s="110">
        <v>45150</v>
      </c>
    </row>
    <row r="176" spans="1:9">
      <c r="A176" s="66" t="s">
        <v>2647</v>
      </c>
      <c r="B176" s="103">
        <v>45207</v>
      </c>
      <c r="C176" s="13" t="s">
        <v>1226</v>
      </c>
      <c r="D176" s="113" t="s">
        <v>78</v>
      </c>
      <c r="E176" s="101">
        <v>1.5009999999999999</v>
      </c>
      <c r="F176" s="102" t="s">
        <v>97</v>
      </c>
      <c r="G176" s="4" t="s">
        <v>2644</v>
      </c>
      <c r="H176" s="4" t="s">
        <v>2484</v>
      </c>
      <c r="I176" s="110">
        <v>45150</v>
      </c>
    </row>
    <row r="177" spans="1:9">
      <c r="A177" s="66" t="s">
        <v>2648</v>
      </c>
      <c r="B177" s="103">
        <v>45207</v>
      </c>
      <c r="C177" s="13" t="s">
        <v>1500</v>
      </c>
      <c r="D177" s="113" t="s">
        <v>78</v>
      </c>
      <c r="E177" s="101">
        <f>1.314+1.203</f>
        <v>2.5170000000000003</v>
      </c>
      <c r="F177" s="102" t="s">
        <v>97</v>
      </c>
      <c r="G177" s="4" t="s">
        <v>2645</v>
      </c>
      <c r="H177" s="4" t="s">
        <v>2441</v>
      </c>
      <c r="I177" s="110">
        <v>45167</v>
      </c>
    </row>
    <row r="178" spans="1:9">
      <c r="A178" s="66" t="s">
        <v>2648</v>
      </c>
      <c r="B178" s="103">
        <v>45207</v>
      </c>
      <c r="C178" s="13" t="s">
        <v>1366</v>
      </c>
      <c r="D178" s="113" t="s">
        <v>78</v>
      </c>
      <c r="E178" s="101">
        <v>2.0289999999999999</v>
      </c>
      <c r="F178" s="102" t="s">
        <v>97</v>
      </c>
      <c r="G178" s="4" t="s">
        <v>2645</v>
      </c>
      <c r="H178" s="4" t="s">
        <v>2441</v>
      </c>
      <c r="I178" s="110">
        <v>45167</v>
      </c>
    </row>
    <row r="179" spans="1:9">
      <c r="A179" s="66" t="s">
        <v>2648</v>
      </c>
      <c r="B179" s="103">
        <v>45207</v>
      </c>
      <c r="C179" s="13" t="s">
        <v>1470</v>
      </c>
      <c r="D179" s="113" t="s">
        <v>78</v>
      </c>
      <c r="E179" s="101">
        <v>3.6080000000000001</v>
      </c>
      <c r="F179" s="102" t="s">
        <v>97</v>
      </c>
      <c r="G179" s="4" t="s">
        <v>2645</v>
      </c>
      <c r="H179" s="4" t="s">
        <v>2441</v>
      </c>
      <c r="I179" s="110">
        <v>45167</v>
      </c>
    </row>
    <row r="180" spans="1:9">
      <c r="A180" s="66" t="s">
        <v>2648</v>
      </c>
      <c r="B180" s="103">
        <v>45207</v>
      </c>
      <c r="C180" s="13" t="s">
        <v>1408</v>
      </c>
      <c r="D180" s="113" t="s">
        <v>78</v>
      </c>
      <c r="E180" s="101">
        <v>3.3479999999999999</v>
      </c>
      <c r="F180" s="102" t="s">
        <v>97</v>
      </c>
      <c r="G180" s="4" t="s">
        <v>2645</v>
      </c>
      <c r="H180" s="4" t="s">
        <v>2441</v>
      </c>
      <c r="I180" s="110">
        <v>45167</v>
      </c>
    </row>
    <row r="181" spans="1:9">
      <c r="A181" s="66" t="s">
        <v>2648</v>
      </c>
      <c r="B181" s="103">
        <v>45207</v>
      </c>
      <c r="C181" s="13" t="s">
        <v>1823</v>
      </c>
      <c r="D181" s="113" t="s">
        <v>78</v>
      </c>
      <c r="E181" s="101">
        <v>0.71</v>
      </c>
      <c r="F181" s="102" t="s">
        <v>97</v>
      </c>
      <c r="G181" s="4" t="s">
        <v>2645</v>
      </c>
      <c r="H181" s="4" t="s">
        <v>2441</v>
      </c>
      <c r="I181" s="110">
        <v>45167</v>
      </c>
    </row>
    <row r="182" spans="1:9">
      <c r="A182" s="66" t="s">
        <v>2649</v>
      </c>
      <c r="B182" s="103">
        <v>45207</v>
      </c>
      <c r="C182" s="13" t="s">
        <v>2606</v>
      </c>
      <c r="D182" s="113" t="s">
        <v>78</v>
      </c>
      <c r="E182" s="101">
        <v>0.57299999999999995</v>
      </c>
      <c r="F182" s="102" t="s">
        <v>97</v>
      </c>
      <c r="G182" s="4" t="s">
        <v>2650</v>
      </c>
      <c r="H182" s="4" t="s">
        <v>2570</v>
      </c>
      <c r="I182" s="110">
        <v>45197</v>
      </c>
    </row>
    <row r="183" spans="1:9">
      <c r="A183" s="15"/>
      <c r="B183" s="61"/>
      <c r="C183" s="11"/>
      <c r="D183" s="4"/>
      <c r="E183" s="41">
        <f>SUM(E174:E182)</f>
        <v>28.721</v>
      </c>
      <c r="F183" s="102"/>
      <c r="G183" s="4"/>
      <c r="H183" s="4"/>
      <c r="I183" s="109"/>
    </row>
    <row r="184" spans="1:9">
      <c r="A184" s="66" t="s">
        <v>2651</v>
      </c>
      <c r="B184" s="103">
        <v>45208</v>
      </c>
      <c r="C184" s="13" t="s">
        <v>1226</v>
      </c>
      <c r="D184" s="113" t="s">
        <v>78</v>
      </c>
      <c r="E184" s="101">
        <v>3.2629999999999999</v>
      </c>
      <c r="F184" s="102" t="s">
        <v>2652</v>
      </c>
      <c r="G184" s="4" t="s">
        <v>2653</v>
      </c>
      <c r="H184" s="4" t="s">
        <v>2545</v>
      </c>
      <c r="I184" s="110">
        <v>45139</v>
      </c>
    </row>
    <row r="185" spans="1:9">
      <c r="A185" s="66" t="s">
        <v>2651</v>
      </c>
      <c r="B185" s="103">
        <v>45208</v>
      </c>
      <c r="C185" s="13" t="s">
        <v>2500</v>
      </c>
      <c r="D185" s="113" t="s">
        <v>78</v>
      </c>
      <c r="E185" s="101">
        <v>3.0550000000000002</v>
      </c>
      <c r="F185" s="102" t="s">
        <v>2652</v>
      </c>
      <c r="G185" s="4" t="s">
        <v>2653</v>
      </c>
      <c r="H185" s="4" t="s">
        <v>2545</v>
      </c>
      <c r="I185" s="110">
        <v>45139</v>
      </c>
    </row>
    <row r="186" spans="1:9">
      <c r="A186" s="66" t="s">
        <v>2651</v>
      </c>
      <c r="B186" s="103">
        <v>45208</v>
      </c>
      <c r="C186" s="13" t="s">
        <v>1227</v>
      </c>
      <c r="D186" s="113" t="s">
        <v>78</v>
      </c>
      <c r="E186" s="101">
        <v>0.58899999999999997</v>
      </c>
      <c r="F186" s="102" t="s">
        <v>2652</v>
      </c>
      <c r="G186" s="4" t="s">
        <v>2653</v>
      </c>
      <c r="H186" s="4" t="s">
        <v>2545</v>
      </c>
      <c r="I186" s="110">
        <v>45139</v>
      </c>
    </row>
    <row r="187" spans="1:9">
      <c r="A187" s="66" t="s">
        <v>2651</v>
      </c>
      <c r="B187" s="103">
        <v>45208</v>
      </c>
      <c r="C187" s="13" t="s">
        <v>1355</v>
      </c>
      <c r="D187" s="113" t="s">
        <v>78</v>
      </c>
      <c r="E187" s="101">
        <v>14.922000000000001</v>
      </c>
      <c r="F187" s="102" t="s">
        <v>2652</v>
      </c>
      <c r="G187" s="4" t="s">
        <v>2653</v>
      </c>
      <c r="H187" s="4" t="s">
        <v>2545</v>
      </c>
      <c r="I187" s="110">
        <v>45139</v>
      </c>
    </row>
    <row r="188" spans="1:9">
      <c r="A188" s="66" t="s">
        <v>2651</v>
      </c>
      <c r="B188" s="103">
        <v>45208</v>
      </c>
      <c r="C188" s="13" t="s">
        <v>1367</v>
      </c>
      <c r="D188" s="113" t="s">
        <v>78</v>
      </c>
      <c r="E188" s="101">
        <v>0.76700000000000002</v>
      </c>
      <c r="F188" s="102" t="s">
        <v>2652</v>
      </c>
      <c r="G188" s="4" t="s">
        <v>2653</v>
      </c>
      <c r="H188" s="4" t="s">
        <v>2545</v>
      </c>
      <c r="I188" s="110">
        <v>45139</v>
      </c>
    </row>
    <row r="189" spans="1:9">
      <c r="A189" s="66" t="s">
        <v>2651</v>
      </c>
      <c r="B189" s="103">
        <v>45208</v>
      </c>
      <c r="C189" s="13" t="s">
        <v>1367</v>
      </c>
      <c r="D189" s="113" t="s">
        <v>78</v>
      </c>
      <c r="E189" s="101">
        <f>2.126+14.883</f>
        <v>17.009</v>
      </c>
      <c r="F189" s="102" t="s">
        <v>2652</v>
      </c>
      <c r="G189" s="4" t="s">
        <v>2653</v>
      </c>
      <c r="H189" s="4" t="s">
        <v>2545</v>
      </c>
      <c r="I189" s="110">
        <v>45139</v>
      </c>
    </row>
    <row r="190" spans="1:9">
      <c r="A190" s="66" t="s">
        <v>2654</v>
      </c>
      <c r="B190" s="103">
        <v>45208</v>
      </c>
      <c r="C190" s="13" t="s">
        <v>1791</v>
      </c>
      <c r="D190" s="113" t="s">
        <v>78</v>
      </c>
      <c r="E190" s="101">
        <v>6.2380000000000004</v>
      </c>
      <c r="F190" s="102" t="s">
        <v>2655</v>
      </c>
      <c r="G190" s="4" t="s">
        <v>2656</v>
      </c>
      <c r="H190" s="4" t="s">
        <v>2545</v>
      </c>
      <c r="I190" s="110">
        <v>45139</v>
      </c>
    </row>
    <row r="191" spans="1:9">
      <c r="A191" s="66" t="s">
        <v>2654</v>
      </c>
      <c r="B191" s="103">
        <v>45208</v>
      </c>
      <c r="C191" s="13" t="s">
        <v>1705</v>
      </c>
      <c r="D191" s="113" t="s">
        <v>78</v>
      </c>
      <c r="E191" s="101">
        <v>10.369</v>
      </c>
      <c r="F191" s="102" t="s">
        <v>2655</v>
      </c>
      <c r="G191" s="4" t="s">
        <v>2656</v>
      </c>
      <c r="H191" s="4" t="s">
        <v>2545</v>
      </c>
      <c r="I191" s="110">
        <v>45139</v>
      </c>
    </row>
    <row r="192" spans="1:9">
      <c r="A192" s="66" t="s">
        <v>2654</v>
      </c>
      <c r="B192" s="103">
        <v>45208</v>
      </c>
      <c r="C192" s="13" t="s">
        <v>1801</v>
      </c>
      <c r="D192" s="113" t="s">
        <v>78</v>
      </c>
      <c r="E192" s="101">
        <f>6.156+0.466</f>
        <v>6.6219999999999999</v>
      </c>
      <c r="F192" s="102" t="s">
        <v>2655</v>
      </c>
      <c r="G192" s="4" t="s">
        <v>2656</v>
      </c>
      <c r="H192" s="4" t="s">
        <v>2545</v>
      </c>
      <c r="I192" s="110">
        <v>45139</v>
      </c>
    </row>
    <row r="193" spans="1:9">
      <c r="A193" s="66" t="s">
        <v>2654</v>
      </c>
      <c r="B193" s="103">
        <v>45208</v>
      </c>
      <c r="C193" s="13" t="s">
        <v>1245</v>
      </c>
      <c r="D193" s="113" t="s">
        <v>78</v>
      </c>
      <c r="E193" s="101">
        <v>2.1659999999999999</v>
      </c>
      <c r="F193" s="102" t="s">
        <v>2655</v>
      </c>
      <c r="G193" s="4" t="s">
        <v>2656</v>
      </c>
      <c r="H193" s="4" t="s">
        <v>2545</v>
      </c>
      <c r="I193" s="110">
        <v>45139</v>
      </c>
    </row>
    <row r="194" spans="1:9">
      <c r="A194" s="66" t="s">
        <v>2654</v>
      </c>
      <c r="B194" s="103">
        <v>45208</v>
      </c>
      <c r="C194" s="13" t="s">
        <v>1227</v>
      </c>
      <c r="D194" s="113" t="s">
        <v>78</v>
      </c>
      <c r="E194" s="101">
        <v>2.613</v>
      </c>
      <c r="F194" s="102" t="s">
        <v>2655</v>
      </c>
      <c r="G194" s="4" t="s">
        <v>2656</v>
      </c>
      <c r="H194" s="4" t="s">
        <v>2545</v>
      </c>
      <c r="I194" s="110">
        <v>45139</v>
      </c>
    </row>
    <row r="195" spans="1:9">
      <c r="A195" s="66" t="s">
        <v>2654</v>
      </c>
      <c r="B195" s="103">
        <v>45208</v>
      </c>
      <c r="C195" s="13" t="s">
        <v>1640</v>
      </c>
      <c r="D195" s="113" t="s">
        <v>78</v>
      </c>
      <c r="E195" s="101">
        <v>1.2310000000000001</v>
      </c>
      <c r="F195" s="102" t="s">
        <v>2655</v>
      </c>
      <c r="G195" s="4" t="s">
        <v>2656</v>
      </c>
      <c r="H195" s="4" t="s">
        <v>2545</v>
      </c>
      <c r="I195" s="110">
        <v>45139</v>
      </c>
    </row>
    <row r="196" spans="1:9">
      <c r="A196" s="66" t="s">
        <v>2654</v>
      </c>
      <c r="B196" s="103">
        <v>45208</v>
      </c>
      <c r="C196" s="13" t="s">
        <v>1695</v>
      </c>
      <c r="D196" s="113" t="s">
        <v>78</v>
      </c>
      <c r="E196" s="101">
        <v>0.36399999999999999</v>
      </c>
      <c r="F196" s="102" t="s">
        <v>2655</v>
      </c>
      <c r="G196" s="4" t="s">
        <v>2656</v>
      </c>
      <c r="H196" s="4" t="s">
        <v>2545</v>
      </c>
      <c r="I196" s="110">
        <v>45139</v>
      </c>
    </row>
    <row r="197" spans="1:9">
      <c r="A197" s="66" t="s">
        <v>2654</v>
      </c>
      <c r="B197" s="103">
        <v>45208</v>
      </c>
      <c r="C197" s="13" t="s">
        <v>1226</v>
      </c>
      <c r="D197" s="113" t="s">
        <v>78</v>
      </c>
      <c r="E197" s="101">
        <v>0.77200000000000002</v>
      </c>
      <c r="F197" s="102" t="s">
        <v>2655</v>
      </c>
      <c r="G197" s="4" t="s">
        <v>2656</v>
      </c>
      <c r="H197" s="4" t="s">
        <v>2545</v>
      </c>
      <c r="I197" s="110">
        <v>45139</v>
      </c>
    </row>
    <row r="198" spans="1:9">
      <c r="A198" s="66" t="s">
        <v>2654</v>
      </c>
      <c r="B198" s="103">
        <v>45208</v>
      </c>
      <c r="C198" s="13" t="s">
        <v>1753</v>
      </c>
      <c r="D198" s="113" t="s">
        <v>78</v>
      </c>
      <c r="E198" s="101">
        <v>2.133</v>
      </c>
      <c r="F198" s="102" t="s">
        <v>2655</v>
      </c>
      <c r="G198" s="4" t="s">
        <v>2656</v>
      </c>
      <c r="H198" s="4" t="s">
        <v>2545</v>
      </c>
      <c r="I198" s="110">
        <v>45139</v>
      </c>
    </row>
    <row r="199" spans="1:9">
      <c r="A199" s="66" t="s">
        <v>2654</v>
      </c>
      <c r="B199" s="103">
        <v>45208</v>
      </c>
      <c r="C199" s="13" t="s">
        <v>1761</v>
      </c>
      <c r="D199" s="113" t="s">
        <v>78</v>
      </c>
      <c r="E199" s="101">
        <v>0.39800000000000002</v>
      </c>
      <c r="F199" s="102" t="s">
        <v>2655</v>
      </c>
      <c r="G199" s="4" t="s">
        <v>2656</v>
      </c>
      <c r="H199" s="4" t="s">
        <v>2545</v>
      </c>
      <c r="I199" s="110">
        <v>45139</v>
      </c>
    </row>
    <row r="200" spans="1:9">
      <c r="A200" s="15"/>
      <c r="B200" s="61"/>
      <c r="C200" s="13"/>
      <c r="D200" s="4"/>
      <c r="E200" s="41">
        <f>SUM(E184:E199)</f>
        <v>72.510999999999996</v>
      </c>
      <c r="F200" s="102"/>
      <c r="G200" s="4"/>
      <c r="H200" s="4"/>
      <c r="I200" s="109"/>
    </row>
    <row r="201" spans="1:9">
      <c r="A201" s="66" t="s">
        <v>2657</v>
      </c>
      <c r="B201" s="103">
        <v>45210</v>
      </c>
      <c r="C201" s="13" t="s">
        <v>2273</v>
      </c>
      <c r="D201" s="113" t="s">
        <v>78</v>
      </c>
      <c r="E201" s="101">
        <v>12.432</v>
      </c>
      <c r="F201" s="102" t="s">
        <v>116</v>
      </c>
      <c r="G201" s="4" t="s">
        <v>2658</v>
      </c>
      <c r="H201" s="4" t="s">
        <v>2441</v>
      </c>
      <c r="I201" s="110">
        <v>45167</v>
      </c>
    </row>
    <row r="202" spans="1:9">
      <c r="A202" s="66" t="s">
        <v>2657</v>
      </c>
      <c r="B202" s="103">
        <v>45210</v>
      </c>
      <c r="C202" s="13" t="s">
        <v>1350</v>
      </c>
      <c r="D202" s="113" t="s">
        <v>78</v>
      </c>
      <c r="E202" s="101">
        <v>3.3530000000000002</v>
      </c>
      <c r="F202" s="102" t="s">
        <v>116</v>
      </c>
      <c r="G202" s="4" t="s">
        <v>2658</v>
      </c>
      <c r="H202" s="4" t="s">
        <v>2441</v>
      </c>
      <c r="I202" s="110">
        <v>45167</v>
      </c>
    </row>
    <row r="203" spans="1:9">
      <c r="A203" s="66" t="s">
        <v>2659</v>
      </c>
      <c r="B203" s="103">
        <v>45210</v>
      </c>
      <c r="C203" s="13" t="s">
        <v>2273</v>
      </c>
      <c r="D203" s="113" t="s">
        <v>78</v>
      </c>
      <c r="E203" s="101">
        <f>3.825+13.282</f>
        <v>17.106999999999999</v>
      </c>
      <c r="F203" s="102" t="s">
        <v>116</v>
      </c>
      <c r="G203" s="4" t="s">
        <v>2660</v>
      </c>
      <c r="H203" s="4" t="s">
        <v>2563</v>
      </c>
      <c r="I203" s="110">
        <v>45188</v>
      </c>
    </row>
    <row r="204" spans="1:9">
      <c r="A204" s="66" t="s">
        <v>2671</v>
      </c>
      <c r="B204" s="103">
        <v>45210</v>
      </c>
      <c r="C204" s="13" t="s">
        <v>1459</v>
      </c>
      <c r="D204" s="113" t="s">
        <v>78</v>
      </c>
      <c r="E204" s="101">
        <v>5.8470000000000004</v>
      </c>
      <c r="F204" s="102" t="s">
        <v>83</v>
      </c>
      <c r="G204" s="4" t="s">
        <v>2672</v>
      </c>
      <c r="H204" s="4" t="s">
        <v>2441</v>
      </c>
      <c r="I204" s="110">
        <v>45167</v>
      </c>
    </row>
    <row r="205" spans="1:9">
      <c r="A205" s="66" t="s">
        <v>2671</v>
      </c>
      <c r="B205" s="103">
        <v>45210</v>
      </c>
      <c r="C205" s="13" t="s">
        <v>1350</v>
      </c>
      <c r="D205" s="113" t="s">
        <v>78</v>
      </c>
      <c r="E205" s="101">
        <v>15.647</v>
      </c>
      <c r="F205" s="102" t="s">
        <v>83</v>
      </c>
      <c r="G205" s="4" t="s">
        <v>2672</v>
      </c>
      <c r="H205" s="4" t="s">
        <v>2441</v>
      </c>
      <c r="I205" s="110">
        <v>45167</v>
      </c>
    </row>
    <row r="206" spans="1:9">
      <c r="A206" s="66" t="s">
        <v>2671</v>
      </c>
      <c r="B206" s="103">
        <v>45210</v>
      </c>
      <c r="C206" s="13" t="s">
        <v>2273</v>
      </c>
      <c r="D206" s="113" t="s">
        <v>78</v>
      </c>
      <c r="E206" s="101">
        <f>0.846+1.571</f>
        <v>2.4169999999999998</v>
      </c>
      <c r="F206" s="102" t="s">
        <v>83</v>
      </c>
      <c r="G206" s="4" t="s">
        <v>2672</v>
      </c>
      <c r="H206" s="4" t="s">
        <v>2441</v>
      </c>
      <c r="I206" s="110">
        <v>45167</v>
      </c>
    </row>
    <row r="207" spans="1:9">
      <c r="A207" s="66" t="s">
        <v>2673</v>
      </c>
      <c r="B207" s="103">
        <v>45210</v>
      </c>
      <c r="C207" s="13" t="s">
        <v>1459</v>
      </c>
      <c r="D207" s="113" t="s">
        <v>78</v>
      </c>
      <c r="E207" s="101">
        <v>2.9119999999999999</v>
      </c>
      <c r="F207" s="102" t="s">
        <v>83</v>
      </c>
      <c r="G207" s="4" t="s">
        <v>2674</v>
      </c>
      <c r="H207" s="4" t="s">
        <v>2563</v>
      </c>
      <c r="I207" s="110">
        <v>45188</v>
      </c>
    </row>
    <row r="208" spans="1:9">
      <c r="A208" s="66" t="s">
        <v>2673</v>
      </c>
      <c r="B208" s="103">
        <v>45210</v>
      </c>
      <c r="C208" s="13" t="s">
        <v>2273</v>
      </c>
      <c r="D208" s="113" t="s">
        <v>78</v>
      </c>
      <c r="E208" s="101">
        <v>5.242</v>
      </c>
      <c r="F208" s="102" t="s">
        <v>83</v>
      </c>
      <c r="G208" s="4" t="s">
        <v>2674</v>
      </c>
      <c r="H208" s="4" t="s">
        <v>2563</v>
      </c>
      <c r="I208" s="110">
        <v>45188</v>
      </c>
    </row>
    <row r="209" spans="1:9">
      <c r="A209" s="66" t="s">
        <v>2679</v>
      </c>
      <c r="B209" s="103">
        <v>45210</v>
      </c>
      <c r="C209" s="13" t="s">
        <v>2273</v>
      </c>
      <c r="D209" s="113" t="s">
        <v>78</v>
      </c>
      <c r="E209" s="101">
        <v>9.4220000000000006</v>
      </c>
      <c r="F209" s="102" t="s">
        <v>267</v>
      </c>
      <c r="G209" s="4" t="s">
        <v>2680</v>
      </c>
      <c r="H209" s="4" t="s">
        <v>2441</v>
      </c>
      <c r="I209" s="110">
        <v>45167</v>
      </c>
    </row>
    <row r="210" spans="1:9">
      <c r="A210" s="66" t="s">
        <v>2679</v>
      </c>
      <c r="B210" s="103">
        <v>45210</v>
      </c>
      <c r="C210" s="13" t="s">
        <v>1459</v>
      </c>
      <c r="D210" s="113" t="s">
        <v>78</v>
      </c>
      <c r="E210" s="101">
        <v>5.3659999999999997</v>
      </c>
      <c r="F210" s="102" t="s">
        <v>267</v>
      </c>
      <c r="G210" s="4" t="s">
        <v>2680</v>
      </c>
      <c r="H210" s="4" t="s">
        <v>2441</v>
      </c>
      <c r="I210" s="110">
        <v>45167</v>
      </c>
    </row>
    <row r="211" spans="1:9">
      <c r="A211" s="66" t="s">
        <v>2679</v>
      </c>
      <c r="B211" s="103">
        <v>45210</v>
      </c>
      <c r="C211" s="13" t="s">
        <v>1350</v>
      </c>
      <c r="D211" s="113" t="s">
        <v>78</v>
      </c>
      <c r="E211" s="101">
        <f>4.798+0.177</f>
        <v>4.9749999999999996</v>
      </c>
      <c r="F211" s="102" t="s">
        <v>267</v>
      </c>
      <c r="G211" s="4" t="s">
        <v>2680</v>
      </c>
      <c r="H211" s="4" t="s">
        <v>2441</v>
      </c>
      <c r="I211" s="110">
        <v>45167</v>
      </c>
    </row>
    <row r="212" spans="1:9">
      <c r="A212" s="66" t="s">
        <v>2681</v>
      </c>
      <c r="B212" s="103">
        <v>45210</v>
      </c>
      <c r="C212" s="13" t="s">
        <v>2273</v>
      </c>
      <c r="D212" s="113" t="s">
        <v>78</v>
      </c>
      <c r="E212" s="101">
        <v>7.3360000000000003</v>
      </c>
      <c r="F212" s="102" t="s">
        <v>267</v>
      </c>
      <c r="G212" s="4" t="s">
        <v>2682</v>
      </c>
      <c r="H212" s="4" t="s">
        <v>2563</v>
      </c>
      <c r="I212" s="110">
        <v>45188</v>
      </c>
    </row>
    <row r="213" spans="1:9">
      <c r="A213" s="66" t="s">
        <v>2681</v>
      </c>
      <c r="B213" s="103">
        <v>45210</v>
      </c>
      <c r="C213" s="13" t="s">
        <v>1459</v>
      </c>
      <c r="D213" s="113" t="s">
        <v>78</v>
      </c>
      <c r="E213" s="101">
        <f>2.828+2.279</f>
        <v>5.1069999999999993</v>
      </c>
      <c r="F213" s="102" t="s">
        <v>267</v>
      </c>
      <c r="G213" s="4" t="s">
        <v>2682</v>
      </c>
      <c r="H213" s="4" t="s">
        <v>2563</v>
      </c>
      <c r="I213" s="110">
        <v>45188</v>
      </c>
    </row>
    <row r="214" spans="1:9">
      <c r="A214" s="117"/>
      <c r="B214" s="118"/>
      <c r="C214" s="119"/>
      <c r="D214" s="93"/>
      <c r="E214" s="124">
        <f>SUM(E201:E213)</f>
        <v>97.162999999999982</v>
      </c>
      <c r="F214" s="121"/>
      <c r="G214" s="93"/>
      <c r="H214" s="93"/>
      <c r="I214" s="122"/>
    </row>
    <row r="215" spans="1:9">
      <c r="A215" s="66" t="s">
        <v>2692</v>
      </c>
      <c r="B215" s="103">
        <v>45211</v>
      </c>
      <c r="C215" s="13" t="s">
        <v>1341</v>
      </c>
      <c r="D215" s="113" t="s">
        <v>78</v>
      </c>
      <c r="E215" s="101">
        <v>1.861</v>
      </c>
      <c r="F215" s="102" t="s">
        <v>86</v>
      </c>
      <c r="G215" s="4" t="s">
        <v>2695</v>
      </c>
      <c r="H215" s="4" t="s">
        <v>2484</v>
      </c>
      <c r="I215" s="110">
        <v>45150</v>
      </c>
    </row>
    <row r="216" spans="1:9">
      <c r="A216" s="66" t="s">
        <v>2692</v>
      </c>
      <c r="B216" s="103">
        <v>45211</v>
      </c>
      <c r="C216" s="13" t="s">
        <v>1640</v>
      </c>
      <c r="D216" s="113" t="s">
        <v>78</v>
      </c>
      <c r="E216" s="101">
        <v>2.5350000000000001</v>
      </c>
      <c r="F216" s="102" t="s">
        <v>86</v>
      </c>
      <c r="G216" s="4" t="s">
        <v>2695</v>
      </c>
      <c r="H216" s="4" t="s">
        <v>2484</v>
      </c>
      <c r="I216" s="110">
        <v>45150</v>
      </c>
    </row>
    <row r="217" spans="1:9">
      <c r="A217" s="66" t="s">
        <v>2692</v>
      </c>
      <c r="B217" s="103">
        <v>45211</v>
      </c>
      <c r="C217" s="13" t="s">
        <v>1342</v>
      </c>
      <c r="D217" s="113" t="s">
        <v>78</v>
      </c>
      <c r="E217" s="101">
        <v>1.0269999999999999</v>
      </c>
      <c r="F217" s="102" t="s">
        <v>86</v>
      </c>
      <c r="G217" s="4" t="s">
        <v>2695</v>
      </c>
      <c r="H217" s="4" t="s">
        <v>2484</v>
      </c>
      <c r="I217" s="110">
        <v>45150</v>
      </c>
    </row>
    <row r="218" spans="1:9">
      <c r="A218" s="66" t="s">
        <v>2692</v>
      </c>
      <c r="B218" s="103">
        <v>45211</v>
      </c>
      <c r="C218" s="13" t="s">
        <v>1223</v>
      </c>
      <c r="D218" s="113" t="s">
        <v>78</v>
      </c>
      <c r="E218" s="101">
        <v>0.13800000000000001</v>
      </c>
      <c r="F218" s="102" t="s">
        <v>86</v>
      </c>
      <c r="G218" s="4" t="s">
        <v>2695</v>
      </c>
      <c r="H218" s="4" t="s">
        <v>2484</v>
      </c>
      <c r="I218" s="110">
        <v>45150</v>
      </c>
    </row>
    <row r="219" spans="1:9">
      <c r="A219" s="66" t="s">
        <v>2692</v>
      </c>
      <c r="B219" s="103">
        <v>45211</v>
      </c>
      <c r="C219" s="13" t="s">
        <v>1227</v>
      </c>
      <c r="D219" s="113" t="s">
        <v>78</v>
      </c>
      <c r="E219" s="101">
        <v>4.1539999999999999</v>
      </c>
      <c r="F219" s="102" t="s">
        <v>86</v>
      </c>
      <c r="G219" s="4" t="s">
        <v>2695</v>
      </c>
      <c r="H219" s="4" t="s">
        <v>2484</v>
      </c>
      <c r="I219" s="110">
        <v>45150</v>
      </c>
    </row>
    <row r="220" spans="1:9">
      <c r="A220" s="66" t="s">
        <v>2692</v>
      </c>
      <c r="B220" s="103">
        <v>45211</v>
      </c>
      <c r="C220" s="13" t="s">
        <v>1459</v>
      </c>
      <c r="D220" s="113" t="s">
        <v>78</v>
      </c>
      <c r="E220" s="101">
        <v>0.46700000000000003</v>
      </c>
      <c r="F220" s="102" t="s">
        <v>86</v>
      </c>
      <c r="G220" s="4" t="s">
        <v>2695</v>
      </c>
      <c r="H220" s="4" t="s">
        <v>2484</v>
      </c>
      <c r="I220" s="110">
        <v>45150</v>
      </c>
    </row>
    <row r="221" spans="1:9">
      <c r="A221" s="66" t="s">
        <v>2696</v>
      </c>
      <c r="B221" s="103">
        <v>45211</v>
      </c>
      <c r="C221" s="13" t="s">
        <v>1251</v>
      </c>
      <c r="D221" s="113" t="s">
        <v>78</v>
      </c>
      <c r="E221" s="101">
        <v>0.185</v>
      </c>
      <c r="F221" s="102" t="s">
        <v>86</v>
      </c>
      <c r="G221" s="4" t="s">
        <v>2695</v>
      </c>
      <c r="H221" s="4" t="s">
        <v>2441</v>
      </c>
      <c r="I221" s="110">
        <v>45167</v>
      </c>
    </row>
    <row r="222" spans="1:9">
      <c r="A222" s="66" t="s">
        <v>2696</v>
      </c>
      <c r="B222" s="103">
        <v>45211</v>
      </c>
      <c r="C222" s="13" t="s">
        <v>1638</v>
      </c>
      <c r="D222" s="113" t="s">
        <v>78</v>
      </c>
      <c r="E222" s="101">
        <v>0.55100000000000005</v>
      </c>
      <c r="F222" s="102" t="s">
        <v>86</v>
      </c>
      <c r="G222" s="4" t="s">
        <v>2695</v>
      </c>
      <c r="H222" s="4" t="s">
        <v>2441</v>
      </c>
      <c r="I222" s="110">
        <v>45167</v>
      </c>
    </row>
    <row r="223" spans="1:9">
      <c r="A223" s="66" t="s">
        <v>2696</v>
      </c>
      <c r="B223" s="103">
        <v>45211</v>
      </c>
      <c r="C223" s="13" t="s">
        <v>2273</v>
      </c>
      <c r="D223" s="113" t="s">
        <v>78</v>
      </c>
      <c r="E223" s="101">
        <v>0.84699999999999998</v>
      </c>
      <c r="F223" s="102" t="s">
        <v>86</v>
      </c>
      <c r="G223" s="4" t="s">
        <v>2695</v>
      </c>
      <c r="H223" s="4" t="s">
        <v>2441</v>
      </c>
      <c r="I223" s="110">
        <v>45167</v>
      </c>
    </row>
    <row r="224" spans="1:9">
      <c r="A224" s="66" t="s">
        <v>2697</v>
      </c>
      <c r="B224" s="103">
        <v>45211</v>
      </c>
      <c r="C224" s="13" t="s">
        <v>1251</v>
      </c>
      <c r="D224" s="113" t="s">
        <v>78</v>
      </c>
      <c r="E224" s="101">
        <v>0.151</v>
      </c>
      <c r="F224" s="102" t="s">
        <v>86</v>
      </c>
      <c r="G224" s="4" t="s">
        <v>2695</v>
      </c>
      <c r="H224" s="4" t="s">
        <v>2563</v>
      </c>
      <c r="I224" s="110">
        <v>45188</v>
      </c>
    </row>
    <row r="225" spans="1:9">
      <c r="A225" s="66" t="s">
        <v>2697</v>
      </c>
      <c r="B225" s="103">
        <v>45211</v>
      </c>
      <c r="C225" s="13" t="s">
        <v>2273</v>
      </c>
      <c r="D225" s="113" t="s">
        <v>78</v>
      </c>
      <c r="E225" s="101">
        <v>2.1720000000000002</v>
      </c>
      <c r="F225" s="102" t="s">
        <v>86</v>
      </c>
      <c r="G225" s="4" t="s">
        <v>2695</v>
      </c>
      <c r="H225" s="4" t="s">
        <v>2563</v>
      </c>
      <c r="I225" s="110">
        <v>45188</v>
      </c>
    </row>
    <row r="226" spans="1:9">
      <c r="A226" s="66" t="s">
        <v>2698</v>
      </c>
      <c r="B226" s="103">
        <v>45211</v>
      </c>
      <c r="C226" s="13" t="s">
        <v>1317</v>
      </c>
      <c r="D226" s="113" t="s">
        <v>78</v>
      </c>
      <c r="E226" s="101">
        <v>2.0339999999999998</v>
      </c>
      <c r="F226" s="102" t="s">
        <v>86</v>
      </c>
      <c r="G226" s="4" t="s">
        <v>2695</v>
      </c>
      <c r="H226" s="4" t="s">
        <v>2570</v>
      </c>
      <c r="I226" s="110">
        <v>45197</v>
      </c>
    </row>
    <row r="227" spans="1:9">
      <c r="A227" s="66" t="s">
        <v>2699</v>
      </c>
      <c r="B227" s="103">
        <v>45211</v>
      </c>
      <c r="C227" s="13" t="s">
        <v>1251</v>
      </c>
      <c r="D227" s="113" t="s">
        <v>78</v>
      </c>
      <c r="E227" s="101">
        <v>1.903</v>
      </c>
      <c r="F227" s="102" t="s">
        <v>86</v>
      </c>
      <c r="G227" s="4" t="s">
        <v>2695</v>
      </c>
      <c r="H227" s="4" t="s">
        <v>2700</v>
      </c>
      <c r="I227" s="110">
        <v>45197</v>
      </c>
    </row>
    <row r="228" spans="1:9">
      <c r="A228" s="66" t="s">
        <v>2701</v>
      </c>
      <c r="B228" s="103">
        <v>45211</v>
      </c>
      <c r="C228" s="13" t="s">
        <v>1507</v>
      </c>
      <c r="D228" s="113" t="s">
        <v>78</v>
      </c>
      <c r="E228" s="101">
        <v>6.3</v>
      </c>
      <c r="F228" s="102" t="s">
        <v>86</v>
      </c>
      <c r="G228" s="4" t="s">
        <v>2695</v>
      </c>
      <c r="H228" s="4" t="s">
        <v>2702</v>
      </c>
      <c r="I228" s="110">
        <v>45188</v>
      </c>
    </row>
    <row r="229" spans="1:9">
      <c r="A229" s="15"/>
      <c r="B229" s="61"/>
      <c r="C229" s="11"/>
      <c r="D229" s="1"/>
      <c r="E229" s="41">
        <f>SUM(E215:E228)</f>
        <v>24.324999999999999</v>
      </c>
      <c r="F229" s="102"/>
      <c r="G229" s="1"/>
      <c r="H229" s="1"/>
      <c r="I229" s="109"/>
    </row>
    <row r="230" spans="1:9">
      <c r="A230" s="66" t="s">
        <v>2703</v>
      </c>
      <c r="B230" s="103">
        <v>45213</v>
      </c>
      <c r="C230" s="13" t="s">
        <v>1387</v>
      </c>
      <c r="D230" s="113" t="s">
        <v>2706</v>
      </c>
      <c r="E230" s="101">
        <f>16.581+5.483+1.713+5.704+2.434</f>
        <v>31.915000000000003</v>
      </c>
      <c r="F230" s="102" t="s">
        <v>2667</v>
      </c>
      <c r="G230" s="4" t="s">
        <v>2704</v>
      </c>
      <c r="H230" s="4" t="s">
        <v>2705</v>
      </c>
      <c r="I230" s="110">
        <v>45211</v>
      </c>
    </row>
    <row r="231" spans="1:9">
      <c r="A231" s="66" t="s">
        <v>2707</v>
      </c>
      <c r="B231" s="103">
        <v>45213</v>
      </c>
      <c r="C231" s="13" t="s">
        <v>1387</v>
      </c>
      <c r="D231" s="113" t="s">
        <v>2706</v>
      </c>
      <c r="E231" s="101">
        <v>18.303999999999998</v>
      </c>
      <c r="F231" s="102" t="s">
        <v>2708</v>
      </c>
      <c r="G231" s="4" t="s">
        <v>2709</v>
      </c>
      <c r="H231" s="4" t="s">
        <v>2705</v>
      </c>
      <c r="I231" s="110">
        <v>45211</v>
      </c>
    </row>
    <row r="232" spans="1:9">
      <c r="A232" s="66" t="s">
        <v>2707</v>
      </c>
      <c r="B232" s="103">
        <v>45213</v>
      </c>
      <c r="C232" s="13" t="s">
        <v>1355</v>
      </c>
      <c r="D232" s="113" t="s">
        <v>2706</v>
      </c>
      <c r="E232" s="101">
        <v>13.824999999999999</v>
      </c>
      <c r="F232" s="102" t="s">
        <v>2708</v>
      </c>
      <c r="G232" s="4" t="s">
        <v>2709</v>
      </c>
      <c r="H232" s="4" t="s">
        <v>2705</v>
      </c>
      <c r="I232" s="110">
        <v>45211</v>
      </c>
    </row>
    <row r="233" spans="1:9">
      <c r="A233" s="15"/>
      <c r="B233" s="61"/>
      <c r="C233" s="13"/>
      <c r="D233" s="4"/>
      <c r="E233" s="41">
        <f>SUM(E230:E232)</f>
        <v>64.043999999999997</v>
      </c>
      <c r="F233" s="102"/>
      <c r="G233" s="4"/>
      <c r="H233" s="4"/>
      <c r="I233" s="109"/>
    </row>
    <row r="234" spans="1:9">
      <c r="A234" s="66" t="s">
        <v>2710</v>
      </c>
      <c r="B234" s="103">
        <v>45214</v>
      </c>
      <c r="C234" s="13" t="s">
        <v>1638</v>
      </c>
      <c r="D234" s="113" t="s">
        <v>78</v>
      </c>
      <c r="E234" s="101">
        <v>0.79100000000000004</v>
      </c>
      <c r="F234" s="24" t="s">
        <v>116</v>
      </c>
      <c r="G234" s="1" t="s">
        <v>2711</v>
      </c>
      <c r="H234" s="4" t="s">
        <v>2441</v>
      </c>
      <c r="I234" s="110">
        <v>45167</v>
      </c>
    </row>
    <row r="235" spans="1:9">
      <c r="A235" s="15"/>
      <c r="B235" s="61"/>
      <c r="C235" s="6"/>
      <c r="D235" s="1"/>
      <c r="E235" s="41">
        <f>SUM(E234:E234)</f>
        <v>0.79100000000000004</v>
      </c>
      <c r="F235" s="102"/>
      <c r="G235" s="1"/>
      <c r="H235" s="1"/>
      <c r="I235" s="109"/>
    </row>
    <row r="236" spans="1:9">
      <c r="A236" s="66" t="s">
        <v>2723</v>
      </c>
      <c r="B236" s="103">
        <v>45215</v>
      </c>
      <c r="C236" s="13" t="s">
        <v>1355</v>
      </c>
      <c r="D236" s="113" t="s">
        <v>2706</v>
      </c>
      <c r="E236" s="101">
        <v>32.323999999999998</v>
      </c>
      <c r="F236" s="102" t="s">
        <v>2724</v>
      </c>
      <c r="G236" s="14" t="s">
        <v>2725</v>
      </c>
      <c r="H236" s="4" t="s">
        <v>2705</v>
      </c>
      <c r="I236" s="110">
        <v>45211</v>
      </c>
    </row>
    <row r="237" spans="1:9">
      <c r="A237" s="66" t="s">
        <v>2726</v>
      </c>
      <c r="B237" s="103">
        <v>45215</v>
      </c>
      <c r="C237" s="13" t="s">
        <v>1355</v>
      </c>
      <c r="D237" s="113" t="s">
        <v>2706</v>
      </c>
      <c r="E237" s="101">
        <v>32.104999999999997</v>
      </c>
      <c r="F237" s="102" t="s">
        <v>1235</v>
      </c>
      <c r="G237" s="14" t="s">
        <v>2727</v>
      </c>
      <c r="H237" s="4" t="s">
        <v>2705</v>
      </c>
      <c r="I237" s="110">
        <v>45211</v>
      </c>
    </row>
    <row r="238" spans="1:9">
      <c r="A238" s="66" t="s">
        <v>2728</v>
      </c>
      <c r="B238" s="103">
        <v>45215</v>
      </c>
      <c r="C238" s="13" t="s">
        <v>1355</v>
      </c>
      <c r="D238" s="113" t="s">
        <v>2706</v>
      </c>
      <c r="E238" s="101">
        <v>32.509</v>
      </c>
      <c r="F238" s="102" t="s">
        <v>2729</v>
      </c>
      <c r="G238" s="4" t="s">
        <v>2730</v>
      </c>
      <c r="H238" s="4" t="s">
        <v>2705</v>
      </c>
      <c r="I238" s="110">
        <v>45211</v>
      </c>
    </row>
    <row r="239" spans="1:9">
      <c r="A239" s="15"/>
      <c r="B239" s="61"/>
      <c r="C239" s="13"/>
      <c r="D239" s="4"/>
      <c r="E239" s="41">
        <f>SUM(E236:E238)</f>
        <v>96.938000000000002</v>
      </c>
      <c r="F239" s="102"/>
      <c r="G239" s="4"/>
      <c r="H239" s="4"/>
      <c r="I239" s="109"/>
    </row>
    <row r="240" spans="1:9">
      <c r="A240" s="66" t="s">
        <v>2731</v>
      </c>
      <c r="B240" s="103">
        <v>45216</v>
      </c>
      <c r="C240" s="13" t="s">
        <v>1355</v>
      </c>
      <c r="D240" s="113" t="s">
        <v>2706</v>
      </c>
      <c r="E240" s="101">
        <v>32.572000000000003</v>
      </c>
      <c r="F240" s="102" t="s">
        <v>2732</v>
      </c>
      <c r="G240" s="4" t="s">
        <v>2733</v>
      </c>
      <c r="H240" s="4" t="s">
        <v>2705</v>
      </c>
      <c r="I240" s="110">
        <v>45211</v>
      </c>
    </row>
    <row r="241" spans="1:9">
      <c r="A241" s="66" t="s">
        <v>2734</v>
      </c>
      <c r="B241" s="103">
        <v>45216</v>
      </c>
      <c r="C241" s="13" t="s">
        <v>1355</v>
      </c>
      <c r="D241" s="113" t="s">
        <v>2706</v>
      </c>
      <c r="E241" s="101">
        <v>7.4829999999999997</v>
      </c>
      <c r="F241" s="102" t="s">
        <v>2253</v>
      </c>
      <c r="G241" s="4" t="s">
        <v>2735</v>
      </c>
      <c r="H241" s="4" t="s">
        <v>2705</v>
      </c>
      <c r="I241" s="110">
        <v>45211</v>
      </c>
    </row>
    <row r="242" spans="1:9">
      <c r="A242" s="66" t="s">
        <v>2734</v>
      </c>
      <c r="B242" s="103">
        <v>45216</v>
      </c>
      <c r="C242" s="13" t="s">
        <v>2490</v>
      </c>
      <c r="D242" s="113" t="s">
        <v>2706</v>
      </c>
      <c r="E242" s="101">
        <v>25.37</v>
      </c>
      <c r="F242" s="102" t="s">
        <v>2253</v>
      </c>
      <c r="G242" s="4" t="s">
        <v>2735</v>
      </c>
      <c r="H242" s="4" t="s">
        <v>2705</v>
      </c>
      <c r="I242" s="110">
        <v>45211</v>
      </c>
    </row>
    <row r="243" spans="1:9">
      <c r="A243" s="66" t="s">
        <v>2737</v>
      </c>
      <c r="B243" s="103">
        <v>45216</v>
      </c>
      <c r="C243" s="13" t="s">
        <v>2490</v>
      </c>
      <c r="D243" s="113" t="s">
        <v>2706</v>
      </c>
      <c r="E243" s="101">
        <v>28.123000000000001</v>
      </c>
      <c r="F243" s="102" t="s">
        <v>926</v>
      </c>
      <c r="G243" s="4" t="s">
        <v>2738</v>
      </c>
      <c r="H243" s="4" t="s">
        <v>2705</v>
      </c>
      <c r="I243" s="110">
        <v>45211</v>
      </c>
    </row>
    <row r="244" spans="1:9">
      <c r="A244" s="66" t="s">
        <v>2737</v>
      </c>
      <c r="B244" s="103">
        <v>45216</v>
      </c>
      <c r="C244" s="13" t="s">
        <v>2736</v>
      </c>
      <c r="D244" s="113" t="s">
        <v>2706</v>
      </c>
      <c r="E244" s="101">
        <v>3.3809999999999998</v>
      </c>
      <c r="F244" s="102" t="s">
        <v>926</v>
      </c>
      <c r="G244" s="4" t="s">
        <v>2738</v>
      </c>
      <c r="H244" s="4" t="s">
        <v>2705</v>
      </c>
      <c r="I244" s="110">
        <v>45211</v>
      </c>
    </row>
    <row r="245" spans="1:9">
      <c r="A245" s="66" t="s">
        <v>2742</v>
      </c>
      <c r="B245" s="103">
        <v>45216</v>
      </c>
      <c r="C245" s="13" t="s">
        <v>2739</v>
      </c>
      <c r="D245" s="13" t="s">
        <v>11</v>
      </c>
      <c r="E245" s="101">
        <v>9.4149999999999991</v>
      </c>
      <c r="F245" s="102" t="s">
        <v>2743</v>
      </c>
      <c r="G245" s="4" t="s">
        <v>2744</v>
      </c>
      <c r="H245" s="4" t="s">
        <v>2745</v>
      </c>
      <c r="I245" s="110">
        <v>45176</v>
      </c>
    </row>
    <row r="246" spans="1:9">
      <c r="A246" s="66" t="s">
        <v>2742</v>
      </c>
      <c r="B246" s="103">
        <v>45216</v>
      </c>
      <c r="C246" s="13" t="s">
        <v>2740</v>
      </c>
      <c r="D246" s="13" t="s">
        <v>11</v>
      </c>
      <c r="E246" s="101">
        <v>4.024</v>
      </c>
      <c r="F246" s="102" t="s">
        <v>2743</v>
      </c>
      <c r="G246" s="4" t="s">
        <v>2744</v>
      </c>
      <c r="H246" s="4" t="s">
        <v>2745</v>
      </c>
      <c r="I246" s="110">
        <v>45176</v>
      </c>
    </row>
    <row r="247" spans="1:9">
      <c r="A247" s="66" t="s">
        <v>2742</v>
      </c>
      <c r="B247" s="103">
        <v>45216</v>
      </c>
      <c r="C247" s="13" t="s">
        <v>2741</v>
      </c>
      <c r="D247" s="13" t="s">
        <v>11</v>
      </c>
      <c r="E247" s="101">
        <v>0.96499999999999997</v>
      </c>
      <c r="F247" s="102" t="s">
        <v>2743</v>
      </c>
      <c r="G247" s="4" t="s">
        <v>2744</v>
      </c>
      <c r="H247" s="4" t="s">
        <v>2745</v>
      </c>
      <c r="I247" s="110">
        <v>45176</v>
      </c>
    </row>
    <row r="248" spans="1:9">
      <c r="A248" s="66" t="s">
        <v>2748</v>
      </c>
      <c r="B248" s="103">
        <v>45216</v>
      </c>
      <c r="C248" s="13" t="s">
        <v>2739</v>
      </c>
      <c r="D248" s="13" t="s">
        <v>11</v>
      </c>
      <c r="E248" s="101">
        <v>7.4880000000000004</v>
      </c>
      <c r="F248" s="102" t="s">
        <v>2743</v>
      </c>
      <c r="G248" s="4" t="s">
        <v>2744</v>
      </c>
      <c r="H248" s="4" t="s">
        <v>2281</v>
      </c>
      <c r="I248" s="110">
        <v>45176</v>
      </c>
    </row>
    <row r="249" spans="1:9">
      <c r="A249" s="66" t="s">
        <v>2748</v>
      </c>
      <c r="B249" s="103">
        <v>45216</v>
      </c>
      <c r="C249" s="13" t="s">
        <v>2488</v>
      </c>
      <c r="D249" s="13" t="s">
        <v>11</v>
      </c>
      <c r="E249" s="101">
        <v>0.25700000000000001</v>
      </c>
      <c r="F249" s="102" t="s">
        <v>2743</v>
      </c>
      <c r="G249" s="4" t="s">
        <v>2744</v>
      </c>
      <c r="H249" s="4" t="s">
        <v>2281</v>
      </c>
      <c r="I249" s="110">
        <v>45176</v>
      </c>
    </row>
    <row r="250" spans="1:9">
      <c r="A250" s="66" t="s">
        <v>2748</v>
      </c>
      <c r="B250" s="103">
        <v>45216</v>
      </c>
      <c r="C250" s="13" t="s">
        <v>2746</v>
      </c>
      <c r="D250" s="13" t="s">
        <v>11</v>
      </c>
      <c r="E250" s="101">
        <v>1.409</v>
      </c>
      <c r="F250" s="102" t="s">
        <v>2743</v>
      </c>
      <c r="G250" s="4" t="s">
        <v>2744</v>
      </c>
      <c r="H250" s="4" t="s">
        <v>2281</v>
      </c>
      <c r="I250" s="110">
        <v>45176</v>
      </c>
    </row>
    <row r="251" spans="1:9">
      <c r="A251" s="66" t="s">
        <v>2748</v>
      </c>
      <c r="B251" s="103">
        <v>45216</v>
      </c>
      <c r="C251" s="13" t="s">
        <v>2740</v>
      </c>
      <c r="D251" s="13" t="s">
        <v>11</v>
      </c>
      <c r="E251" s="101">
        <v>0.36199999999999999</v>
      </c>
      <c r="F251" s="102" t="s">
        <v>2743</v>
      </c>
      <c r="G251" s="4" t="s">
        <v>2744</v>
      </c>
      <c r="H251" s="4" t="s">
        <v>2281</v>
      </c>
      <c r="I251" s="110">
        <v>45176</v>
      </c>
    </row>
    <row r="252" spans="1:9">
      <c r="A252" s="66" t="s">
        <v>2748</v>
      </c>
      <c r="B252" s="103">
        <v>45216</v>
      </c>
      <c r="C252" s="13" t="s">
        <v>2741</v>
      </c>
      <c r="D252" s="13" t="s">
        <v>11</v>
      </c>
      <c r="E252" s="101">
        <v>1.1240000000000001</v>
      </c>
      <c r="F252" s="102" t="s">
        <v>2743</v>
      </c>
      <c r="G252" s="4" t="s">
        <v>2744</v>
      </c>
      <c r="H252" s="4" t="s">
        <v>2281</v>
      </c>
      <c r="I252" s="110">
        <v>45176</v>
      </c>
    </row>
    <row r="253" spans="1:9">
      <c r="A253" s="66" t="s">
        <v>2748</v>
      </c>
      <c r="B253" s="103">
        <v>45216</v>
      </c>
      <c r="C253" s="13" t="s">
        <v>2747</v>
      </c>
      <c r="D253" s="13" t="s">
        <v>11</v>
      </c>
      <c r="E253" s="101">
        <v>0.215</v>
      </c>
      <c r="F253" s="102" t="s">
        <v>2743</v>
      </c>
      <c r="G253" s="4" t="s">
        <v>2744</v>
      </c>
      <c r="H253" s="4" t="s">
        <v>2281</v>
      </c>
      <c r="I253" s="110">
        <v>45176</v>
      </c>
    </row>
    <row r="254" spans="1:9">
      <c r="A254" s="66"/>
      <c r="B254" s="103"/>
      <c r="C254" s="13"/>
      <c r="D254" s="13"/>
      <c r="E254" s="58">
        <f>SUM(E240:E253)</f>
        <v>122.188</v>
      </c>
      <c r="F254" s="102"/>
      <c r="G254" s="4"/>
      <c r="H254" s="4"/>
      <c r="I254" s="110"/>
    </row>
    <row r="255" spans="1:9">
      <c r="A255" s="66" t="s">
        <v>2750</v>
      </c>
      <c r="B255" s="103">
        <v>45217</v>
      </c>
      <c r="C255" s="13" t="s">
        <v>2741</v>
      </c>
      <c r="D255" s="113" t="s">
        <v>2706</v>
      </c>
      <c r="E255" s="101">
        <v>7.68</v>
      </c>
      <c r="F255" s="102" t="s">
        <v>2200</v>
      </c>
      <c r="G255" s="4" t="s">
        <v>2751</v>
      </c>
      <c r="H255" s="4" t="s">
        <v>2705</v>
      </c>
      <c r="I255" s="110">
        <v>45211</v>
      </c>
    </row>
    <row r="256" spans="1:9">
      <c r="A256" s="66" t="s">
        <v>2750</v>
      </c>
      <c r="B256" s="103">
        <v>45217</v>
      </c>
      <c r="C256" s="13" t="s">
        <v>2749</v>
      </c>
      <c r="D256" s="113" t="s">
        <v>2706</v>
      </c>
      <c r="E256" s="101">
        <v>24.981000000000002</v>
      </c>
      <c r="F256" s="102" t="s">
        <v>2200</v>
      </c>
      <c r="G256" s="4" t="s">
        <v>2751</v>
      </c>
      <c r="H256" s="4" t="s">
        <v>2705</v>
      </c>
      <c r="I256" s="110">
        <v>45211</v>
      </c>
    </row>
    <row r="257" spans="1:9">
      <c r="A257" s="15"/>
      <c r="B257" s="61"/>
      <c r="C257" s="13"/>
      <c r="D257" s="4"/>
      <c r="E257" s="41">
        <f>SUM(E255:E256)</f>
        <v>32.661000000000001</v>
      </c>
      <c r="F257" s="102"/>
      <c r="G257" s="4"/>
      <c r="H257" s="4"/>
      <c r="I257" s="109"/>
    </row>
    <row r="258" spans="1:9">
      <c r="A258" s="66" t="s">
        <v>2847</v>
      </c>
      <c r="B258" s="103">
        <v>45220</v>
      </c>
      <c r="C258" s="13" t="s">
        <v>2846</v>
      </c>
      <c r="D258" s="113" t="s">
        <v>78</v>
      </c>
      <c r="E258" s="101">
        <v>0.69399999999999995</v>
      </c>
      <c r="F258" s="24" t="s">
        <v>86</v>
      </c>
      <c r="G258" s="1" t="s">
        <v>2845</v>
      </c>
      <c r="H258" s="1" t="s">
        <v>2441</v>
      </c>
      <c r="I258" s="110">
        <v>45167</v>
      </c>
    </row>
    <row r="259" spans="1:9">
      <c r="A259" s="117"/>
      <c r="B259" s="61"/>
      <c r="C259" s="6"/>
      <c r="D259" s="1"/>
      <c r="E259" s="41">
        <f>SUM(E258:E258)</f>
        <v>0.69399999999999995</v>
      </c>
      <c r="F259" s="102"/>
      <c r="G259" s="1"/>
      <c r="H259" s="1"/>
      <c r="I259" s="109"/>
    </row>
    <row r="260" spans="1:9">
      <c r="A260" s="66" t="s">
        <v>2992</v>
      </c>
      <c r="B260" s="103">
        <v>45229</v>
      </c>
      <c r="C260" s="13" t="s">
        <v>2486</v>
      </c>
      <c r="D260" s="113" t="s">
        <v>2706</v>
      </c>
      <c r="E260" s="101">
        <f>10.785+21.496</f>
        <v>32.280999999999999</v>
      </c>
      <c r="F260" s="102" t="s">
        <v>2010</v>
      </c>
      <c r="G260" s="4" t="s">
        <v>2993</v>
      </c>
      <c r="H260" s="4" t="s">
        <v>2994</v>
      </c>
      <c r="I260" s="110">
        <v>45213</v>
      </c>
    </row>
    <row r="261" spans="1:9">
      <c r="A261" s="66" t="s">
        <v>2995</v>
      </c>
      <c r="B261" s="103">
        <v>45229</v>
      </c>
      <c r="C261" s="13" t="s">
        <v>2486</v>
      </c>
      <c r="D261" s="113" t="s">
        <v>2706</v>
      </c>
      <c r="E261" s="101">
        <v>0.39500000000000002</v>
      </c>
      <c r="F261" s="102" t="s">
        <v>2010</v>
      </c>
      <c r="G261" s="4" t="s">
        <v>2996</v>
      </c>
      <c r="H261" s="4" t="s">
        <v>2997</v>
      </c>
      <c r="I261" s="110">
        <v>45213</v>
      </c>
    </row>
    <row r="262" spans="1:9">
      <c r="A262" s="66" t="s">
        <v>2998</v>
      </c>
      <c r="B262" s="103">
        <v>45229</v>
      </c>
      <c r="C262" s="13" t="s">
        <v>2486</v>
      </c>
      <c r="D262" s="113" t="s">
        <v>2706</v>
      </c>
      <c r="E262" s="101">
        <f>3.427+3.654</f>
        <v>7.0809999999999995</v>
      </c>
      <c r="F262" s="102" t="s">
        <v>2382</v>
      </c>
      <c r="G262" s="4" t="s">
        <v>2999</v>
      </c>
      <c r="H262" s="4" t="s">
        <v>2994</v>
      </c>
      <c r="I262" s="110">
        <v>45213</v>
      </c>
    </row>
    <row r="263" spans="1:9">
      <c r="A263" s="66" t="s">
        <v>2998</v>
      </c>
      <c r="B263" s="103">
        <v>45229</v>
      </c>
      <c r="C263" s="13" t="s">
        <v>2490</v>
      </c>
      <c r="D263" s="113" t="s">
        <v>2706</v>
      </c>
      <c r="E263" s="101">
        <f>21.664+4.125</f>
        <v>25.789000000000001</v>
      </c>
      <c r="F263" s="102" t="s">
        <v>2382</v>
      </c>
      <c r="G263" s="4" t="s">
        <v>2999</v>
      </c>
      <c r="H263" s="4" t="s">
        <v>2994</v>
      </c>
      <c r="I263" s="110">
        <v>45213</v>
      </c>
    </row>
    <row r="264" spans="1:9">
      <c r="A264" s="15"/>
      <c r="B264" s="103"/>
      <c r="C264" s="13"/>
      <c r="D264" s="113"/>
      <c r="E264" s="41">
        <f>SUM(E260:E263)</f>
        <v>65.546000000000006</v>
      </c>
      <c r="F264" s="102"/>
      <c r="G264" s="4"/>
      <c r="H264" s="4"/>
      <c r="I264" s="109"/>
    </row>
    <row r="265" spans="1:9">
      <c r="A265" s="66" t="s">
        <v>3010</v>
      </c>
      <c r="B265" s="103">
        <v>45230</v>
      </c>
      <c r="C265" s="13" t="s">
        <v>2486</v>
      </c>
      <c r="D265" s="113" t="s">
        <v>2706</v>
      </c>
      <c r="E265" s="101">
        <v>10.868</v>
      </c>
      <c r="F265" s="102" t="s">
        <v>3011</v>
      </c>
      <c r="G265" s="1" t="s">
        <v>3012</v>
      </c>
      <c r="H265" s="4" t="s">
        <v>2994</v>
      </c>
      <c r="I265" s="110">
        <v>45213</v>
      </c>
    </row>
    <row r="266" spans="1:9">
      <c r="A266" s="66" t="s">
        <v>3010</v>
      </c>
      <c r="B266" s="103">
        <v>45230</v>
      </c>
      <c r="C266" s="13" t="s">
        <v>2490</v>
      </c>
      <c r="D266" s="113" t="s">
        <v>2706</v>
      </c>
      <c r="E266" s="101">
        <v>2.4910000000000001</v>
      </c>
      <c r="F266" s="102" t="s">
        <v>3011</v>
      </c>
      <c r="G266" s="1" t="s">
        <v>3012</v>
      </c>
      <c r="H266" s="4" t="s">
        <v>2994</v>
      </c>
      <c r="I266" s="110">
        <v>45213</v>
      </c>
    </row>
    <row r="267" spans="1:9">
      <c r="A267" s="66" t="s">
        <v>3010</v>
      </c>
      <c r="B267" s="103">
        <v>45230</v>
      </c>
      <c r="C267" s="13" t="s">
        <v>3007</v>
      </c>
      <c r="D267" s="113" t="s">
        <v>2706</v>
      </c>
      <c r="E267" s="101">
        <v>2.5110000000000001</v>
      </c>
      <c r="F267" s="102" t="s">
        <v>3011</v>
      </c>
      <c r="G267" s="1" t="s">
        <v>3012</v>
      </c>
      <c r="H267" s="4" t="s">
        <v>2994</v>
      </c>
      <c r="I267" s="110">
        <v>45213</v>
      </c>
    </row>
    <row r="268" spans="1:9">
      <c r="A268" s="66" t="s">
        <v>3010</v>
      </c>
      <c r="B268" s="103">
        <v>45230</v>
      </c>
      <c r="C268" s="13" t="s">
        <v>3008</v>
      </c>
      <c r="D268" s="113" t="s">
        <v>2706</v>
      </c>
      <c r="E268" s="101">
        <f>3.241+4.239</f>
        <v>7.48</v>
      </c>
      <c r="F268" s="102" t="s">
        <v>3011</v>
      </c>
      <c r="G268" s="1" t="s">
        <v>3012</v>
      </c>
      <c r="H268" s="4" t="s">
        <v>2994</v>
      </c>
      <c r="I268" s="110">
        <v>45213</v>
      </c>
    </row>
    <row r="269" spans="1:9">
      <c r="A269" s="66" t="s">
        <v>3010</v>
      </c>
      <c r="B269" s="103">
        <v>45230</v>
      </c>
      <c r="C269" s="13" t="s">
        <v>3009</v>
      </c>
      <c r="D269" s="113" t="s">
        <v>2706</v>
      </c>
      <c r="E269" s="101">
        <v>4.2229999999999999</v>
      </c>
      <c r="F269" s="102" t="s">
        <v>3011</v>
      </c>
      <c r="G269" s="1" t="s">
        <v>3012</v>
      </c>
      <c r="H269" s="4" t="s">
        <v>2994</v>
      </c>
      <c r="I269" s="110">
        <v>45213</v>
      </c>
    </row>
    <row r="270" spans="1:9">
      <c r="A270" s="66" t="s">
        <v>3010</v>
      </c>
      <c r="B270" s="103">
        <v>45230</v>
      </c>
      <c r="C270" s="13" t="s">
        <v>2960</v>
      </c>
      <c r="D270" s="113" t="s">
        <v>2706</v>
      </c>
      <c r="E270" s="101">
        <v>4.4180000000000001</v>
      </c>
      <c r="F270" s="102" t="s">
        <v>3011</v>
      </c>
      <c r="G270" s="1" t="s">
        <v>3012</v>
      </c>
      <c r="H270" s="4" t="s">
        <v>2994</v>
      </c>
      <c r="I270" s="110">
        <v>45213</v>
      </c>
    </row>
    <row r="271" spans="1:9">
      <c r="A271" s="66" t="s">
        <v>3013</v>
      </c>
      <c r="B271" s="103">
        <v>45230</v>
      </c>
      <c r="C271" s="13" t="s">
        <v>2486</v>
      </c>
      <c r="D271" s="113" t="s">
        <v>2706</v>
      </c>
      <c r="E271" s="101">
        <v>0.25800000000000001</v>
      </c>
      <c r="F271" s="102" t="s">
        <v>3011</v>
      </c>
      <c r="G271" s="131" t="s">
        <v>3014</v>
      </c>
      <c r="H271" s="4" t="s">
        <v>2997</v>
      </c>
      <c r="I271" s="110">
        <v>45213</v>
      </c>
    </row>
    <row r="272" spans="1:9">
      <c r="A272" s="66" t="s">
        <v>3015</v>
      </c>
      <c r="B272" s="103">
        <v>45230</v>
      </c>
      <c r="C272" s="13" t="s">
        <v>2486</v>
      </c>
      <c r="D272" s="113" t="s">
        <v>2706</v>
      </c>
      <c r="E272" s="101">
        <v>4.843</v>
      </c>
      <c r="F272" s="102" t="s">
        <v>3016</v>
      </c>
      <c r="G272" s="1" t="s">
        <v>3017</v>
      </c>
      <c r="H272" s="4" t="s">
        <v>2994</v>
      </c>
      <c r="I272" s="110">
        <v>45213</v>
      </c>
    </row>
    <row r="273" spans="1:12">
      <c r="A273" s="66" t="s">
        <v>3015</v>
      </c>
      <c r="B273" s="103">
        <v>45230</v>
      </c>
      <c r="C273" s="13" t="s">
        <v>2490</v>
      </c>
      <c r="D273" s="113" t="s">
        <v>2706</v>
      </c>
      <c r="E273" s="101">
        <f>19.098+6.73</f>
        <v>25.827999999999999</v>
      </c>
      <c r="F273" s="102" t="s">
        <v>3016</v>
      </c>
      <c r="G273" s="1" t="s">
        <v>3017</v>
      </c>
      <c r="H273" s="4" t="s">
        <v>2994</v>
      </c>
      <c r="I273" s="110">
        <v>45213</v>
      </c>
    </row>
    <row r="274" spans="1:12">
      <c r="A274" s="66" t="s">
        <v>3018</v>
      </c>
      <c r="B274" s="103">
        <v>45230</v>
      </c>
      <c r="C274" s="13" t="s">
        <v>2490</v>
      </c>
      <c r="D274" s="113" t="s">
        <v>2706</v>
      </c>
      <c r="E274" s="101">
        <v>2.3140000000000001</v>
      </c>
      <c r="F274" s="102" t="s">
        <v>3016</v>
      </c>
      <c r="G274" s="1" t="s">
        <v>3019</v>
      </c>
      <c r="H274" s="4" t="s">
        <v>2997</v>
      </c>
      <c r="I274" s="110">
        <v>45213</v>
      </c>
    </row>
    <row r="275" spans="1:12">
      <c r="A275" s="15"/>
      <c r="B275" s="61"/>
      <c r="C275" s="6"/>
      <c r="D275" s="1"/>
      <c r="E275" s="41">
        <f>SUM(E265:E274)</f>
        <v>65.234000000000009</v>
      </c>
      <c r="F275" s="102"/>
      <c r="G275" s="1"/>
      <c r="H275" s="1"/>
      <c r="I275" s="109"/>
    </row>
    <row r="276" spans="1:12">
      <c r="A276" s="117"/>
      <c r="B276" s="118"/>
      <c r="C276" s="119"/>
      <c r="D276" s="93"/>
      <c r="E276" s="124"/>
      <c r="F276" s="121"/>
      <c r="G276" s="93"/>
      <c r="H276" s="93"/>
      <c r="I276" s="122"/>
    </row>
    <row r="277" spans="1:12">
      <c r="A277" s="117"/>
      <c r="B277" s="118"/>
      <c r="C277" s="119"/>
      <c r="D277" s="93"/>
      <c r="E277" s="124"/>
      <c r="F277" s="121"/>
      <c r="G277" s="93"/>
      <c r="H277" s="93"/>
      <c r="I277" s="122"/>
    </row>
    <row r="278" spans="1:12">
      <c r="A278" s="117"/>
      <c r="B278" s="118"/>
      <c r="C278" s="119"/>
      <c r="D278" s="93"/>
      <c r="E278" s="120"/>
      <c r="F278" s="121"/>
      <c r="G278" s="93"/>
      <c r="H278" s="93"/>
      <c r="I278" s="122"/>
      <c r="J278" t="s">
        <v>2275</v>
      </c>
      <c r="K278" t="s">
        <v>2864</v>
      </c>
      <c r="L278" t="s">
        <v>2779</v>
      </c>
    </row>
    <row r="279" spans="1:12">
      <c r="A279" s="1"/>
      <c r="B279" s="16"/>
      <c r="C279" s="1"/>
      <c r="D279" s="2" t="s">
        <v>2536</v>
      </c>
      <c r="E279" s="20">
        <f>SUM(E67:E278)/2</f>
        <v>1360.202</v>
      </c>
      <c r="F279" s="102"/>
      <c r="G279" s="1"/>
      <c r="H279" s="1"/>
      <c r="I279" s="109"/>
      <c r="J279">
        <f>+'KEC JBP DISPATCHED OCT'!E187</f>
        <v>876.09800000000041</v>
      </c>
      <c r="K279" s="97">
        <f>+'KEC JBP TRADING OCT '!E32</f>
        <v>164.95</v>
      </c>
      <c r="L279" s="97">
        <f>+'KEC JAIPUR TRADING OCT'!E15</f>
        <v>105.26399999999998</v>
      </c>
    </row>
    <row r="280" spans="1:12">
      <c r="A280" s="1"/>
      <c r="B280" s="16"/>
      <c r="C280" s="1"/>
      <c r="D280" s="1"/>
      <c r="E280" s="54"/>
      <c r="F280" s="24"/>
      <c r="G280" s="1"/>
      <c r="H280" s="1"/>
      <c r="I280" s="109"/>
    </row>
    <row r="281" spans="1:12">
      <c r="A281" s="1"/>
      <c r="B281" s="3"/>
      <c r="C281" s="1"/>
      <c r="D281" s="2" t="s">
        <v>2535</v>
      </c>
      <c r="E281" s="20">
        <f>+E4+E8+E14+E23+E34+E40+E66</f>
        <v>476.20150000000001</v>
      </c>
      <c r="F281" s="24"/>
      <c r="G281" s="1"/>
      <c r="H281" s="1"/>
      <c r="I281" s="109"/>
      <c r="K281" s="97">
        <f>+J279+K279+L279+E279</f>
        <v>2506.5140000000001</v>
      </c>
    </row>
    <row r="282" spans="1:12">
      <c r="A282" s="1"/>
      <c r="B282" s="3"/>
      <c r="C282" s="1"/>
      <c r="D282" s="1"/>
      <c r="E282" s="55"/>
      <c r="F282" s="24"/>
      <c r="G282" s="1"/>
      <c r="H282" s="1"/>
      <c r="I282" s="109"/>
    </row>
    <row r="283" spans="1:12">
      <c r="A283" s="1"/>
      <c r="B283" s="3"/>
      <c r="C283" s="1"/>
      <c r="D283" s="2"/>
      <c r="E283" s="20">
        <f>+E281+E279</f>
        <v>1836.4034999999999</v>
      </c>
      <c r="F283" s="24"/>
      <c r="G283" s="1"/>
      <c r="H283" s="1"/>
      <c r="I283" s="109"/>
    </row>
    <row r="284" spans="1:12">
      <c r="A284" s="1"/>
      <c r="B284" s="3"/>
      <c r="C284" s="1"/>
      <c r="D284" s="2"/>
      <c r="E284" s="54"/>
      <c r="F284" s="24"/>
      <c r="G284" s="1"/>
      <c r="H284" s="1"/>
      <c r="I284" s="109"/>
    </row>
    <row r="285" spans="1:12">
      <c r="A285" s="1"/>
      <c r="B285" s="3"/>
      <c r="C285" s="1"/>
      <c r="D285" s="1"/>
      <c r="E285" s="2"/>
      <c r="F285" s="24"/>
      <c r="G285" s="1"/>
      <c r="H285" s="1"/>
      <c r="I285" s="109"/>
    </row>
    <row r="286" spans="1:12">
      <c r="A286" s="1"/>
      <c r="B286" s="3"/>
      <c r="C286" s="1"/>
      <c r="D286" s="1"/>
      <c r="E286" s="2"/>
      <c r="F286" s="24"/>
      <c r="G286" s="1"/>
      <c r="H286" s="1"/>
      <c r="I286" s="109"/>
    </row>
    <row r="287" spans="1:12">
      <c r="A287" s="1"/>
      <c r="B287" s="3"/>
      <c r="C287" s="1"/>
      <c r="D287" s="1"/>
      <c r="E287" s="2"/>
      <c r="F287" s="24"/>
      <c r="G287" s="1"/>
      <c r="H287" s="1"/>
      <c r="I287" s="109"/>
    </row>
    <row r="288" spans="1:12">
      <c r="A288" s="1"/>
      <c r="B288" s="3"/>
      <c r="C288" s="1"/>
      <c r="D288" s="1"/>
      <c r="E288" s="2"/>
      <c r="F288" s="24"/>
      <c r="G288" s="1"/>
      <c r="H288" s="1"/>
      <c r="I288" s="109"/>
    </row>
    <row r="289" spans="1:9">
      <c r="A289" s="1"/>
      <c r="B289" s="3"/>
      <c r="C289" s="1"/>
      <c r="D289" s="1"/>
      <c r="E289" s="2"/>
      <c r="F289" s="24"/>
      <c r="G289" s="1"/>
      <c r="H289" s="1"/>
      <c r="I289" s="109"/>
    </row>
    <row r="290" spans="1:9">
      <c r="A290" s="1"/>
      <c r="B290" s="1"/>
      <c r="C290" s="1"/>
      <c r="D290" s="1"/>
      <c r="E290" s="2"/>
      <c r="F290" s="24"/>
      <c r="G290" s="1"/>
      <c r="H290" s="1"/>
      <c r="I290" s="4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201"/>
  <sheetViews>
    <sheetView topLeftCell="A173" workbookViewId="0">
      <selection activeCell="G187" sqref="G187"/>
    </sheetView>
  </sheetViews>
  <sheetFormatPr defaultRowHeight="15"/>
  <cols>
    <col min="1" max="1" width="18.28515625" customWidth="1"/>
    <col min="2" max="2" width="10.28515625" bestFit="1" customWidth="1"/>
    <col min="3" max="3" width="25.85546875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66" t="s">
        <v>2574</v>
      </c>
      <c r="B2" s="103">
        <v>45203</v>
      </c>
      <c r="C2" s="13" t="s">
        <v>1640</v>
      </c>
      <c r="D2" s="13" t="s">
        <v>716</v>
      </c>
      <c r="E2" s="101">
        <v>3.492</v>
      </c>
      <c r="F2" s="24" t="s">
        <v>973</v>
      </c>
      <c r="G2" s="1" t="s">
        <v>2575</v>
      </c>
      <c r="H2" s="1" t="s">
        <v>2576</v>
      </c>
      <c r="I2" s="110">
        <v>45188</v>
      </c>
    </row>
    <row r="3" spans="1:9">
      <c r="A3" s="66" t="s">
        <v>2574</v>
      </c>
      <c r="B3" s="103">
        <v>45203</v>
      </c>
      <c r="C3" s="13" t="s">
        <v>1695</v>
      </c>
      <c r="D3" s="13" t="s">
        <v>716</v>
      </c>
      <c r="E3" s="101">
        <v>5.875</v>
      </c>
      <c r="F3" s="24" t="s">
        <v>973</v>
      </c>
      <c r="G3" s="1" t="s">
        <v>2575</v>
      </c>
      <c r="H3" s="1" t="s">
        <v>2576</v>
      </c>
      <c r="I3" s="110">
        <v>45188</v>
      </c>
    </row>
    <row r="4" spans="1:9">
      <c r="A4" s="66" t="s">
        <v>2574</v>
      </c>
      <c r="B4" s="103">
        <v>45203</v>
      </c>
      <c r="C4" s="13" t="s">
        <v>1453</v>
      </c>
      <c r="D4" s="13" t="s">
        <v>716</v>
      </c>
      <c r="E4" s="101">
        <v>0.41299999999999998</v>
      </c>
      <c r="F4" s="24" t="s">
        <v>973</v>
      </c>
      <c r="G4" s="1" t="s">
        <v>2575</v>
      </c>
      <c r="H4" s="1" t="s">
        <v>2576</v>
      </c>
      <c r="I4" s="110">
        <v>45188</v>
      </c>
    </row>
    <row r="5" spans="1:9">
      <c r="A5" s="66" t="s">
        <v>2574</v>
      </c>
      <c r="B5" s="103">
        <v>45203</v>
      </c>
      <c r="C5" s="13" t="s">
        <v>1453</v>
      </c>
      <c r="D5" s="13" t="s">
        <v>716</v>
      </c>
      <c r="E5" s="101">
        <v>0.45900000000000002</v>
      </c>
      <c r="F5" s="24" t="s">
        <v>973</v>
      </c>
      <c r="G5" s="1" t="s">
        <v>2575</v>
      </c>
      <c r="H5" s="1" t="s">
        <v>2576</v>
      </c>
      <c r="I5" s="110">
        <v>45188</v>
      </c>
    </row>
    <row r="6" spans="1:9">
      <c r="A6" s="66" t="s">
        <v>2574</v>
      </c>
      <c r="B6" s="103">
        <v>45203</v>
      </c>
      <c r="C6" s="13" t="s">
        <v>1370</v>
      </c>
      <c r="D6" s="13" t="s">
        <v>716</v>
      </c>
      <c r="E6" s="101">
        <v>1.0680000000000001</v>
      </c>
      <c r="F6" s="24" t="s">
        <v>973</v>
      </c>
      <c r="G6" s="1" t="s">
        <v>2575</v>
      </c>
      <c r="H6" s="1" t="s">
        <v>2576</v>
      </c>
      <c r="I6" s="110">
        <v>45188</v>
      </c>
    </row>
    <row r="7" spans="1:9">
      <c r="A7" s="66" t="s">
        <v>2574</v>
      </c>
      <c r="B7" s="103">
        <v>45203</v>
      </c>
      <c r="C7" s="13" t="s">
        <v>1500</v>
      </c>
      <c r="D7" s="13" t="s">
        <v>716</v>
      </c>
      <c r="E7" s="101">
        <v>4.476</v>
      </c>
      <c r="F7" s="24" t="s">
        <v>973</v>
      </c>
      <c r="G7" s="1" t="s">
        <v>2575</v>
      </c>
      <c r="H7" s="1" t="s">
        <v>2576</v>
      </c>
      <c r="I7" s="110">
        <v>45188</v>
      </c>
    </row>
    <row r="8" spans="1:9">
      <c r="A8" s="66" t="s">
        <v>2574</v>
      </c>
      <c r="B8" s="103">
        <v>45203</v>
      </c>
      <c r="C8" s="13" t="s">
        <v>1500</v>
      </c>
      <c r="D8" s="13" t="s">
        <v>716</v>
      </c>
      <c r="E8" s="101">
        <v>3.5609999999999999</v>
      </c>
      <c r="F8" s="24" t="s">
        <v>973</v>
      </c>
      <c r="G8" s="1" t="s">
        <v>2575</v>
      </c>
      <c r="H8" s="1" t="s">
        <v>2576</v>
      </c>
      <c r="I8" s="110">
        <v>45188</v>
      </c>
    </row>
    <row r="9" spans="1:9">
      <c r="A9" s="66" t="s">
        <v>2574</v>
      </c>
      <c r="B9" s="103">
        <v>45203</v>
      </c>
      <c r="C9" s="13" t="s">
        <v>1695</v>
      </c>
      <c r="D9" s="13" t="s">
        <v>716</v>
      </c>
      <c r="E9" s="123">
        <v>6.9000000000000006E-2</v>
      </c>
      <c r="F9" s="24" t="s">
        <v>973</v>
      </c>
      <c r="G9" s="1" t="s">
        <v>2575</v>
      </c>
      <c r="H9" s="1" t="s">
        <v>2576</v>
      </c>
      <c r="I9" s="110">
        <v>45188</v>
      </c>
    </row>
    <row r="10" spans="1:9">
      <c r="A10" s="66" t="s">
        <v>2574</v>
      </c>
      <c r="B10" s="103">
        <v>45203</v>
      </c>
      <c r="C10" s="13" t="s">
        <v>1640</v>
      </c>
      <c r="D10" s="13" t="s">
        <v>716</v>
      </c>
      <c r="E10" s="123">
        <v>0.247</v>
      </c>
      <c r="F10" s="24" t="s">
        <v>973</v>
      </c>
      <c r="G10" s="1" t="s">
        <v>2575</v>
      </c>
      <c r="H10" s="1" t="s">
        <v>2576</v>
      </c>
      <c r="I10" s="110">
        <v>45188</v>
      </c>
    </row>
    <row r="11" spans="1:9">
      <c r="A11" s="66" t="s">
        <v>2574</v>
      </c>
      <c r="B11" s="103">
        <v>45203</v>
      </c>
      <c r="C11" s="13" t="s">
        <v>1478</v>
      </c>
      <c r="D11" s="13" t="s">
        <v>716</v>
      </c>
      <c r="E11" s="123">
        <v>0.55200000000000005</v>
      </c>
      <c r="F11" s="24" t="s">
        <v>973</v>
      </c>
      <c r="G11" s="1" t="s">
        <v>2575</v>
      </c>
      <c r="H11" s="1" t="s">
        <v>2576</v>
      </c>
      <c r="I11" s="110">
        <v>45188</v>
      </c>
    </row>
    <row r="12" spans="1:9">
      <c r="A12" s="66" t="s">
        <v>2574</v>
      </c>
      <c r="B12" s="103">
        <v>45203</v>
      </c>
      <c r="C12" s="13" t="s">
        <v>1753</v>
      </c>
      <c r="D12" s="13" t="s">
        <v>716</v>
      </c>
      <c r="E12" s="123">
        <v>4.4779999999999998</v>
      </c>
      <c r="F12" s="24" t="s">
        <v>973</v>
      </c>
      <c r="G12" s="1" t="s">
        <v>2575</v>
      </c>
      <c r="H12" s="1" t="s">
        <v>2576</v>
      </c>
      <c r="I12" s="110">
        <v>45188</v>
      </c>
    </row>
    <row r="13" spans="1:9">
      <c r="A13" s="66" t="s">
        <v>2574</v>
      </c>
      <c r="B13" s="103">
        <v>45203</v>
      </c>
      <c r="C13" s="13" t="s">
        <v>1753</v>
      </c>
      <c r="D13" s="13" t="s">
        <v>716</v>
      </c>
      <c r="E13" s="123">
        <v>1.0389999999999999</v>
      </c>
      <c r="F13" s="24" t="s">
        <v>973</v>
      </c>
      <c r="G13" s="1" t="s">
        <v>2575</v>
      </c>
      <c r="H13" s="1" t="s">
        <v>2576</v>
      </c>
      <c r="I13" s="110">
        <v>45188</v>
      </c>
    </row>
    <row r="14" spans="1:9">
      <c r="A14" s="66" t="s">
        <v>2574</v>
      </c>
      <c r="B14" s="103">
        <v>45203</v>
      </c>
      <c r="C14" s="13" t="s">
        <v>1478</v>
      </c>
      <c r="D14" s="13" t="s">
        <v>716</v>
      </c>
      <c r="E14" s="123">
        <v>1.7490000000000001</v>
      </c>
      <c r="F14" s="24" t="s">
        <v>973</v>
      </c>
      <c r="G14" s="1" t="s">
        <v>2575</v>
      </c>
      <c r="H14" s="1" t="s">
        <v>2576</v>
      </c>
      <c r="I14" s="110">
        <v>45188</v>
      </c>
    </row>
    <row r="15" spans="1:9">
      <c r="A15" s="66"/>
      <c r="B15" s="103"/>
      <c r="C15" s="11"/>
      <c r="D15" s="13"/>
      <c r="E15" s="57">
        <f>SUM(E2:E14)</f>
        <v>27.477999999999998</v>
      </c>
      <c r="F15" s="24"/>
      <c r="G15" s="1"/>
      <c r="H15" s="13"/>
      <c r="I15" s="103"/>
    </row>
    <row r="16" spans="1:9">
      <c r="A16" s="66" t="s">
        <v>2613</v>
      </c>
      <c r="B16" s="103">
        <v>45206</v>
      </c>
      <c r="C16" s="13" t="s">
        <v>1226</v>
      </c>
      <c r="D16" s="13" t="s">
        <v>716</v>
      </c>
      <c r="E16" s="101">
        <v>8.76</v>
      </c>
      <c r="F16" s="102" t="s">
        <v>2614</v>
      </c>
      <c r="G16" s="4" t="s">
        <v>2615</v>
      </c>
      <c r="H16" s="4" t="s">
        <v>2576</v>
      </c>
      <c r="I16" s="110">
        <v>45188</v>
      </c>
    </row>
    <row r="17" spans="1:9">
      <c r="A17" s="66" t="s">
        <v>2613</v>
      </c>
      <c r="B17" s="103">
        <v>45206</v>
      </c>
      <c r="C17" s="13" t="s">
        <v>1256</v>
      </c>
      <c r="D17" s="13" t="s">
        <v>716</v>
      </c>
      <c r="E17" s="101">
        <v>3.9169999999999998</v>
      </c>
      <c r="F17" s="102" t="s">
        <v>2614</v>
      </c>
      <c r="G17" s="4" t="s">
        <v>2615</v>
      </c>
      <c r="H17" s="4" t="s">
        <v>2576</v>
      </c>
      <c r="I17" s="110">
        <v>45188</v>
      </c>
    </row>
    <row r="18" spans="1:9">
      <c r="A18" s="66" t="s">
        <v>2613</v>
      </c>
      <c r="B18" s="103">
        <v>45206</v>
      </c>
      <c r="C18" s="13" t="s">
        <v>1256</v>
      </c>
      <c r="D18" s="13" t="s">
        <v>716</v>
      </c>
      <c r="E18" s="101">
        <v>1.881</v>
      </c>
      <c r="F18" s="102" t="s">
        <v>2614</v>
      </c>
      <c r="G18" s="4" t="s">
        <v>2615</v>
      </c>
      <c r="H18" s="4" t="s">
        <v>2576</v>
      </c>
      <c r="I18" s="110">
        <v>45188</v>
      </c>
    </row>
    <row r="19" spans="1:9">
      <c r="A19" s="66" t="s">
        <v>2613</v>
      </c>
      <c r="B19" s="103">
        <v>45206</v>
      </c>
      <c r="C19" s="13" t="s">
        <v>1223</v>
      </c>
      <c r="D19" s="13" t="s">
        <v>716</v>
      </c>
      <c r="E19" s="101">
        <v>0.622</v>
      </c>
      <c r="F19" s="102" t="s">
        <v>2614</v>
      </c>
      <c r="G19" s="4" t="s">
        <v>2615</v>
      </c>
      <c r="H19" s="4" t="s">
        <v>2576</v>
      </c>
      <c r="I19" s="110">
        <v>45188</v>
      </c>
    </row>
    <row r="20" spans="1:9">
      <c r="A20" s="66" t="s">
        <v>2613</v>
      </c>
      <c r="B20" s="103">
        <v>45206</v>
      </c>
      <c r="C20" s="13" t="s">
        <v>1370</v>
      </c>
      <c r="D20" s="13" t="s">
        <v>716</v>
      </c>
      <c r="E20" s="101">
        <v>3.4409999999999998</v>
      </c>
      <c r="F20" s="102" t="s">
        <v>2614</v>
      </c>
      <c r="G20" s="4" t="s">
        <v>2615</v>
      </c>
      <c r="H20" s="4" t="s">
        <v>2576</v>
      </c>
      <c r="I20" s="110">
        <v>45188</v>
      </c>
    </row>
    <row r="21" spans="1:9">
      <c r="A21" s="66" t="s">
        <v>2618</v>
      </c>
      <c r="B21" s="103">
        <v>45206</v>
      </c>
      <c r="C21" s="13" t="s">
        <v>2616</v>
      </c>
      <c r="D21" s="13" t="s">
        <v>716</v>
      </c>
      <c r="E21" s="101">
        <f>10.589+2.558</f>
        <v>13.147</v>
      </c>
      <c r="F21" s="102" t="s">
        <v>2614</v>
      </c>
      <c r="G21" s="4" t="s">
        <v>2619</v>
      </c>
      <c r="H21" s="4" t="s">
        <v>2620</v>
      </c>
      <c r="I21" s="110">
        <v>45167</v>
      </c>
    </row>
    <row r="22" spans="1:9">
      <c r="A22" s="66" t="s">
        <v>2618</v>
      </c>
      <c r="B22" s="103">
        <v>45206</v>
      </c>
      <c r="C22" s="13" t="s">
        <v>1823</v>
      </c>
      <c r="D22" s="13" t="s">
        <v>716</v>
      </c>
      <c r="E22" s="101">
        <v>0.18099999999999999</v>
      </c>
      <c r="F22" s="102" t="s">
        <v>2614</v>
      </c>
      <c r="G22" s="4" t="s">
        <v>2619</v>
      </c>
      <c r="H22" s="4" t="s">
        <v>2620</v>
      </c>
      <c r="I22" s="110">
        <v>45167</v>
      </c>
    </row>
    <row r="23" spans="1:9">
      <c r="A23" s="66" t="s">
        <v>2618</v>
      </c>
      <c r="B23" s="103">
        <v>45206</v>
      </c>
      <c r="C23" s="13" t="s">
        <v>2617</v>
      </c>
      <c r="D23" s="13" t="s">
        <v>716</v>
      </c>
      <c r="E23" s="101">
        <v>0.78</v>
      </c>
      <c r="F23" s="102" t="s">
        <v>2614</v>
      </c>
      <c r="G23" s="4" t="s">
        <v>2619</v>
      </c>
      <c r="H23" s="4" t="s">
        <v>2620</v>
      </c>
      <c r="I23" s="110">
        <v>45167</v>
      </c>
    </row>
    <row r="24" spans="1:9">
      <c r="A24" s="66" t="s">
        <v>2622</v>
      </c>
      <c r="B24" s="103">
        <v>45206</v>
      </c>
      <c r="C24" s="13" t="s">
        <v>1705</v>
      </c>
      <c r="D24" s="13" t="s">
        <v>716</v>
      </c>
      <c r="E24" s="101">
        <v>4.22</v>
      </c>
      <c r="F24" s="102" t="s">
        <v>2623</v>
      </c>
      <c r="G24" s="4" t="s">
        <v>2624</v>
      </c>
      <c r="H24" s="4" t="s">
        <v>2386</v>
      </c>
      <c r="I24" s="110">
        <v>45167</v>
      </c>
    </row>
    <row r="25" spans="1:9">
      <c r="A25" s="66" t="s">
        <v>2622</v>
      </c>
      <c r="B25" s="103">
        <v>45206</v>
      </c>
      <c r="C25" s="13" t="s">
        <v>1303</v>
      </c>
      <c r="D25" s="13" t="s">
        <v>716</v>
      </c>
      <c r="E25" s="101">
        <f>2.996+0.901</f>
        <v>3.8970000000000002</v>
      </c>
      <c r="F25" s="102" t="s">
        <v>2623</v>
      </c>
      <c r="G25" s="4" t="s">
        <v>2624</v>
      </c>
      <c r="H25" s="4" t="s">
        <v>2386</v>
      </c>
      <c r="I25" s="110">
        <v>45167</v>
      </c>
    </row>
    <row r="26" spans="1:9">
      <c r="A26" s="66" t="s">
        <v>2622</v>
      </c>
      <c r="B26" s="103">
        <v>45206</v>
      </c>
      <c r="C26" s="13" t="s">
        <v>1328</v>
      </c>
      <c r="D26" s="13" t="s">
        <v>716</v>
      </c>
      <c r="E26" s="101">
        <f>3.2+1.764</f>
        <v>4.9640000000000004</v>
      </c>
      <c r="F26" s="102" t="s">
        <v>2623</v>
      </c>
      <c r="G26" s="4" t="s">
        <v>2624</v>
      </c>
      <c r="H26" s="4" t="s">
        <v>2386</v>
      </c>
      <c r="I26" s="110">
        <v>45167</v>
      </c>
    </row>
    <row r="27" spans="1:9">
      <c r="A27" s="66" t="s">
        <v>2622</v>
      </c>
      <c r="B27" s="103">
        <v>45206</v>
      </c>
      <c r="C27" s="13" t="s">
        <v>2621</v>
      </c>
      <c r="D27" s="13" t="s">
        <v>716</v>
      </c>
      <c r="E27" s="101">
        <f>7.449+6.449</f>
        <v>13.898</v>
      </c>
      <c r="F27" s="102" t="s">
        <v>2623</v>
      </c>
      <c r="G27" s="4" t="s">
        <v>2624</v>
      </c>
      <c r="H27" s="4" t="s">
        <v>2386</v>
      </c>
      <c r="I27" s="110">
        <v>45167</v>
      </c>
    </row>
    <row r="28" spans="1:9">
      <c r="A28" s="66" t="s">
        <v>2626</v>
      </c>
      <c r="B28" s="103">
        <v>45206</v>
      </c>
      <c r="C28" s="13" t="s">
        <v>2625</v>
      </c>
      <c r="D28" s="13" t="s">
        <v>716</v>
      </c>
      <c r="E28" s="101">
        <v>1.494</v>
      </c>
      <c r="F28" s="102" t="s">
        <v>2623</v>
      </c>
      <c r="G28" s="4" t="s">
        <v>2627</v>
      </c>
      <c r="H28" s="4" t="s">
        <v>2421</v>
      </c>
      <c r="I28" s="110">
        <v>45150</v>
      </c>
    </row>
    <row r="29" spans="1:9">
      <c r="A29" s="66" t="s">
        <v>2626</v>
      </c>
      <c r="B29" s="103">
        <v>45206</v>
      </c>
      <c r="C29" s="13" t="s">
        <v>1303</v>
      </c>
      <c r="D29" s="13" t="s">
        <v>716</v>
      </c>
      <c r="E29" s="101">
        <v>4.3310000000000004</v>
      </c>
      <c r="F29" s="102" t="s">
        <v>2623</v>
      </c>
      <c r="G29" s="4" t="s">
        <v>2627</v>
      </c>
      <c r="H29" s="4" t="s">
        <v>2421</v>
      </c>
      <c r="I29" s="110">
        <v>45150</v>
      </c>
    </row>
    <row r="30" spans="1:9">
      <c r="A30" s="66" t="s">
        <v>2629</v>
      </c>
      <c r="B30" s="103">
        <v>45206</v>
      </c>
      <c r="C30" s="13" t="s">
        <v>2628</v>
      </c>
      <c r="D30" s="13" t="s">
        <v>716</v>
      </c>
      <c r="E30" s="101">
        <v>12.515000000000001</v>
      </c>
      <c r="F30" s="102" t="s">
        <v>2630</v>
      </c>
      <c r="G30" s="4" t="s">
        <v>2631</v>
      </c>
      <c r="H30" s="4" t="s">
        <v>2386</v>
      </c>
      <c r="I30" s="110">
        <v>45167</v>
      </c>
    </row>
    <row r="31" spans="1:9">
      <c r="A31" s="66" t="s">
        <v>2629</v>
      </c>
      <c r="B31" s="103">
        <v>45206</v>
      </c>
      <c r="C31" s="13" t="s">
        <v>1341</v>
      </c>
      <c r="D31" s="13" t="s">
        <v>716</v>
      </c>
      <c r="E31" s="101">
        <f>7.54+12.554</f>
        <v>20.094000000000001</v>
      </c>
      <c r="F31" s="102" t="s">
        <v>2630</v>
      </c>
      <c r="G31" s="4" t="s">
        <v>2631</v>
      </c>
      <c r="H31" s="4" t="s">
        <v>2386</v>
      </c>
      <c r="I31" s="110">
        <v>45167</v>
      </c>
    </row>
    <row r="32" spans="1:9">
      <c r="A32" s="66" t="s">
        <v>2632</v>
      </c>
      <c r="B32" s="103">
        <v>45206</v>
      </c>
      <c r="C32" s="13" t="s">
        <v>1791</v>
      </c>
      <c r="D32" s="13" t="s">
        <v>716</v>
      </c>
      <c r="E32" s="101">
        <v>9.1189999999999998</v>
      </c>
      <c r="F32" s="102" t="s">
        <v>2633</v>
      </c>
      <c r="G32" s="4" t="s">
        <v>2634</v>
      </c>
      <c r="H32" s="4" t="s">
        <v>2386</v>
      </c>
      <c r="I32" s="110">
        <v>45167</v>
      </c>
    </row>
    <row r="33" spans="1:9">
      <c r="A33" s="66" t="s">
        <v>2632</v>
      </c>
      <c r="B33" s="103">
        <v>45206</v>
      </c>
      <c r="C33" s="13" t="s">
        <v>1796</v>
      </c>
      <c r="D33" s="13" t="s">
        <v>716</v>
      </c>
      <c r="E33" s="101">
        <f>3.88+7.529</f>
        <v>11.408999999999999</v>
      </c>
      <c r="F33" s="102" t="s">
        <v>2633</v>
      </c>
      <c r="G33" s="4" t="s">
        <v>2634</v>
      </c>
      <c r="H33" s="4" t="s">
        <v>2386</v>
      </c>
      <c r="I33" s="110">
        <v>45167</v>
      </c>
    </row>
    <row r="34" spans="1:9">
      <c r="A34" s="66" t="s">
        <v>2632</v>
      </c>
      <c r="B34" s="103">
        <v>45206</v>
      </c>
      <c r="C34" s="13" t="s">
        <v>1761</v>
      </c>
      <c r="D34" s="13" t="s">
        <v>716</v>
      </c>
      <c r="E34" s="101">
        <v>11.923</v>
      </c>
      <c r="F34" s="102" t="s">
        <v>2633</v>
      </c>
      <c r="G34" s="4" t="s">
        <v>2634</v>
      </c>
      <c r="H34" s="4" t="s">
        <v>2386</v>
      </c>
      <c r="I34" s="110">
        <v>45167</v>
      </c>
    </row>
    <row r="35" spans="1:9">
      <c r="A35" s="66" t="s">
        <v>2635</v>
      </c>
      <c r="B35" s="103">
        <v>45206</v>
      </c>
      <c r="C35" s="13" t="s">
        <v>1761</v>
      </c>
      <c r="D35" s="13" t="s">
        <v>716</v>
      </c>
      <c r="E35" s="101">
        <v>0.23200000000000001</v>
      </c>
      <c r="F35" s="102" t="s">
        <v>2633</v>
      </c>
      <c r="G35" s="4" t="s">
        <v>2636</v>
      </c>
      <c r="H35" s="4" t="s">
        <v>2421</v>
      </c>
      <c r="I35" s="110">
        <v>45150</v>
      </c>
    </row>
    <row r="36" spans="1:9">
      <c r="A36" s="4"/>
      <c r="B36" s="109"/>
      <c r="C36" s="4"/>
      <c r="D36" s="4"/>
      <c r="E36" s="57">
        <f>SUM(E16:E35)</f>
        <v>130.82499999999999</v>
      </c>
      <c r="F36" s="102"/>
      <c r="G36" s="4"/>
      <c r="H36" s="4"/>
      <c r="I36" s="109"/>
    </row>
    <row r="37" spans="1:9">
      <c r="A37" s="66" t="s">
        <v>2637</v>
      </c>
      <c r="B37" s="103">
        <v>45207</v>
      </c>
      <c r="C37" s="13" t="s">
        <v>1341</v>
      </c>
      <c r="D37" s="13" t="s">
        <v>716</v>
      </c>
      <c r="E37" s="101">
        <f>9.6+2.068</f>
        <v>11.667999999999999</v>
      </c>
      <c r="F37" s="102" t="s">
        <v>2638</v>
      </c>
      <c r="G37" s="4" t="s">
        <v>2639</v>
      </c>
      <c r="H37" s="4" t="s">
        <v>2386</v>
      </c>
      <c r="I37" s="110">
        <v>45167</v>
      </c>
    </row>
    <row r="38" spans="1:9">
      <c r="A38" s="66" t="s">
        <v>2637</v>
      </c>
      <c r="B38" s="103">
        <v>45207</v>
      </c>
      <c r="C38" s="13" t="s">
        <v>1350</v>
      </c>
      <c r="D38" s="13" t="s">
        <v>716</v>
      </c>
      <c r="E38" s="101">
        <v>3.7909999999999999</v>
      </c>
      <c r="F38" s="102" t="s">
        <v>2638</v>
      </c>
      <c r="G38" s="4" t="s">
        <v>2639</v>
      </c>
      <c r="H38" s="4" t="s">
        <v>2386</v>
      </c>
      <c r="I38" s="110">
        <v>45167</v>
      </c>
    </row>
    <row r="39" spans="1:9">
      <c r="A39" s="66" t="s">
        <v>2637</v>
      </c>
      <c r="B39" s="103">
        <v>45207</v>
      </c>
      <c r="C39" s="13" t="s">
        <v>1673</v>
      </c>
      <c r="D39" s="13" t="s">
        <v>716</v>
      </c>
      <c r="E39" s="101">
        <v>1.8220000000000001</v>
      </c>
      <c r="F39" s="102" t="s">
        <v>2638</v>
      </c>
      <c r="G39" s="4" t="s">
        <v>2639</v>
      </c>
      <c r="H39" s="4" t="s">
        <v>2386</v>
      </c>
      <c r="I39" s="110">
        <v>45167</v>
      </c>
    </row>
    <row r="40" spans="1:9">
      <c r="A40" s="66" t="s">
        <v>2637</v>
      </c>
      <c r="B40" s="103">
        <v>45207</v>
      </c>
      <c r="C40" s="13" t="s">
        <v>1761</v>
      </c>
      <c r="D40" s="13" t="s">
        <v>716</v>
      </c>
      <c r="E40" s="101">
        <v>5.1589999999999998</v>
      </c>
      <c r="F40" s="102" t="s">
        <v>2638</v>
      </c>
      <c r="G40" s="4" t="s">
        <v>2639</v>
      </c>
      <c r="H40" s="4" t="s">
        <v>2386</v>
      </c>
      <c r="I40" s="110">
        <v>45167</v>
      </c>
    </row>
    <row r="41" spans="1:9">
      <c r="A41" s="66" t="s">
        <v>2640</v>
      </c>
      <c r="B41" s="103">
        <v>45207</v>
      </c>
      <c r="C41" s="13" t="s">
        <v>1761</v>
      </c>
      <c r="D41" s="13" t="s">
        <v>716</v>
      </c>
      <c r="E41" s="101">
        <v>0.155</v>
      </c>
      <c r="F41" s="102" t="s">
        <v>2638</v>
      </c>
      <c r="G41" s="4" t="s">
        <v>2641</v>
      </c>
      <c r="H41" s="4" t="s">
        <v>2421</v>
      </c>
      <c r="I41" s="110">
        <v>45150</v>
      </c>
    </row>
    <row r="42" spans="1:9">
      <c r="A42" s="66" t="s">
        <v>2642</v>
      </c>
      <c r="B42" s="103">
        <v>45207</v>
      </c>
      <c r="C42" s="13" t="s">
        <v>1500</v>
      </c>
      <c r="D42" s="13" t="s">
        <v>716</v>
      </c>
      <c r="E42" s="101">
        <v>0.25900000000000001</v>
      </c>
      <c r="F42" s="102" t="s">
        <v>2638</v>
      </c>
      <c r="G42" s="4" t="s">
        <v>2641</v>
      </c>
      <c r="H42" s="4" t="s">
        <v>1929</v>
      </c>
      <c r="I42" s="110">
        <v>45139</v>
      </c>
    </row>
    <row r="43" spans="1:9">
      <c r="A43" s="66" t="s">
        <v>2643</v>
      </c>
      <c r="B43" s="103">
        <v>45207</v>
      </c>
      <c r="C43" s="13" t="s">
        <v>1226</v>
      </c>
      <c r="D43" s="13" t="s">
        <v>716</v>
      </c>
      <c r="E43" s="101">
        <v>1.8919999999999999</v>
      </c>
      <c r="F43" s="102" t="s">
        <v>2638</v>
      </c>
      <c r="G43" s="4" t="s">
        <v>2641</v>
      </c>
      <c r="H43" s="4" t="s">
        <v>2576</v>
      </c>
      <c r="I43" s="110">
        <v>45188</v>
      </c>
    </row>
    <row r="44" spans="1:9">
      <c r="A44" s="66" t="s">
        <v>2643</v>
      </c>
      <c r="B44" s="103">
        <v>45207</v>
      </c>
      <c r="C44" s="13" t="s">
        <v>1223</v>
      </c>
      <c r="D44" s="13" t="s">
        <v>716</v>
      </c>
      <c r="E44" s="101">
        <v>4.4580000000000002</v>
      </c>
      <c r="F44" s="102" t="s">
        <v>2638</v>
      </c>
      <c r="G44" s="4" t="s">
        <v>2641</v>
      </c>
      <c r="H44" s="4" t="s">
        <v>2576</v>
      </c>
      <c r="I44" s="110">
        <v>45188</v>
      </c>
    </row>
    <row r="45" spans="1:9">
      <c r="A45" s="66" t="s">
        <v>2643</v>
      </c>
      <c r="B45" s="103">
        <v>45207</v>
      </c>
      <c r="C45" s="13" t="s">
        <v>1370</v>
      </c>
      <c r="D45" s="13" t="s">
        <v>716</v>
      </c>
      <c r="E45" s="101">
        <v>0.66600000000000004</v>
      </c>
      <c r="F45" s="102" t="s">
        <v>2638</v>
      </c>
      <c r="G45" s="4" t="s">
        <v>2641</v>
      </c>
      <c r="H45" s="4" t="s">
        <v>2576</v>
      </c>
      <c r="I45" s="110">
        <v>45188</v>
      </c>
    </row>
    <row r="46" spans="1:9">
      <c r="A46" s="66" t="s">
        <v>2643</v>
      </c>
      <c r="B46" s="103">
        <v>45207</v>
      </c>
      <c r="C46" s="13" t="s">
        <v>1242</v>
      </c>
      <c r="D46" s="13" t="s">
        <v>716</v>
      </c>
      <c r="E46" s="101">
        <v>1.62</v>
      </c>
      <c r="F46" s="102" t="s">
        <v>2638</v>
      </c>
      <c r="G46" s="4" t="s">
        <v>2641</v>
      </c>
      <c r="H46" s="4" t="s">
        <v>2576</v>
      </c>
      <c r="I46" s="110">
        <v>45188</v>
      </c>
    </row>
    <row r="47" spans="1:9">
      <c r="A47" s="66" t="s">
        <v>2643</v>
      </c>
      <c r="B47" s="103">
        <v>45207</v>
      </c>
      <c r="C47" s="13" t="s">
        <v>1223</v>
      </c>
      <c r="D47" s="13" t="s">
        <v>716</v>
      </c>
      <c r="E47" s="101">
        <v>1.194</v>
      </c>
      <c r="F47" s="102" t="s">
        <v>2638</v>
      </c>
      <c r="G47" s="4" t="s">
        <v>2641</v>
      </c>
      <c r="H47" s="4" t="s">
        <v>2576</v>
      </c>
      <c r="I47" s="110">
        <v>45188</v>
      </c>
    </row>
    <row r="48" spans="1:9">
      <c r="A48" s="66" t="s">
        <v>2643</v>
      </c>
      <c r="B48" s="103">
        <v>45207</v>
      </c>
      <c r="C48" s="13" t="s">
        <v>1226</v>
      </c>
      <c r="D48" s="13" t="s">
        <v>716</v>
      </c>
      <c r="E48" s="101">
        <v>0.123</v>
      </c>
      <c r="F48" s="102" t="s">
        <v>2638</v>
      </c>
      <c r="G48" s="4" t="s">
        <v>2641</v>
      </c>
      <c r="H48" s="4" t="s">
        <v>2576</v>
      </c>
      <c r="I48" s="110">
        <v>45188</v>
      </c>
    </row>
    <row r="49" spans="1:9">
      <c r="A49" s="4"/>
      <c r="B49" s="109"/>
      <c r="C49" s="4"/>
      <c r="D49" s="4"/>
      <c r="E49" s="57">
        <f>SUM(E37:E48)</f>
        <v>32.807000000000002</v>
      </c>
      <c r="F49" s="102"/>
      <c r="G49" s="4"/>
      <c r="H49" s="4"/>
      <c r="I49" s="109"/>
    </row>
    <row r="50" spans="1:9">
      <c r="A50" s="66" t="s">
        <v>2661</v>
      </c>
      <c r="B50" s="103">
        <v>45210</v>
      </c>
      <c r="C50" s="13" t="s">
        <v>1730</v>
      </c>
      <c r="D50" s="13" t="s">
        <v>716</v>
      </c>
      <c r="E50" s="101">
        <f>6.169+1.843</f>
        <v>8.0120000000000005</v>
      </c>
      <c r="F50" s="102" t="s">
        <v>1235</v>
      </c>
      <c r="G50" s="4" t="s">
        <v>2662</v>
      </c>
      <c r="H50" s="4" t="s">
        <v>2663</v>
      </c>
      <c r="I50" s="110">
        <v>45188</v>
      </c>
    </row>
    <row r="51" spans="1:9">
      <c r="A51" s="66" t="s">
        <v>2664</v>
      </c>
      <c r="B51" s="103">
        <v>45210</v>
      </c>
      <c r="C51" s="13" t="s">
        <v>1366</v>
      </c>
      <c r="D51" s="13" t="s">
        <v>716</v>
      </c>
      <c r="E51" s="101">
        <v>10.718999999999999</v>
      </c>
      <c r="F51" s="102" t="s">
        <v>1235</v>
      </c>
      <c r="G51" s="4" t="s">
        <v>2665</v>
      </c>
      <c r="H51" s="4" t="s">
        <v>2386</v>
      </c>
      <c r="I51" s="110">
        <v>45167</v>
      </c>
    </row>
    <row r="52" spans="1:9">
      <c r="A52" s="66" t="s">
        <v>2664</v>
      </c>
      <c r="B52" s="103">
        <v>45210</v>
      </c>
      <c r="C52" s="13" t="s">
        <v>1408</v>
      </c>
      <c r="D52" s="13" t="s">
        <v>716</v>
      </c>
      <c r="E52" s="101">
        <v>6.4630000000000001</v>
      </c>
      <c r="F52" s="102" t="s">
        <v>1235</v>
      </c>
      <c r="G52" s="4" t="s">
        <v>2665</v>
      </c>
      <c r="H52" s="4" t="s">
        <v>2386</v>
      </c>
      <c r="I52" s="110">
        <v>45167</v>
      </c>
    </row>
    <row r="53" spans="1:9">
      <c r="A53" s="66" t="s">
        <v>2664</v>
      </c>
      <c r="B53" s="103">
        <v>45210</v>
      </c>
      <c r="C53" s="13" t="s">
        <v>1470</v>
      </c>
      <c r="D53" s="13" t="s">
        <v>716</v>
      </c>
      <c r="E53" s="101">
        <v>7.6509999999999998</v>
      </c>
      <c r="F53" s="102" t="s">
        <v>1235</v>
      </c>
      <c r="G53" s="4" t="s">
        <v>2665</v>
      </c>
      <c r="H53" s="4" t="s">
        <v>2386</v>
      </c>
      <c r="I53" s="110">
        <v>45167</v>
      </c>
    </row>
    <row r="54" spans="1:9">
      <c r="A54" s="66" t="s">
        <v>2666</v>
      </c>
      <c r="B54" s="103">
        <v>45210</v>
      </c>
      <c r="C54" s="13" t="s">
        <v>1507</v>
      </c>
      <c r="D54" s="13" t="s">
        <v>716</v>
      </c>
      <c r="E54" s="101">
        <f>2.589+27.502</f>
        <v>30.090999999999998</v>
      </c>
      <c r="F54" s="102" t="s">
        <v>2667</v>
      </c>
      <c r="G54" s="4" t="s">
        <v>2668</v>
      </c>
      <c r="H54" s="4" t="s">
        <v>2386</v>
      </c>
      <c r="I54" s="110">
        <v>45167</v>
      </c>
    </row>
    <row r="55" spans="1:9">
      <c r="A55" s="66" t="s">
        <v>2669</v>
      </c>
      <c r="B55" s="103">
        <v>45210</v>
      </c>
      <c r="C55" s="13" t="s">
        <v>1507</v>
      </c>
      <c r="D55" s="13" t="s">
        <v>716</v>
      </c>
      <c r="E55" s="101">
        <v>2.1219999999999999</v>
      </c>
      <c r="F55" s="102" t="s">
        <v>2667</v>
      </c>
      <c r="G55" s="4" t="s">
        <v>2670</v>
      </c>
      <c r="H55" s="4" t="s">
        <v>2663</v>
      </c>
      <c r="I55" s="110">
        <v>45188</v>
      </c>
    </row>
    <row r="56" spans="1:9">
      <c r="A56" s="66" t="s">
        <v>2675</v>
      </c>
      <c r="B56" s="103">
        <v>45210</v>
      </c>
      <c r="C56" s="13" t="s">
        <v>1370</v>
      </c>
      <c r="D56" s="13" t="s">
        <v>716</v>
      </c>
      <c r="E56" s="101">
        <f>1.923+12.31</f>
        <v>14.233000000000001</v>
      </c>
      <c r="F56" s="102" t="s">
        <v>926</v>
      </c>
      <c r="G56" s="4" t="s">
        <v>2676</v>
      </c>
      <c r="H56" s="4" t="s">
        <v>2386</v>
      </c>
      <c r="I56" s="110">
        <v>45167</v>
      </c>
    </row>
    <row r="57" spans="1:9">
      <c r="A57" s="66" t="s">
        <v>2675</v>
      </c>
      <c r="B57" s="103">
        <v>45210</v>
      </c>
      <c r="C57" s="13" t="s">
        <v>1500</v>
      </c>
      <c r="D57" s="13" t="s">
        <v>716</v>
      </c>
      <c r="E57" s="101">
        <v>16.38</v>
      </c>
      <c r="F57" s="102" t="s">
        <v>926</v>
      </c>
      <c r="G57" s="4" t="s">
        <v>2676</v>
      </c>
      <c r="H57" s="4" t="s">
        <v>2386</v>
      </c>
      <c r="I57" s="110">
        <v>45167</v>
      </c>
    </row>
    <row r="58" spans="1:9">
      <c r="A58" s="66" t="s">
        <v>2677</v>
      </c>
      <c r="B58" s="103">
        <v>45210</v>
      </c>
      <c r="C58" s="13" t="s">
        <v>1453</v>
      </c>
      <c r="D58" s="13" t="s">
        <v>716</v>
      </c>
      <c r="E58" s="101">
        <v>0.13800000000000001</v>
      </c>
      <c r="F58" s="102" t="s">
        <v>926</v>
      </c>
      <c r="G58" s="4" t="s">
        <v>2678</v>
      </c>
      <c r="H58" s="4" t="s">
        <v>2663</v>
      </c>
      <c r="I58" s="110">
        <v>45188</v>
      </c>
    </row>
    <row r="59" spans="1:9">
      <c r="A59" s="66" t="s">
        <v>2677</v>
      </c>
      <c r="B59" s="103">
        <v>45210</v>
      </c>
      <c r="C59" s="13" t="s">
        <v>1500</v>
      </c>
      <c r="D59" s="13" t="s">
        <v>716</v>
      </c>
      <c r="E59" s="101">
        <v>2.0259999999999998</v>
      </c>
      <c r="F59" s="102" t="s">
        <v>926</v>
      </c>
      <c r="G59" s="4" t="s">
        <v>2678</v>
      </c>
      <c r="H59" s="4" t="s">
        <v>2663</v>
      </c>
      <c r="I59" s="110">
        <v>45188</v>
      </c>
    </row>
    <row r="60" spans="1:9">
      <c r="A60" s="4"/>
      <c r="B60" s="109"/>
      <c r="C60" s="4"/>
      <c r="D60" s="4"/>
      <c r="E60" s="57">
        <f>SUM(E50:E59)</f>
        <v>97.834999999999994</v>
      </c>
      <c r="F60" s="102"/>
      <c r="G60" s="4"/>
      <c r="H60" s="4"/>
      <c r="I60" s="109"/>
    </row>
    <row r="61" spans="1:9">
      <c r="A61" s="66" t="s">
        <v>2684</v>
      </c>
      <c r="B61" s="103">
        <v>45211</v>
      </c>
      <c r="C61" s="13" t="s">
        <v>1317</v>
      </c>
      <c r="D61" s="13" t="s">
        <v>716</v>
      </c>
      <c r="E61" s="101">
        <v>5.4139999999999997</v>
      </c>
      <c r="F61" s="102" t="s">
        <v>2685</v>
      </c>
      <c r="G61" s="4" t="s">
        <v>2686</v>
      </c>
      <c r="H61" s="4" t="s">
        <v>2576</v>
      </c>
      <c r="I61" s="110">
        <v>45188</v>
      </c>
    </row>
    <row r="62" spans="1:9">
      <c r="A62" s="66" t="s">
        <v>2684</v>
      </c>
      <c r="B62" s="103">
        <v>45211</v>
      </c>
      <c r="C62" s="13" t="s">
        <v>1342</v>
      </c>
      <c r="D62" s="13" t="s">
        <v>716</v>
      </c>
      <c r="E62" s="101">
        <v>1.706</v>
      </c>
      <c r="F62" s="102" t="s">
        <v>2685</v>
      </c>
      <c r="G62" s="4" t="s">
        <v>2686</v>
      </c>
      <c r="H62" s="4" t="s">
        <v>2576</v>
      </c>
      <c r="I62" s="110">
        <v>45188</v>
      </c>
    </row>
    <row r="63" spans="1:9">
      <c r="A63" s="66" t="s">
        <v>2684</v>
      </c>
      <c r="B63" s="103">
        <v>45211</v>
      </c>
      <c r="C63" s="13" t="s">
        <v>1251</v>
      </c>
      <c r="D63" s="13" t="s">
        <v>716</v>
      </c>
      <c r="E63" s="101">
        <v>5.1740000000000004</v>
      </c>
      <c r="F63" s="102" t="s">
        <v>2685</v>
      </c>
      <c r="G63" s="4" t="s">
        <v>2686</v>
      </c>
      <c r="H63" s="4" t="s">
        <v>2576</v>
      </c>
      <c r="I63" s="110">
        <v>45188</v>
      </c>
    </row>
    <row r="64" spans="1:9">
      <c r="A64" s="66" t="s">
        <v>2684</v>
      </c>
      <c r="B64" s="103">
        <v>45211</v>
      </c>
      <c r="C64" s="13" t="s">
        <v>1350</v>
      </c>
      <c r="D64" s="13" t="s">
        <v>716</v>
      </c>
      <c r="E64" s="101">
        <f>0.38+3.681</f>
        <v>4.0609999999999999</v>
      </c>
      <c r="F64" s="102" t="s">
        <v>2685</v>
      </c>
      <c r="G64" s="4" t="s">
        <v>2686</v>
      </c>
      <c r="H64" s="4" t="s">
        <v>2576</v>
      </c>
      <c r="I64" s="110">
        <v>45188</v>
      </c>
    </row>
    <row r="65" spans="1:9">
      <c r="A65" s="66" t="s">
        <v>2684</v>
      </c>
      <c r="B65" s="103">
        <v>45211</v>
      </c>
      <c r="C65" s="13" t="s">
        <v>1459</v>
      </c>
      <c r="D65" s="13" t="s">
        <v>716</v>
      </c>
      <c r="E65" s="101">
        <v>0.61199999999999999</v>
      </c>
      <c r="F65" s="102" t="s">
        <v>2685</v>
      </c>
      <c r="G65" s="4" t="s">
        <v>2686</v>
      </c>
      <c r="H65" s="4" t="s">
        <v>2576</v>
      </c>
      <c r="I65" s="110">
        <v>45188</v>
      </c>
    </row>
    <row r="66" spans="1:9">
      <c r="A66" s="66" t="s">
        <v>2684</v>
      </c>
      <c r="B66" s="103">
        <v>45211</v>
      </c>
      <c r="C66" s="13" t="s">
        <v>2273</v>
      </c>
      <c r="D66" s="13" t="s">
        <v>716</v>
      </c>
      <c r="E66" s="101">
        <v>1.544</v>
      </c>
      <c r="F66" s="102" t="s">
        <v>2685</v>
      </c>
      <c r="G66" s="4" t="s">
        <v>2686</v>
      </c>
      <c r="H66" s="4" t="s">
        <v>2576</v>
      </c>
      <c r="I66" s="110">
        <v>45188</v>
      </c>
    </row>
    <row r="67" spans="1:9">
      <c r="A67" s="66" t="s">
        <v>2684</v>
      </c>
      <c r="B67" s="103">
        <v>45211</v>
      </c>
      <c r="C67" s="13" t="s">
        <v>1352</v>
      </c>
      <c r="D67" s="13" t="s">
        <v>716</v>
      </c>
      <c r="E67" s="101">
        <v>1.764</v>
      </c>
      <c r="F67" s="102" t="s">
        <v>2685</v>
      </c>
      <c r="G67" s="4" t="s">
        <v>2686</v>
      </c>
      <c r="H67" s="4" t="s">
        <v>2576</v>
      </c>
      <c r="I67" s="110">
        <v>45188</v>
      </c>
    </row>
    <row r="68" spans="1:9">
      <c r="A68" s="66" t="s">
        <v>2684</v>
      </c>
      <c r="B68" s="103">
        <v>45211</v>
      </c>
      <c r="C68" s="13" t="s">
        <v>1317</v>
      </c>
      <c r="D68" s="13" t="s">
        <v>716</v>
      </c>
      <c r="E68" s="101">
        <v>2.1659999999999999</v>
      </c>
      <c r="F68" s="102" t="s">
        <v>2685</v>
      </c>
      <c r="G68" s="4" t="s">
        <v>2686</v>
      </c>
      <c r="H68" s="4" t="s">
        <v>2576</v>
      </c>
      <c r="I68" s="110">
        <v>45188</v>
      </c>
    </row>
    <row r="69" spans="1:9">
      <c r="A69" s="66" t="s">
        <v>2684</v>
      </c>
      <c r="B69" s="103">
        <v>45211</v>
      </c>
      <c r="C69" s="13" t="s">
        <v>1342</v>
      </c>
      <c r="D69" s="13" t="s">
        <v>716</v>
      </c>
      <c r="E69" s="101">
        <v>0.64300000000000002</v>
      </c>
      <c r="F69" s="102" t="s">
        <v>2685</v>
      </c>
      <c r="G69" s="4" t="s">
        <v>2686</v>
      </c>
      <c r="H69" s="4" t="s">
        <v>2576</v>
      </c>
      <c r="I69" s="110">
        <v>45188</v>
      </c>
    </row>
    <row r="70" spans="1:9">
      <c r="A70" s="66" t="s">
        <v>2684</v>
      </c>
      <c r="B70" s="103">
        <v>45211</v>
      </c>
      <c r="C70" s="13" t="s">
        <v>1251</v>
      </c>
      <c r="D70" s="13" t="s">
        <v>716</v>
      </c>
      <c r="E70" s="101">
        <v>4.9939999999999998</v>
      </c>
      <c r="F70" s="102" t="s">
        <v>2685</v>
      </c>
      <c r="G70" s="4" t="s">
        <v>2686</v>
      </c>
      <c r="H70" s="4" t="s">
        <v>2576</v>
      </c>
      <c r="I70" s="110">
        <v>45188</v>
      </c>
    </row>
    <row r="71" spans="1:9">
      <c r="A71" s="66" t="s">
        <v>2684</v>
      </c>
      <c r="B71" s="103">
        <v>45211</v>
      </c>
      <c r="C71" s="13" t="s">
        <v>1352</v>
      </c>
      <c r="D71" s="13" t="s">
        <v>716</v>
      </c>
      <c r="E71" s="101">
        <v>0.52300000000000002</v>
      </c>
      <c r="F71" s="102" t="s">
        <v>2685</v>
      </c>
      <c r="G71" s="4" t="s">
        <v>2686</v>
      </c>
      <c r="H71" s="4" t="s">
        <v>2576</v>
      </c>
      <c r="I71" s="110">
        <v>45188</v>
      </c>
    </row>
    <row r="72" spans="1:9">
      <c r="A72" s="66" t="s">
        <v>2684</v>
      </c>
      <c r="B72" s="103">
        <v>45211</v>
      </c>
      <c r="C72" s="13" t="s">
        <v>1350</v>
      </c>
      <c r="D72" s="13" t="s">
        <v>716</v>
      </c>
      <c r="E72" s="101">
        <f>0.627+1.137</f>
        <v>1.764</v>
      </c>
      <c r="F72" s="102" t="s">
        <v>2685</v>
      </c>
      <c r="G72" s="4" t="s">
        <v>2686</v>
      </c>
      <c r="H72" s="4" t="s">
        <v>2576</v>
      </c>
      <c r="I72" s="110">
        <v>45188</v>
      </c>
    </row>
    <row r="73" spans="1:9">
      <c r="A73" s="66" t="s">
        <v>2684</v>
      </c>
      <c r="B73" s="103">
        <v>45211</v>
      </c>
      <c r="C73" s="13" t="s">
        <v>1459</v>
      </c>
      <c r="D73" s="13" t="s">
        <v>716</v>
      </c>
      <c r="E73" s="101">
        <v>0.37</v>
      </c>
      <c r="F73" s="102" t="s">
        <v>2685</v>
      </c>
      <c r="G73" s="4" t="s">
        <v>2686</v>
      </c>
      <c r="H73" s="4" t="s">
        <v>2576</v>
      </c>
      <c r="I73" s="110">
        <v>45188</v>
      </c>
    </row>
    <row r="74" spans="1:9">
      <c r="A74" s="66" t="s">
        <v>2684</v>
      </c>
      <c r="B74" s="103">
        <v>45211</v>
      </c>
      <c r="C74" s="13" t="s">
        <v>2273</v>
      </c>
      <c r="D74" s="13" t="s">
        <v>716</v>
      </c>
      <c r="E74" s="101">
        <v>0.51200000000000001</v>
      </c>
      <c r="F74" s="102" t="s">
        <v>2685</v>
      </c>
      <c r="G74" s="4" t="s">
        <v>2686</v>
      </c>
      <c r="H74" s="4" t="s">
        <v>2576</v>
      </c>
      <c r="I74" s="110">
        <v>45188</v>
      </c>
    </row>
    <row r="75" spans="1:9">
      <c r="A75" s="66" t="s">
        <v>2684</v>
      </c>
      <c r="B75" s="103">
        <v>45211</v>
      </c>
      <c r="C75" s="13" t="s">
        <v>2683</v>
      </c>
      <c r="D75" s="13" t="s">
        <v>716</v>
      </c>
      <c r="E75" s="101">
        <v>0.70699999999999996</v>
      </c>
      <c r="F75" s="102" t="s">
        <v>2685</v>
      </c>
      <c r="G75" s="4" t="s">
        <v>2686</v>
      </c>
      <c r="H75" s="4" t="s">
        <v>2576</v>
      </c>
      <c r="I75" s="110">
        <v>45188</v>
      </c>
    </row>
    <row r="76" spans="1:9">
      <c r="A76" s="66" t="s">
        <v>2687</v>
      </c>
      <c r="B76" s="103">
        <v>45211</v>
      </c>
      <c r="C76" s="13" t="s">
        <v>1350</v>
      </c>
      <c r="D76" s="13" t="s">
        <v>716</v>
      </c>
      <c r="E76" s="101">
        <v>0.46300000000000002</v>
      </c>
      <c r="F76" s="102" t="s">
        <v>2685</v>
      </c>
      <c r="G76" s="4" t="s">
        <v>2688</v>
      </c>
      <c r="H76" s="4" t="s">
        <v>2689</v>
      </c>
      <c r="I76" s="110">
        <v>45197</v>
      </c>
    </row>
    <row r="77" spans="1:9">
      <c r="A77" s="66" t="s">
        <v>2693</v>
      </c>
      <c r="B77" s="103">
        <v>45211</v>
      </c>
      <c r="C77" s="13" t="s">
        <v>1260</v>
      </c>
      <c r="D77" s="13" t="s">
        <v>716</v>
      </c>
      <c r="E77" s="101">
        <v>5.2460000000000004</v>
      </c>
      <c r="F77" s="102" t="s">
        <v>2638</v>
      </c>
      <c r="G77" s="4" t="s">
        <v>2691</v>
      </c>
      <c r="H77" s="4" t="s">
        <v>2576</v>
      </c>
      <c r="I77" s="110">
        <v>45188</v>
      </c>
    </row>
    <row r="78" spans="1:9">
      <c r="A78" s="66" t="s">
        <v>2693</v>
      </c>
      <c r="B78" s="103">
        <v>45211</v>
      </c>
      <c r="C78" s="13" t="s">
        <v>1459</v>
      </c>
      <c r="D78" s="13" t="s">
        <v>716</v>
      </c>
      <c r="E78" s="101">
        <v>1.6040000000000001</v>
      </c>
      <c r="F78" s="102" t="s">
        <v>2638</v>
      </c>
      <c r="G78" s="4" t="s">
        <v>2691</v>
      </c>
      <c r="H78" s="4" t="s">
        <v>2576</v>
      </c>
      <c r="I78" s="110">
        <v>45188</v>
      </c>
    </row>
    <row r="79" spans="1:9">
      <c r="A79" s="66" t="s">
        <v>2693</v>
      </c>
      <c r="B79" s="103">
        <v>45211</v>
      </c>
      <c r="C79" s="13" t="s">
        <v>1350</v>
      </c>
      <c r="D79" s="13" t="s">
        <v>716</v>
      </c>
      <c r="E79" s="101">
        <v>0.30599999999999999</v>
      </c>
      <c r="F79" s="102" t="s">
        <v>2638</v>
      </c>
      <c r="G79" s="4" t="s">
        <v>2691</v>
      </c>
      <c r="H79" s="4" t="s">
        <v>2576</v>
      </c>
      <c r="I79" s="110">
        <v>45188</v>
      </c>
    </row>
    <row r="80" spans="1:9">
      <c r="A80" s="66" t="s">
        <v>2693</v>
      </c>
      <c r="B80" s="103">
        <v>45211</v>
      </c>
      <c r="C80" s="13" t="s">
        <v>1459</v>
      </c>
      <c r="D80" s="13" t="s">
        <v>716</v>
      </c>
      <c r="E80" s="101">
        <v>1.738</v>
      </c>
      <c r="F80" s="102" t="s">
        <v>2638</v>
      </c>
      <c r="G80" s="4" t="s">
        <v>2691</v>
      </c>
      <c r="H80" s="4" t="s">
        <v>2576</v>
      </c>
      <c r="I80" s="110">
        <v>45188</v>
      </c>
    </row>
    <row r="81" spans="1:9">
      <c r="A81" s="66" t="s">
        <v>2693</v>
      </c>
      <c r="B81" s="103">
        <v>45211</v>
      </c>
      <c r="C81" s="13" t="s">
        <v>1251</v>
      </c>
      <c r="D81" s="13" t="s">
        <v>716</v>
      </c>
      <c r="E81" s="101">
        <v>0.78</v>
      </c>
      <c r="F81" s="102" t="s">
        <v>2638</v>
      </c>
      <c r="G81" s="4" t="s">
        <v>2691</v>
      </c>
      <c r="H81" s="4" t="s">
        <v>2576</v>
      </c>
      <c r="I81" s="110">
        <v>45188</v>
      </c>
    </row>
    <row r="82" spans="1:9">
      <c r="A82" s="66" t="s">
        <v>2693</v>
      </c>
      <c r="B82" s="103">
        <v>45211</v>
      </c>
      <c r="C82" s="13" t="s">
        <v>1251</v>
      </c>
      <c r="D82" s="13" t="s">
        <v>716</v>
      </c>
      <c r="E82" s="101">
        <v>7.1130000000000004</v>
      </c>
      <c r="F82" s="102" t="s">
        <v>2638</v>
      </c>
      <c r="G82" s="4" t="s">
        <v>2691</v>
      </c>
      <c r="H82" s="4" t="s">
        <v>2576</v>
      </c>
      <c r="I82" s="110">
        <v>45188</v>
      </c>
    </row>
    <row r="83" spans="1:9">
      <c r="A83" s="66" t="s">
        <v>2693</v>
      </c>
      <c r="B83" s="103">
        <v>45211</v>
      </c>
      <c r="C83" s="13" t="s">
        <v>1342</v>
      </c>
      <c r="D83" s="13" t="s">
        <v>716</v>
      </c>
      <c r="E83" s="101">
        <v>4.3559999999999999</v>
      </c>
      <c r="F83" s="102" t="s">
        <v>2638</v>
      </c>
      <c r="G83" s="4" t="s">
        <v>2691</v>
      </c>
      <c r="H83" s="4" t="s">
        <v>2576</v>
      </c>
      <c r="I83" s="110">
        <v>45188</v>
      </c>
    </row>
    <row r="84" spans="1:9">
      <c r="A84" s="66" t="s">
        <v>2693</v>
      </c>
      <c r="B84" s="103">
        <v>45211</v>
      </c>
      <c r="C84" s="13" t="s">
        <v>1251</v>
      </c>
      <c r="D84" s="13" t="s">
        <v>716</v>
      </c>
      <c r="E84" s="101">
        <v>2.7040000000000002</v>
      </c>
      <c r="F84" s="102" t="s">
        <v>2638</v>
      </c>
      <c r="G84" s="4" t="s">
        <v>2691</v>
      </c>
      <c r="H84" s="4" t="s">
        <v>2576</v>
      </c>
      <c r="I84" s="110">
        <v>45188</v>
      </c>
    </row>
    <row r="85" spans="1:9">
      <c r="A85" s="66" t="s">
        <v>2693</v>
      </c>
      <c r="B85" s="103">
        <v>45211</v>
      </c>
      <c r="C85" s="13" t="s">
        <v>2273</v>
      </c>
      <c r="D85" s="13" t="s">
        <v>716</v>
      </c>
      <c r="E85" s="101">
        <f>3.839+1.158</f>
        <v>4.9969999999999999</v>
      </c>
      <c r="F85" s="102" t="s">
        <v>2638</v>
      </c>
      <c r="G85" s="4" t="s">
        <v>2691</v>
      </c>
      <c r="H85" s="4" t="s">
        <v>2576</v>
      </c>
      <c r="I85" s="110">
        <v>45188</v>
      </c>
    </row>
    <row r="86" spans="1:9">
      <c r="A86" s="66" t="s">
        <v>2693</v>
      </c>
      <c r="B86" s="103">
        <v>45211</v>
      </c>
      <c r="C86" s="13" t="s">
        <v>1352</v>
      </c>
      <c r="D86" s="13" t="s">
        <v>716</v>
      </c>
      <c r="E86" s="101">
        <v>2.778</v>
      </c>
      <c r="F86" s="102" t="s">
        <v>2638</v>
      </c>
      <c r="G86" s="4" t="s">
        <v>2691</v>
      </c>
      <c r="H86" s="4" t="s">
        <v>2576</v>
      </c>
      <c r="I86" s="110">
        <v>45188</v>
      </c>
    </row>
    <row r="87" spans="1:9">
      <c r="A87" s="66" t="s">
        <v>2690</v>
      </c>
      <c r="B87" s="103">
        <v>45211</v>
      </c>
      <c r="C87" s="13" t="s">
        <v>1370</v>
      </c>
      <c r="D87" s="13" t="s">
        <v>716</v>
      </c>
      <c r="E87" s="101">
        <v>0.76600000000000001</v>
      </c>
      <c r="F87" s="102" t="s">
        <v>2638</v>
      </c>
      <c r="G87" s="4" t="s">
        <v>2694</v>
      </c>
      <c r="H87" s="4" t="s">
        <v>2386</v>
      </c>
      <c r="I87" s="110">
        <v>45167</v>
      </c>
    </row>
    <row r="88" spans="1:9">
      <c r="A88" s="4"/>
      <c r="B88" s="109"/>
      <c r="C88" s="4"/>
      <c r="D88" s="4"/>
      <c r="E88" s="132">
        <f>SUM(E61:E87)</f>
        <v>64.805000000000007</v>
      </c>
      <c r="F88" s="102"/>
      <c r="G88" s="4"/>
      <c r="H88" s="4"/>
      <c r="I88" s="109"/>
    </row>
    <row r="89" spans="1:9">
      <c r="A89" s="66" t="s">
        <v>2714</v>
      </c>
      <c r="B89" s="103">
        <v>45215</v>
      </c>
      <c r="C89" s="13" t="s">
        <v>1507</v>
      </c>
      <c r="D89" s="13" t="s">
        <v>716</v>
      </c>
      <c r="E89" s="101">
        <v>1.1140000000000001</v>
      </c>
      <c r="F89" s="24" t="s">
        <v>1886</v>
      </c>
      <c r="G89" s="1" t="s">
        <v>2715</v>
      </c>
      <c r="H89" s="4" t="s">
        <v>2386</v>
      </c>
      <c r="I89" s="110">
        <v>45167</v>
      </c>
    </row>
    <row r="90" spans="1:9">
      <c r="A90" s="66" t="s">
        <v>2714</v>
      </c>
      <c r="B90" s="103">
        <v>45215</v>
      </c>
      <c r="C90" s="13" t="s">
        <v>1370</v>
      </c>
      <c r="D90" s="13" t="s">
        <v>716</v>
      </c>
      <c r="E90" s="101">
        <f>0.094+0.826</f>
        <v>0.91999999999999993</v>
      </c>
      <c r="F90" s="24" t="s">
        <v>1886</v>
      </c>
      <c r="G90" s="1" t="s">
        <v>2715</v>
      </c>
      <c r="H90" s="4" t="s">
        <v>2386</v>
      </c>
      <c r="I90" s="110">
        <v>45167</v>
      </c>
    </row>
    <row r="91" spans="1:9">
      <c r="A91" s="66" t="s">
        <v>2716</v>
      </c>
      <c r="B91" s="103">
        <v>45215</v>
      </c>
      <c r="C91" s="13" t="s">
        <v>2500</v>
      </c>
      <c r="D91" s="13" t="s">
        <v>716</v>
      </c>
      <c r="E91" s="101">
        <v>0.371</v>
      </c>
      <c r="F91" s="24" t="s">
        <v>1886</v>
      </c>
      <c r="G91" s="1" t="s">
        <v>2717</v>
      </c>
      <c r="H91" s="1" t="s">
        <v>2663</v>
      </c>
      <c r="I91" s="110">
        <v>45188</v>
      </c>
    </row>
    <row r="92" spans="1:9">
      <c r="A92" s="66" t="s">
        <v>2719</v>
      </c>
      <c r="B92" s="103">
        <v>45215</v>
      </c>
      <c r="C92" s="13" t="s">
        <v>1342</v>
      </c>
      <c r="D92" s="13" t="s">
        <v>716</v>
      </c>
      <c r="E92" s="101">
        <v>0.46</v>
      </c>
      <c r="F92" s="24" t="s">
        <v>1886</v>
      </c>
      <c r="G92" s="1" t="s">
        <v>2717</v>
      </c>
      <c r="H92" s="4" t="s">
        <v>2576</v>
      </c>
      <c r="I92" s="110">
        <v>45188</v>
      </c>
    </row>
    <row r="93" spans="1:9">
      <c r="A93" s="66" t="s">
        <v>2719</v>
      </c>
      <c r="B93" s="103">
        <v>45215</v>
      </c>
      <c r="C93" s="13" t="s">
        <v>1251</v>
      </c>
      <c r="D93" s="13" t="s">
        <v>716</v>
      </c>
      <c r="E93" s="101">
        <v>1.772</v>
      </c>
      <c r="F93" s="24" t="s">
        <v>1886</v>
      </c>
      <c r="G93" s="1" t="s">
        <v>2717</v>
      </c>
      <c r="H93" s="4" t="s">
        <v>2576</v>
      </c>
      <c r="I93" s="110">
        <v>45188</v>
      </c>
    </row>
    <row r="94" spans="1:9">
      <c r="A94" s="66" t="s">
        <v>2719</v>
      </c>
      <c r="B94" s="103">
        <v>45215</v>
      </c>
      <c r="C94" s="13" t="s">
        <v>1379</v>
      </c>
      <c r="D94" s="13" t="s">
        <v>716</v>
      </c>
      <c r="E94" s="101">
        <v>0.70799999999999996</v>
      </c>
      <c r="F94" s="24" t="s">
        <v>1886</v>
      </c>
      <c r="G94" s="1" t="s">
        <v>2717</v>
      </c>
      <c r="H94" s="4" t="s">
        <v>2576</v>
      </c>
      <c r="I94" s="110">
        <v>45188</v>
      </c>
    </row>
    <row r="95" spans="1:9">
      <c r="A95" s="66" t="s">
        <v>2719</v>
      </c>
      <c r="B95" s="103">
        <v>45215</v>
      </c>
      <c r="C95" s="13" t="s">
        <v>1350</v>
      </c>
      <c r="D95" s="13" t="s">
        <v>716</v>
      </c>
      <c r="E95" s="101">
        <v>0.21299999999999999</v>
      </c>
      <c r="F95" s="24" t="s">
        <v>1886</v>
      </c>
      <c r="G95" s="1" t="s">
        <v>2717</v>
      </c>
      <c r="H95" s="4" t="s">
        <v>2576</v>
      </c>
      <c r="I95" s="110">
        <v>45188</v>
      </c>
    </row>
    <row r="96" spans="1:9">
      <c r="A96" s="66" t="s">
        <v>2719</v>
      </c>
      <c r="B96" s="103">
        <v>45215</v>
      </c>
      <c r="C96" s="13" t="s">
        <v>2718</v>
      </c>
      <c r="D96" s="13" t="s">
        <v>716</v>
      </c>
      <c r="E96" s="101">
        <v>0.39400000000000002</v>
      </c>
      <c r="F96" s="24" t="s">
        <v>1886</v>
      </c>
      <c r="G96" s="1" t="s">
        <v>2717</v>
      </c>
      <c r="H96" s="4" t="s">
        <v>2576</v>
      </c>
      <c r="I96" s="110">
        <v>45188</v>
      </c>
    </row>
    <row r="97" spans="1:9">
      <c r="A97" s="66" t="s">
        <v>2719</v>
      </c>
      <c r="B97" s="103">
        <v>45215</v>
      </c>
      <c r="C97" s="13" t="s">
        <v>1341</v>
      </c>
      <c r="D97" s="13" t="s">
        <v>716</v>
      </c>
      <c r="E97" s="101">
        <v>0.16700000000000001</v>
      </c>
      <c r="F97" s="24" t="s">
        <v>1886</v>
      </c>
      <c r="G97" s="1" t="s">
        <v>2717</v>
      </c>
      <c r="H97" s="4" t="s">
        <v>2576</v>
      </c>
      <c r="I97" s="110">
        <v>45188</v>
      </c>
    </row>
    <row r="98" spans="1:9">
      <c r="A98" s="66" t="s">
        <v>2719</v>
      </c>
      <c r="B98" s="103">
        <v>45215</v>
      </c>
      <c r="C98" s="13" t="s">
        <v>1342</v>
      </c>
      <c r="D98" s="13" t="s">
        <v>716</v>
      </c>
      <c r="E98" s="101">
        <v>0.51500000000000001</v>
      </c>
      <c r="F98" s="24" t="s">
        <v>1886</v>
      </c>
      <c r="G98" s="1" t="s">
        <v>2717</v>
      </c>
      <c r="H98" s="4" t="s">
        <v>2576</v>
      </c>
      <c r="I98" s="110">
        <v>45188</v>
      </c>
    </row>
    <row r="99" spans="1:9">
      <c r="A99" s="66" t="s">
        <v>2719</v>
      </c>
      <c r="B99" s="103">
        <v>45215</v>
      </c>
      <c r="C99" s="13" t="s">
        <v>1350</v>
      </c>
      <c r="D99" s="13" t="s">
        <v>716</v>
      </c>
      <c r="E99" s="101">
        <v>0.58799999999999997</v>
      </c>
      <c r="F99" s="24" t="s">
        <v>1886</v>
      </c>
      <c r="G99" s="1" t="s">
        <v>2717</v>
      </c>
      <c r="H99" s="4" t="s">
        <v>2576</v>
      </c>
      <c r="I99" s="110">
        <v>45188</v>
      </c>
    </row>
    <row r="100" spans="1:9">
      <c r="A100" s="66" t="s">
        <v>2720</v>
      </c>
      <c r="B100" s="103">
        <v>45215</v>
      </c>
      <c r="C100" s="13" t="s">
        <v>1255</v>
      </c>
      <c r="D100" s="13" t="s">
        <v>716</v>
      </c>
      <c r="E100" s="101">
        <v>0.42499999999999999</v>
      </c>
      <c r="F100" s="24" t="s">
        <v>1886</v>
      </c>
      <c r="G100" s="1" t="s">
        <v>2717</v>
      </c>
      <c r="H100" s="1" t="s">
        <v>2722</v>
      </c>
      <c r="I100" s="110">
        <v>45214</v>
      </c>
    </row>
    <row r="101" spans="1:9">
      <c r="A101" s="66" t="s">
        <v>2720</v>
      </c>
      <c r="B101" s="103">
        <v>45215</v>
      </c>
      <c r="C101" s="13" t="s">
        <v>2721</v>
      </c>
      <c r="D101" s="13" t="s">
        <v>716</v>
      </c>
      <c r="E101" s="101">
        <v>0.61799999999999999</v>
      </c>
      <c r="F101" s="24" t="s">
        <v>1886</v>
      </c>
      <c r="G101" s="1" t="s">
        <v>2717</v>
      </c>
      <c r="H101" s="1" t="s">
        <v>2722</v>
      </c>
      <c r="I101" s="110">
        <v>45214</v>
      </c>
    </row>
    <row r="102" spans="1:9">
      <c r="A102" s="66" t="s">
        <v>2720</v>
      </c>
      <c r="B102" s="103">
        <v>45215</v>
      </c>
      <c r="C102" s="13" t="s">
        <v>1328</v>
      </c>
      <c r="D102" s="13" t="s">
        <v>716</v>
      </c>
      <c r="E102" s="101">
        <v>0.88</v>
      </c>
      <c r="F102" s="24" t="s">
        <v>1886</v>
      </c>
      <c r="G102" s="1" t="s">
        <v>2717</v>
      </c>
      <c r="H102" s="1" t="s">
        <v>2722</v>
      </c>
      <c r="I102" s="110">
        <v>45214</v>
      </c>
    </row>
    <row r="103" spans="1:9">
      <c r="A103" s="66" t="s">
        <v>2720</v>
      </c>
      <c r="B103" s="103">
        <v>45215</v>
      </c>
      <c r="C103" s="13" t="s">
        <v>1303</v>
      </c>
      <c r="D103" s="13" t="s">
        <v>716</v>
      </c>
      <c r="E103" s="101">
        <v>0.41</v>
      </c>
      <c r="F103" s="24" t="s">
        <v>1886</v>
      </c>
      <c r="G103" s="1" t="s">
        <v>2717</v>
      </c>
      <c r="H103" s="1" t="s">
        <v>2722</v>
      </c>
      <c r="I103" s="110">
        <v>45214</v>
      </c>
    </row>
    <row r="104" spans="1:9">
      <c r="A104" s="66" t="s">
        <v>2720</v>
      </c>
      <c r="B104" s="103">
        <v>45215</v>
      </c>
      <c r="C104" s="13" t="s">
        <v>1365</v>
      </c>
      <c r="D104" s="13" t="s">
        <v>716</v>
      </c>
      <c r="E104" s="101">
        <v>1.7869999999999999</v>
      </c>
      <c r="F104" s="24" t="s">
        <v>1886</v>
      </c>
      <c r="G104" s="1" t="s">
        <v>2717</v>
      </c>
      <c r="H104" s="1" t="s">
        <v>2722</v>
      </c>
      <c r="I104" s="110">
        <v>45214</v>
      </c>
    </row>
    <row r="105" spans="1:9">
      <c r="A105" s="66" t="s">
        <v>2720</v>
      </c>
      <c r="B105" s="103">
        <v>45215</v>
      </c>
      <c r="C105" s="13" t="s">
        <v>1355</v>
      </c>
      <c r="D105" s="13" t="s">
        <v>716</v>
      </c>
      <c r="E105" s="101">
        <v>0.54100000000000004</v>
      </c>
      <c r="F105" s="24" t="s">
        <v>1886</v>
      </c>
      <c r="G105" s="1" t="s">
        <v>2717</v>
      </c>
      <c r="H105" s="1" t="s">
        <v>2722</v>
      </c>
      <c r="I105" s="110">
        <v>45214</v>
      </c>
    </row>
    <row r="106" spans="1:9">
      <c r="A106" s="66" t="s">
        <v>2720</v>
      </c>
      <c r="B106" s="103">
        <v>45215</v>
      </c>
      <c r="C106" s="13" t="s">
        <v>1245</v>
      </c>
      <c r="D106" s="13" t="s">
        <v>716</v>
      </c>
      <c r="E106" s="101">
        <v>1.7270000000000001</v>
      </c>
      <c r="F106" s="24" t="s">
        <v>1886</v>
      </c>
      <c r="G106" s="1" t="s">
        <v>2717</v>
      </c>
      <c r="H106" s="1" t="s">
        <v>2722</v>
      </c>
      <c r="I106" s="110">
        <v>45214</v>
      </c>
    </row>
    <row r="107" spans="1:9">
      <c r="A107" s="66"/>
      <c r="B107" s="103"/>
      <c r="C107" s="11"/>
      <c r="D107" s="13"/>
      <c r="E107" s="57">
        <f>SUM(E89:E106)</f>
        <v>13.61</v>
      </c>
      <c r="F107" s="24"/>
      <c r="G107" s="1"/>
      <c r="H107" s="4"/>
      <c r="I107" s="110"/>
    </row>
    <row r="108" spans="1:9">
      <c r="A108" s="66" t="s">
        <v>2759</v>
      </c>
      <c r="B108" s="103">
        <v>45218</v>
      </c>
      <c r="C108" s="13" t="s">
        <v>1801</v>
      </c>
      <c r="D108" s="13" t="s">
        <v>716</v>
      </c>
      <c r="E108" s="101">
        <v>32.658000000000001</v>
      </c>
      <c r="F108" s="24" t="s">
        <v>2633</v>
      </c>
      <c r="G108" s="1" t="s">
        <v>2760</v>
      </c>
      <c r="H108" s="1" t="s">
        <v>2386</v>
      </c>
      <c r="I108" s="110">
        <v>45167</v>
      </c>
    </row>
    <row r="109" spans="1:9">
      <c r="A109" s="66" t="s">
        <v>2761</v>
      </c>
      <c r="B109" s="103">
        <v>45218</v>
      </c>
      <c r="C109" s="13" t="s">
        <v>1756</v>
      </c>
      <c r="D109" s="13" t="s">
        <v>716</v>
      </c>
      <c r="E109" s="101">
        <f>29.064+1.571</f>
        <v>30.635000000000002</v>
      </c>
      <c r="F109" s="24" t="s">
        <v>2762</v>
      </c>
      <c r="G109" s="1" t="s">
        <v>2763</v>
      </c>
      <c r="H109" s="1" t="s">
        <v>2386</v>
      </c>
      <c r="I109" s="110">
        <v>45167</v>
      </c>
    </row>
    <row r="110" spans="1:9">
      <c r="A110" s="66" t="s">
        <v>2764</v>
      </c>
      <c r="B110" s="103">
        <v>45218</v>
      </c>
      <c r="C110" s="13" t="s">
        <v>1756</v>
      </c>
      <c r="D110" s="13" t="s">
        <v>716</v>
      </c>
      <c r="E110" s="101">
        <v>2.1539999999999999</v>
      </c>
      <c r="F110" s="24" t="s">
        <v>2762</v>
      </c>
      <c r="G110" s="1" t="s">
        <v>2765</v>
      </c>
      <c r="H110" s="1" t="s">
        <v>2545</v>
      </c>
      <c r="I110" s="110">
        <v>45139</v>
      </c>
    </row>
    <row r="111" spans="1:9">
      <c r="A111" s="66" t="s">
        <v>2766</v>
      </c>
      <c r="B111" s="103">
        <v>45218</v>
      </c>
      <c r="C111" s="13" t="s">
        <v>1801</v>
      </c>
      <c r="D111" s="13" t="s">
        <v>716</v>
      </c>
      <c r="E111" s="101">
        <v>8.9359999999999999</v>
      </c>
      <c r="F111" s="24" t="s">
        <v>892</v>
      </c>
      <c r="G111" s="1" t="s">
        <v>2767</v>
      </c>
      <c r="H111" s="1" t="s">
        <v>2386</v>
      </c>
      <c r="I111" s="110">
        <v>45167</v>
      </c>
    </row>
    <row r="112" spans="1:9">
      <c r="A112" s="66" t="s">
        <v>2766</v>
      </c>
      <c r="B112" s="103">
        <v>45218</v>
      </c>
      <c r="C112" s="13" t="s">
        <v>1756</v>
      </c>
      <c r="D112" s="13" t="s">
        <v>716</v>
      </c>
      <c r="E112" s="101">
        <f>18.049+5.204</f>
        <v>23.253</v>
      </c>
      <c r="F112" s="24" t="s">
        <v>892</v>
      </c>
      <c r="G112" s="1" t="s">
        <v>2767</v>
      </c>
      <c r="H112" s="1" t="s">
        <v>2386</v>
      </c>
      <c r="I112" s="110">
        <v>45167</v>
      </c>
    </row>
    <row r="113" spans="1:9">
      <c r="A113" s="66" t="s">
        <v>2768</v>
      </c>
      <c r="B113" s="103">
        <v>45218</v>
      </c>
      <c r="C113" s="13" t="s">
        <v>1738</v>
      </c>
      <c r="D113" s="13" t="s">
        <v>716</v>
      </c>
      <c r="E113" s="101">
        <v>3.8239999999999998</v>
      </c>
      <c r="F113" s="24" t="s">
        <v>973</v>
      </c>
      <c r="G113" s="1" t="s">
        <v>2769</v>
      </c>
      <c r="H113" s="1" t="s">
        <v>2386</v>
      </c>
      <c r="I113" s="110">
        <v>45167</v>
      </c>
    </row>
    <row r="114" spans="1:9">
      <c r="A114" s="66" t="s">
        <v>2768</v>
      </c>
      <c r="B114" s="103">
        <v>45218</v>
      </c>
      <c r="C114" s="13" t="s">
        <v>1756</v>
      </c>
      <c r="D114" s="13" t="s">
        <v>716</v>
      </c>
      <c r="E114" s="101">
        <v>2.0590000000000002</v>
      </c>
      <c r="F114" s="24" t="s">
        <v>973</v>
      </c>
      <c r="G114" s="1" t="s">
        <v>2769</v>
      </c>
      <c r="H114" s="1" t="s">
        <v>2386</v>
      </c>
      <c r="I114" s="110">
        <v>45167</v>
      </c>
    </row>
    <row r="115" spans="1:9">
      <c r="A115" s="66" t="s">
        <v>2768</v>
      </c>
      <c r="B115" s="103">
        <v>45218</v>
      </c>
      <c r="C115" s="13" t="s">
        <v>1823</v>
      </c>
      <c r="D115" s="13" t="s">
        <v>716</v>
      </c>
      <c r="E115" s="101">
        <v>13.903</v>
      </c>
      <c r="F115" s="24" t="s">
        <v>973</v>
      </c>
      <c r="G115" s="1" t="s">
        <v>2769</v>
      </c>
      <c r="H115" s="1" t="s">
        <v>2386</v>
      </c>
      <c r="I115" s="110">
        <v>45167</v>
      </c>
    </row>
    <row r="116" spans="1:9">
      <c r="A116" s="66" t="s">
        <v>2770</v>
      </c>
      <c r="B116" s="103">
        <v>45218</v>
      </c>
      <c r="C116" s="13" t="s">
        <v>1738</v>
      </c>
      <c r="D116" s="13" t="s">
        <v>716</v>
      </c>
      <c r="E116" s="101">
        <v>2.835</v>
      </c>
      <c r="F116" s="24" t="s">
        <v>973</v>
      </c>
      <c r="G116" s="1" t="s">
        <v>2771</v>
      </c>
      <c r="H116" s="1" t="s">
        <v>2421</v>
      </c>
      <c r="I116" s="110">
        <v>45150</v>
      </c>
    </row>
    <row r="117" spans="1:9">
      <c r="A117" s="66" t="s">
        <v>2770</v>
      </c>
      <c r="B117" s="103">
        <v>45218</v>
      </c>
      <c r="C117" s="13" t="s">
        <v>1823</v>
      </c>
      <c r="D117" s="13" t="s">
        <v>716</v>
      </c>
      <c r="E117" s="101">
        <f>1.983+2.502</f>
        <v>4.4849999999999994</v>
      </c>
      <c r="F117" s="24" t="s">
        <v>973</v>
      </c>
      <c r="G117" s="1" t="s">
        <v>2771</v>
      </c>
      <c r="H117" s="1" t="s">
        <v>2421</v>
      </c>
      <c r="I117" s="110">
        <v>45150</v>
      </c>
    </row>
    <row r="118" spans="1:9">
      <c r="A118" s="66" t="s">
        <v>2772</v>
      </c>
      <c r="B118" s="103">
        <v>45218</v>
      </c>
      <c r="C118" s="13" t="s">
        <v>1823</v>
      </c>
      <c r="D118" s="13" t="s">
        <v>716</v>
      </c>
      <c r="E118" s="101">
        <v>5.6669999999999998</v>
      </c>
      <c r="F118" s="24" t="s">
        <v>973</v>
      </c>
      <c r="G118" s="1" t="s">
        <v>2773</v>
      </c>
      <c r="H118" s="1" t="s">
        <v>2545</v>
      </c>
      <c r="I118" s="110">
        <v>45139</v>
      </c>
    </row>
    <row r="119" spans="1:9">
      <c r="A119" s="66" t="s">
        <v>2774</v>
      </c>
      <c r="B119" s="103">
        <v>45218</v>
      </c>
      <c r="C119" s="13" t="s">
        <v>1756</v>
      </c>
      <c r="D119" s="13" t="s">
        <v>716</v>
      </c>
      <c r="E119" s="101">
        <v>11.282</v>
      </c>
      <c r="F119" s="24" t="s">
        <v>2775</v>
      </c>
      <c r="G119" s="1" t="s">
        <v>2776</v>
      </c>
      <c r="H119" s="1" t="s">
        <v>2386</v>
      </c>
      <c r="I119" s="110">
        <v>45167</v>
      </c>
    </row>
    <row r="120" spans="1:9">
      <c r="A120" s="66" t="s">
        <v>2774</v>
      </c>
      <c r="B120" s="103">
        <v>45218</v>
      </c>
      <c r="C120" s="13" t="s">
        <v>1226</v>
      </c>
      <c r="D120" s="13" t="s">
        <v>716</v>
      </c>
      <c r="E120" s="101">
        <f>9.511+9.463</f>
        <v>18.973999999999997</v>
      </c>
      <c r="F120" s="24" t="s">
        <v>2775</v>
      </c>
      <c r="G120" s="1" t="s">
        <v>2776</v>
      </c>
      <c r="H120" s="1" t="s">
        <v>2386</v>
      </c>
      <c r="I120" s="110">
        <v>45167</v>
      </c>
    </row>
    <row r="121" spans="1:9">
      <c r="A121" s="66" t="s">
        <v>2777</v>
      </c>
      <c r="B121" s="103">
        <v>45218</v>
      </c>
      <c r="C121" s="13" t="s">
        <v>1226</v>
      </c>
      <c r="D121" s="13" t="s">
        <v>716</v>
      </c>
      <c r="E121" s="101">
        <v>2.0489999999999999</v>
      </c>
      <c r="F121" s="24" t="s">
        <v>2775</v>
      </c>
      <c r="G121" s="1" t="s">
        <v>2778</v>
      </c>
      <c r="H121" s="1" t="s">
        <v>2663</v>
      </c>
      <c r="I121" s="110">
        <v>45188</v>
      </c>
    </row>
    <row r="122" spans="1:9">
      <c r="A122" s="66"/>
      <c r="B122" s="103"/>
      <c r="C122" s="11"/>
      <c r="D122" s="13"/>
      <c r="E122" s="57">
        <f>SUM(E108:E121)</f>
        <v>162.714</v>
      </c>
      <c r="F122" s="24"/>
      <c r="G122" s="1"/>
      <c r="H122" s="4"/>
      <c r="I122" s="110"/>
    </row>
    <row r="123" spans="1:9">
      <c r="A123" s="66" t="s">
        <v>2789</v>
      </c>
      <c r="B123" s="103">
        <v>45219</v>
      </c>
      <c r="C123" s="13" t="s">
        <v>1823</v>
      </c>
      <c r="D123" s="13" t="s">
        <v>716</v>
      </c>
      <c r="E123" s="101">
        <v>7.806</v>
      </c>
      <c r="F123" s="24" t="s">
        <v>2787</v>
      </c>
      <c r="G123" s="1" t="s">
        <v>2790</v>
      </c>
      <c r="H123" s="1" t="s">
        <v>2545</v>
      </c>
      <c r="I123" s="110">
        <v>45139</v>
      </c>
    </row>
    <row r="124" spans="1:9">
      <c r="A124" s="66" t="s">
        <v>2792</v>
      </c>
      <c r="B124" s="103">
        <v>45219</v>
      </c>
      <c r="C124" s="13" t="s">
        <v>1256</v>
      </c>
      <c r="D124" s="13" t="s">
        <v>716</v>
      </c>
      <c r="E124" s="101">
        <f>10.473+9.988</f>
        <v>20.460999999999999</v>
      </c>
      <c r="F124" s="24" t="s">
        <v>1918</v>
      </c>
      <c r="G124" s="1" t="s">
        <v>2793</v>
      </c>
      <c r="H124" s="1" t="s">
        <v>2386</v>
      </c>
      <c r="I124" s="110">
        <v>45167</v>
      </c>
    </row>
    <row r="125" spans="1:9">
      <c r="A125" s="66" t="s">
        <v>2796</v>
      </c>
      <c r="B125" s="103">
        <v>45219</v>
      </c>
      <c r="C125" s="13" t="s">
        <v>1226</v>
      </c>
      <c r="D125" s="13" t="s">
        <v>716</v>
      </c>
      <c r="E125" s="101">
        <v>3.4729999999999999</v>
      </c>
      <c r="F125" s="24" t="s">
        <v>2337</v>
      </c>
      <c r="G125" s="1" t="s">
        <v>2797</v>
      </c>
      <c r="H125" s="1" t="s">
        <v>2663</v>
      </c>
      <c r="I125" s="110">
        <v>45188</v>
      </c>
    </row>
    <row r="126" spans="1:9">
      <c r="A126" s="66" t="s">
        <v>2796</v>
      </c>
      <c r="B126" s="103">
        <v>45219</v>
      </c>
      <c r="C126" s="13" t="s">
        <v>1227</v>
      </c>
      <c r="D126" s="13" t="s">
        <v>716</v>
      </c>
      <c r="E126" s="101">
        <v>1.0680000000000001</v>
      </c>
      <c r="F126" s="24" t="s">
        <v>2337</v>
      </c>
      <c r="G126" s="1" t="s">
        <v>2797</v>
      </c>
      <c r="H126" s="1" t="s">
        <v>2663</v>
      </c>
      <c r="I126" s="110">
        <v>45188</v>
      </c>
    </row>
    <row r="127" spans="1:9">
      <c r="A127" s="66" t="s">
        <v>2798</v>
      </c>
      <c r="B127" s="103">
        <v>45219</v>
      </c>
      <c r="C127" s="13" t="s">
        <v>1226</v>
      </c>
      <c r="D127" s="13" t="s">
        <v>716</v>
      </c>
      <c r="E127" s="101">
        <f>9.039+6.88</f>
        <v>15.919</v>
      </c>
      <c r="F127" s="24" t="s">
        <v>2337</v>
      </c>
      <c r="G127" s="1" t="s">
        <v>2799</v>
      </c>
      <c r="H127" s="1" t="s">
        <v>2386</v>
      </c>
      <c r="I127" s="110">
        <v>45167</v>
      </c>
    </row>
    <row r="128" spans="1:9">
      <c r="A128" s="66" t="s">
        <v>2798</v>
      </c>
      <c r="B128" s="103">
        <v>45219</v>
      </c>
      <c r="C128" s="13" t="s">
        <v>1227</v>
      </c>
      <c r="D128" s="13" t="s">
        <v>716</v>
      </c>
      <c r="E128" s="101">
        <v>11.693</v>
      </c>
      <c r="F128" s="24" t="s">
        <v>2337</v>
      </c>
      <c r="G128" s="1" t="s">
        <v>2799</v>
      </c>
      <c r="H128" s="1" t="s">
        <v>2386</v>
      </c>
      <c r="I128" s="110">
        <v>45167</v>
      </c>
    </row>
    <row r="129" spans="1:9">
      <c r="A129" s="66" t="s">
        <v>2800</v>
      </c>
      <c r="B129" s="103">
        <v>45219</v>
      </c>
      <c r="C129" s="13" t="s">
        <v>2197</v>
      </c>
      <c r="D129" s="13" t="s">
        <v>716</v>
      </c>
      <c r="E129" s="101">
        <f>10.968+5.269</f>
        <v>16.237000000000002</v>
      </c>
      <c r="F129" s="24" t="s">
        <v>2801</v>
      </c>
      <c r="G129" s="1" t="s">
        <v>2802</v>
      </c>
      <c r="H129" s="1" t="s">
        <v>2545</v>
      </c>
      <c r="I129" s="110">
        <v>45139</v>
      </c>
    </row>
    <row r="130" spans="1:9">
      <c r="A130" s="66" t="s">
        <v>2805</v>
      </c>
      <c r="B130" s="103">
        <v>45219</v>
      </c>
      <c r="C130" s="13" t="s">
        <v>1695</v>
      </c>
      <c r="D130" s="13" t="s">
        <v>716</v>
      </c>
      <c r="E130" s="101">
        <v>2.5619999999999998</v>
      </c>
      <c r="F130" s="24" t="s">
        <v>2801</v>
      </c>
      <c r="G130" s="1" t="s">
        <v>2804</v>
      </c>
      <c r="H130" s="1" t="s">
        <v>2663</v>
      </c>
      <c r="I130" s="110">
        <v>45188</v>
      </c>
    </row>
    <row r="131" spans="1:9">
      <c r="A131" s="66" t="s">
        <v>2806</v>
      </c>
      <c r="B131" s="103">
        <v>45219</v>
      </c>
      <c r="C131" s="13" t="s">
        <v>1753</v>
      </c>
      <c r="D131" s="13" t="s">
        <v>716</v>
      </c>
      <c r="E131" s="101">
        <v>4.1900000000000004</v>
      </c>
      <c r="F131" s="24" t="s">
        <v>2801</v>
      </c>
      <c r="G131" s="1" t="s">
        <v>2804</v>
      </c>
      <c r="H131" s="1" t="s">
        <v>2421</v>
      </c>
      <c r="I131" s="110">
        <v>45150</v>
      </c>
    </row>
    <row r="132" spans="1:9">
      <c r="A132" s="66" t="s">
        <v>2806</v>
      </c>
      <c r="B132" s="103">
        <v>45219</v>
      </c>
      <c r="C132" s="13" t="s">
        <v>1478</v>
      </c>
      <c r="D132" s="13" t="s">
        <v>716</v>
      </c>
      <c r="E132" s="101">
        <v>6.2460000000000004</v>
      </c>
      <c r="F132" s="24" t="s">
        <v>2801</v>
      </c>
      <c r="G132" s="1" t="s">
        <v>2804</v>
      </c>
      <c r="H132" s="1" t="s">
        <v>2421</v>
      </c>
      <c r="I132" s="110">
        <v>45150</v>
      </c>
    </row>
    <row r="133" spans="1:9">
      <c r="A133" s="66" t="s">
        <v>2809</v>
      </c>
      <c r="B133" s="103">
        <v>45219</v>
      </c>
      <c r="C133" s="13" t="s">
        <v>2299</v>
      </c>
      <c r="D133" s="13" t="s">
        <v>716</v>
      </c>
      <c r="E133" s="101">
        <f>0.344+32.646</f>
        <v>32.99</v>
      </c>
      <c r="F133" s="24" t="s">
        <v>573</v>
      </c>
      <c r="G133" s="1" t="s">
        <v>2810</v>
      </c>
      <c r="H133" s="1" t="s">
        <v>2689</v>
      </c>
      <c r="I133" s="110">
        <v>45197</v>
      </c>
    </row>
    <row r="134" spans="1:9">
      <c r="A134" s="66" t="s">
        <v>2811</v>
      </c>
      <c r="B134" s="103">
        <v>45219</v>
      </c>
      <c r="C134" s="13" t="s">
        <v>1756</v>
      </c>
      <c r="D134" s="13" t="s">
        <v>716</v>
      </c>
      <c r="E134" s="101">
        <v>6.4390000000000001</v>
      </c>
      <c r="F134" s="24" t="s">
        <v>544</v>
      </c>
      <c r="G134" s="1" t="s">
        <v>2812</v>
      </c>
      <c r="H134" s="1" t="s">
        <v>2386</v>
      </c>
      <c r="I134" s="110">
        <v>45167</v>
      </c>
    </row>
    <row r="135" spans="1:9">
      <c r="A135" s="66" t="s">
        <v>2811</v>
      </c>
      <c r="B135" s="103">
        <v>45219</v>
      </c>
      <c r="C135" s="13" t="s">
        <v>1695</v>
      </c>
      <c r="D135" s="13" t="s">
        <v>716</v>
      </c>
      <c r="E135" s="101">
        <v>2.5739999999999998</v>
      </c>
      <c r="F135" s="24" t="s">
        <v>544</v>
      </c>
      <c r="G135" s="1" t="s">
        <v>2812</v>
      </c>
      <c r="H135" s="1" t="s">
        <v>2386</v>
      </c>
      <c r="I135" s="110">
        <v>45167</v>
      </c>
    </row>
    <row r="136" spans="1:9">
      <c r="A136" s="66" t="s">
        <v>2817</v>
      </c>
      <c r="B136" s="103">
        <v>45219</v>
      </c>
      <c r="C136" s="13" t="s">
        <v>1695</v>
      </c>
      <c r="D136" s="13" t="s">
        <v>716</v>
      </c>
      <c r="E136" s="101">
        <v>8.4420000000000002</v>
      </c>
      <c r="F136" s="24" t="s">
        <v>551</v>
      </c>
      <c r="G136" s="1" t="s">
        <v>2818</v>
      </c>
      <c r="H136" s="1" t="s">
        <v>2386</v>
      </c>
      <c r="I136" s="110">
        <v>45167</v>
      </c>
    </row>
    <row r="137" spans="1:9">
      <c r="A137" s="66" t="s">
        <v>2817</v>
      </c>
      <c r="B137" s="103">
        <v>45219</v>
      </c>
      <c r="C137" s="13" t="s">
        <v>1640</v>
      </c>
      <c r="D137" s="13" t="s">
        <v>716</v>
      </c>
      <c r="E137" s="101">
        <v>3.7869999999999999</v>
      </c>
      <c r="F137" s="24" t="s">
        <v>551</v>
      </c>
      <c r="G137" s="1" t="s">
        <v>2818</v>
      </c>
      <c r="H137" s="1" t="s">
        <v>2386</v>
      </c>
      <c r="I137" s="110">
        <v>45167</v>
      </c>
    </row>
    <row r="138" spans="1:9">
      <c r="A138" s="66" t="s">
        <v>2819</v>
      </c>
      <c r="B138" s="103">
        <v>45219</v>
      </c>
      <c r="C138" s="13" t="s">
        <v>1640</v>
      </c>
      <c r="D138" s="13" t="s">
        <v>716</v>
      </c>
      <c r="E138" s="101">
        <v>0.45300000000000001</v>
      </c>
      <c r="F138" s="24" t="s">
        <v>551</v>
      </c>
      <c r="G138" s="1" t="s">
        <v>2818</v>
      </c>
      <c r="H138" s="1" t="s">
        <v>2421</v>
      </c>
      <c r="I138" s="110">
        <v>45150</v>
      </c>
    </row>
    <row r="139" spans="1:9">
      <c r="A139" s="66" t="s">
        <v>2820</v>
      </c>
      <c r="B139" s="103">
        <v>45219</v>
      </c>
      <c r="C139" s="13" t="s">
        <v>2299</v>
      </c>
      <c r="D139" s="13" t="s">
        <v>716</v>
      </c>
      <c r="E139" s="101">
        <f>18.035+1.081</f>
        <v>19.116</v>
      </c>
      <c r="F139" s="24" t="s">
        <v>551</v>
      </c>
      <c r="G139" s="1" t="s">
        <v>2821</v>
      </c>
      <c r="H139" s="1" t="s">
        <v>2689</v>
      </c>
      <c r="I139" s="110">
        <v>45197</v>
      </c>
    </row>
    <row r="140" spans="1:9">
      <c r="A140" s="66" t="s">
        <v>2822</v>
      </c>
      <c r="B140" s="103">
        <v>45219</v>
      </c>
      <c r="C140" s="13" t="s">
        <v>2299</v>
      </c>
      <c r="D140" s="13" t="s">
        <v>716</v>
      </c>
      <c r="E140" s="101">
        <v>1.296</v>
      </c>
      <c r="F140" s="24" t="s">
        <v>551</v>
      </c>
      <c r="G140" s="1" t="s">
        <v>2823</v>
      </c>
      <c r="H140" s="1" t="s">
        <v>2824</v>
      </c>
      <c r="I140" s="110">
        <v>45197</v>
      </c>
    </row>
    <row r="141" spans="1:9">
      <c r="A141" s="66"/>
      <c r="B141" s="103"/>
      <c r="C141" s="11"/>
      <c r="D141" s="13"/>
      <c r="E141" s="58">
        <f>SUM(E123:E140)</f>
        <v>164.75200000000001</v>
      </c>
      <c r="F141" s="24"/>
      <c r="G141" s="1"/>
      <c r="H141" s="1"/>
      <c r="I141" s="110"/>
    </row>
    <row r="142" spans="1:9">
      <c r="A142" s="66" t="s">
        <v>2825</v>
      </c>
      <c r="B142" s="103">
        <v>45220</v>
      </c>
      <c r="C142" s="13" t="s">
        <v>1341</v>
      </c>
      <c r="D142" s="13" t="s">
        <v>716</v>
      </c>
      <c r="E142" s="101">
        <v>4.17</v>
      </c>
      <c r="F142" s="102" t="s">
        <v>2826</v>
      </c>
      <c r="G142" s="4" t="s">
        <v>2827</v>
      </c>
      <c r="H142" s="4" t="s">
        <v>2545</v>
      </c>
      <c r="I142" s="110">
        <v>45139</v>
      </c>
    </row>
    <row r="143" spans="1:9">
      <c r="A143" s="66" t="s">
        <v>2829</v>
      </c>
      <c r="B143" s="103">
        <v>45220</v>
      </c>
      <c r="C143" s="13" t="s">
        <v>1341</v>
      </c>
      <c r="D143" s="13" t="s">
        <v>716</v>
      </c>
      <c r="E143" s="101">
        <v>9.734</v>
      </c>
      <c r="F143" s="102" t="s">
        <v>2826</v>
      </c>
      <c r="G143" s="4" t="s">
        <v>2827</v>
      </c>
      <c r="H143" s="4" t="s">
        <v>2663</v>
      </c>
      <c r="I143" s="110">
        <v>45188</v>
      </c>
    </row>
    <row r="144" spans="1:9">
      <c r="A144" s="66" t="s">
        <v>2830</v>
      </c>
      <c r="B144" s="103">
        <v>45220</v>
      </c>
      <c r="C144" s="13" t="s">
        <v>1342</v>
      </c>
      <c r="D144" s="13" t="s">
        <v>716</v>
      </c>
      <c r="E144" s="101">
        <v>2.2719999999999998</v>
      </c>
      <c r="F144" s="102" t="s">
        <v>2630</v>
      </c>
      <c r="G144" s="4" t="s">
        <v>2831</v>
      </c>
      <c r="H144" s="4" t="s">
        <v>2545</v>
      </c>
      <c r="I144" s="110">
        <v>45139</v>
      </c>
    </row>
    <row r="145" spans="1:9">
      <c r="A145" s="66" t="s">
        <v>2832</v>
      </c>
      <c r="B145" s="103">
        <v>45220</v>
      </c>
      <c r="C145" s="13" t="s">
        <v>1342</v>
      </c>
      <c r="D145" s="13" t="s">
        <v>716</v>
      </c>
      <c r="E145" s="101">
        <v>4.7919999999999998</v>
      </c>
      <c r="F145" s="102" t="s">
        <v>2010</v>
      </c>
      <c r="G145" s="4" t="s">
        <v>2833</v>
      </c>
      <c r="H145" s="4" t="s">
        <v>2545</v>
      </c>
      <c r="I145" s="110">
        <v>45139</v>
      </c>
    </row>
    <row r="146" spans="1:9">
      <c r="A146" s="66" t="s">
        <v>2834</v>
      </c>
      <c r="B146" s="103">
        <v>45220</v>
      </c>
      <c r="C146" s="13" t="s">
        <v>1341</v>
      </c>
      <c r="D146" s="13" t="s">
        <v>716</v>
      </c>
      <c r="E146" s="101">
        <v>35.531999999999996</v>
      </c>
      <c r="F146" s="102" t="s">
        <v>2835</v>
      </c>
      <c r="G146" s="4" t="s">
        <v>2836</v>
      </c>
      <c r="H146" s="4" t="s">
        <v>2663</v>
      </c>
      <c r="I146" s="110">
        <v>45188</v>
      </c>
    </row>
    <row r="147" spans="1:9">
      <c r="A147" s="66" t="s">
        <v>2837</v>
      </c>
      <c r="B147" s="103">
        <v>45220</v>
      </c>
      <c r="C147" s="13" t="s">
        <v>1342</v>
      </c>
      <c r="D147" s="13" t="s">
        <v>716</v>
      </c>
      <c r="E147" s="101">
        <v>3.9449999999999998</v>
      </c>
      <c r="F147" s="102" t="s">
        <v>2838</v>
      </c>
      <c r="G147" s="4" t="s">
        <v>2839</v>
      </c>
      <c r="H147" s="4" t="s">
        <v>2545</v>
      </c>
      <c r="I147" s="110">
        <v>45139</v>
      </c>
    </row>
    <row r="148" spans="1:9">
      <c r="A148" s="66" t="s">
        <v>2848</v>
      </c>
      <c r="B148" s="103">
        <v>45220</v>
      </c>
      <c r="C148" s="13" t="s">
        <v>1459</v>
      </c>
      <c r="D148" s="13" t="s">
        <v>716</v>
      </c>
      <c r="E148" s="101">
        <v>14.045</v>
      </c>
      <c r="F148" s="102" t="s">
        <v>2849</v>
      </c>
      <c r="G148" s="4" t="s">
        <v>2850</v>
      </c>
      <c r="H148" s="4" t="s">
        <v>2386</v>
      </c>
      <c r="I148" s="110">
        <v>45167</v>
      </c>
    </row>
    <row r="149" spans="1:9">
      <c r="A149" s="66" t="s">
        <v>2848</v>
      </c>
      <c r="B149" s="103">
        <v>45220</v>
      </c>
      <c r="C149" s="13" t="s">
        <v>1251</v>
      </c>
      <c r="D149" s="13" t="s">
        <v>716</v>
      </c>
      <c r="E149" s="101">
        <v>3.069</v>
      </c>
      <c r="F149" s="102" t="s">
        <v>2849</v>
      </c>
      <c r="G149" s="4" t="s">
        <v>2850</v>
      </c>
      <c r="H149" s="4" t="s">
        <v>2386</v>
      </c>
      <c r="I149" s="110">
        <v>45167</v>
      </c>
    </row>
    <row r="150" spans="1:9">
      <c r="A150" s="66" t="s">
        <v>2852</v>
      </c>
      <c r="B150" s="103">
        <v>45220</v>
      </c>
      <c r="C150" s="13" t="s">
        <v>1251</v>
      </c>
      <c r="D150" s="13" t="s">
        <v>716</v>
      </c>
      <c r="E150" s="101">
        <v>1.3149999999999999</v>
      </c>
      <c r="F150" s="102" t="s">
        <v>2849</v>
      </c>
      <c r="G150" s="4" t="s">
        <v>2850</v>
      </c>
      <c r="H150" s="4" t="s">
        <v>2545</v>
      </c>
      <c r="I150" s="110">
        <v>45139</v>
      </c>
    </row>
    <row r="151" spans="1:9">
      <c r="A151" s="66"/>
      <c r="B151" s="103"/>
      <c r="C151" s="11"/>
      <c r="D151" s="13"/>
      <c r="E151" s="58">
        <f>SUM(E142:E150)</f>
        <v>78.873999999999995</v>
      </c>
      <c r="F151" s="24"/>
      <c r="G151" s="1"/>
      <c r="H151" s="1"/>
      <c r="I151" s="110"/>
    </row>
    <row r="152" spans="1:9">
      <c r="A152" s="66" t="s">
        <v>2865</v>
      </c>
      <c r="B152" s="103">
        <v>45221</v>
      </c>
      <c r="C152" s="13" t="s">
        <v>1350</v>
      </c>
      <c r="D152" s="13" t="s">
        <v>716</v>
      </c>
      <c r="E152" s="101">
        <v>0.55600000000000005</v>
      </c>
      <c r="F152" s="102" t="s">
        <v>1899</v>
      </c>
      <c r="G152" s="4" t="s">
        <v>2866</v>
      </c>
      <c r="H152" s="4" t="s">
        <v>2421</v>
      </c>
      <c r="I152" s="110">
        <v>45150</v>
      </c>
    </row>
    <row r="153" spans="1:9">
      <c r="A153" s="66" t="s">
        <v>2867</v>
      </c>
      <c r="B153" s="103">
        <v>45221</v>
      </c>
      <c r="C153" s="13" t="s">
        <v>1350</v>
      </c>
      <c r="D153" s="13" t="s">
        <v>716</v>
      </c>
      <c r="E153" s="101">
        <f>2.342+4.111+11.562</f>
        <v>18.015000000000001</v>
      </c>
      <c r="F153" s="102" t="s">
        <v>1899</v>
      </c>
      <c r="G153" s="4" t="s">
        <v>2868</v>
      </c>
      <c r="H153" s="4" t="s">
        <v>2386</v>
      </c>
      <c r="I153" s="110">
        <v>45167</v>
      </c>
    </row>
    <row r="154" spans="1:9">
      <c r="A154" s="66" t="s">
        <v>2871</v>
      </c>
      <c r="B154" s="103">
        <v>45221</v>
      </c>
      <c r="C154" s="13" t="s">
        <v>1350</v>
      </c>
      <c r="D154" s="13" t="s">
        <v>716</v>
      </c>
      <c r="E154" s="101">
        <v>12.903</v>
      </c>
      <c r="F154" s="102" t="s">
        <v>1899</v>
      </c>
      <c r="G154" s="4" t="s">
        <v>2870</v>
      </c>
      <c r="H154" s="4" t="s">
        <v>2545</v>
      </c>
      <c r="I154" s="110">
        <v>45139</v>
      </c>
    </row>
    <row r="155" spans="1:9">
      <c r="A155" s="66" t="s">
        <v>2872</v>
      </c>
      <c r="B155" s="103">
        <v>45221</v>
      </c>
      <c r="C155" s="13" t="s">
        <v>1341</v>
      </c>
      <c r="D155" s="13" t="s">
        <v>716</v>
      </c>
      <c r="E155" s="101">
        <v>19.077999999999999</v>
      </c>
      <c r="F155" s="102" t="s">
        <v>557</v>
      </c>
      <c r="G155" s="4" t="s">
        <v>2873</v>
      </c>
      <c r="H155" s="4" t="s">
        <v>2663</v>
      </c>
      <c r="I155" s="110">
        <v>45188</v>
      </c>
    </row>
    <row r="156" spans="1:9">
      <c r="A156" s="66" t="s">
        <v>2883</v>
      </c>
      <c r="B156" s="103">
        <v>45221</v>
      </c>
      <c r="C156" s="13" t="s">
        <v>1350</v>
      </c>
      <c r="D156" s="13" t="s">
        <v>716</v>
      </c>
      <c r="E156" s="101">
        <v>3.73</v>
      </c>
      <c r="F156" s="102" t="s">
        <v>1309</v>
      </c>
      <c r="G156" s="4" t="s">
        <v>2880</v>
      </c>
      <c r="H156" s="4" t="s">
        <v>2545</v>
      </c>
      <c r="I156" s="110">
        <v>45139</v>
      </c>
    </row>
    <row r="157" spans="1:9">
      <c r="A157" s="66" t="s">
        <v>2883</v>
      </c>
      <c r="B157" s="103">
        <v>45221</v>
      </c>
      <c r="C157" s="13" t="s">
        <v>1341</v>
      </c>
      <c r="D157" s="13" t="s">
        <v>716</v>
      </c>
      <c r="E157" s="101">
        <v>0.68300000000000005</v>
      </c>
      <c r="F157" s="102" t="s">
        <v>1309</v>
      </c>
      <c r="G157" s="4" t="s">
        <v>2880</v>
      </c>
      <c r="H157" s="4" t="s">
        <v>2545</v>
      </c>
      <c r="I157" s="110">
        <v>45139</v>
      </c>
    </row>
    <row r="158" spans="1:9">
      <c r="A158" s="66" t="s">
        <v>2884</v>
      </c>
      <c r="B158" s="103">
        <v>45221</v>
      </c>
      <c r="C158" s="6" t="s">
        <v>2273</v>
      </c>
      <c r="D158" s="13" t="s">
        <v>716</v>
      </c>
      <c r="E158" s="101">
        <f>2.715+0.661</f>
        <v>3.3759999999999999</v>
      </c>
      <c r="F158" s="14" t="s">
        <v>2318</v>
      </c>
      <c r="G158" s="13" t="s">
        <v>2885</v>
      </c>
      <c r="H158" s="13" t="s">
        <v>2386</v>
      </c>
      <c r="I158" s="111">
        <v>45167</v>
      </c>
    </row>
    <row r="159" spans="1:9">
      <c r="A159" s="66" t="s">
        <v>2886</v>
      </c>
      <c r="B159" s="103">
        <v>45221</v>
      </c>
      <c r="C159" s="13" t="s">
        <v>1341</v>
      </c>
      <c r="D159" s="13" t="s">
        <v>716</v>
      </c>
      <c r="E159" s="101">
        <f>3.768+8.221</f>
        <v>11.989000000000001</v>
      </c>
      <c r="F159" s="102" t="s">
        <v>2318</v>
      </c>
      <c r="G159" s="4" t="s">
        <v>2887</v>
      </c>
      <c r="H159" s="4" t="s">
        <v>2663</v>
      </c>
      <c r="I159" s="110">
        <v>45188</v>
      </c>
    </row>
    <row r="160" spans="1:9">
      <c r="A160" s="66" t="s">
        <v>2890</v>
      </c>
      <c r="B160" s="103">
        <v>45221</v>
      </c>
      <c r="C160" s="13" t="s">
        <v>1341</v>
      </c>
      <c r="D160" s="13" t="s">
        <v>716</v>
      </c>
      <c r="E160" s="101">
        <v>3.2370000000000001</v>
      </c>
      <c r="F160" s="102" t="s">
        <v>2318</v>
      </c>
      <c r="G160" s="4" t="s">
        <v>2889</v>
      </c>
      <c r="H160" s="4" t="s">
        <v>2545</v>
      </c>
      <c r="I160" s="110">
        <v>45139</v>
      </c>
    </row>
    <row r="161" spans="1:9">
      <c r="A161" s="66"/>
      <c r="B161" s="103"/>
      <c r="C161" s="11"/>
      <c r="D161" s="13"/>
      <c r="E161" s="58">
        <f>SUM(E152:E160)</f>
        <v>73.566999999999993</v>
      </c>
      <c r="F161" s="24"/>
      <c r="G161" s="1"/>
      <c r="H161" s="1"/>
      <c r="I161" s="110"/>
    </row>
    <row r="162" spans="1:9">
      <c r="A162" s="66" t="s">
        <v>2906</v>
      </c>
      <c r="B162" s="103">
        <v>45222</v>
      </c>
      <c r="C162" s="13" t="s">
        <v>1350</v>
      </c>
      <c r="D162" s="13" t="s">
        <v>716</v>
      </c>
      <c r="E162" s="101">
        <v>4.827</v>
      </c>
      <c r="F162" s="102" t="s">
        <v>1893</v>
      </c>
      <c r="G162" s="14" t="s">
        <v>2908</v>
      </c>
      <c r="H162" s="4" t="s">
        <v>2545</v>
      </c>
      <c r="I162" s="110">
        <v>45139</v>
      </c>
    </row>
    <row r="163" spans="1:9">
      <c r="A163" s="66" t="s">
        <v>2906</v>
      </c>
      <c r="B163" s="103">
        <v>45222</v>
      </c>
      <c r="C163" s="13" t="s">
        <v>1251</v>
      </c>
      <c r="D163" s="13" t="s">
        <v>716</v>
      </c>
      <c r="E163" s="101">
        <f>2.728+0.723</f>
        <v>3.4510000000000001</v>
      </c>
      <c r="F163" s="102" t="s">
        <v>1893</v>
      </c>
      <c r="G163" s="14" t="s">
        <v>2908</v>
      </c>
      <c r="H163" s="4" t="s">
        <v>2545</v>
      </c>
      <c r="I163" s="110">
        <v>45139</v>
      </c>
    </row>
    <row r="164" spans="1:9">
      <c r="A164" s="66" t="s">
        <v>2906</v>
      </c>
      <c r="B164" s="103">
        <v>45222</v>
      </c>
      <c r="C164" s="13" t="s">
        <v>1756</v>
      </c>
      <c r="D164" s="13" t="s">
        <v>716</v>
      </c>
      <c r="E164" s="101">
        <v>6.9260000000000002</v>
      </c>
      <c r="F164" s="102" t="s">
        <v>1893</v>
      </c>
      <c r="G164" s="14" t="s">
        <v>2908</v>
      </c>
      <c r="H164" s="4" t="s">
        <v>2545</v>
      </c>
      <c r="I164" s="110">
        <v>45139</v>
      </c>
    </row>
    <row r="165" spans="1:9">
      <c r="A165" s="66" t="s">
        <v>2907</v>
      </c>
      <c r="B165" s="103">
        <v>45222</v>
      </c>
      <c r="C165" s="13" t="s">
        <v>1753</v>
      </c>
      <c r="D165" s="13" t="s">
        <v>716</v>
      </c>
      <c r="E165" s="101">
        <v>1.9450000000000001</v>
      </c>
      <c r="F165" s="102" t="s">
        <v>1893</v>
      </c>
      <c r="G165" s="14" t="s">
        <v>2909</v>
      </c>
      <c r="H165" s="4" t="s">
        <v>2421</v>
      </c>
      <c r="I165" s="110">
        <v>45150</v>
      </c>
    </row>
    <row r="166" spans="1:9">
      <c r="A166" s="66" t="s">
        <v>2907</v>
      </c>
      <c r="B166" s="103">
        <v>45222</v>
      </c>
      <c r="C166" s="13" t="s">
        <v>1317</v>
      </c>
      <c r="D166" s="13" t="s">
        <v>716</v>
      </c>
      <c r="E166" s="101">
        <v>0.36099999999999999</v>
      </c>
      <c r="F166" s="102" t="s">
        <v>1893</v>
      </c>
      <c r="G166" s="14" t="s">
        <v>2909</v>
      </c>
      <c r="H166" s="4" t="s">
        <v>2421</v>
      </c>
      <c r="I166" s="110">
        <v>45150</v>
      </c>
    </row>
    <row r="167" spans="1:9">
      <c r="A167" s="66" t="s">
        <v>2907</v>
      </c>
      <c r="B167" s="103">
        <v>45222</v>
      </c>
      <c r="C167" s="13" t="s">
        <v>1756</v>
      </c>
      <c r="D167" s="13" t="s">
        <v>716</v>
      </c>
      <c r="E167" s="101">
        <v>0.1</v>
      </c>
      <c r="F167" s="102" t="s">
        <v>1893</v>
      </c>
      <c r="G167" s="14" t="s">
        <v>2909</v>
      </c>
      <c r="H167" s="4" t="s">
        <v>2421</v>
      </c>
      <c r="I167" s="110">
        <v>45150</v>
      </c>
    </row>
    <row r="168" spans="1:9">
      <c r="A168" s="66" t="s">
        <v>2910</v>
      </c>
      <c r="B168" s="103">
        <v>45222</v>
      </c>
      <c r="C168" s="13" t="s">
        <v>1753</v>
      </c>
      <c r="D168" s="13" t="s">
        <v>716</v>
      </c>
      <c r="E168" s="101">
        <v>0.9</v>
      </c>
      <c r="F168" s="102" t="s">
        <v>1893</v>
      </c>
      <c r="G168" s="14" t="s">
        <v>2909</v>
      </c>
      <c r="H168" s="4" t="s">
        <v>2386</v>
      </c>
      <c r="I168" s="110">
        <v>45167</v>
      </c>
    </row>
    <row r="169" spans="1:9">
      <c r="A169" s="66" t="s">
        <v>2910</v>
      </c>
      <c r="B169" s="103">
        <v>45222</v>
      </c>
      <c r="C169" s="13" t="s">
        <v>2273</v>
      </c>
      <c r="D169" s="13" t="s">
        <v>716</v>
      </c>
      <c r="E169" s="101">
        <v>1.476</v>
      </c>
      <c r="F169" s="102" t="s">
        <v>1893</v>
      </c>
      <c r="G169" s="14" t="s">
        <v>2909</v>
      </c>
      <c r="H169" s="4" t="s">
        <v>2386</v>
      </c>
      <c r="I169" s="110">
        <v>45167</v>
      </c>
    </row>
    <row r="170" spans="1:9">
      <c r="A170" s="66" t="s">
        <v>2910</v>
      </c>
      <c r="B170" s="103">
        <v>45222</v>
      </c>
      <c r="C170" s="13" t="s">
        <v>1317</v>
      </c>
      <c r="D170" s="13" t="s">
        <v>716</v>
      </c>
      <c r="E170" s="101">
        <v>2.1659999999999999</v>
      </c>
      <c r="F170" s="102" t="s">
        <v>1893</v>
      </c>
      <c r="G170" s="14" t="s">
        <v>2909</v>
      </c>
      <c r="H170" s="4" t="s">
        <v>2386</v>
      </c>
      <c r="I170" s="110">
        <v>45167</v>
      </c>
    </row>
    <row r="171" spans="1:9">
      <c r="A171" s="66" t="s">
        <v>2910</v>
      </c>
      <c r="B171" s="103">
        <v>45222</v>
      </c>
      <c r="C171" s="13" t="s">
        <v>1251</v>
      </c>
      <c r="D171" s="13" t="s">
        <v>716</v>
      </c>
      <c r="E171" s="101">
        <v>1.9490000000000001</v>
      </c>
      <c r="F171" s="102" t="s">
        <v>1893</v>
      </c>
      <c r="G171" s="14" t="s">
        <v>2909</v>
      </c>
      <c r="H171" s="4" t="s">
        <v>2386</v>
      </c>
      <c r="I171" s="110">
        <v>45167</v>
      </c>
    </row>
    <row r="172" spans="1:9">
      <c r="A172" s="66" t="s">
        <v>2910</v>
      </c>
      <c r="B172" s="103">
        <v>45222</v>
      </c>
      <c r="C172" s="13" t="s">
        <v>1756</v>
      </c>
      <c r="D172" s="13" t="s">
        <v>716</v>
      </c>
      <c r="E172" s="101">
        <v>1.7170000000000001</v>
      </c>
      <c r="F172" s="102" t="s">
        <v>1893</v>
      </c>
      <c r="G172" s="14" t="s">
        <v>2909</v>
      </c>
      <c r="H172" s="4" t="s">
        <v>2386</v>
      </c>
      <c r="I172" s="110">
        <v>45167</v>
      </c>
    </row>
    <row r="173" spans="1:9">
      <c r="A173" s="66" t="s">
        <v>2910</v>
      </c>
      <c r="B173" s="103">
        <v>45222</v>
      </c>
      <c r="C173" s="13" t="s">
        <v>1801</v>
      </c>
      <c r="D173" s="13" t="s">
        <v>716</v>
      </c>
      <c r="E173" s="101">
        <v>1.917</v>
      </c>
      <c r="F173" s="102" t="s">
        <v>1893</v>
      </c>
      <c r="G173" s="14" t="s">
        <v>2909</v>
      </c>
      <c r="H173" s="4" t="s">
        <v>2386</v>
      </c>
      <c r="I173" s="110">
        <v>45167</v>
      </c>
    </row>
    <row r="174" spans="1:9">
      <c r="A174" s="66" t="s">
        <v>2911</v>
      </c>
      <c r="B174" s="103">
        <v>45222</v>
      </c>
      <c r="C174" s="13" t="s">
        <v>1753</v>
      </c>
      <c r="D174" s="13" t="s">
        <v>716</v>
      </c>
      <c r="E174" s="101">
        <v>1.0960000000000001</v>
      </c>
      <c r="F174" s="102" t="s">
        <v>1893</v>
      </c>
      <c r="G174" s="14" t="s">
        <v>2909</v>
      </c>
      <c r="H174" s="4" t="s">
        <v>2912</v>
      </c>
      <c r="I174" s="110">
        <v>45167</v>
      </c>
    </row>
    <row r="175" spans="1:9">
      <c r="A175" s="1"/>
      <c r="B175" s="3"/>
      <c r="C175" s="1"/>
      <c r="D175" s="1"/>
      <c r="E175" s="54">
        <f>SUM(E162:E174)</f>
        <v>28.831000000000003</v>
      </c>
      <c r="F175" s="24"/>
      <c r="G175" s="1"/>
      <c r="H175" s="1"/>
      <c r="I175" s="3"/>
    </row>
    <row r="176" spans="1:9">
      <c r="A176" s="1"/>
      <c r="B176" s="103"/>
      <c r="C176" s="1"/>
      <c r="D176" s="13"/>
      <c r="E176" s="41"/>
      <c r="F176" s="24"/>
      <c r="G176" s="1"/>
      <c r="H176" s="1"/>
      <c r="I176" s="3"/>
    </row>
    <row r="177" spans="1:9">
      <c r="A177" s="1"/>
      <c r="B177" s="103"/>
      <c r="C177" s="1"/>
      <c r="D177" s="13"/>
      <c r="E177" s="41"/>
      <c r="F177" s="24"/>
      <c r="G177" s="1"/>
      <c r="H177" s="1"/>
      <c r="I177" s="3"/>
    </row>
    <row r="178" spans="1:9">
      <c r="A178" s="1"/>
      <c r="B178" s="103"/>
      <c r="C178" s="1"/>
      <c r="D178" s="13"/>
      <c r="E178" s="41"/>
      <c r="F178" s="24"/>
      <c r="G178" s="1"/>
      <c r="H178" s="1"/>
      <c r="I178" s="3"/>
    </row>
    <row r="179" spans="1:9">
      <c r="A179" s="1"/>
      <c r="B179" s="103"/>
      <c r="C179" s="1"/>
      <c r="D179" s="13"/>
      <c r="E179" s="41"/>
      <c r="F179" s="24"/>
      <c r="G179" s="1"/>
      <c r="H179" s="1"/>
      <c r="I179" s="3"/>
    </row>
    <row r="180" spans="1:9">
      <c r="A180" s="1"/>
      <c r="B180" s="103"/>
      <c r="C180" s="1"/>
      <c r="D180" s="13"/>
      <c r="E180" s="41"/>
      <c r="F180" s="24"/>
      <c r="G180" s="1"/>
      <c r="H180" s="1"/>
      <c r="I180" s="3"/>
    </row>
    <row r="181" spans="1:9">
      <c r="A181" s="1"/>
      <c r="B181" s="103"/>
      <c r="C181" s="1"/>
      <c r="D181" s="13"/>
      <c r="E181" s="41"/>
      <c r="F181" s="24"/>
      <c r="G181" s="1"/>
      <c r="H181" s="1"/>
      <c r="I181" s="3"/>
    </row>
    <row r="182" spans="1:9">
      <c r="A182" s="1"/>
      <c r="B182" s="103"/>
      <c r="C182" s="1"/>
      <c r="D182" s="13"/>
      <c r="E182" s="41"/>
      <c r="F182" s="24"/>
      <c r="G182" s="1"/>
      <c r="H182" s="1"/>
      <c r="I182" s="3"/>
    </row>
    <row r="183" spans="1:9">
      <c r="A183" s="1"/>
      <c r="B183" s="3"/>
      <c r="C183" s="1"/>
      <c r="D183" s="1"/>
      <c r="E183" s="41"/>
      <c r="F183" s="24"/>
      <c r="G183" s="1"/>
      <c r="H183" s="1"/>
      <c r="I183" s="3"/>
    </row>
    <row r="184" spans="1:9">
      <c r="A184" s="1"/>
      <c r="B184" s="3"/>
      <c r="C184" s="1"/>
      <c r="D184" s="1"/>
      <c r="E184" s="41"/>
      <c r="F184" s="24"/>
      <c r="G184" s="1"/>
      <c r="H184" s="1"/>
      <c r="I184" s="3"/>
    </row>
    <row r="185" spans="1:9">
      <c r="A185" s="1"/>
      <c r="B185" s="3"/>
      <c r="C185" s="1"/>
      <c r="D185" s="1"/>
      <c r="E185" s="2"/>
      <c r="F185" s="24"/>
      <c r="G185" s="1"/>
      <c r="H185" s="1"/>
      <c r="I185" s="3"/>
    </row>
    <row r="186" spans="1:9">
      <c r="A186" s="1"/>
      <c r="B186" s="3"/>
      <c r="C186" s="1"/>
      <c r="D186" s="1"/>
      <c r="E186" s="2"/>
      <c r="F186" s="24"/>
      <c r="G186" s="1"/>
      <c r="H186" s="1"/>
      <c r="I186" s="3"/>
    </row>
    <row r="187" spans="1:9">
      <c r="A187" s="1"/>
      <c r="B187" s="3"/>
      <c r="C187" s="1"/>
      <c r="D187" s="2" t="s">
        <v>2536</v>
      </c>
      <c r="E187" s="20">
        <f>SUM(E2:E186)/2</f>
        <v>876.09800000000041</v>
      </c>
      <c r="F187" s="24"/>
      <c r="G187" s="1"/>
      <c r="H187" s="1"/>
      <c r="I187" s="3"/>
    </row>
    <row r="188" spans="1:9">
      <c r="A188" s="1"/>
      <c r="B188" s="3"/>
      <c r="C188" s="1"/>
      <c r="D188" s="1"/>
      <c r="E188" s="2"/>
      <c r="F188" s="24"/>
      <c r="G188" s="1"/>
      <c r="H188" s="1"/>
      <c r="I188" s="3"/>
    </row>
    <row r="189" spans="1:9">
      <c r="A189" s="1"/>
      <c r="B189" s="3"/>
      <c r="C189" s="1"/>
      <c r="D189" s="2" t="s">
        <v>2535</v>
      </c>
      <c r="E189" s="20"/>
      <c r="F189" s="24"/>
      <c r="G189" s="98"/>
      <c r="H189" s="1"/>
      <c r="I189" s="3"/>
    </row>
    <row r="190" spans="1:9">
      <c r="A190" s="1"/>
      <c r="B190" s="3"/>
      <c r="C190" s="1"/>
      <c r="D190" s="1"/>
      <c r="E190" s="54"/>
      <c r="F190" s="24"/>
      <c r="G190" s="1"/>
      <c r="H190" s="1"/>
      <c r="I190" s="3"/>
    </row>
    <row r="191" spans="1:9">
      <c r="A191" s="1"/>
      <c r="B191" s="3"/>
      <c r="C191" s="1"/>
      <c r="D191" s="2"/>
      <c r="E191" s="20"/>
      <c r="F191" s="24"/>
      <c r="G191" s="1"/>
      <c r="H191" s="1"/>
      <c r="I191" s="3"/>
    </row>
    <row r="192" spans="1:9">
      <c r="A192" s="1"/>
      <c r="B192" s="3"/>
      <c r="C192" s="1"/>
      <c r="D192" s="1"/>
      <c r="E192" s="55"/>
      <c r="F192" s="24"/>
      <c r="G192" s="1"/>
      <c r="H192" s="1"/>
      <c r="I192" s="3"/>
    </row>
    <row r="193" spans="1:11">
      <c r="A193" s="1"/>
      <c r="B193" s="3"/>
      <c r="C193" s="1"/>
      <c r="D193" s="2"/>
      <c r="E193" s="20">
        <f>+E187+E189</f>
        <v>876.09800000000041</v>
      </c>
      <c r="F193" s="24"/>
      <c r="G193" s="1"/>
      <c r="H193" s="1"/>
      <c r="I193" s="3"/>
    </row>
    <row r="194" spans="1:11">
      <c r="A194" s="1"/>
      <c r="B194" s="3"/>
      <c r="C194" s="1"/>
      <c r="D194" s="1"/>
      <c r="E194" s="2"/>
      <c r="F194" s="24"/>
      <c r="G194" s="1"/>
      <c r="H194" s="1"/>
      <c r="I194" s="3"/>
    </row>
    <row r="195" spans="1:11">
      <c r="A195" s="1"/>
      <c r="B195" s="1"/>
      <c r="C195" s="1"/>
      <c r="D195" s="1"/>
      <c r="E195" s="2"/>
      <c r="F195" s="24"/>
      <c r="G195" s="1"/>
      <c r="H195" s="1"/>
      <c r="I195" s="1"/>
    </row>
    <row r="200" spans="1:11" s="31" customFormat="1">
      <c r="A200"/>
      <c r="B200"/>
      <c r="C200"/>
      <c r="D200"/>
      <c r="E200" s="23"/>
      <c r="G200"/>
      <c r="H200"/>
      <c r="I200"/>
      <c r="J200"/>
      <c r="K200"/>
    </row>
    <row r="201" spans="1:11" s="31" customFormat="1">
      <c r="A201"/>
      <c r="B201"/>
      <c r="C201"/>
      <c r="D201"/>
      <c r="E201"/>
      <c r="G201"/>
      <c r="H201"/>
      <c r="I201"/>
      <c r="J201"/>
      <c r="K20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38"/>
  <sheetViews>
    <sheetView topLeftCell="A10" workbookViewId="0">
      <selection activeCell="E25" sqref="E25"/>
    </sheetView>
  </sheetViews>
  <sheetFormatPr defaultRowHeight="15"/>
  <cols>
    <col min="1" max="1" width="18.28515625" customWidth="1"/>
    <col min="2" max="2" width="10.28515625" bestFit="1" customWidth="1"/>
    <col min="3" max="3" width="25.85546875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>
      <c r="A1" s="1" t="s">
        <v>5</v>
      </c>
      <c r="B1" s="1" t="s">
        <v>6</v>
      </c>
      <c r="C1" s="1" t="s">
        <v>7</v>
      </c>
      <c r="D1" s="1" t="s">
        <v>0</v>
      </c>
      <c r="E1" s="1" t="s">
        <v>873</v>
      </c>
      <c r="F1" s="1" t="s">
        <v>2</v>
      </c>
      <c r="G1" s="1" t="s">
        <v>4</v>
      </c>
      <c r="H1" s="1" t="s">
        <v>874</v>
      </c>
      <c r="I1" s="5" t="s">
        <v>10</v>
      </c>
    </row>
    <row r="2" spans="1:9">
      <c r="A2" s="1" t="s">
        <v>2853</v>
      </c>
      <c r="B2" s="3">
        <v>45220</v>
      </c>
      <c r="C2" s="6" t="s">
        <v>283</v>
      </c>
      <c r="D2" s="13" t="s">
        <v>716</v>
      </c>
      <c r="E2" s="6">
        <v>16.556999999999999</v>
      </c>
      <c r="F2" s="6" t="s">
        <v>2826</v>
      </c>
      <c r="G2" s="6" t="s">
        <v>2854</v>
      </c>
      <c r="H2" s="10">
        <v>45220</v>
      </c>
      <c r="I2" s="9">
        <v>50920</v>
      </c>
    </row>
    <row r="3" spans="1:9">
      <c r="A3" s="1" t="s">
        <v>2855</v>
      </c>
      <c r="B3" s="3">
        <v>45220</v>
      </c>
      <c r="C3" s="6" t="s">
        <v>200</v>
      </c>
      <c r="D3" s="13" t="s">
        <v>716</v>
      </c>
      <c r="E3" s="6">
        <v>27.274999999999999</v>
      </c>
      <c r="F3" s="6" t="s">
        <v>2630</v>
      </c>
      <c r="G3" s="6" t="s">
        <v>2854</v>
      </c>
      <c r="H3" s="10">
        <v>45220</v>
      </c>
      <c r="I3" s="9">
        <v>50920</v>
      </c>
    </row>
    <row r="4" spans="1:9">
      <c r="A4" s="1" t="s">
        <v>2856</v>
      </c>
      <c r="B4" s="3">
        <v>45220</v>
      </c>
      <c r="C4" s="6" t="s">
        <v>200</v>
      </c>
      <c r="D4" s="13" t="s">
        <v>716</v>
      </c>
      <c r="E4" s="6">
        <v>2.8809999999999998</v>
      </c>
      <c r="F4" s="6" t="s">
        <v>2630</v>
      </c>
      <c r="G4" s="6" t="s">
        <v>2857</v>
      </c>
      <c r="H4" s="10">
        <v>45220</v>
      </c>
      <c r="I4" s="9">
        <v>50920</v>
      </c>
    </row>
    <row r="5" spans="1:9">
      <c r="A5" s="1" t="s">
        <v>2858</v>
      </c>
      <c r="B5" s="3">
        <v>45220</v>
      </c>
      <c r="C5" s="6" t="s">
        <v>200</v>
      </c>
      <c r="D5" s="13" t="s">
        <v>716</v>
      </c>
      <c r="E5" s="13">
        <v>11.404999999999999</v>
      </c>
      <c r="F5" s="6" t="s">
        <v>2010</v>
      </c>
      <c r="G5" s="6" t="s">
        <v>2854</v>
      </c>
      <c r="H5" s="10">
        <v>45220</v>
      </c>
      <c r="I5" s="9">
        <v>50920</v>
      </c>
    </row>
    <row r="6" spans="1:9">
      <c r="A6" s="1" t="s">
        <v>2859</v>
      </c>
      <c r="B6" s="3">
        <v>45220</v>
      </c>
      <c r="C6" s="6" t="s">
        <v>200</v>
      </c>
      <c r="D6" s="13" t="s">
        <v>716</v>
      </c>
      <c r="E6" s="6">
        <v>15.816000000000001</v>
      </c>
      <c r="F6" s="6" t="s">
        <v>2010</v>
      </c>
      <c r="G6" s="6" t="s">
        <v>2857</v>
      </c>
      <c r="H6" s="10">
        <v>45220</v>
      </c>
      <c r="I6" s="9">
        <v>50920</v>
      </c>
    </row>
    <row r="7" spans="1:9">
      <c r="A7" s="1" t="s">
        <v>2860</v>
      </c>
      <c r="B7" s="3">
        <v>45220</v>
      </c>
      <c r="C7" s="6" t="s">
        <v>283</v>
      </c>
      <c r="D7" s="13" t="s">
        <v>716</v>
      </c>
      <c r="E7" s="13">
        <v>4.1189999999999998</v>
      </c>
      <c r="F7" s="6" t="s">
        <v>2835</v>
      </c>
      <c r="G7" s="6" t="s">
        <v>2854</v>
      </c>
      <c r="H7" s="10">
        <v>45220</v>
      </c>
      <c r="I7" s="9">
        <v>50920</v>
      </c>
    </row>
    <row r="8" spans="1:9">
      <c r="A8" s="1" t="s">
        <v>2861</v>
      </c>
      <c r="B8" s="3">
        <v>45220</v>
      </c>
      <c r="C8" s="6" t="s">
        <v>200</v>
      </c>
      <c r="D8" s="13" t="s">
        <v>716</v>
      </c>
      <c r="E8" s="4">
        <v>23.82</v>
      </c>
      <c r="F8" s="1" t="s">
        <v>2838</v>
      </c>
      <c r="G8" s="6" t="s">
        <v>2854</v>
      </c>
      <c r="H8" s="10">
        <v>45220</v>
      </c>
      <c r="I8" s="9">
        <v>50920</v>
      </c>
    </row>
    <row r="9" spans="1:9">
      <c r="A9" s="1" t="s">
        <v>2862</v>
      </c>
      <c r="B9" s="3">
        <v>45220</v>
      </c>
      <c r="C9" s="6" t="s">
        <v>200</v>
      </c>
      <c r="D9" s="13" t="s">
        <v>716</v>
      </c>
      <c r="E9" s="4">
        <v>4.3140000000000001</v>
      </c>
      <c r="F9" s="1" t="s">
        <v>2838</v>
      </c>
      <c r="G9" s="6" t="s">
        <v>2857</v>
      </c>
      <c r="H9" s="10">
        <v>45220</v>
      </c>
      <c r="I9" s="9">
        <v>50920</v>
      </c>
    </row>
    <row r="10" spans="1:9">
      <c r="A10" s="1" t="s">
        <v>2863</v>
      </c>
      <c r="B10" s="3">
        <v>45220</v>
      </c>
      <c r="C10" s="6" t="s">
        <v>255</v>
      </c>
      <c r="D10" s="13" t="s">
        <v>716</v>
      </c>
      <c r="E10" s="4">
        <v>7.0179999999999998</v>
      </c>
      <c r="F10" s="1" t="s">
        <v>2849</v>
      </c>
      <c r="G10" s="6" t="s">
        <v>2857</v>
      </c>
      <c r="H10" s="10">
        <v>45220</v>
      </c>
      <c r="I10" s="24">
        <v>64570</v>
      </c>
    </row>
    <row r="11" spans="1:9">
      <c r="A11" s="1"/>
      <c r="B11" s="3"/>
      <c r="C11" s="1"/>
      <c r="D11" s="9"/>
      <c r="E11" s="2">
        <f>SUM(E2:E10)</f>
        <v>113.20499999999998</v>
      </c>
      <c r="F11" s="1"/>
      <c r="G11" s="1"/>
      <c r="H11" s="1"/>
      <c r="I11" s="24"/>
    </row>
    <row r="12" spans="1:9">
      <c r="A12" s="1" t="s">
        <v>2898</v>
      </c>
      <c r="B12" s="3">
        <v>45221</v>
      </c>
      <c r="C12" s="6" t="s">
        <v>283</v>
      </c>
      <c r="D12" s="13" t="s">
        <v>716</v>
      </c>
      <c r="E12" s="4">
        <v>13.641</v>
      </c>
      <c r="F12" s="1" t="s">
        <v>557</v>
      </c>
      <c r="G12" s="6" t="s">
        <v>2854</v>
      </c>
      <c r="H12" s="10">
        <v>45220</v>
      </c>
      <c r="I12" s="9">
        <v>50920</v>
      </c>
    </row>
    <row r="13" spans="1:9">
      <c r="A13" s="1" t="s">
        <v>2899</v>
      </c>
      <c r="B13" s="3">
        <v>45221</v>
      </c>
      <c r="C13" s="6" t="s">
        <v>200</v>
      </c>
      <c r="D13" s="13" t="s">
        <v>716</v>
      </c>
      <c r="E13" s="4">
        <v>8.3689999999999998</v>
      </c>
      <c r="F13" s="1" t="s">
        <v>2875</v>
      </c>
      <c r="G13" s="6" t="s">
        <v>2854</v>
      </c>
      <c r="H13" s="10">
        <v>45220</v>
      </c>
      <c r="I13" s="9">
        <v>50920</v>
      </c>
    </row>
    <row r="14" spans="1:9">
      <c r="A14" s="1" t="s">
        <v>2900</v>
      </c>
      <c r="B14" s="3">
        <v>45221</v>
      </c>
      <c r="C14" s="6" t="s">
        <v>255</v>
      </c>
      <c r="D14" s="13" t="s">
        <v>716</v>
      </c>
      <c r="E14" s="4">
        <v>7.0179999999999998</v>
      </c>
      <c r="F14" s="1" t="s">
        <v>2875</v>
      </c>
      <c r="G14" s="6" t="s">
        <v>2857</v>
      </c>
      <c r="H14" s="10">
        <v>45220</v>
      </c>
      <c r="I14" s="24">
        <v>64570</v>
      </c>
    </row>
    <row r="15" spans="1:9">
      <c r="A15" s="1" t="s">
        <v>2900</v>
      </c>
      <c r="B15" s="3">
        <v>45221</v>
      </c>
      <c r="C15" s="6" t="s">
        <v>200</v>
      </c>
      <c r="D15" s="13" t="s">
        <v>716</v>
      </c>
      <c r="E15" s="4">
        <v>2.4409999999999998</v>
      </c>
      <c r="F15" s="1" t="s">
        <v>2875</v>
      </c>
      <c r="G15" s="6" t="s">
        <v>2857</v>
      </c>
      <c r="H15" s="10">
        <v>45220</v>
      </c>
      <c r="I15" s="9">
        <v>50920</v>
      </c>
    </row>
    <row r="16" spans="1:9">
      <c r="A16" s="1" t="s">
        <v>2901</v>
      </c>
      <c r="B16" s="3">
        <v>45221</v>
      </c>
      <c r="C16" s="6" t="s">
        <v>283</v>
      </c>
      <c r="D16" s="13" t="s">
        <v>716</v>
      </c>
      <c r="E16" s="4">
        <v>6.2039999999999997</v>
      </c>
      <c r="F16" s="1" t="s">
        <v>1309</v>
      </c>
      <c r="G16" s="6" t="s">
        <v>2854</v>
      </c>
      <c r="H16" s="10">
        <v>45220</v>
      </c>
      <c r="I16" s="9">
        <v>50920</v>
      </c>
    </row>
    <row r="17" spans="1:9">
      <c r="A17" s="1" t="s">
        <v>2902</v>
      </c>
      <c r="B17" s="3">
        <v>45221</v>
      </c>
      <c r="C17" s="6" t="s">
        <v>283</v>
      </c>
      <c r="D17" s="13" t="s">
        <v>716</v>
      </c>
      <c r="E17" s="4">
        <v>10.898999999999999</v>
      </c>
      <c r="F17" s="1" t="s">
        <v>2318</v>
      </c>
      <c r="G17" s="6" t="s">
        <v>2854</v>
      </c>
      <c r="H17" s="10">
        <v>45220</v>
      </c>
      <c r="I17" s="9">
        <v>50920</v>
      </c>
    </row>
    <row r="18" spans="1:9">
      <c r="A18" s="1"/>
      <c r="B18" s="3"/>
      <c r="C18" s="1"/>
      <c r="D18" s="9"/>
      <c r="E18" s="2">
        <f>SUM(E12:E17)</f>
        <v>48.571999999999996</v>
      </c>
      <c r="F18" s="1"/>
      <c r="G18" s="1"/>
      <c r="H18" s="1"/>
      <c r="I18" s="24"/>
    </row>
    <row r="19" spans="1:9">
      <c r="A19" s="1" t="s">
        <v>2926</v>
      </c>
      <c r="B19" s="3">
        <v>45222</v>
      </c>
      <c r="C19" s="6" t="s">
        <v>283</v>
      </c>
      <c r="D19" s="13" t="s">
        <v>716</v>
      </c>
      <c r="E19" s="4">
        <v>1.4330000000000001</v>
      </c>
      <c r="F19" s="1" t="s">
        <v>1918</v>
      </c>
      <c r="G19" s="6" t="s">
        <v>2854</v>
      </c>
      <c r="H19" s="10">
        <v>45220</v>
      </c>
      <c r="I19" s="9">
        <v>50920</v>
      </c>
    </row>
    <row r="20" spans="1:9">
      <c r="A20" s="1"/>
      <c r="B20" s="3"/>
      <c r="C20" s="1"/>
      <c r="D20" s="9"/>
      <c r="E20" s="2">
        <f>SUM(E19)</f>
        <v>1.4330000000000001</v>
      </c>
      <c r="F20" s="1"/>
      <c r="G20" s="1"/>
      <c r="H20" s="1"/>
      <c r="I20" s="24"/>
    </row>
    <row r="21" spans="1:9">
      <c r="A21" s="1" t="s">
        <v>2929</v>
      </c>
      <c r="B21" s="3">
        <v>45226</v>
      </c>
      <c r="C21" s="6" t="s">
        <v>283</v>
      </c>
      <c r="D21" s="13" t="s">
        <v>716</v>
      </c>
      <c r="E21" s="4">
        <v>0.249</v>
      </c>
      <c r="F21" s="1" t="s">
        <v>2930</v>
      </c>
      <c r="G21" s="6" t="s">
        <v>2854</v>
      </c>
      <c r="H21" s="10">
        <v>45220</v>
      </c>
      <c r="I21" s="9">
        <v>50920</v>
      </c>
    </row>
    <row r="22" spans="1:9">
      <c r="A22" s="1" t="s">
        <v>2931</v>
      </c>
      <c r="B22" s="3">
        <v>45226</v>
      </c>
      <c r="C22" s="6" t="s">
        <v>255</v>
      </c>
      <c r="D22" s="13" t="s">
        <v>716</v>
      </c>
      <c r="E22" s="4">
        <v>1.3220000000000001</v>
      </c>
      <c r="F22" s="1" t="s">
        <v>2930</v>
      </c>
      <c r="G22" s="6" t="s">
        <v>2857</v>
      </c>
      <c r="H22" s="10">
        <v>45220</v>
      </c>
      <c r="I22" s="24">
        <v>64570</v>
      </c>
    </row>
    <row r="23" spans="1:9">
      <c r="A23" s="1"/>
      <c r="B23" s="3"/>
      <c r="C23" s="1"/>
      <c r="D23" s="9"/>
      <c r="E23" s="2">
        <f>SUM(E21:E22)</f>
        <v>1.5710000000000002</v>
      </c>
      <c r="F23" s="1"/>
      <c r="G23" s="1"/>
      <c r="H23" s="1"/>
      <c r="I23" s="24"/>
    </row>
    <row r="24" spans="1:9">
      <c r="A24" s="1" t="s">
        <v>2944</v>
      </c>
      <c r="B24" s="3">
        <v>45227</v>
      </c>
      <c r="C24" s="6" t="s">
        <v>200</v>
      </c>
      <c r="D24" s="13" t="s">
        <v>716</v>
      </c>
      <c r="E24" s="2">
        <v>0.16900000000000001</v>
      </c>
      <c r="F24" s="1" t="s">
        <v>2945</v>
      </c>
      <c r="G24" s="6" t="s">
        <v>2854</v>
      </c>
      <c r="H24" s="10">
        <v>45220</v>
      </c>
      <c r="I24" s="9">
        <v>50920</v>
      </c>
    </row>
    <row r="25" spans="1:9">
      <c r="A25" s="1"/>
      <c r="B25" s="3"/>
      <c r="C25" s="1"/>
      <c r="D25" s="9"/>
      <c r="E25" s="133">
        <f>SUM(E24)</f>
        <v>0.16900000000000001</v>
      </c>
      <c r="F25" s="1"/>
      <c r="G25" s="1"/>
      <c r="H25" s="1"/>
      <c r="I25" s="24"/>
    </row>
    <row r="26" spans="1:9">
      <c r="A26" s="1"/>
      <c r="B26" s="3"/>
      <c r="C26" s="1"/>
      <c r="D26" s="9"/>
      <c r="E26" s="2"/>
      <c r="F26" s="1"/>
      <c r="G26" s="1"/>
      <c r="H26" s="1"/>
      <c r="I26" s="24"/>
    </row>
    <row r="27" spans="1:9">
      <c r="A27" s="1"/>
      <c r="B27" s="3"/>
      <c r="C27" s="1"/>
      <c r="D27" s="9"/>
      <c r="E27" s="2"/>
      <c r="F27" s="1"/>
      <c r="G27" s="1"/>
      <c r="H27" s="1"/>
      <c r="I27" s="24"/>
    </row>
    <row r="28" spans="1:9">
      <c r="A28" s="1"/>
      <c r="B28" s="3"/>
      <c r="C28" s="1"/>
      <c r="D28" s="9"/>
      <c r="E28" s="2"/>
      <c r="F28" s="1"/>
      <c r="G28" s="1"/>
      <c r="H28" s="1"/>
      <c r="I28" s="24"/>
    </row>
    <row r="29" spans="1:9">
      <c r="A29" s="1"/>
      <c r="B29" s="3"/>
      <c r="C29" s="1"/>
      <c r="D29" s="9"/>
      <c r="E29" s="2"/>
      <c r="F29" s="1"/>
      <c r="G29" s="1"/>
      <c r="H29" s="1"/>
      <c r="I29" s="24"/>
    </row>
    <row r="30" spans="1:9">
      <c r="A30" s="1"/>
      <c r="B30" s="3"/>
      <c r="C30" s="1"/>
      <c r="D30" s="9"/>
      <c r="E30" s="1"/>
      <c r="F30" s="1"/>
      <c r="G30" s="1"/>
      <c r="H30" s="1"/>
      <c r="I30" s="24"/>
    </row>
    <row r="31" spans="1:9">
      <c r="A31" s="1"/>
      <c r="B31" s="3"/>
      <c r="C31" s="1"/>
      <c r="D31" s="1"/>
      <c r="E31" s="1"/>
      <c r="F31" s="1"/>
      <c r="G31" s="1"/>
      <c r="H31" s="1"/>
      <c r="I31" s="24"/>
    </row>
    <row r="32" spans="1:9">
      <c r="A32" s="1"/>
      <c r="B32" s="1"/>
      <c r="C32" s="1"/>
      <c r="D32" s="59" t="s">
        <v>924</v>
      </c>
      <c r="E32" s="54">
        <f>SUM(E2:E31)/2</f>
        <v>164.95</v>
      </c>
      <c r="F32" s="1"/>
      <c r="G32" s="1"/>
      <c r="H32" s="1"/>
      <c r="I32" s="1"/>
    </row>
    <row r="37" spans="1:11" s="31" customFormat="1">
      <c r="A37"/>
      <c r="B37"/>
      <c r="C37"/>
      <c r="D37"/>
      <c r="E37" s="23"/>
      <c r="G37"/>
      <c r="H37"/>
      <c r="I37"/>
      <c r="J37"/>
      <c r="K37"/>
    </row>
    <row r="38" spans="1:11" s="31" customFormat="1">
      <c r="A38"/>
      <c r="B38"/>
      <c r="C38"/>
      <c r="D38"/>
      <c r="E38"/>
      <c r="G38"/>
      <c r="H38"/>
      <c r="I38"/>
      <c r="J38"/>
      <c r="K38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F21" sqref="F21"/>
    </sheetView>
  </sheetViews>
  <sheetFormatPr defaultRowHeight="15"/>
  <cols>
    <col min="1" max="1" width="18.28515625" customWidth="1"/>
    <col min="2" max="2" width="10.28515625" bestFit="1" customWidth="1"/>
    <col min="3" max="3" width="25.85546875" customWidth="1"/>
    <col min="4" max="4" width="37.7109375" bestFit="1" customWidth="1"/>
    <col min="5" max="5" width="10.5703125" bestFit="1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>
      <c r="A1" s="1" t="s">
        <v>5</v>
      </c>
      <c r="B1" s="1" t="s">
        <v>6</v>
      </c>
      <c r="C1" s="1" t="s">
        <v>7</v>
      </c>
      <c r="D1" s="1" t="s">
        <v>0</v>
      </c>
      <c r="E1" s="1" t="s">
        <v>873</v>
      </c>
      <c r="F1" s="1" t="s">
        <v>2</v>
      </c>
      <c r="G1" s="1" t="s">
        <v>4</v>
      </c>
      <c r="H1" s="1" t="s">
        <v>874</v>
      </c>
      <c r="I1" s="5" t="s">
        <v>10</v>
      </c>
    </row>
    <row r="2" spans="1:9">
      <c r="A2" s="1" t="s">
        <v>2752</v>
      </c>
      <c r="B2" s="3">
        <v>45218</v>
      </c>
      <c r="C2" s="6" t="s">
        <v>345</v>
      </c>
      <c r="D2" s="9" t="s">
        <v>1936</v>
      </c>
      <c r="E2" s="6">
        <v>20.233000000000001</v>
      </c>
      <c r="F2" s="6" t="s">
        <v>2753</v>
      </c>
      <c r="G2" s="6" t="s">
        <v>2754</v>
      </c>
      <c r="H2" s="10">
        <v>45218</v>
      </c>
      <c r="I2" s="9">
        <v>50920</v>
      </c>
    </row>
    <row r="3" spans="1:9">
      <c r="A3" s="1" t="s">
        <v>2752</v>
      </c>
      <c r="B3" s="3">
        <v>45218</v>
      </c>
      <c r="C3" s="6" t="s">
        <v>303</v>
      </c>
      <c r="D3" s="9" t="s">
        <v>1936</v>
      </c>
      <c r="E3" s="6">
        <v>5.0010000000000003</v>
      </c>
      <c r="F3" s="6" t="s">
        <v>2753</v>
      </c>
      <c r="G3" s="6" t="s">
        <v>2754</v>
      </c>
      <c r="H3" s="10">
        <v>45218</v>
      </c>
      <c r="I3" s="9">
        <v>50920</v>
      </c>
    </row>
    <row r="4" spans="1:9">
      <c r="A4" s="1" t="s">
        <v>2755</v>
      </c>
      <c r="B4" s="3">
        <v>45218</v>
      </c>
      <c r="C4" s="6" t="s">
        <v>345</v>
      </c>
      <c r="D4" s="9" t="s">
        <v>1936</v>
      </c>
      <c r="E4" s="6">
        <v>7.3529999999999998</v>
      </c>
      <c r="F4" s="6" t="s">
        <v>2753</v>
      </c>
      <c r="G4" s="6" t="s">
        <v>2756</v>
      </c>
      <c r="H4" s="10">
        <v>45218</v>
      </c>
      <c r="I4" s="9">
        <v>50920</v>
      </c>
    </row>
    <row r="5" spans="1:9">
      <c r="A5" s="1" t="s">
        <v>2757</v>
      </c>
      <c r="B5" s="3">
        <v>45218</v>
      </c>
      <c r="C5" s="6" t="s">
        <v>345</v>
      </c>
      <c r="D5" s="9" t="s">
        <v>1936</v>
      </c>
      <c r="E5" s="13">
        <v>26.196000000000002</v>
      </c>
      <c r="F5" s="6" t="s">
        <v>559</v>
      </c>
      <c r="G5" s="6" t="s">
        <v>2754</v>
      </c>
      <c r="H5" s="10">
        <v>45218</v>
      </c>
      <c r="I5" s="9">
        <v>50920</v>
      </c>
    </row>
    <row r="6" spans="1:9">
      <c r="A6" s="1" t="s">
        <v>2758</v>
      </c>
      <c r="B6" s="3">
        <v>45218</v>
      </c>
      <c r="C6" s="6" t="s">
        <v>345</v>
      </c>
      <c r="D6" s="9" t="s">
        <v>1936</v>
      </c>
      <c r="E6" s="6">
        <v>6.4359999999999999</v>
      </c>
      <c r="F6" s="6" t="s">
        <v>559</v>
      </c>
      <c r="G6" s="6" t="s">
        <v>2756</v>
      </c>
      <c r="H6" s="10">
        <v>45218</v>
      </c>
      <c r="I6" s="9">
        <v>50920</v>
      </c>
    </row>
    <row r="7" spans="1:9">
      <c r="A7" s="1"/>
      <c r="B7" s="3"/>
      <c r="C7" s="1"/>
      <c r="D7" s="9"/>
      <c r="E7" s="11">
        <f>SUM(E2:E6)</f>
        <v>65.218999999999994</v>
      </c>
      <c r="F7" s="6"/>
      <c r="G7" s="6"/>
      <c r="H7" s="10"/>
      <c r="I7" s="9"/>
    </row>
    <row r="8" spans="1:9">
      <c r="A8" s="1" t="s">
        <v>2927</v>
      </c>
      <c r="B8" s="3">
        <v>45225</v>
      </c>
      <c r="C8" s="6" t="s">
        <v>303</v>
      </c>
      <c r="D8" s="9" t="s">
        <v>1936</v>
      </c>
      <c r="E8" s="4">
        <v>32.003999999999998</v>
      </c>
      <c r="F8" s="1" t="s">
        <v>2928</v>
      </c>
      <c r="G8" s="6" t="s">
        <v>2754</v>
      </c>
      <c r="H8" s="10">
        <v>45218</v>
      </c>
      <c r="I8" s="24">
        <v>50920</v>
      </c>
    </row>
    <row r="9" spans="1:9">
      <c r="A9" s="1" t="s">
        <v>2927</v>
      </c>
      <c r="B9" s="3">
        <v>45225</v>
      </c>
      <c r="C9" s="6" t="s">
        <v>303</v>
      </c>
      <c r="D9" s="9" t="s">
        <v>1936</v>
      </c>
      <c r="E9" s="4">
        <v>0.36099999999999999</v>
      </c>
      <c r="F9" s="1" t="s">
        <v>2928</v>
      </c>
      <c r="G9" s="6" t="s">
        <v>2756</v>
      </c>
      <c r="H9" s="10">
        <v>45218</v>
      </c>
      <c r="I9" s="24">
        <v>50920</v>
      </c>
    </row>
    <row r="10" spans="1:9">
      <c r="A10" s="1" t="s">
        <v>2927</v>
      </c>
      <c r="B10" s="3">
        <v>45225</v>
      </c>
      <c r="C10" s="6" t="s">
        <v>195</v>
      </c>
      <c r="D10" s="9" t="s">
        <v>1936</v>
      </c>
      <c r="E10" s="4">
        <v>7.68</v>
      </c>
      <c r="F10" s="1" t="s">
        <v>2928</v>
      </c>
      <c r="G10" s="6" t="s">
        <v>2754</v>
      </c>
      <c r="H10" s="10">
        <v>45218</v>
      </c>
      <c r="I10" s="24">
        <v>51120</v>
      </c>
    </row>
    <row r="11" spans="1:9">
      <c r="A11" s="1"/>
      <c r="B11" s="3"/>
      <c r="C11" s="1"/>
      <c r="D11" s="9"/>
      <c r="E11" s="2">
        <f>SUM(E8:E10)</f>
        <v>40.044999999999995</v>
      </c>
      <c r="F11" s="1"/>
      <c r="G11" s="1"/>
      <c r="H11" s="1"/>
      <c r="I11" s="24"/>
    </row>
    <row r="12" spans="1:9">
      <c r="A12" s="1"/>
      <c r="B12" s="3"/>
      <c r="C12" s="1"/>
      <c r="D12" s="9"/>
      <c r="E12" s="2"/>
      <c r="F12" s="1"/>
      <c r="G12" s="1"/>
      <c r="H12" s="1"/>
      <c r="I12" s="24"/>
    </row>
    <row r="13" spans="1:9">
      <c r="A13" s="1"/>
      <c r="B13" s="3"/>
      <c r="C13" s="1"/>
      <c r="D13" s="9"/>
      <c r="E13" s="1"/>
      <c r="F13" s="1"/>
      <c r="G13" s="1"/>
      <c r="H13" s="1"/>
      <c r="I13" s="24"/>
    </row>
    <row r="14" spans="1:9">
      <c r="A14" s="1"/>
      <c r="B14" s="3"/>
      <c r="C14" s="1"/>
      <c r="D14" s="1"/>
      <c r="E14" s="1"/>
      <c r="F14" s="1"/>
      <c r="G14" s="1"/>
      <c r="H14" s="1"/>
      <c r="I14" s="24"/>
    </row>
    <row r="15" spans="1:9">
      <c r="A15" s="1"/>
      <c r="B15" s="1"/>
      <c r="C15" s="1"/>
      <c r="D15" s="59" t="s">
        <v>924</v>
      </c>
      <c r="E15" s="2">
        <f>SUM(E2:E14)/2</f>
        <v>105.26399999999998</v>
      </c>
      <c r="F15" s="1"/>
      <c r="G15" s="1"/>
      <c r="H15" s="1"/>
      <c r="I15" s="1"/>
    </row>
    <row r="20" spans="1:11" s="31" customFormat="1">
      <c r="A20"/>
      <c r="B20"/>
      <c r="C20"/>
      <c r="D20"/>
      <c r="E20" s="23"/>
      <c r="G20"/>
      <c r="H20"/>
      <c r="I20"/>
      <c r="J20"/>
      <c r="K20"/>
    </row>
    <row r="21" spans="1:11" s="31" customFormat="1">
      <c r="A21"/>
      <c r="B21"/>
      <c r="C21"/>
      <c r="D21"/>
      <c r="E21"/>
      <c r="G21"/>
      <c r="H21"/>
      <c r="I21"/>
      <c r="J21"/>
      <c r="K21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M9"/>
  <sheetViews>
    <sheetView zoomScale="75" zoomScaleNormal="75" workbookViewId="0">
      <selection activeCell="D13" sqref="D13:D14"/>
    </sheetView>
  </sheetViews>
  <sheetFormatPr defaultRowHeight="15"/>
  <cols>
    <col min="1" max="1" width="8" bestFit="1" customWidth="1"/>
    <col min="2" max="2" width="20.140625" bestFit="1" customWidth="1"/>
    <col min="3" max="3" width="11.140625" bestFit="1" customWidth="1"/>
    <col min="4" max="4" width="21.7109375" bestFit="1" customWidth="1"/>
    <col min="5" max="5" width="43" bestFit="1" customWidth="1"/>
    <col min="6" max="6" width="5.28515625" bestFit="1" customWidth="1"/>
    <col min="7" max="7" width="8.7109375" bestFit="1" customWidth="1"/>
    <col min="8" max="8" width="14" bestFit="1" customWidth="1"/>
    <col min="9" max="9" width="9.85546875" bestFit="1" customWidth="1"/>
    <col min="10" max="10" width="27.28515625" bestFit="1" customWidth="1"/>
    <col min="11" max="11" width="7.140625" bestFit="1" customWidth="1"/>
    <col min="12" max="12" width="26.42578125" customWidth="1"/>
  </cols>
  <sheetData>
    <row r="2" spans="1:13" ht="21">
      <c r="A2" s="95" t="s">
        <v>1612</v>
      </c>
    </row>
    <row r="3" spans="1:13" ht="33">
      <c r="A3" s="80" t="s">
        <v>1526</v>
      </c>
      <c r="B3" s="80" t="s">
        <v>1527</v>
      </c>
      <c r="C3" s="80" t="s">
        <v>1528</v>
      </c>
      <c r="D3" s="80" t="s">
        <v>1529</v>
      </c>
      <c r="E3" s="80" t="s">
        <v>644</v>
      </c>
      <c r="F3" s="80" t="s">
        <v>1530</v>
      </c>
      <c r="G3" s="80" t="s">
        <v>1531</v>
      </c>
      <c r="H3" s="80" t="s">
        <v>1532</v>
      </c>
      <c r="I3" s="81" t="s">
        <v>1533</v>
      </c>
      <c r="J3" s="80" t="s">
        <v>1534</v>
      </c>
      <c r="K3" s="80" t="s">
        <v>1535</v>
      </c>
      <c r="L3" s="82" t="s">
        <v>1536</v>
      </c>
      <c r="M3" s="83"/>
    </row>
    <row r="4" spans="1:13" ht="15.75">
      <c r="A4" s="84">
        <v>1</v>
      </c>
      <c r="B4" s="85" t="s">
        <v>3024</v>
      </c>
      <c r="C4" s="86">
        <v>45230</v>
      </c>
      <c r="D4" s="84" t="s">
        <v>1538</v>
      </c>
      <c r="E4" s="87" t="s">
        <v>78</v>
      </c>
      <c r="F4" s="84">
        <v>17</v>
      </c>
      <c r="G4" s="84">
        <v>26.94</v>
      </c>
      <c r="H4" s="84" t="s">
        <v>267</v>
      </c>
      <c r="I4" s="84">
        <v>1388488</v>
      </c>
      <c r="J4" s="88" t="s">
        <v>1540</v>
      </c>
      <c r="K4" s="84">
        <v>1722</v>
      </c>
      <c r="L4" s="89" t="s">
        <v>3025</v>
      </c>
      <c r="M4" s="83"/>
    </row>
    <row r="5" spans="1:13" ht="15.75">
      <c r="A5" s="84">
        <v>2</v>
      </c>
      <c r="B5" s="85" t="s">
        <v>3026</v>
      </c>
      <c r="C5" s="86">
        <v>45230</v>
      </c>
      <c r="D5" s="84" t="s">
        <v>1538</v>
      </c>
      <c r="E5" s="87" t="s">
        <v>78</v>
      </c>
      <c r="F5" s="84">
        <v>8</v>
      </c>
      <c r="G5" s="84">
        <v>12.68</v>
      </c>
      <c r="H5" s="84" t="s">
        <v>1208</v>
      </c>
      <c r="I5" s="84">
        <v>653527</v>
      </c>
      <c r="J5" s="88" t="s">
        <v>1540</v>
      </c>
      <c r="K5" s="84">
        <v>1721</v>
      </c>
      <c r="L5" s="89" t="s">
        <v>3027</v>
      </c>
      <c r="M5" s="83"/>
    </row>
    <row r="6" spans="1:13" ht="15.75">
      <c r="A6" s="84"/>
      <c r="B6" s="90"/>
      <c r="C6" s="90"/>
      <c r="D6" s="84"/>
      <c r="E6" s="84"/>
      <c r="F6" s="91">
        <f>SUM(F4:F5)</f>
        <v>25</v>
      </c>
      <c r="G6" s="91">
        <f>SUM(G4:G5)</f>
        <v>39.620000000000005</v>
      </c>
      <c r="H6" s="84"/>
      <c r="I6" s="84"/>
      <c r="J6" s="88"/>
      <c r="K6" s="84"/>
      <c r="L6" s="90"/>
      <c r="M6" s="83"/>
    </row>
    <row r="7" spans="1:13" ht="15.75">
      <c r="A7" s="84"/>
      <c r="B7" s="85"/>
      <c r="C7" s="86"/>
      <c r="D7" s="84"/>
      <c r="E7" s="87"/>
      <c r="F7" s="91"/>
      <c r="G7" s="91"/>
      <c r="H7" s="91"/>
      <c r="I7" s="84"/>
      <c r="J7" s="88"/>
      <c r="K7" s="84"/>
      <c r="L7" s="92"/>
      <c r="M7" s="83"/>
    </row>
    <row r="8" spans="1:13" ht="15.75">
      <c r="A8" s="84"/>
      <c r="B8" s="85"/>
      <c r="C8" s="86"/>
      <c r="D8" s="84"/>
      <c r="E8" s="87"/>
      <c r="F8" s="91"/>
      <c r="G8" s="91"/>
      <c r="H8" s="91"/>
      <c r="I8" s="84"/>
      <c r="J8" s="88"/>
      <c r="K8" s="84"/>
      <c r="L8" s="92"/>
    </row>
    <row r="9" spans="1:13">
      <c r="A9" s="1"/>
      <c r="B9" s="1"/>
      <c r="C9" s="1"/>
      <c r="D9" s="1"/>
      <c r="E9" s="2" t="s">
        <v>1611</v>
      </c>
      <c r="F9" s="2">
        <f>SUM(F4:F7)/2</f>
        <v>25</v>
      </c>
      <c r="G9" s="54">
        <f>SUM(G4:G7)/2</f>
        <v>39.620000000000005</v>
      </c>
      <c r="H9" s="1"/>
      <c r="I9" s="1"/>
      <c r="J9" s="1"/>
      <c r="K9" s="1"/>
      <c r="L9" s="1"/>
    </row>
  </sheetData>
  <pageMargins left="0.28000000000000003" right="0.26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filterMode="1"/>
  <dimension ref="A1:L307"/>
  <sheetViews>
    <sheetView topLeftCell="A197" workbookViewId="0">
      <selection activeCell="A60" sqref="A60:I277"/>
    </sheetView>
  </sheetViews>
  <sheetFormatPr defaultRowHeight="15"/>
  <cols>
    <col min="1" max="1" width="18.28515625" customWidth="1"/>
    <col min="2" max="2" width="10.28515625" bestFit="1" customWidth="1"/>
    <col min="3" max="3" width="30.5703125" customWidth="1"/>
    <col min="4" max="4" width="48.28515625" bestFit="1" customWidth="1"/>
    <col min="5" max="5" width="12" customWidth="1"/>
    <col min="6" max="6" width="15" style="31" customWidth="1"/>
    <col min="7" max="7" width="29.7109375" customWidth="1"/>
    <col min="8" max="8" width="16.5703125" customWidth="1"/>
    <col min="9" max="9" width="12.7109375" style="112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 hidden="1">
      <c r="A2" s="66" t="s">
        <v>2712</v>
      </c>
      <c r="B2" s="103">
        <v>45214</v>
      </c>
      <c r="C2" s="13" t="s">
        <v>1640</v>
      </c>
      <c r="D2" s="113" t="s">
        <v>78</v>
      </c>
      <c r="E2" s="22">
        <v>31.946000000000002</v>
      </c>
      <c r="F2" s="102" t="s">
        <v>116</v>
      </c>
      <c r="G2" s="1" t="s">
        <v>2713</v>
      </c>
      <c r="H2" s="1" t="s">
        <v>2030</v>
      </c>
      <c r="I2" s="110">
        <v>45141</v>
      </c>
    </row>
    <row r="3" spans="1:9" hidden="1">
      <c r="A3" s="15"/>
      <c r="B3" s="61"/>
      <c r="C3" s="6"/>
      <c r="D3" s="1"/>
      <c r="E3" s="41">
        <f>SUM(E2:E2)</f>
        <v>31.946000000000002</v>
      </c>
      <c r="F3" s="102"/>
      <c r="G3" s="1"/>
      <c r="H3" s="1"/>
      <c r="I3" s="109"/>
    </row>
    <row r="4" spans="1:9" hidden="1">
      <c r="A4" s="66" t="s">
        <v>2841</v>
      </c>
      <c r="B4" s="103">
        <v>45220</v>
      </c>
      <c r="C4" s="13" t="s">
        <v>2840</v>
      </c>
      <c r="D4" s="113" t="s">
        <v>78</v>
      </c>
      <c r="E4" s="104">
        <f>10.866+9.708</f>
        <v>20.573999999999998</v>
      </c>
      <c r="F4" s="24" t="s">
        <v>86</v>
      </c>
      <c r="G4" s="1" t="s">
        <v>2842</v>
      </c>
      <c r="H4" s="1" t="s">
        <v>2499</v>
      </c>
      <c r="I4" s="110">
        <v>45139</v>
      </c>
    </row>
    <row r="5" spans="1:9" hidden="1">
      <c r="A5" s="66" t="s">
        <v>2844</v>
      </c>
      <c r="B5" s="103">
        <v>45220</v>
      </c>
      <c r="C5" s="13" t="s">
        <v>2843</v>
      </c>
      <c r="D5" s="113" t="s">
        <v>78</v>
      </c>
      <c r="E5" s="104">
        <v>11.462999999999999</v>
      </c>
      <c r="F5" s="24" t="s">
        <v>86</v>
      </c>
      <c r="G5" s="1" t="s">
        <v>2845</v>
      </c>
      <c r="H5" s="1" t="s">
        <v>2030</v>
      </c>
      <c r="I5" s="110">
        <v>45141</v>
      </c>
    </row>
    <row r="6" spans="1:9" hidden="1">
      <c r="A6" s="117"/>
      <c r="B6" s="61"/>
      <c r="C6" s="6"/>
      <c r="D6" s="1"/>
      <c r="E6" s="41">
        <f>SUM(E4:E5)</f>
        <v>32.036999999999999</v>
      </c>
      <c r="F6" s="102"/>
      <c r="G6" s="1"/>
      <c r="H6" s="1"/>
      <c r="I6" s="109"/>
    </row>
    <row r="7" spans="1:9" hidden="1">
      <c r="A7" s="66" t="s">
        <v>2958</v>
      </c>
      <c r="B7" s="103">
        <v>45228</v>
      </c>
      <c r="C7" s="13" t="s">
        <v>2957</v>
      </c>
      <c r="D7" s="113" t="s">
        <v>78</v>
      </c>
      <c r="E7" s="104">
        <v>1.194</v>
      </c>
      <c r="F7" s="102" t="s">
        <v>97</v>
      </c>
      <c r="G7" s="4" t="s">
        <v>2959</v>
      </c>
      <c r="H7" s="4" t="s">
        <v>2702</v>
      </c>
      <c r="I7" s="110">
        <v>45188</v>
      </c>
    </row>
    <row r="8" spans="1:9" hidden="1">
      <c r="A8" s="66" t="s">
        <v>2958</v>
      </c>
      <c r="B8" s="103">
        <v>45228</v>
      </c>
      <c r="C8" s="13" t="s">
        <v>2746</v>
      </c>
      <c r="D8" s="113" t="s">
        <v>78</v>
      </c>
      <c r="E8" s="104">
        <v>0.36599999999999999</v>
      </c>
      <c r="F8" s="102" t="s">
        <v>97</v>
      </c>
      <c r="G8" s="4" t="s">
        <v>2959</v>
      </c>
      <c r="H8" s="4" t="s">
        <v>2702</v>
      </c>
      <c r="I8" s="110">
        <v>45188</v>
      </c>
    </row>
    <row r="9" spans="1:9" hidden="1">
      <c r="A9" s="66" t="s">
        <v>2961</v>
      </c>
      <c r="B9" s="103">
        <v>45228</v>
      </c>
      <c r="C9" s="13" t="s">
        <v>2960</v>
      </c>
      <c r="D9" s="113" t="s">
        <v>78</v>
      </c>
      <c r="E9" s="104">
        <f>2.474+7.501+9.968</f>
        <v>19.943000000000001</v>
      </c>
      <c r="F9" s="102" t="s">
        <v>97</v>
      </c>
      <c r="G9" s="4" t="s">
        <v>2962</v>
      </c>
      <c r="H9" s="4" t="s">
        <v>2963</v>
      </c>
      <c r="I9" s="110">
        <v>45217</v>
      </c>
    </row>
    <row r="10" spans="1:9" hidden="1">
      <c r="A10" s="66" t="s">
        <v>2964</v>
      </c>
      <c r="B10" s="103">
        <v>45228</v>
      </c>
      <c r="C10" s="13" t="s">
        <v>2490</v>
      </c>
      <c r="D10" s="113" t="s">
        <v>78</v>
      </c>
      <c r="E10" s="104">
        <v>11.148</v>
      </c>
      <c r="F10" s="102" t="s">
        <v>97</v>
      </c>
      <c r="G10" s="4" t="s">
        <v>2965</v>
      </c>
      <c r="H10" s="4" t="s">
        <v>2030</v>
      </c>
      <c r="I10" s="110">
        <v>45141</v>
      </c>
    </row>
    <row r="11" spans="1:9" hidden="1">
      <c r="A11" s="117"/>
      <c r="B11" s="127"/>
      <c r="C11" s="119"/>
      <c r="D11" s="128"/>
      <c r="E11" s="124">
        <f>SUM(E7:E10)</f>
        <v>32.650999999999996</v>
      </c>
      <c r="F11" s="121"/>
      <c r="G11" s="93"/>
      <c r="H11" s="93"/>
      <c r="I11" s="122"/>
    </row>
    <row r="12" spans="1:9" hidden="1">
      <c r="A12" s="66" t="s">
        <v>2990</v>
      </c>
      <c r="B12" s="103">
        <v>45229</v>
      </c>
      <c r="C12" s="13" t="s">
        <v>2490</v>
      </c>
      <c r="D12" s="113" t="s">
        <v>78</v>
      </c>
      <c r="E12" s="104">
        <v>32.790999999999997</v>
      </c>
      <c r="F12" s="24" t="s">
        <v>86</v>
      </c>
      <c r="G12" s="4" t="s">
        <v>2991</v>
      </c>
      <c r="H12" s="4" t="s">
        <v>2030</v>
      </c>
      <c r="I12" s="110">
        <v>45141</v>
      </c>
    </row>
    <row r="13" spans="1:9" hidden="1">
      <c r="A13" s="66" t="s">
        <v>3000</v>
      </c>
      <c r="B13" s="103">
        <v>45229</v>
      </c>
      <c r="C13" s="13" t="s">
        <v>2490</v>
      </c>
      <c r="D13" s="113" t="s">
        <v>78</v>
      </c>
      <c r="E13" s="104">
        <v>31.245999999999999</v>
      </c>
      <c r="F13" s="102" t="s">
        <v>1243</v>
      </c>
      <c r="G13" s="4" t="s">
        <v>3001</v>
      </c>
      <c r="H13" s="4" t="s">
        <v>2030</v>
      </c>
      <c r="I13" s="110">
        <v>45141</v>
      </c>
    </row>
    <row r="14" spans="1:9" hidden="1">
      <c r="A14" s="15"/>
      <c r="B14" s="103"/>
      <c r="C14" s="13"/>
      <c r="D14" s="113"/>
      <c r="E14" s="41">
        <f>SUM(E12:E13)</f>
        <v>64.036999999999992</v>
      </c>
      <c r="F14" s="102"/>
      <c r="G14" s="4"/>
      <c r="H14" s="4"/>
      <c r="I14" s="109"/>
    </row>
    <row r="15" spans="1:9" hidden="1">
      <c r="A15" s="66" t="s">
        <v>3021</v>
      </c>
      <c r="B15" s="103">
        <v>45230</v>
      </c>
      <c r="C15" s="13" t="s">
        <v>2843</v>
      </c>
      <c r="D15" s="113" t="s">
        <v>78</v>
      </c>
      <c r="E15" s="104">
        <f>16.142+1.11</f>
        <v>17.251999999999999</v>
      </c>
      <c r="F15" s="102" t="s">
        <v>851</v>
      </c>
      <c r="G15" s="1" t="s">
        <v>3022</v>
      </c>
      <c r="H15" s="4" t="s">
        <v>2030</v>
      </c>
      <c r="I15" s="110">
        <v>45141</v>
      </c>
    </row>
    <row r="16" spans="1:9" hidden="1">
      <c r="A16" s="66" t="s">
        <v>3021</v>
      </c>
      <c r="B16" s="103">
        <v>45230</v>
      </c>
      <c r="C16" s="13" t="s">
        <v>2736</v>
      </c>
      <c r="D16" s="113" t="s">
        <v>78</v>
      </c>
      <c r="E16" s="104">
        <v>12.291</v>
      </c>
      <c r="F16" s="102" t="s">
        <v>851</v>
      </c>
      <c r="G16" s="1" t="s">
        <v>3022</v>
      </c>
      <c r="H16" s="4" t="s">
        <v>2030</v>
      </c>
      <c r="I16" s="110">
        <v>45141</v>
      </c>
    </row>
    <row r="17" spans="1:9" hidden="1">
      <c r="A17" s="66" t="s">
        <v>3021</v>
      </c>
      <c r="B17" s="103">
        <v>45230</v>
      </c>
      <c r="C17" s="13" t="s">
        <v>3020</v>
      </c>
      <c r="D17" s="113" t="s">
        <v>78</v>
      </c>
      <c r="E17" s="104">
        <v>2.76</v>
      </c>
      <c r="F17" s="102" t="s">
        <v>851</v>
      </c>
      <c r="G17" s="1" t="s">
        <v>3022</v>
      </c>
      <c r="H17" s="4" t="s">
        <v>2030</v>
      </c>
      <c r="I17" s="110">
        <v>45141</v>
      </c>
    </row>
    <row r="18" spans="1:9" hidden="1">
      <c r="A18" s="66" t="s">
        <v>3021</v>
      </c>
      <c r="B18" s="103">
        <v>45230</v>
      </c>
      <c r="C18" s="13" t="s">
        <v>2490</v>
      </c>
      <c r="D18" s="113" t="s">
        <v>78</v>
      </c>
      <c r="E18" s="104">
        <v>31.734000000000002</v>
      </c>
      <c r="F18" s="102" t="s">
        <v>116</v>
      </c>
      <c r="G18" s="1" t="s">
        <v>3023</v>
      </c>
      <c r="H18" s="4" t="s">
        <v>2030</v>
      </c>
      <c r="I18" s="110">
        <v>45141</v>
      </c>
    </row>
    <row r="19" spans="1:9" hidden="1">
      <c r="A19" s="15"/>
      <c r="B19" s="61"/>
      <c r="C19" s="6"/>
      <c r="D19" s="1"/>
      <c r="E19" s="41">
        <f>SUM(E15:E18)</f>
        <v>64.037000000000006</v>
      </c>
      <c r="F19" s="102"/>
      <c r="G19" s="1"/>
      <c r="H19" s="1"/>
      <c r="I19" s="109"/>
    </row>
    <row r="20" spans="1:9" hidden="1">
      <c r="A20" s="66" t="s">
        <v>3046</v>
      </c>
      <c r="B20" s="103">
        <v>45231</v>
      </c>
      <c r="C20" s="13" t="s">
        <v>3045</v>
      </c>
      <c r="D20" s="113" t="s">
        <v>78</v>
      </c>
      <c r="E20" s="104">
        <v>31.535</v>
      </c>
      <c r="F20" s="102" t="s">
        <v>116</v>
      </c>
      <c r="G20" s="4" t="s">
        <v>3047</v>
      </c>
      <c r="H20" s="4" t="s">
        <v>3048</v>
      </c>
      <c r="I20" s="110">
        <v>45141</v>
      </c>
    </row>
    <row r="21" spans="1:9" hidden="1">
      <c r="A21" s="66" t="s">
        <v>3049</v>
      </c>
      <c r="B21" s="103">
        <v>45231</v>
      </c>
      <c r="C21" s="13" t="s">
        <v>2843</v>
      </c>
      <c r="D21" s="113" t="s">
        <v>78</v>
      </c>
      <c r="E21" s="104">
        <f>6.204+0.368+9.944</f>
        <v>16.516000000000002</v>
      </c>
      <c r="F21" s="102" t="s">
        <v>97</v>
      </c>
      <c r="G21" s="4" t="s">
        <v>3050</v>
      </c>
      <c r="H21" s="4" t="s">
        <v>2030</v>
      </c>
      <c r="I21" s="110">
        <v>45141</v>
      </c>
    </row>
    <row r="22" spans="1:9" hidden="1">
      <c r="A22" s="66" t="s">
        <v>3049</v>
      </c>
      <c r="B22" s="103">
        <v>45231</v>
      </c>
      <c r="C22" s="13" t="s">
        <v>2736</v>
      </c>
      <c r="D22" s="113" t="s">
        <v>78</v>
      </c>
      <c r="E22" s="104">
        <v>7.83</v>
      </c>
      <c r="F22" s="102" t="s">
        <v>97</v>
      </c>
      <c r="G22" s="4" t="s">
        <v>3050</v>
      </c>
      <c r="H22" s="4" t="s">
        <v>2030</v>
      </c>
      <c r="I22" s="110">
        <v>45141</v>
      </c>
    </row>
    <row r="23" spans="1:9" hidden="1">
      <c r="A23" s="66" t="s">
        <v>3049</v>
      </c>
      <c r="B23" s="103">
        <v>45231</v>
      </c>
      <c r="C23" s="13" t="s">
        <v>2490</v>
      </c>
      <c r="D23" s="113" t="s">
        <v>78</v>
      </c>
      <c r="E23" s="104">
        <v>7.8579999999999997</v>
      </c>
      <c r="F23" s="102" t="s">
        <v>97</v>
      </c>
      <c r="G23" s="4" t="s">
        <v>3050</v>
      </c>
      <c r="H23" s="4" t="s">
        <v>2030</v>
      </c>
      <c r="I23" s="110">
        <v>45141</v>
      </c>
    </row>
    <row r="24" spans="1:9" hidden="1">
      <c r="A24" s="66" t="s">
        <v>3054</v>
      </c>
      <c r="B24" s="103">
        <v>45231</v>
      </c>
      <c r="C24" s="13" t="s">
        <v>3053</v>
      </c>
      <c r="D24" s="113" t="s">
        <v>78</v>
      </c>
      <c r="E24" s="104">
        <f>11.15+20.102</f>
        <v>31.252000000000002</v>
      </c>
      <c r="F24" s="102" t="s">
        <v>1208</v>
      </c>
      <c r="G24" s="4" t="s">
        <v>3055</v>
      </c>
      <c r="H24" s="4" t="s">
        <v>3048</v>
      </c>
      <c r="I24" s="110">
        <v>45141</v>
      </c>
    </row>
    <row r="25" spans="1:9" hidden="1">
      <c r="A25" s="66" t="s">
        <v>3057</v>
      </c>
      <c r="B25" s="103">
        <v>45231</v>
      </c>
      <c r="C25" s="13" t="s">
        <v>2486</v>
      </c>
      <c r="D25" s="113" t="s">
        <v>2706</v>
      </c>
      <c r="E25" s="104">
        <v>10.551</v>
      </c>
      <c r="F25" s="102" t="s">
        <v>3058</v>
      </c>
      <c r="G25" s="4" t="s">
        <v>3059</v>
      </c>
      <c r="H25" s="4" t="s">
        <v>2994</v>
      </c>
      <c r="I25" s="110">
        <v>45213</v>
      </c>
    </row>
    <row r="26" spans="1:9" hidden="1">
      <c r="A26" s="66" t="s">
        <v>3057</v>
      </c>
      <c r="B26" s="103">
        <v>45231</v>
      </c>
      <c r="C26" s="13" t="s">
        <v>2736</v>
      </c>
      <c r="D26" s="113" t="s">
        <v>2706</v>
      </c>
      <c r="E26" s="104">
        <v>3.3180000000000001</v>
      </c>
      <c r="F26" s="102" t="s">
        <v>3058</v>
      </c>
      <c r="G26" s="4" t="s">
        <v>3059</v>
      </c>
      <c r="H26" s="4" t="s">
        <v>2994</v>
      </c>
      <c r="I26" s="110">
        <v>45213</v>
      </c>
    </row>
    <row r="27" spans="1:9" hidden="1">
      <c r="A27" s="66" t="s">
        <v>3057</v>
      </c>
      <c r="B27" s="103">
        <v>45231</v>
      </c>
      <c r="C27" s="13" t="s">
        <v>3008</v>
      </c>
      <c r="D27" s="113" t="s">
        <v>2706</v>
      </c>
      <c r="E27" s="104">
        <f>2.866+8.144</f>
        <v>11.01</v>
      </c>
      <c r="F27" s="102" t="s">
        <v>3058</v>
      </c>
      <c r="G27" s="4" t="s">
        <v>3059</v>
      </c>
      <c r="H27" s="4" t="s">
        <v>2994</v>
      </c>
      <c r="I27" s="110">
        <v>45213</v>
      </c>
    </row>
    <row r="28" spans="1:9" hidden="1">
      <c r="A28" s="66" t="s">
        <v>3057</v>
      </c>
      <c r="B28" s="103">
        <v>45231</v>
      </c>
      <c r="C28" s="13" t="s">
        <v>3056</v>
      </c>
      <c r="D28" s="113" t="s">
        <v>2706</v>
      </c>
      <c r="E28" s="104">
        <v>3.6030000000000002</v>
      </c>
      <c r="F28" s="102" t="s">
        <v>3058</v>
      </c>
      <c r="G28" s="4" t="s">
        <v>3059</v>
      </c>
      <c r="H28" s="4" t="s">
        <v>2994</v>
      </c>
      <c r="I28" s="110">
        <v>45213</v>
      </c>
    </row>
    <row r="29" spans="1:9" hidden="1">
      <c r="A29" s="66" t="s">
        <v>3060</v>
      </c>
      <c r="B29" s="103">
        <v>45231</v>
      </c>
      <c r="C29" s="13" t="s">
        <v>2486</v>
      </c>
      <c r="D29" s="113" t="s">
        <v>2706</v>
      </c>
      <c r="E29" s="104">
        <v>3.7090000000000001</v>
      </c>
      <c r="F29" s="102" t="s">
        <v>3058</v>
      </c>
      <c r="G29" s="4" t="s">
        <v>3061</v>
      </c>
      <c r="H29" s="4" t="s">
        <v>2997</v>
      </c>
      <c r="I29" s="110">
        <v>45213</v>
      </c>
    </row>
    <row r="30" spans="1:9" hidden="1">
      <c r="A30" s="66" t="s">
        <v>3060</v>
      </c>
      <c r="B30" s="103">
        <v>45231</v>
      </c>
      <c r="C30" s="13" t="s">
        <v>3008</v>
      </c>
      <c r="D30" s="113" t="s">
        <v>2706</v>
      </c>
      <c r="E30" s="104">
        <v>0.69199999999999995</v>
      </c>
      <c r="F30" s="102" t="s">
        <v>3058</v>
      </c>
      <c r="G30" s="4" t="s">
        <v>3061</v>
      </c>
      <c r="H30" s="4" t="s">
        <v>2997</v>
      </c>
      <c r="I30" s="110">
        <v>45213</v>
      </c>
    </row>
    <row r="31" spans="1:9" hidden="1">
      <c r="A31" s="66" t="s">
        <v>3060</v>
      </c>
      <c r="B31" s="103">
        <v>45231</v>
      </c>
      <c r="C31" s="13" t="s">
        <v>3056</v>
      </c>
      <c r="D31" s="113" t="s">
        <v>2706</v>
      </c>
      <c r="E31" s="104">
        <v>4.2000000000000003E-2</v>
      </c>
      <c r="F31" s="102" t="s">
        <v>3058</v>
      </c>
      <c r="G31" s="4" t="s">
        <v>3061</v>
      </c>
      <c r="H31" s="4" t="s">
        <v>2997</v>
      </c>
      <c r="I31" s="110">
        <v>45213</v>
      </c>
    </row>
    <row r="32" spans="1:9" hidden="1">
      <c r="A32" s="117"/>
      <c r="B32" s="118"/>
      <c r="C32" s="119"/>
      <c r="D32" s="93"/>
      <c r="E32" s="124">
        <f>SUM(E20:E31)</f>
        <v>127.916</v>
      </c>
      <c r="F32" s="121"/>
      <c r="G32" s="93"/>
      <c r="H32" s="93"/>
      <c r="I32" s="122"/>
    </row>
    <row r="33" spans="1:9" hidden="1">
      <c r="A33" s="66" t="s">
        <v>3062</v>
      </c>
      <c r="B33" s="103">
        <v>45232</v>
      </c>
      <c r="C33" s="13" t="s">
        <v>3053</v>
      </c>
      <c r="D33" s="113" t="s">
        <v>78</v>
      </c>
      <c r="E33" s="104">
        <v>32.569000000000003</v>
      </c>
      <c r="F33" s="102" t="s">
        <v>267</v>
      </c>
      <c r="G33" s="1" t="s">
        <v>3063</v>
      </c>
      <c r="H33" s="4" t="s">
        <v>3048</v>
      </c>
      <c r="I33" s="110">
        <v>45141</v>
      </c>
    </row>
    <row r="34" spans="1:9" hidden="1">
      <c r="A34" s="66" t="s">
        <v>3064</v>
      </c>
      <c r="B34" s="103">
        <v>45232</v>
      </c>
      <c r="C34" s="13" t="s">
        <v>3053</v>
      </c>
      <c r="D34" s="113" t="s">
        <v>78</v>
      </c>
      <c r="E34" s="104">
        <f>2.133+19.467+11.393</f>
        <v>32.992999999999995</v>
      </c>
      <c r="F34" s="102" t="s">
        <v>116</v>
      </c>
      <c r="G34" s="1" t="s">
        <v>3065</v>
      </c>
      <c r="H34" s="4" t="s">
        <v>3048</v>
      </c>
      <c r="I34" s="110">
        <v>45141</v>
      </c>
    </row>
    <row r="35" spans="1:9" hidden="1">
      <c r="A35" s="66" t="s">
        <v>3070</v>
      </c>
      <c r="B35" s="103">
        <v>45232</v>
      </c>
      <c r="C35" s="13" t="s">
        <v>3069</v>
      </c>
      <c r="D35" s="113" t="s">
        <v>2706</v>
      </c>
      <c r="E35" s="104">
        <f>5.574+26.986</f>
        <v>32.56</v>
      </c>
      <c r="F35" s="102" t="s">
        <v>2708</v>
      </c>
      <c r="G35" s="1" t="s">
        <v>3071</v>
      </c>
      <c r="H35" s="1" t="s">
        <v>3072</v>
      </c>
      <c r="I35" s="110">
        <v>45227</v>
      </c>
    </row>
    <row r="36" spans="1:9" hidden="1">
      <c r="A36" s="66" t="s">
        <v>3073</v>
      </c>
      <c r="B36" s="103">
        <v>45232</v>
      </c>
      <c r="C36" s="13" t="s">
        <v>3053</v>
      </c>
      <c r="D36" s="113" t="s">
        <v>78</v>
      </c>
      <c r="E36" s="104">
        <f>2.896+6.037</f>
        <v>8.9329999999999998</v>
      </c>
      <c r="F36" s="102" t="s">
        <v>97</v>
      </c>
      <c r="G36" s="1" t="s">
        <v>3074</v>
      </c>
      <c r="H36" s="4" t="s">
        <v>3048</v>
      </c>
      <c r="I36" s="110">
        <v>45141</v>
      </c>
    </row>
    <row r="37" spans="1:9" hidden="1">
      <c r="A37" s="66" t="s">
        <v>3073</v>
      </c>
      <c r="B37" s="103">
        <v>45232</v>
      </c>
      <c r="C37" s="13" t="s">
        <v>3045</v>
      </c>
      <c r="D37" s="113" t="s">
        <v>78</v>
      </c>
      <c r="E37" s="104">
        <f>19.392+4.585</f>
        <v>23.977</v>
      </c>
      <c r="F37" s="102" t="s">
        <v>97</v>
      </c>
      <c r="G37" s="1" t="s">
        <v>3074</v>
      </c>
      <c r="H37" s="4" t="s">
        <v>3048</v>
      </c>
      <c r="I37" s="110">
        <v>45141</v>
      </c>
    </row>
    <row r="38" spans="1:9" hidden="1">
      <c r="A38" s="66" t="s">
        <v>3075</v>
      </c>
      <c r="B38" s="103">
        <v>45232</v>
      </c>
      <c r="C38" s="13" t="s">
        <v>3007</v>
      </c>
      <c r="D38" s="113" t="s">
        <v>78</v>
      </c>
      <c r="E38" s="104">
        <v>31.643000000000001</v>
      </c>
      <c r="F38" s="102" t="s">
        <v>1208</v>
      </c>
      <c r="G38" s="1" t="s">
        <v>3076</v>
      </c>
      <c r="H38" s="4" t="s">
        <v>3048</v>
      </c>
      <c r="I38" s="110">
        <v>45141</v>
      </c>
    </row>
    <row r="39" spans="1:9" hidden="1">
      <c r="A39" s="15"/>
      <c r="B39" s="61"/>
      <c r="C39" s="6"/>
      <c r="D39" s="1"/>
      <c r="E39" s="41">
        <f>SUM(E33:E38)</f>
        <v>162.67500000000001</v>
      </c>
      <c r="F39" s="102"/>
      <c r="G39" s="1"/>
      <c r="H39" s="1"/>
      <c r="I39" s="109"/>
    </row>
    <row r="40" spans="1:9" hidden="1">
      <c r="A40" s="66" t="s">
        <v>3094</v>
      </c>
      <c r="B40" s="103">
        <v>45233</v>
      </c>
      <c r="C40" s="13" t="s">
        <v>3069</v>
      </c>
      <c r="D40" s="113" t="s">
        <v>2706</v>
      </c>
      <c r="E40" s="104">
        <v>32.381999999999998</v>
      </c>
      <c r="F40" s="102" t="s">
        <v>2762</v>
      </c>
      <c r="G40" s="1" t="s">
        <v>3091</v>
      </c>
      <c r="H40" s="1" t="s">
        <v>3072</v>
      </c>
      <c r="I40" s="110">
        <v>45227</v>
      </c>
    </row>
    <row r="41" spans="1:9" hidden="1">
      <c r="A41" s="66" t="s">
        <v>3097</v>
      </c>
      <c r="B41" s="103">
        <v>45233</v>
      </c>
      <c r="C41" s="13" t="s">
        <v>2843</v>
      </c>
      <c r="D41" s="113" t="s">
        <v>2706</v>
      </c>
      <c r="E41" s="104">
        <v>32.770000000000003</v>
      </c>
      <c r="F41" s="102" t="s">
        <v>3095</v>
      </c>
      <c r="G41" s="1" t="s">
        <v>3096</v>
      </c>
      <c r="H41" s="1" t="s">
        <v>3072</v>
      </c>
      <c r="I41" s="110">
        <v>45227</v>
      </c>
    </row>
    <row r="42" spans="1:9" hidden="1">
      <c r="A42" s="15"/>
      <c r="B42" s="61"/>
      <c r="C42" s="6"/>
      <c r="D42" s="1"/>
      <c r="E42" s="41">
        <f>SUM(E40:E41)</f>
        <v>65.152000000000001</v>
      </c>
      <c r="F42" s="102"/>
      <c r="G42" s="1"/>
      <c r="H42" s="1"/>
      <c r="I42" s="109"/>
    </row>
    <row r="43" spans="1:9" hidden="1">
      <c r="A43" s="66" t="s">
        <v>3099</v>
      </c>
      <c r="B43" s="103">
        <v>45234</v>
      </c>
      <c r="C43" s="13" t="s">
        <v>2843</v>
      </c>
      <c r="D43" s="113" t="s">
        <v>2706</v>
      </c>
      <c r="E43" s="104">
        <v>8.1129999999999995</v>
      </c>
      <c r="F43" s="102" t="s">
        <v>2667</v>
      </c>
      <c r="G43" s="1" t="s">
        <v>3100</v>
      </c>
      <c r="H43" s="1" t="s">
        <v>3072</v>
      </c>
      <c r="I43" s="110">
        <v>45227</v>
      </c>
    </row>
    <row r="44" spans="1:9" hidden="1">
      <c r="A44" s="66" t="s">
        <v>3099</v>
      </c>
      <c r="B44" s="103">
        <v>45234</v>
      </c>
      <c r="C44" s="13" t="s">
        <v>3098</v>
      </c>
      <c r="D44" s="113" t="s">
        <v>2706</v>
      </c>
      <c r="E44" s="104">
        <f>8.193+15.913</f>
        <v>24.106000000000002</v>
      </c>
      <c r="F44" s="102" t="s">
        <v>2667</v>
      </c>
      <c r="G44" s="1" t="s">
        <v>3100</v>
      </c>
      <c r="H44" s="1" t="s">
        <v>3072</v>
      </c>
      <c r="I44" s="110">
        <v>45227</v>
      </c>
    </row>
    <row r="45" spans="1:9" hidden="1">
      <c r="A45" s="15"/>
      <c r="B45" s="61"/>
      <c r="C45" s="6"/>
      <c r="D45" s="1"/>
      <c r="E45" s="41">
        <f>SUM(E43:E44)</f>
        <v>32.219000000000001</v>
      </c>
      <c r="F45" s="102"/>
      <c r="G45" s="1"/>
      <c r="H45" s="1"/>
      <c r="I45" s="109"/>
    </row>
    <row r="46" spans="1:9" hidden="1">
      <c r="A46" s="66" t="s">
        <v>3116</v>
      </c>
      <c r="B46" s="103">
        <v>45235</v>
      </c>
      <c r="C46" s="13" t="s">
        <v>3115</v>
      </c>
      <c r="D46" s="113" t="s">
        <v>78</v>
      </c>
      <c r="E46" s="104">
        <v>1.1359999999999999</v>
      </c>
      <c r="F46" s="102" t="s">
        <v>116</v>
      </c>
      <c r="G46" s="1" t="s">
        <v>3117</v>
      </c>
      <c r="H46" s="1" t="s">
        <v>3118</v>
      </c>
      <c r="I46" s="110">
        <v>45222</v>
      </c>
    </row>
    <row r="47" spans="1:9" hidden="1">
      <c r="A47" s="66" t="s">
        <v>3116</v>
      </c>
      <c r="B47" s="103">
        <v>45235</v>
      </c>
      <c r="C47" s="13" t="s">
        <v>2957</v>
      </c>
      <c r="D47" s="113" t="s">
        <v>78</v>
      </c>
      <c r="E47" s="104">
        <v>8.8759999999999994</v>
      </c>
      <c r="F47" s="102" t="s">
        <v>116</v>
      </c>
      <c r="G47" s="1" t="s">
        <v>3117</v>
      </c>
      <c r="H47" s="1" t="s">
        <v>3118</v>
      </c>
      <c r="I47" s="110">
        <v>45222</v>
      </c>
    </row>
    <row r="48" spans="1:9" hidden="1">
      <c r="A48" s="66" t="s">
        <v>3116</v>
      </c>
      <c r="B48" s="103">
        <v>45235</v>
      </c>
      <c r="C48" s="13" t="s">
        <v>2746</v>
      </c>
      <c r="D48" s="113" t="s">
        <v>78</v>
      </c>
      <c r="E48" s="104">
        <v>0.57299999999999995</v>
      </c>
      <c r="F48" s="102" t="s">
        <v>116</v>
      </c>
      <c r="G48" s="1" t="s">
        <v>3117</v>
      </c>
      <c r="H48" s="1" t="s">
        <v>3118</v>
      </c>
      <c r="I48" s="110">
        <v>45222</v>
      </c>
    </row>
    <row r="49" spans="1:9" hidden="1">
      <c r="A49" s="66" t="s">
        <v>3119</v>
      </c>
      <c r="B49" s="103">
        <v>45235</v>
      </c>
      <c r="C49" s="13" t="s">
        <v>2739</v>
      </c>
      <c r="D49" s="113" t="s">
        <v>78</v>
      </c>
      <c r="E49" s="104">
        <v>1.651</v>
      </c>
      <c r="F49" s="102" t="s">
        <v>116</v>
      </c>
      <c r="G49" s="1" t="s">
        <v>3117</v>
      </c>
      <c r="H49" s="1" t="s">
        <v>3120</v>
      </c>
      <c r="I49" s="110">
        <v>45217</v>
      </c>
    </row>
    <row r="50" spans="1:9" hidden="1">
      <c r="A50" s="66" t="s">
        <v>3119</v>
      </c>
      <c r="B50" s="103">
        <v>45235</v>
      </c>
      <c r="C50" s="13" t="s">
        <v>3053</v>
      </c>
      <c r="D50" s="113" t="s">
        <v>78</v>
      </c>
      <c r="E50" s="104">
        <v>0.82499999999999996</v>
      </c>
      <c r="F50" s="102" t="s">
        <v>116</v>
      </c>
      <c r="G50" s="1" t="s">
        <v>3117</v>
      </c>
      <c r="H50" s="1" t="s">
        <v>3120</v>
      </c>
      <c r="I50" s="110">
        <v>45217</v>
      </c>
    </row>
    <row r="51" spans="1:9" hidden="1">
      <c r="A51" s="66" t="s">
        <v>3121</v>
      </c>
      <c r="B51" s="103">
        <v>45235</v>
      </c>
      <c r="C51" s="13" t="s">
        <v>3007</v>
      </c>
      <c r="D51" s="113" t="s">
        <v>78</v>
      </c>
      <c r="E51" s="104">
        <v>19.123999999999999</v>
      </c>
      <c r="F51" s="102" t="s">
        <v>116</v>
      </c>
      <c r="G51" s="1" t="s">
        <v>3117</v>
      </c>
      <c r="H51" s="4" t="s">
        <v>3048</v>
      </c>
      <c r="I51" s="110">
        <v>45141</v>
      </c>
    </row>
    <row r="52" spans="1:9" hidden="1">
      <c r="A52" s="15"/>
      <c r="B52" s="61"/>
      <c r="C52" s="13"/>
      <c r="D52" s="4"/>
      <c r="E52" s="41">
        <f>SUM(E46:E51)</f>
        <v>32.184999999999995</v>
      </c>
      <c r="F52" s="102"/>
      <c r="G52" s="4"/>
      <c r="H52" s="4"/>
      <c r="I52" s="109"/>
    </row>
    <row r="53" spans="1:9" hidden="1">
      <c r="A53" s="66" t="s">
        <v>3127</v>
      </c>
      <c r="B53" s="103">
        <v>45236</v>
      </c>
      <c r="C53" s="13" t="s">
        <v>3128</v>
      </c>
      <c r="D53" s="113" t="s">
        <v>78</v>
      </c>
      <c r="E53" s="104">
        <v>32.143000000000001</v>
      </c>
      <c r="F53" s="102" t="s">
        <v>267</v>
      </c>
      <c r="G53" s="4" t="s">
        <v>3129</v>
      </c>
      <c r="H53" s="4" t="s">
        <v>3130</v>
      </c>
      <c r="I53" s="110">
        <v>45227</v>
      </c>
    </row>
    <row r="54" spans="1:9" hidden="1">
      <c r="A54" s="66" t="s">
        <v>3131</v>
      </c>
      <c r="B54" s="103">
        <v>45236</v>
      </c>
      <c r="C54" s="13" t="s">
        <v>2957</v>
      </c>
      <c r="D54" s="113" t="s">
        <v>78</v>
      </c>
      <c r="E54" s="104">
        <v>5.84</v>
      </c>
      <c r="F54" s="102" t="s">
        <v>116</v>
      </c>
      <c r="G54" s="4" t="s">
        <v>3132</v>
      </c>
      <c r="H54" s="4" t="s">
        <v>3118</v>
      </c>
      <c r="I54" s="110">
        <v>45222</v>
      </c>
    </row>
    <row r="55" spans="1:9" hidden="1">
      <c r="A55" s="66" t="s">
        <v>3133</v>
      </c>
      <c r="B55" s="103">
        <v>45236</v>
      </c>
      <c r="C55" s="13" t="s">
        <v>2840</v>
      </c>
      <c r="D55" s="113" t="s">
        <v>78</v>
      </c>
      <c r="E55" s="104">
        <f>5.33+7.879</f>
        <v>13.209</v>
      </c>
      <c r="F55" s="102" t="s">
        <v>116</v>
      </c>
      <c r="G55" s="4" t="s">
        <v>3134</v>
      </c>
      <c r="H55" s="4" t="s">
        <v>3130</v>
      </c>
      <c r="I55" s="110">
        <v>45231</v>
      </c>
    </row>
    <row r="56" spans="1:9" hidden="1">
      <c r="A56" s="66" t="s">
        <v>3133</v>
      </c>
      <c r="B56" s="103">
        <v>45236</v>
      </c>
      <c r="C56" s="13" t="s">
        <v>3128</v>
      </c>
      <c r="D56" s="113" t="s">
        <v>78</v>
      </c>
      <c r="E56" s="104">
        <v>7.4249999999999998</v>
      </c>
      <c r="F56" s="102" t="s">
        <v>116</v>
      </c>
      <c r="G56" s="4" t="s">
        <v>3134</v>
      </c>
      <c r="H56" s="4" t="s">
        <v>3130</v>
      </c>
      <c r="I56" s="110">
        <v>45231</v>
      </c>
    </row>
    <row r="57" spans="1:9" hidden="1">
      <c r="A57" s="66" t="s">
        <v>3135</v>
      </c>
      <c r="B57" s="103">
        <v>45236</v>
      </c>
      <c r="C57" s="13" t="s">
        <v>2840</v>
      </c>
      <c r="D57" s="113" t="s">
        <v>78</v>
      </c>
      <c r="E57" s="104">
        <v>1.151</v>
      </c>
      <c r="F57" s="102" t="s">
        <v>116</v>
      </c>
      <c r="G57" s="4" t="s">
        <v>3136</v>
      </c>
      <c r="H57" s="4" t="s">
        <v>3137</v>
      </c>
      <c r="I57" s="110">
        <v>45231</v>
      </c>
    </row>
    <row r="58" spans="1:9" hidden="1">
      <c r="A58" s="66" t="s">
        <v>3135</v>
      </c>
      <c r="B58" s="103">
        <v>45236</v>
      </c>
      <c r="C58" s="13" t="s">
        <v>3128</v>
      </c>
      <c r="D58" s="113" t="s">
        <v>78</v>
      </c>
      <c r="E58" s="104">
        <v>3.7450000000000001</v>
      </c>
      <c r="F58" s="102" t="s">
        <v>116</v>
      </c>
      <c r="G58" s="4" t="s">
        <v>3136</v>
      </c>
      <c r="H58" s="4" t="s">
        <v>3137</v>
      </c>
      <c r="I58" s="110">
        <v>45231</v>
      </c>
    </row>
    <row r="59" spans="1:9" hidden="1">
      <c r="A59" s="15"/>
      <c r="B59" s="61"/>
      <c r="C59" s="6"/>
      <c r="D59" s="1"/>
      <c r="E59" s="41">
        <f>SUM(E53:E58)</f>
        <v>63.513000000000005</v>
      </c>
      <c r="F59" s="102"/>
      <c r="G59" s="1"/>
      <c r="H59" s="1"/>
      <c r="I59" s="109"/>
    </row>
    <row r="60" spans="1:9">
      <c r="A60" s="66" t="s">
        <v>3145</v>
      </c>
      <c r="B60" s="103">
        <v>45237</v>
      </c>
      <c r="C60" s="13" t="s">
        <v>3144</v>
      </c>
      <c r="D60" s="13" t="s">
        <v>11</v>
      </c>
      <c r="E60" s="104">
        <v>24.329000000000001</v>
      </c>
      <c r="F60" s="102" t="s">
        <v>3146</v>
      </c>
      <c r="G60" s="1" t="s">
        <v>3147</v>
      </c>
      <c r="H60" s="1" t="s">
        <v>2745</v>
      </c>
      <c r="I60" s="110">
        <v>45176</v>
      </c>
    </row>
    <row r="61" spans="1:9">
      <c r="A61" s="66" t="s">
        <v>3148</v>
      </c>
      <c r="B61" s="103">
        <v>45237</v>
      </c>
      <c r="C61" s="13" t="s">
        <v>3149</v>
      </c>
      <c r="D61" s="13" t="s">
        <v>11</v>
      </c>
      <c r="E61" s="104">
        <f>7.706+8.287</f>
        <v>15.993000000000002</v>
      </c>
      <c r="F61" s="102" t="s">
        <v>3151</v>
      </c>
      <c r="G61" s="1" t="s">
        <v>3152</v>
      </c>
      <c r="H61" s="1" t="s">
        <v>2745</v>
      </c>
      <c r="I61" s="110">
        <v>45176</v>
      </c>
    </row>
    <row r="62" spans="1:9">
      <c r="A62" s="66" t="s">
        <v>3148</v>
      </c>
      <c r="B62" s="103">
        <v>45237</v>
      </c>
      <c r="C62" s="13" t="s">
        <v>3150</v>
      </c>
      <c r="D62" s="13" t="s">
        <v>11</v>
      </c>
      <c r="E62" s="104">
        <v>7.9939999999999998</v>
      </c>
      <c r="F62" s="102" t="s">
        <v>3151</v>
      </c>
      <c r="G62" s="1" t="s">
        <v>3152</v>
      </c>
      <c r="H62" s="1" t="s">
        <v>2745</v>
      </c>
      <c r="I62" s="110">
        <v>45176</v>
      </c>
    </row>
    <row r="63" spans="1:9">
      <c r="A63" s="66" t="s">
        <v>3148</v>
      </c>
      <c r="B63" s="103">
        <v>45237</v>
      </c>
      <c r="C63" s="13" t="s">
        <v>2747</v>
      </c>
      <c r="D63" s="13" t="s">
        <v>11</v>
      </c>
      <c r="E63" s="104">
        <v>0.879</v>
      </c>
      <c r="F63" s="102" t="s">
        <v>3151</v>
      </c>
      <c r="G63" s="1" t="s">
        <v>3152</v>
      </c>
      <c r="H63" s="1" t="s">
        <v>2745</v>
      </c>
      <c r="I63" s="110">
        <v>45176</v>
      </c>
    </row>
    <row r="64" spans="1:9" hidden="1">
      <c r="A64" s="66" t="s">
        <v>3153</v>
      </c>
      <c r="B64" s="103">
        <v>45237</v>
      </c>
      <c r="C64" s="13" t="s">
        <v>3128</v>
      </c>
      <c r="D64" s="113" t="s">
        <v>78</v>
      </c>
      <c r="E64" s="104">
        <f>4.168+27.707</f>
        <v>31.875</v>
      </c>
      <c r="F64" s="102" t="s">
        <v>116</v>
      </c>
      <c r="G64" s="1" t="s">
        <v>3154</v>
      </c>
      <c r="H64" s="4" t="s">
        <v>3130</v>
      </c>
      <c r="I64" s="110">
        <v>45231</v>
      </c>
    </row>
    <row r="65" spans="1:9" hidden="1">
      <c r="A65" s="66" t="s">
        <v>3155</v>
      </c>
      <c r="B65" s="103">
        <v>45237</v>
      </c>
      <c r="C65" s="13" t="s">
        <v>2490</v>
      </c>
      <c r="D65" s="113" t="s">
        <v>78</v>
      </c>
      <c r="E65" s="104">
        <v>0.51</v>
      </c>
      <c r="F65" s="102" t="s">
        <v>116</v>
      </c>
      <c r="G65" s="1" t="s">
        <v>3156</v>
      </c>
      <c r="H65" s="1" t="s">
        <v>3137</v>
      </c>
      <c r="I65" s="110">
        <v>45231</v>
      </c>
    </row>
    <row r="66" spans="1:9" hidden="1">
      <c r="A66" s="66" t="s">
        <v>3155</v>
      </c>
      <c r="B66" s="103">
        <v>45237</v>
      </c>
      <c r="C66" s="13" t="s">
        <v>2489</v>
      </c>
      <c r="D66" s="113" t="s">
        <v>78</v>
      </c>
      <c r="E66" s="104">
        <v>0.14699999999999999</v>
      </c>
      <c r="F66" s="102" t="s">
        <v>116</v>
      </c>
      <c r="G66" s="1" t="s">
        <v>3156</v>
      </c>
      <c r="H66" s="1" t="s">
        <v>3137</v>
      </c>
      <c r="I66" s="110">
        <v>45231</v>
      </c>
    </row>
    <row r="67" spans="1:9" hidden="1">
      <c r="A67" s="66" t="s">
        <v>3158</v>
      </c>
      <c r="B67" s="103">
        <v>45237</v>
      </c>
      <c r="C67" s="13" t="s">
        <v>3128</v>
      </c>
      <c r="D67" s="113" t="s">
        <v>78</v>
      </c>
      <c r="E67" s="104">
        <f>8.73+6.406</f>
        <v>15.135999999999999</v>
      </c>
      <c r="F67" s="102" t="s">
        <v>1156</v>
      </c>
      <c r="G67" s="1" t="s">
        <v>3159</v>
      </c>
      <c r="H67" s="4" t="s">
        <v>3130</v>
      </c>
      <c r="I67" s="110">
        <v>45231</v>
      </c>
    </row>
    <row r="68" spans="1:9" hidden="1">
      <c r="A68" s="66" t="s">
        <v>3158</v>
      </c>
      <c r="B68" s="103">
        <v>45237</v>
      </c>
      <c r="C68" s="13" t="s">
        <v>3157</v>
      </c>
      <c r="D68" s="113" t="s">
        <v>78</v>
      </c>
      <c r="E68" s="104">
        <v>16.091999999999999</v>
      </c>
      <c r="F68" s="102" t="s">
        <v>1156</v>
      </c>
      <c r="G68" s="1" t="s">
        <v>3159</v>
      </c>
      <c r="H68" s="4" t="s">
        <v>3130</v>
      </c>
      <c r="I68" s="110">
        <v>45231</v>
      </c>
    </row>
    <row r="69" spans="1:9" hidden="1">
      <c r="A69" s="66" t="s">
        <v>3160</v>
      </c>
      <c r="B69" s="103">
        <v>45237</v>
      </c>
      <c r="C69" s="13" t="s">
        <v>2747</v>
      </c>
      <c r="D69" s="113" t="s">
        <v>78</v>
      </c>
      <c r="E69" s="104">
        <v>0.94099999999999995</v>
      </c>
      <c r="F69" s="102" t="s">
        <v>1156</v>
      </c>
      <c r="G69" s="1" t="s">
        <v>3161</v>
      </c>
      <c r="H69" s="1" t="s">
        <v>3137</v>
      </c>
      <c r="I69" s="110">
        <v>45231</v>
      </c>
    </row>
    <row r="70" spans="1:9" hidden="1">
      <c r="A70" s="66" t="s">
        <v>3162</v>
      </c>
      <c r="B70" s="103">
        <v>45237</v>
      </c>
      <c r="C70" s="13" t="s">
        <v>2746</v>
      </c>
      <c r="D70" s="113" t="s">
        <v>78</v>
      </c>
      <c r="E70" s="104">
        <v>0.224</v>
      </c>
      <c r="F70" s="102" t="s">
        <v>1156</v>
      </c>
      <c r="G70" s="1" t="s">
        <v>3161</v>
      </c>
      <c r="H70" s="1" t="s">
        <v>2702</v>
      </c>
      <c r="I70" s="110">
        <v>45188</v>
      </c>
    </row>
    <row r="71" spans="1:9" hidden="1">
      <c r="A71" s="66" t="s">
        <v>3163</v>
      </c>
      <c r="B71" s="103">
        <v>45237</v>
      </c>
      <c r="C71" s="13" t="s">
        <v>3128</v>
      </c>
      <c r="D71" s="113" t="s">
        <v>78</v>
      </c>
      <c r="E71" s="104">
        <f>15.179+17.216</f>
        <v>32.395000000000003</v>
      </c>
      <c r="F71" s="102" t="s">
        <v>83</v>
      </c>
      <c r="G71" s="1" t="s">
        <v>3164</v>
      </c>
      <c r="H71" s="4" t="s">
        <v>3130</v>
      </c>
      <c r="I71" s="110">
        <v>45231</v>
      </c>
    </row>
    <row r="72" spans="1:9" hidden="1">
      <c r="A72" s="66" t="s">
        <v>3165</v>
      </c>
      <c r="B72" s="103">
        <v>45237</v>
      </c>
      <c r="C72" s="13" t="s">
        <v>2957</v>
      </c>
      <c r="D72" s="113" t="s">
        <v>78</v>
      </c>
      <c r="E72" s="104">
        <v>0.29699999999999999</v>
      </c>
      <c r="F72" s="102" t="s">
        <v>83</v>
      </c>
      <c r="G72" s="1" t="s">
        <v>3166</v>
      </c>
      <c r="H72" s="1" t="s">
        <v>2702</v>
      </c>
      <c r="I72" s="110">
        <v>45188</v>
      </c>
    </row>
    <row r="73" spans="1:9" hidden="1">
      <c r="A73" s="66" t="s">
        <v>3167</v>
      </c>
      <c r="B73" s="103">
        <v>45237</v>
      </c>
      <c r="C73" s="13" t="s">
        <v>2486</v>
      </c>
      <c r="D73" s="113" t="s">
        <v>78</v>
      </c>
      <c r="E73" s="104">
        <v>0.69699999999999995</v>
      </c>
      <c r="F73" s="102" t="s">
        <v>83</v>
      </c>
      <c r="G73" s="14" t="s">
        <v>3166</v>
      </c>
      <c r="H73" s="1" t="s">
        <v>3137</v>
      </c>
      <c r="I73" s="110">
        <v>45231</v>
      </c>
    </row>
    <row r="74" spans="1:9" hidden="1">
      <c r="A74" s="66" t="s">
        <v>3168</v>
      </c>
      <c r="B74" s="103">
        <v>45237</v>
      </c>
      <c r="C74" s="13" t="s">
        <v>2736</v>
      </c>
      <c r="D74" s="113" t="s">
        <v>78</v>
      </c>
      <c r="E74" s="104">
        <v>6.0000000000000001E-3</v>
      </c>
      <c r="F74" s="102" t="s">
        <v>83</v>
      </c>
      <c r="G74" s="1" t="s">
        <v>3166</v>
      </c>
      <c r="H74" s="1" t="s">
        <v>2484</v>
      </c>
      <c r="I74" s="110">
        <v>45176</v>
      </c>
    </row>
    <row r="75" spans="1:9" hidden="1">
      <c r="A75" s="66" t="s">
        <v>3168</v>
      </c>
      <c r="B75" s="103">
        <v>45237</v>
      </c>
      <c r="C75" s="13" t="s">
        <v>2843</v>
      </c>
      <c r="D75" s="113" t="s">
        <v>78</v>
      </c>
      <c r="E75" s="104">
        <v>7.0000000000000001E-3</v>
      </c>
      <c r="F75" s="102" t="s">
        <v>83</v>
      </c>
      <c r="G75" s="1" t="s">
        <v>3166</v>
      </c>
      <c r="H75" s="1" t="s">
        <v>2484</v>
      </c>
      <c r="I75" s="110">
        <v>45176</v>
      </c>
    </row>
    <row r="76" spans="1:9" hidden="1">
      <c r="A76" s="66"/>
      <c r="B76" s="103"/>
      <c r="C76" s="11"/>
      <c r="D76" s="113"/>
      <c r="E76" s="58">
        <f>SUM(E60:E75)</f>
        <v>147.52200000000002</v>
      </c>
      <c r="F76" s="102"/>
      <c r="G76" s="1"/>
      <c r="H76" s="1"/>
      <c r="I76" s="109"/>
    </row>
    <row r="77" spans="1:9" hidden="1">
      <c r="A77" s="66" t="s">
        <v>3179</v>
      </c>
      <c r="B77" s="103">
        <v>45238</v>
      </c>
      <c r="C77" s="13" t="s">
        <v>2960</v>
      </c>
      <c r="D77" s="113" t="s">
        <v>2706</v>
      </c>
      <c r="E77" s="104">
        <v>3.056</v>
      </c>
      <c r="F77" s="102" t="s">
        <v>2732</v>
      </c>
      <c r="G77" s="1" t="s">
        <v>3181</v>
      </c>
      <c r="H77" s="1" t="s">
        <v>2994</v>
      </c>
      <c r="I77" s="110">
        <v>45213</v>
      </c>
    </row>
    <row r="78" spans="1:9" hidden="1">
      <c r="A78" s="66" t="s">
        <v>3179</v>
      </c>
      <c r="B78" s="103">
        <v>45238</v>
      </c>
      <c r="C78" s="13" t="s">
        <v>2486</v>
      </c>
      <c r="D78" s="113" t="s">
        <v>2706</v>
      </c>
      <c r="E78" s="104">
        <f>4.076+3.345</f>
        <v>7.4209999999999994</v>
      </c>
      <c r="F78" s="102" t="s">
        <v>2732</v>
      </c>
      <c r="G78" s="1" t="s">
        <v>3181</v>
      </c>
      <c r="H78" s="1" t="s">
        <v>2994</v>
      </c>
      <c r="I78" s="110">
        <v>45213</v>
      </c>
    </row>
    <row r="79" spans="1:9" hidden="1">
      <c r="A79" s="66" t="s">
        <v>3179</v>
      </c>
      <c r="B79" s="103">
        <v>45238</v>
      </c>
      <c r="C79" s="13" t="s">
        <v>3008</v>
      </c>
      <c r="D79" s="113" t="s">
        <v>2706</v>
      </c>
      <c r="E79" s="104">
        <v>1.9139999999999999</v>
      </c>
      <c r="F79" s="102" t="s">
        <v>2732</v>
      </c>
      <c r="G79" s="1" t="s">
        <v>3181</v>
      </c>
      <c r="H79" s="1" t="s">
        <v>2994</v>
      </c>
      <c r="I79" s="110">
        <v>45213</v>
      </c>
    </row>
    <row r="80" spans="1:9" hidden="1">
      <c r="A80" s="66" t="s">
        <v>3179</v>
      </c>
      <c r="B80" s="103">
        <v>45238</v>
      </c>
      <c r="C80" s="13" t="s">
        <v>3007</v>
      </c>
      <c r="D80" s="113" t="s">
        <v>2706</v>
      </c>
      <c r="E80" s="104">
        <v>0.622</v>
      </c>
      <c r="F80" s="102" t="s">
        <v>2732</v>
      </c>
      <c r="G80" s="1" t="s">
        <v>3181</v>
      </c>
      <c r="H80" s="1" t="s">
        <v>2994</v>
      </c>
      <c r="I80" s="110">
        <v>45213</v>
      </c>
    </row>
    <row r="81" spans="1:9" hidden="1">
      <c r="A81" s="66" t="s">
        <v>3179</v>
      </c>
      <c r="B81" s="103">
        <v>45238</v>
      </c>
      <c r="C81" s="13" t="s">
        <v>3180</v>
      </c>
      <c r="D81" s="113" t="s">
        <v>2706</v>
      </c>
      <c r="E81" s="104">
        <v>1.1830000000000001</v>
      </c>
      <c r="F81" s="102" t="s">
        <v>2732</v>
      </c>
      <c r="G81" s="1" t="s">
        <v>3181</v>
      </c>
      <c r="H81" s="1" t="s">
        <v>2994</v>
      </c>
      <c r="I81" s="110">
        <v>45213</v>
      </c>
    </row>
    <row r="82" spans="1:9" hidden="1">
      <c r="A82" s="66" t="s">
        <v>3179</v>
      </c>
      <c r="B82" s="103">
        <v>45238</v>
      </c>
      <c r="C82" s="13" t="s">
        <v>3009</v>
      </c>
      <c r="D82" s="113" t="s">
        <v>2706</v>
      </c>
      <c r="E82" s="104">
        <v>6.5119999999999996</v>
      </c>
      <c r="F82" s="102" t="s">
        <v>2732</v>
      </c>
      <c r="G82" s="1" t="s">
        <v>3181</v>
      </c>
      <c r="H82" s="1" t="s">
        <v>2994</v>
      </c>
      <c r="I82" s="110">
        <v>45213</v>
      </c>
    </row>
    <row r="83" spans="1:9" hidden="1">
      <c r="A83" s="66" t="s">
        <v>3182</v>
      </c>
      <c r="B83" s="103">
        <v>45238</v>
      </c>
      <c r="C83" s="13" t="s">
        <v>3009</v>
      </c>
      <c r="D83" s="113" t="s">
        <v>2706</v>
      </c>
      <c r="E83" s="104">
        <v>0.68</v>
      </c>
      <c r="F83" s="102" t="s">
        <v>2732</v>
      </c>
      <c r="G83" s="1" t="s">
        <v>3183</v>
      </c>
      <c r="H83" s="1" t="s">
        <v>2997</v>
      </c>
      <c r="I83" s="110">
        <v>45217</v>
      </c>
    </row>
    <row r="84" spans="1:9" hidden="1">
      <c r="A84" s="66" t="s">
        <v>3182</v>
      </c>
      <c r="B84" s="103">
        <v>45238</v>
      </c>
      <c r="C84" s="13" t="s">
        <v>2960</v>
      </c>
      <c r="D84" s="113" t="s">
        <v>2706</v>
      </c>
      <c r="E84" s="104">
        <v>0.28799999999999998</v>
      </c>
      <c r="F84" s="102" t="s">
        <v>2732</v>
      </c>
      <c r="G84" s="1" t="s">
        <v>3183</v>
      </c>
      <c r="H84" s="1" t="s">
        <v>2997</v>
      </c>
      <c r="I84" s="110">
        <v>45217</v>
      </c>
    </row>
    <row r="85" spans="1:9" hidden="1">
      <c r="A85" s="66" t="s">
        <v>3182</v>
      </c>
      <c r="B85" s="103">
        <v>45238</v>
      </c>
      <c r="C85" s="13" t="s">
        <v>3020</v>
      </c>
      <c r="D85" s="113" t="s">
        <v>2706</v>
      </c>
      <c r="E85" s="104">
        <v>0.70199999999999996</v>
      </c>
      <c r="F85" s="102" t="s">
        <v>2732</v>
      </c>
      <c r="G85" s="1" t="s">
        <v>3183</v>
      </c>
      <c r="H85" s="1" t="s">
        <v>2997</v>
      </c>
      <c r="I85" s="110">
        <v>45217</v>
      </c>
    </row>
    <row r="86" spans="1:9" hidden="1">
      <c r="A86" s="66" t="s">
        <v>3185</v>
      </c>
      <c r="B86" s="103">
        <v>45238</v>
      </c>
      <c r="C86" s="13" t="s">
        <v>3069</v>
      </c>
      <c r="D86" s="113" t="s">
        <v>2706</v>
      </c>
      <c r="E86" s="104">
        <v>6.5709999999999997</v>
      </c>
      <c r="F86" s="102" t="s">
        <v>2732</v>
      </c>
      <c r="G86" s="1" t="s">
        <v>3183</v>
      </c>
      <c r="H86" s="1" t="s">
        <v>3072</v>
      </c>
      <c r="I86" s="110">
        <v>45227</v>
      </c>
    </row>
    <row r="87" spans="1:9" hidden="1">
      <c r="A87" s="66" t="s">
        <v>3185</v>
      </c>
      <c r="B87" s="103">
        <v>45238</v>
      </c>
      <c r="C87" s="13" t="s">
        <v>3184</v>
      </c>
      <c r="D87" s="113" t="s">
        <v>2706</v>
      </c>
      <c r="E87" s="104">
        <v>3.5649999999999999</v>
      </c>
      <c r="F87" s="102" t="s">
        <v>2732</v>
      </c>
      <c r="G87" s="1" t="s">
        <v>3183</v>
      </c>
      <c r="H87" s="1" t="s">
        <v>3072</v>
      </c>
      <c r="I87" s="110">
        <v>45227</v>
      </c>
    </row>
    <row r="88" spans="1:9" hidden="1">
      <c r="A88" s="66" t="s">
        <v>3188</v>
      </c>
      <c r="B88" s="103">
        <v>45238</v>
      </c>
      <c r="C88" s="13" t="s">
        <v>3186</v>
      </c>
      <c r="D88" s="113" t="s">
        <v>78</v>
      </c>
      <c r="E88" s="104">
        <f>3.69+21.31</f>
        <v>25</v>
      </c>
      <c r="F88" s="102" t="s">
        <v>267</v>
      </c>
      <c r="G88" s="1" t="s">
        <v>3187</v>
      </c>
      <c r="H88" s="1" t="s">
        <v>3130</v>
      </c>
      <c r="I88" s="110">
        <v>45227</v>
      </c>
    </row>
    <row r="89" spans="1:9" hidden="1">
      <c r="A89" s="66" t="s">
        <v>3188</v>
      </c>
      <c r="B89" s="103">
        <v>45238</v>
      </c>
      <c r="C89" s="13" t="s">
        <v>2840</v>
      </c>
      <c r="D89" s="113" t="s">
        <v>78</v>
      </c>
      <c r="E89" s="104">
        <v>3.278</v>
      </c>
      <c r="F89" s="102" t="s">
        <v>267</v>
      </c>
      <c r="G89" s="1" t="s">
        <v>3187</v>
      </c>
      <c r="H89" s="1" t="s">
        <v>3130</v>
      </c>
      <c r="I89" s="110">
        <v>45227</v>
      </c>
    </row>
    <row r="90" spans="1:9" hidden="1">
      <c r="A90" s="66" t="s">
        <v>3189</v>
      </c>
      <c r="B90" s="103">
        <v>45238</v>
      </c>
      <c r="C90" s="13" t="s">
        <v>2487</v>
      </c>
      <c r="D90" s="113" t="s">
        <v>78</v>
      </c>
      <c r="E90" s="104">
        <v>0.53</v>
      </c>
      <c r="F90" s="102" t="s">
        <v>267</v>
      </c>
      <c r="G90" s="1" t="s">
        <v>3193</v>
      </c>
      <c r="H90" s="1" t="s">
        <v>3137</v>
      </c>
      <c r="I90" s="110">
        <v>45231</v>
      </c>
    </row>
    <row r="91" spans="1:9" hidden="1">
      <c r="A91" s="66" t="s">
        <v>3189</v>
      </c>
      <c r="B91" s="103">
        <v>45238</v>
      </c>
      <c r="C91" s="13" t="s">
        <v>2843</v>
      </c>
      <c r="D91" s="113" t="s">
        <v>78</v>
      </c>
      <c r="E91" s="104">
        <v>0.216</v>
      </c>
      <c r="F91" s="102" t="s">
        <v>267</v>
      </c>
      <c r="G91" s="1" t="s">
        <v>3193</v>
      </c>
      <c r="H91" s="1" t="s">
        <v>3137</v>
      </c>
      <c r="I91" s="110">
        <v>45231</v>
      </c>
    </row>
    <row r="92" spans="1:9" hidden="1">
      <c r="A92" s="66" t="s">
        <v>3189</v>
      </c>
      <c r="B92" s="103">
        <v>45238</v>
      </c>
      <c r="C92" s="13" t="s">
        <v>3190</v>
      </c>
      <c r="D92" s="113" t="s">
        <v>78</v>
      </c>
      <c r="E92" s="104">
        <v>8.5000000000000006E-2</v>
      </c>
      <c r="F92" s="102" t="s">
        <v>267</v>
      </c>
      <c r="G92" s="1" t="s">
        <v>3193</v>
      </c>
      <c r="H92" s="1" t="s">
        <v>3137</v>
      </c>
      <c r="I92" s="110">
        <v>45231</v>
      </c>
    </row>
    <row r="93" spans="1:9" hidden="1">
      <c r="A93" s="66" t="s">
        <v>3189</v>
      </c>
      <c r="B93" s="103">
        <v>45238</v>
      </c>
      <c r="C93" s="13" t="s">
        <v>3191</v>
      </c>
      <c r="D93" s="113" t="s">
        <v>78</v>
      </c>
      <c r="E93" s="104">
        <v>0.23899999999999999</v>
      </c>
      <c r="F93" s="102" t="s">
        <v>267</v>
      </c>
      <c r="G93" s="1" t="s">
        <v>3193</v>
      </c>
      <c r="H93" s="1" t="s">
        <v>3137</v>
      </c>
      <c r="I93" s="110">
        <v>45231</v>
      </c>
    </row>
    <row r="94" spans="1:9" hidden="1">
      <c r="A94" s="66" t="s">
        <v>3189</v>
      </c>
      <c r="B94" s="103">
        <v>45238</v>
      </c>
      <c r="C94" s="13" t="s">
        <v>2488</v>
      </c>
      <c r="D94" s="113" t="s">
        <v>78</v>
      </c>
      <c r="E94" s="104">
        <v>1.105</v>
      </c>
      <c r="F94" s="102" t="s">
        <v>267</v>
      </c>
      <c r="G94" s="1" t="s">
        <v>3193</v>
      </c>
      <c r="H94" s="1" t="s">
        <v>3137</v>
      </c>
      <c r="I94" s="110">
        <v>45231</v>
      </c>
    </row>
    <row r="95" spans="1:9" hidden="1">
      <c r="A95" s="66" t="s">
        <v>3189</v>
      </c>
      <c r="B95" s="103">
        <v>45238</v>
      </c>
      <c r="C95" s="13" t="s">
        <v>3184</v>
      </c>
      <c r="D95" s="113" t="s">
        <v>78</v>
      </c>
      <c r="E95" s="104">
        <v>0.56000000000000005</v>
      </c>
      <c r="F95" s="102" t="s">
        <v>267</v>
      </c>
      <c r="G95" s="1" t="s">
        <v>3193</v>
      </c>
      <c r="H95" s="1" t="s">
        <v>3137</v>
      </c>
      <c r="I95" s="110">
        <v>45231</v>
      </c>
    </row>
    <row r="96" spans="1:9" hidden="1">
      <c r="A96" s="66" t="s">
        <v>3189</v>
      </c>
      <c r="B96" s="103">
        <v>45238</v>
      </c>
      <c r="C96" s="13" t="s">
        <v>3180</v>
      </c>
      <c r="D96" s="113" t="s">
        <v>78</v>
      </c>
      <c r="E96" s="104">
        <v>0.84499999999999997</v>
      </c>
      <c r="F96" s="102" t="s">
        <v>267</v>
      </c>
      <c r="G96" s="1" t="s">
        <v>3193</v>
      </c>
      <c r="H96" s="1" t="s">
        <v>3137</v>
      </c>
      <c r="I96" s="110">
        <v>45231</v>
      </c>
    </row>
    <row r="97" spans="1:9" hidden="1">
      <c r="A97" s="66" t="s">
        <v>3189</v>
      </c>
      <c r="B97" s="103">
        <v>45238</v>
      </c>
      <c r="C97" s="13" t="s">
        <v>3192</v>
      </c>
      <c r="D97" s="113" t="s">
        <v>78</v>
      </c>
      <c r="E97" s="104">
        <f>0.348+0.226</f>
        <v>0.57399999999999995</v>
      </c>
      <c r="F97" s="102" t="s">
        <v>267</v>
      </c>
      <c r="G97" s="1" t="s">
        <v>3193</v>
      </c>
      <c r="H97" s="1" t="s">
        <v>3137</v>
      </c>
      <c r="I97" s="110">
        <v>45231</v>
      </c>
    </row>
    <row r="98" spans="1:9" hidden="1">
      <c r="A98" s="66" t="s">
        <v>3194</v>
      </c>
      <c r="B98" s="103">
        <v>45238</v>
      </c>
      <c r="C98" s="13" t="s">
        <v>3186</v>
      </c>
      <c r="D98" s="113" t="s">
        <v>78</v>
      </c>
      <c r="E98" s="104">
        <v>20.45</v>
      </c>
      <c r="F98" s="102" t="s">
        <v>116</v>
      </c>
      <c r="G98" s="1" t="s">
        <v>3195</v>
      </c>
      <c r="H98" s="1" t="s">
        <v>3130</v>
      </c>
      <c r="I98" s="110">
        <v>45227</v>
      </c>
    </row>
    <row r="99" spans="1:9" hidden="1">
      <c r="A99" s="66" t="s">
        <v>3194</v>
      </c>
      <c r="B99" s="103">
        <v>45238</v>
      </c>
      <c r="C99" s="13" t="s">
        <v>3157</v>
      </c>
      <c r="D99" s="113" t="s">
        <v>78</v>
      </c>
      <c r="E99" s="104">
        <f>4.904+3.88</f>
        <v>8.7839999999999989</v>
      </c>
      <c r="F99" s="102" t="s">
        <v>116</v>
      </c>
      <c r="G99" s="1" t="s">
        <v>3195</v>
      </c>
      <c r="H99" s="1" t="s">
        <v>3130</v>
      </c>
      <c r="I99" s="110">
        <v>45227</v>
      </c>
    </row>
    <row r="100" spans="1:9" hidden="1">
      <c r="A100" s="66" t="s">
        <v>3196</v>
      </c>
      <c r="B100" s="103">
        <v>45238</v>
      </c>
      <c r="C100" s="13" t="s">
        <v>3186</v>
      </c>
      <c r="D100" s="113" t="s">
        <v>78</v>
      </c>
      <c r="E100" s="104">
        <v>1.591</v>
      </c>
      <c r="F100" s="102" t="s">
        <v>116</v>
      </c>
      <c r="G100" s="1" t="s">
        <v>3197</v>
      </c>
      <c r="H100" s="1" t="s">
        <v>3137</v>
      </c>
      <c r="I100" s="110">
        <v>45231</v>
      </c>
    </row>
    <row r="101" spans="1:9" hidden="1">
      <c r="A101" s="66" t="s">
        <v>3196</v>
      </c>
      <c r="B101" s="103">
        <v>45238</v>
      </c>
      <c r="C101" s="13" t="s">
        <v>3115</v>
      </c>
      <c r="D101" s="113" t="s">
        <v>78</v>
      </c>
      <c r="E101" s="104">
        <v>0.65500000000000003</v>
      </c>
      <c r="F101" s="102" t="s">
        <v>116</v>
      </c>
      <c r="G101" s="1" t="s">
        <v>3197</v>
      </c>
      <c r="H101" s="1" t="s">
        <v>3137</v>
      </c>
      <c r="I101" s="110">
        <v>45231</v>
      </c>
    </row>
    <row r="102" spans="1:9" hidden="1">
      <c r="A102" s="66" t="s">
        <v>3196</v>
      </c>
      <c r="B102" s="103">
        <v>45238</v>
      </c>
      <c r="C102" s="13" t="s">
        <v>3053</v>
      </c>
      <c r="D102" s="113" t="s">
        <v>78</v>
      </c>
      <c r="E102" s="104">
        <v>0.55000000000000004</v>
      </c>
      <c r="F102" s="102" t="s">
        <v>116</v>
      </c>
      <c r="G102" s="1" t="s">
        <v>3197</v>
      </c>
      <c r="H102" s="1" t="s">
        <v>3137</v>
      </c>
      <c r="I102" s="110">
        <v>45231</v>
      </c>
    </row>
    <row r="103" spans="1:9" hidden="1">
      <c r="A103" s="66"/>
      <c r="B103" s="103"/>
      <c r="C103" s="11"/>
      <c r="D103" s="113"/>
      <c r="E103" s="58">
        <f>SUM(E77:E102)</f>
        <v>96.975999999999999</v>
      </c>
      <c r="F103" s="102"/>
      <c r="G103" s="1"/>
      <c r="H103" s="1"/>
      <c r="I103" s="109"/>
    </row>
    <row r="104" spans="1:9" hidden="1">
      <c r="A104" s="66" t="s">
        <v>3201</v>
      </c>
      <c r="B104" s="103">
        <v>45239</v>
      </c>
      <c r="C104" s="13" t="s">
        <v>3157</v>
      </c>
      <c r="D104" s="113" t="s">
        <v>78</v>
      </c>
      <c r="E104" s="104">
        <v>8.6929999999999996</v>
      </c>
      <c r="F104" s="102" t="s">
        <v>97</v>
      </c>
      <c r="G104" s="1" t="s">
        <v>3202</v>
      </c>
      <c r="H104" s="1" t="s">
        <v>3130</v>
      </c>
      <c r="I104" s="110">
        <v>45231</v>
      </c>
    </row>
    <row r="105" spans="1:9" hidden="1">
      <c r="A105" s="66" t="s">
        <v>3201</v>
      </c>
      <c r="B105" s="103">
        <v>45239</v>
      </c>
      <c r="C105" s="13" t="s">
        <v>3128</v>
      </c>
      <c r="D105" s="113" t="s">
        <v>78</v>
      </c>
      <c r="E105" s="104">
        <f>13.766+0.501</f>
        <v>14.266999999999999</v>
      </c>
      <c r="F105" s="102" t="s">
        <v>97</v>
      </c>
      <c r="G105" s="1" t="s">
        <v>3202</v>
      </c>
      <c r="H105" s="1" t="s">
        <v>3130</v>
      </c>
      <c r="I105" s="110">
        <v>45231</v>
      </c>
    </row>
    <row r="106" spans="1:9" hidden="1">
      <c r="A106" s="66" t="s">
        <v>3201</v>
      </c>
      <c r="B106" s="103">
        <v>45239</v>
      </c>
      <c r="C106" s="13" t="s">
        <v>2840</v>
      </c>
      <c r="D106" s="113" t="s">
        <v>78</v>
      </c>
      <c r="E106" s="104">
        <f>0.204+7.201</f>
        <v>7.4049999999999994</v>
      </c>
      <c r="F106" s="102" t="s">
        <v>97</v>
      </c>
      <c r="G106" s="1" t="s">
        <v>3202</v>
      </c>
      <c r="H106" s="1" t="s">
        <v>3130</v>
      </c>
      <c r="I106" s="110">
        <v>45231</v>
      </c>
    </row>
    <row r="107" spans="1:9" hidden="1">
      <c r="A107" s="66" t="s">
        <v>3204</v>
      </c>
      <c r="B107" s="103">
        <v>45239</v>
      </c>
      <c r="C107" s="13" t="s">
        <v>3203</v>
      </c>
      <c r="D107" s="113" t="s">
        <v>78</v>
      </c>
      <c r="E107" s="104">
        <v>0.19500000000000001</v>
      </c>
      <c r="F107" s="102" t="s">
        <v>97</v>
      </c>
      <c r="G107" s="1" t="s">
        <v>3205</v>
      </c>
      <c r="H107" s="1" t="s">
        <v>3137</v>
      </c>
      <c r="I107" s="110">
        <v>45231</v>
      </c>
    </row>
    <row r="108" spans="1:9" hidden="1">
      <c r="A108" s="66" t="s">
        <v>3204</v>
      </c>
      <c r="B108" s="103">
        <v>45239</v>
      </c>
      <c r="C108" s="13" t="s">
        <v>3157</v>
      </c>
      <c r="D108" s="113" t="s">
        <v>78</v>
      </c>
      <c r="E108" s="104">
        <v>3.1480000000000001</v>
      </c>
      <c r="F108" s="102" t="s">
        <v>97</v>
      </c>
      <c r="G108" s="1" t="s">
        <v>3205</v>
      </c>
      <c r="H108" s="1" t="s">
        <v>3137</v>
      </c>
      <c r="I108" s="110">
        <v>45231</v>
      </c>
    </row>
    <row r="109" spans="1:9" hidden="1">
      <c r="A109" s="66" t="s">
        <v>3206</v>
      </c>
      <c r="B109" s="103">
        <v>45239</v>
      </c>
      <c r="C109" s="13" t="s">
        <v>3157</v>
      </c>
      <c r="D109" s="113" t="s">
        <v>78</v>
      </c>
      <c r="E109" s="104">
        <f>18.275+7.751</f>
        <v>26.026</v>
      </c>
      <c r="F109" s="102" t="s">
        <v>116</v>
      </c>
      <c r="G109" s="1" t="s">
        <v>3207</v>
      </c>
      <c r="H109" s="1" t="s">
        <v>3130</v>
      </c>
      <c r="I109" s="110">
        <v>45231</v>
      </c>
    </row>
    <row r="110" spans="1:9" hidden="1">
      <c r="A110" s="66" t="s">
        <v>3208</v>
      </c>
      <c r="B110" s="103">
        <v>45239</v>
      </c>
      <c r="C110" s="13" t="s">
        <v>3180</v>
      </c>
      <c r="D110" s="113" t="s">
        <v>78</v>
      </c>
      <c r="E110" s="104">
        <v>0.33900000000000002</v>
      </c>
      <c r="F110" s="102" t="s">
        <v>116</v>
      </c>
      <c r="G110" s="1" t="s">
        <v>3209</v>
      </c>
      <c r="H110" s="1" t="s">
        <v>3137</v>
      </c>
      <c r="I110" s="110">
        <v>45231</v>
      </c>
    </row>
    <row r="111" spans="1:9" hidden="1">
      <c r="A111" s="66" t="s">
        <v>3208</v>
      </c>
      <c r="B111" s="103">
        <v>45239</v>
      </c>
      <c r="C111" s="13" t="s">
        <v>3149</v>
      </c>
      <c r="D111" s="113" t="s">
        <v>78</v>
      </c>
      <c r="E111" s="104">
        <v>3.2450000000000001</v>
      </c>
      <c r="F111" s="102" t="s">
        <v>116</v>
      </c>
      <c r="G111" s="1" t="s">
        <v>3209</v>
      </c>
      <c r="H111" s="1" t="s">
        <v>3137</v>
      </c>
      <c r="I111" s="110">
        <v>45231</v>
      </c>
    </row>
    <row r="112" spans="1:9" hidden="1">
      <c r="A112" s="66" t="s">
        <v>3208</v>
      </c>
      <c r="B112" s="103">
        <v>45239</v>
      </c>
      <c r="C112" s="13" t="s">
        <v>2957</v>
      </c>
      <c r="D112" s="113" t="s">
        <v>78</v>
      </c>
      <c r="E112" s="104">
        <v>3.37</v>
      </c>
      <c r="F112" s="102" t="s">
        <v>116</v>
      </c>
      <c r="G112" s="1" t="s">
        <v>3209</v>
      </c>
      <c r="H112" s="1" t="s">
        <v>3137</v>
      </c>
      <c r="I112" s="110">
        <v>45231</v>
      </c>
    </row>
    <row r="113" spans="1:9" hidden="1">
      <c r="A113" s="66" t="s">
        <v>3211</v>
      </c>
      <c r="B113" s="103">
        <v>45239</v>
      </c>
      <c r="C113" s="13" t="s">
        <v>3157</v>
      </c>
      <c r="D113" s="113" t="s">
        <v>78</v>
      </c>
      <c r="E113" s="104">
        <f>14.643+8.726</f>
        <v>23.369</v>
      </c>
      <c r="F113" s="102" t="s">
        <v>851</v>
      </c>
      <c r="G113" s="1" t="s">
        <v>3212</v>
      </c>
      <c r="H113" s="1" t="s">
        <v>3130</v>
      </c>
      <c r="I113" s="110">
        <v>45231</v>
      </c>
    </row>
    <row r="114" spans="1:9" hidden="1">
      <c r="A114" s="66" t="s">
        <v>3211</v>
      </c>
      <c r="B114" s="103">
        <v>45239</v>
      </c>
      <c r="C114" s="13" t="s">
        <v>3186</v>
      </c>
      <c r="D114" s="113" t="s">
        <v>78</v>
      </c>
      <c r="E114" s="104">
        <v>4.4539999999999997</v>
      </c>
      <c r="F114" s="102" t="s">
        <v>851</v>
      </c>
      <c r="G114" s="1" t="s">
        <v>3212</v>
      </c>
      <c r="H114" s="1" t="s">
        <v>3130</v>
      </c>
      <c r="I114" s="110">
        <v>45231</v>
      </c>
    </row>
    <row r="115" spans="1:9" hidden="1">
      <c r="A115" s="66" t="s">
        <v>3211</v>
      </c>
      <c r="B115" s="103">
        <v>45239</v>
      </c>
      <c r="C115" s="13" t="s">
        <v>3210</v>
      </c>
      <c r="D115" s="113" t="s">
        <v>78</v>
      </c>
      <c r="E115" s="104">
        <v>4.8689999999999998</v>
      </c>
      <c r="F115" s="102" t="s">
        <v>851</v>
      </c>
      <c r="G115" s="1" t="s">
        <v>3212</v>
      </c>
      <c r="H115" s="1" t="s">
        <v>3130</v>
      </c>
      <c r="I115" s="110">
        <v>45231</v>
      </c>
    </row>
    <row r="116" spans="1:9" hidden="1">
      <c r="A116" s="66" t="s">
        <v>3213</v>
      </c>
      <c r="B116" s="103">
        <v>45239</v>
      </c>
      <c r="C116" s="13" t="s">
        <v>3157</v>
      </c>
      <c r="D116" s="113" t="s">
        <v>78</v>
      </c>
      <c r="E116" s="104">
        <v>33.485999999999997</v>
      </c>
      <c r="F116" s="24" t="s">
        <v>1481</v>
      </c>
      <c r="G116" s="1" t="s">
        <v>3214</v>
      </c>
      <c r="H116" s="1" t="s">
        <v>3130</v>
      </c>
      <c r="I116" s="110">
        <v>45231</v>
      </c>
    </row>
    <row r="117" spans="1:9" hidden="1">
      <c r="A117" s="15"/>
      <c r="B117" s="61"/>
      <c r="C117" s="6"/>
      <c r="D117" s="1"/>
      <c r="E117" s="41">
        <f>SUM(E104:E116)</f>
        <v>132.86599999999999</v>
      </c>
      <c r="F117" s="102"/>
      <c r="G117" s="1"/>
      <c r="H117" s="1"/>
      <c r="I117" s="109"/>
    </row>
    <row r="118" spans="1:9" hidden="1">
      <c r="A118" s="66" t="s">
        <v>3216</v>
      </c>
      <c r="B118" s="103">
        <v>45240</v>
      </c>
      <c r="C118" s="6" t="s">
        <v>3215</v>
      </c>
      <c r="D118" s="113" t="s">
        <v>78</v>
      </c>
      <c r="E118" s="104">
        <v>6.2830000000000004</v>
      </c>
      <c r="F118" s="102" t="s">
        <v>116</v>
      </c>
      <c r="G118" s="1" t="s">
        <v>3217</v>
      </c>
      <c r="H118" s="1" t="s">
        <v>3130</v>
      </c>
      <c r="I118" s="110">
        <v>45231</v>
      </c>
    </row>
    <row r="119" spans="1:9" hidden="1">
      <c r="A119" s="66" t="s">
        <v>3216</v>
      </c>
      <c r="B119" s="103">
        <v>45240</v>
      </c>
      <c r="C119" s="6" t="s">
        <v>3186</v>
      </c>
      <c r="D119" s="113" t="s">
        <v>78</v>
      </c>
      <c r="E119" s="104">
        <v>5.4710000000000001</v>
      </c>
      <c r="F119" s="102" t="s">
        <v>116</v>
      </c>
      <c r="G119" s="1" t="s">
        <v>3217</v>
      </c>
      <c r="H119" s="1" t="s">
        <v>3130</v>
      </c>
      <c r="I119" s="110">
        <v>45231</v>
      </c>
    </row>
    <row r="120" spans="1:9" hidden="1">
      <c r="A120" s="66" t="s">
        <v>3216</v>
      </c>
      <c r="B120" s="103">
        <v>45240</v>
      </c>
      <c r="C120" s="6" t="s">
        <v>3210</v>
      </c>
      <c r="D120" s="113" t="s">
        <v>78</v>
      </c>
      <c r="E120" s="104">
        <f>3.531+1.894</f>
        <v>5.4249999999999998</v>
      </c>
      <c r="F120" s="102" t="s">
        <v>116</v>
      </c>
      <c r="G120" s="1" t="s">
        <v>3217</v>
      </c>
      <c r="H120" s="1" t="s">
        <v>3130</v>
      </c>
      <c r="I120" s="110">
        <v>45231</v>
      </c>
    </row>
    <row r="121" spans="1:9" hidden="1">
      <c r="A121" s="66" t="s">
        <v>3216</v>
      </c>
      <c r="B121" s="103">
        <v>45240</v>
      </c>
      <c r="C121" s="6" t="s">
        <v>3203</v>
      </c>
      <c r="D121" s="113" t="s">
        <v>78</v>
      </c>
      <c r="E121" s="104">
        <v>6.4470000000000001</v>
      </c>
      <c r="F121" s="102" t="s">
        <v>116</v>
      </c>
      <c r="G121" s="1" t="s">
        <v>3217</v>
      </c>
      <c r="H121" s="1" t="s">
        <v>3130</v>
      </c>
      <c r="I121" s="110">
        <v>45231</v>
      </c>
    </row>
    <row r="122" spans="1:9" hidden="1">
      <c r="A122" s="66" t="s">
        <v>3218</v>
      </c>
      <c r="B122" s="103">
        <v>45240</v>
      </c>
      <c r="C122" s="13" t="s">
        <v>3215</v>
      </c>
      <c r="D122" s="113" t="s">
        <v>78</v>
      </c>
      <c r="E122" s="104">
        <v>0.71799999999999997</v>
      </c>
      <c r="F122" s="102" t="s">
        <v>116</v>
      </c>
      <c r="G122" s="1" t="s">
        <v>3223</v>
      </c>
      <c r="H122" s="1" t="s">
        <v>3137</v>
      </c>
      <c r="I122" s="110">
        <v>45231</v>
      </c>
    </row>
    <row r="123" spans="1:9" hidden="1">
      <c r="A123" s="66" t="s">
        <v>3218</v>
      </c>
      <c r="B123" s="103">
        <v>45240</v>
      </c>
      <c r="C123" s="13" t="s">
        <v>3219</v>
      </c>
      <c r="D123" s="113" t="s">
        <v>78</v>
      </c>
      <c r="E123" s="104">
        <v>1.669</v>
      </c>
      <c r="F123" s="102" t="s">
        <v>116</v>
      </c>
      <c r="G123" s="1" t="s">
        <v>3223</v>
      </c>
      <c r="H123" s="1" t="s">
        <v>3137</v>
      </c>
      <c r="I123" s="110">
        <v>45231</v>
      </c>
    </row>
    <row r="124" spans="1:9" hidden="1">
      <c r="A124" s="66" t="s">
        <v>3218</v>
      </c>
      <c r="B124" s="103">
        <v>45240</v>
      </c>
      <c r="C124" s="13" t="s">
        <v>3220</v>
      </c>
      <c r="D124" s="113" t="s">
        <v>78</v>
      </c>
      <c r="E124" s="104">
        <v>0.92900000000000005</v>
      </c>
      <c r="F124" s="102" t="s">
        <v>116</v>
      </c>
      <c r="G124" s="1" t="s">
        <v>3223</v>
      </c>
      <c r="H124" s="1" t="s">
        <v>3137</v>
      </c>
      <c r="I124" s="110">
        <v>45231</v>
      </c>
    </row>
    <row r="125" spans="1:9" hidden="1">
      <c r="A125" s="66" t="s">
        <v>3218</v>
      </c>
      <c r="B125" s="103">
        <v>45240</v>
      </c>
      <c r="C125" s="13" t="s">
        <v>3009</v>
      </c>
      <c r="D125" s="113" t="s">
        <v>78</v>
      </c>
      <c r="E125" s="104">
        <v>0.77400000000000002</v>
      </c>
      <c r="F125" s="102" t="s">
        <v>116</v>
      </c>
      <c r="G125" s="1" t="s">
        <v>3223</v>
      </c>
      <c r="H125" s="1" t="s">
        <v>3137</v>
      </c>
      <c r="I125" s="110">
        <v>45231</v>
      </c>
    </row>
    <row r="126" spans="1:9" hidden="1">
      <c r="A126" s="66" t="s">
        <v>3218</v>
      </c>
      <c r="B126" s="103">
        <v>45240</v>
      </c>
      <c r="C126" s="13" t="s">
        <v>3008</v>
      </c>
      <c r="D126" s="113" t="s">
        <v>78</v>
      </c>
      <c r="E126" s="104">
        <v>0.69599999999999995</v>
      </c>
      <c r="F126" s="102" t="s">
        <v>116</v>
      </c>
      <c r="G126" s="1" t="s">
        <v>3223</v>
      </c>
      <c r="H126" s="1" t="s">
        <v>3137</v>
      </c>
      <c r="I126" s="110">
        <v>45231</v>
      </c>
    </row>
    <row r="127" spans="1:9" hidden="1">
      <c r="A127" s="66" t="s">
        <v>3218</v>
      </c>
      <c r="B127" s="103">
        <v>45240</v>
      </c>
      <c r="C127" s="13" t="s">
        <v>2960</v>
      </c>
      <c r="D127" s="113" t="s">
        <v>78</v>
      </c>
      <c r="E127" s="104">
        <v>1.748</v>
      </c>
      <c r="F127" s="102" t="s">
        <v>116</v>
      </c>
      <c r="G127" s="1" t="s">
        <v>3223</v>
      </c>
      <c r="H127" s="1" t="s">
        <v>3137</v>
      </c>
      <c r="I127" s="110">
        <v>45231</v>
      </c>
    </row>
    <row r="128" spans="1:9" hidden="1">
      <c r="A128" s="66" t="s">
        <v>3218</v>
      </c>
      <c r="B128" s="103">
        <v>45240</v>
      </c>
      <c r="C128" s="13" t="s">
        <v>3221</v>
      </c>
      <c r="D128" s="113" t="s">
        <v>78</v>
      </c>
      <c r="E128" s="104">
        <v>0.96899999999999997</v>
      </c>
      <c r="F128" s="102" t="s">
        <v>116</v>
      </c>
      <c r="G128" s="1" t="s">
        <v>3223</v>
      </c>
      <c r="H128" s="1" t="s">
        <v>3137</v>
      </c>
      <c r="I128" s="110">
        <v>45231</v>
      </c>
    </row>
    <row r="129" spans="1:9" hidden="1">
      <c r="A129" s="66" t="s">
        <v>3218</v>
      </c>
      <c r="B129" s="103">
        <v>45240</v>
      </c>
      <c r="C129" s="13" t="s">
        <v>3210</v>
      </c>
      <c r="D129" s="113" t="s">
        <v>78</v>
      </c>
      <c r="E129" s="104">
        <v>0.27800000000000002</v>
      </c>
      <c r="F129" s="102" t="s">
        <v>116</v>
      </c>
      <c r="G129" s="1" t="s">
        <v>3223</v>
      </c>
      <c r="H129" s="1" t="s">
        <v>3137</v>
      </c>
      <c r="I129" s="110">
        <v>45231</v>
      </c>
    </row>
    <row r="130" spans="1:9" hidden="1">
      <c r="A130" s="66" t="s">
        <v>3218</v>
      </c>
      <c r="B130" s="103">
        <v>45240</v>
      </c>
      <c r="C130" s="13" t="s">
        <v>3222</v>
      </c>
      <c r="D130" s="113" t="s">
        <v>78</v>
      </c>
      <c r="E130" s="104">
        <v>0.58699999999999997</v>
      </c>
      <c r="F130" s="102" t="s">
        <v>116</v>
      </c>
      <c r="G130" s="1" t="s">
        <v>3223</v>
      </c>
      <c r="H130" s="1" t="s">
        <v>3137</v>
      </c>
      <c r="I130" s="110">
        <v>45231</v>
      </c>
    </row>
    <row r="131" spans="1:9" hidden="1">
      <c r="A131" s="66" t="s">
        <v>3224</v>
      </c>
      <c r="B131" s="103">
        <v>45240</v>
      </c>
      <c r="C131" s="13" t="s">
        <v>3008</v>
      </c>
      <c r="D131" s="113" t="s">
        <v>78</v>
      </c>
      <c r="E131" s="104">
        <v>11.432</v>
      </c>
      <c r="F131" s="102" t="s">
        <v>97</v>
      </c>
      <c r="G131" s="1" t="s">
        <v>3225</v>
      </c>
      <c r="H131" s="1" t="s">
        <v>3130</v>
      </c>
      <c r="I131" s="110">
        <v>45231</v>
      </c>
    </row>
    <row r="132" spans="1:9" hidden="1">
      <c r="A132" s="66" t="s">
        <v>3224</v>
      </c>
      <c r="B132" s="103">
        <v>45240</v>
      </c>
      <c r="C132" s="13" t="s">
        <v>2486</v>
      </c>
      <c r="D132" s="113" t="s">
        <v>78</v>
      </c>
      <c r="E132" s="104">
        <f>1.225+12.458</f>
        <v>13.683</v>
      </c>
      <c r="F132" s="102" t="s">
        <v>97</v>
      </c>
      <c r="G132" s="1" t="s">
        <v>3225</v>
      </c>
      <c r="H132" s="1" t="s">
        <v>3130</v>
      </c>
      <c r="I132" s="110">
        <v>45231</v>
      </c>
    </row>
    <row r="133" spans="1:9" hidden="1">
      <c r="A133" s="66" t="s">
        <v>3224</v>
      </c>
      <c r="B133" s="103">
        <v>45240</v>
      </c>
      <c r="C133" s="13" t="s">
        <v>2960</v>
      </c>
      <c r="D133" s="113" t="s">
        <v>78</v>
      </c>
      <c r="E133" s="104">
        <v>6.4340000000000002</v>
      </c>
      <c r="F133" s="102" t="s">
        <v>97</v>
      </c>
      <c r="G133" s="1" t="s">
        <v>3225</v>
      </c>
      <c r="H133" s="1" t="s">
        <v>3130</v>
      </c>
      <c r="I133" s="110">
        <v>45231</v>
      </c>
    </row>
    <row r="134" spans="1:9" hidden="1">
      <c r="A134" s="15"/>
      <c r="B134" s="61"/>
      <c r="C134" s="6"/>
      <c r="D134" s="1"/>
      <c r="E134" s="41">
        <f>SUM(E118:E133)</f>
        <v>63.542999999999999</v>
      </c>
      <c r="F134" s="102"/>
      <c r="G134" s="1"/>
      <c r="H134" s="1"/>
      <c r="I134" s="110"/>
    </row>
    <row r="135" spans="1:9" hidden="1">
      <c r="A135" s="66" t="s">
        <v>3239</v>
      </c>
      <c r="B135" s="103">
        <v>45241</v>
      </c>
      <c r="C135" s="13" t="s">
        <v>3008</v>
      </c>
      <c r="D135" s="113" t="s">
        <v>78</v>
      </c>
      <c r="E135" s="104">
        <v>2.9809999999999999</v>
      </c>
      <c r="F135" s="102" t="s">
        <v>97</v>
      </c>
      <c r="G135" s="1" t="s">
        <v>3240</v>
      </c>
      <c r="H135" s="1" t="s">
        <v>3130</v>
      </c>
      <c r="I135" s="110">
        <v>45231</v>
      </c>
    </row>
    <row r="136" spans="1:9" hidden="1">
      <c r="A136" s="66" t="s">
        <v>3239</v>
      </c>
      <c r="B136" s="103">
        <v>45241</v>
      </c>
      <c r="C136" s="13" t="s">
        <v>2486</v>
      </c>
      <c r="D136" s="113" t="s">
        <v>78</v>
      </c>
      <c r="E136" s="104">
        <v>7.3330000000000002</v>
      </c>
      <c r="F136" s="102" t="s">
        <v>97</v>
      </c>
      <c r="G136" s="1" t="s">
        <v>3240</v>
      </c>
      <c r="H136" s="1" t="s">
        <v>3130</v>
      </c>
      <c r="I136" s="110">
        <v>45231</v>
      </c>
    </row>
    <row r="137" spans="1:9" hidden="1">
      <c r="A137" s="66" t="s">
        <v>3239</v>
      </c>
      <c r="B137" s="103">
        <v>45241</v>
      </c>
      <c r="C137" s="13" t="s">
        <v>2960</v>
      </c>
      <c r="D137" s="113" t="s">
        <v>78</v>
      </c>
      <c r="E137" s="104">
        <f>0.142+10.864</f>
        <v>11.006</v>
      </c>
      <c r="F137" s="102" t="s">
        <v>97</v>
      </c>
      <c r="G137" s="1" t="s">
        <v>3240</v>
      </c>
      <c r="H137" s="1" t="s">
        <v>3130</v>
      </c>
      <c r="I137" s="110">
        <v>45231</v>
      </c>
    </row>
    <row r="138" spans="1:9" hidden="1">
      <c r="A138" s="66" t="s">
        <v>3239</v>
      </c>
      <c r="B138" s="103">
        <v>45241</v>
      </c>
      <c r="C138" s="13" t="s">
        <v>3221</v>
      </c>
      <c r="D138" s="113" t="s">
        <v>78</v>
      </c>
      <c r="E138" s="104">
        <v>10.551</v>
      </c>
      <c r="F138" s="102" t="s">
        <v>97</v>
      </c>
      <c r="G138" s="1" t="s">
        <v>3240</v>
      </c>
      <c r="H138" s="1" t="s">
        <v>3130</v>
      </c>
      <c r="I138" s="110">
        <v>45231</v>
      </c>
    </row>
    <row r="139" spans="1:9" hidden="1">
      <c r="A139" s="66" t="s">
        <v>3241</v>
      </c>
      <c r="B139" s="103">
        <v>45241</v>
      </c>
      <c r="C139" s="13" t="s">
        <v>2960</v>
      </c>
      <c r="D139" s="113" t="s">
        <v>78</v>
      </c>
      <c r="E139" s="104">
        <f>7.97+1.004</f>
        <v>8.9740000000000002</v>
      </c>
      <c r="F139" s="102" t="s">
        <v>116</v>
      </c>
      <c r="G139" s="1" t="s">
        <v>3242</v>
      </c>
      <c r="H139" s="1" t="s">
        <v>3130</v>
      </c>
      <c r="I139" s="110">
        <v>45231</v>
      </c>
    </row>
    <row r="140" spans="1:9" hidden="1">
      <c r="A140" s="66" t="s">
        <v>3241</v>
      </c>
      <c r="B140" s="103">
        <v>45241</v>
      </c>
      <c r="C140" s="13" t="s">
        <v>3221</v>
      </c>
      <c r="D140" s="113" t="s">
        <v>78</v>
      </c>
      <c r="E140" s="104">
        <v>14.794</v>
      </c>
      <c r="F140" s="102" t="s">
        <v>116</v>
      </c>
      <c r="G140" s="1" t="s">
        <v>3242</v>
      </c>
      <c r="H140" s="1" t="s">
        <v>3130</v>
      </c>
      <c r="I140" s="110">
        <v>45231</v>
      </c>
    </row>
    <row r="141" spans="1:9" hidden="1">
      <c r="A141" s="66" t="s">
        <v>3241</v>
      </c>
      <c r="B141" s="103">
        <v>45241</v>
      </c>
      <c r="C141" s="13" t="s">
        <v>3008</v>
      </c>
      <c r="D141" s="113" t="s">
        <v>78</v>
      </c>
      <c r="E141" s="104">
        <v>2.0779999999999998</v>
      </c>
      <c r="F141" s="102" t="s">
        <v>116</v>
      </c>
      <c r="G141" s="1" t="s">
        <v>3242</v>
      </c>
      <c r="H141" s="1" t="s">
        <v>3130</v>
      </c>
      <c r="I141" s="110">
        <v>45231</v>
      </c>
    </row>
    <row r="142" spans="1:9" hidden="1">
      <c r="A142" s="66" t="s">
        <v>3241</v>
      </c>
      <c r="B142" s="103">
        <v>45241</v>
      </c>
      <c r="C142" s="13" t="s">
        <v>3128</v>
      </c>
      <c r="D142" s="113" t="s">
        <v>78</v>
      </c>
      <c r="E142" s="104">
        <v>2.5680000000000001</v>
      </c>
      <c r="F142" s="102" t="s">
        <v>116</v>
      </c>
      <c r="G142" s="1" t="s">
        <v>3242</v>
      </c>
      <c r="H142" s="1" t="s">
        <v>3130</v>
      </c>
      <c r="I142" s="110">
        <v>45231</v>
      </c>
    </row>
    <row r="143" spans="1:9" hidden="1">
      <c r="A143" s="66" t="s">
        <v>3241</v>
      </c>
      <c r="B143" s="103">
        <v>45241</v>
      </c>
      <c r="C143" s="13" t="s">
        <v>3215</v>
      </c>
      <c r="D143" s="113" t="s">
        <v>78</v>
      </c>
      <c r="E143" s="104">
        <v>2.3340000000000001</v>
      </c>
      <c r="F143" s="102" t="s">
        <v>116</v>
      </c>
      <c r="G143" s="1" t="s">
        <v>3242</v>
      </c>
      <c r="H143" s="1" t="s">
        <v>3130</v>
      </c>
      <c r="I143" s="110">
        <v>45231</v>
      </c>
    </row>
    <row r="144" spans="1:9" hidden="1">
      <c r="A144" s="66" t="s">
        <v>3241</v>
      </c>
      <c r="B144" s="103">
        <v>45241</v>
      </c>
      <c r="C144" s="13" t="s">
        <v>3157</v>
      </c>
      <c r="D144" s="113" t="s">
        <v>78</v>
      </c>
      <c r="E144" s="104">
        <v>1.7509999999999999</v>
      </c>
      <c r="F144" s="102" t="s">
        <v>116</v>
      </c>
      <c r="G144" s="1" t="s">
        <v>3242</v>
      </c>
      <c r="H144" s="1" t="s">
        <v>3130</v>
      </c>
      <c r="I144" s="110">
        <v>45231</v>
      </c>
    </row>
    <row r="145" spans="1:9" hidden="1">
      <c r="A145" s="117"/>
      <c r="B145" s="118"/>
      <c r="C145" s="119"/>
      <c r="D145" s="93"/>
      <c r="E145" s="124">
        <f>SUM(E135:E144)</f>
        <v>64.37</v>
      </c>
      <c r="F145" s="121"/>
      <c r="G145" s="93"/>
      <c r="H145" s="93"/>
      <c r="I145" s="136"/>
    </row>
    <row r="146" spans="1:9" hidden="1">
      <c r="A146" s="66" t="s">
        <v>3254</v>
      </c>
      <c r="B146" s="103">
        <v>45245</v>
      </c>
      <c r="C146" s="13" t="s">
        <v>2843</v>
      </c>
      <c r="D146" s="113" t="s">
        <v>78</v>
      </c>
      <c r="E146" s="104">
        <v>32.134</v>
      </c>
      <c r="F146" s="102" t="s">
        <v>116</v>
      </c>
      <c r="G146" s="1" t="s">
        <v>3255</v>
      </c>
      <c r="H146" s="1" t="s">
        <v>3256</v>
      </c>
      <c r="I146" s="110">
        <v>45231</v>
      </c>
    </row>
    <row r="147" spans="1:9" hidden="1">
      <c r="A147" s="66" t="s">
        <v>3259</v>
      </c>
      <c r="B147" s="103">
        <v>45245</v>
      </c>
      <c r="C147" s="13" t="s">
        <v>2843</v>
      </c>
      <c r="D147" s="113" t="s">
        <v>78</v>
      </c>
      <c r="E147" s="104">
        <v>13.435</v>
      </c>
      <c r="F147" s="102" t="s">
        <v>97</v>
      </c>
      <c r="G147" s="1" t="s">
        <v>3260</v>
      </c>
      <c r="H147" s="1" t="s">
        <v>3256</v>
      </c>
      <c r="I147" s="110">
        <v>45231</v>
      </c>
    </row>
    <row r="148" spans="1:9" hidden="1">
      <c r="A148" s="66" t="s">
        <v>3259</v>
      </c>
      <c r="B148" s="103">
        <v>45245</v>
      </c>
      <c r="C148" s="13" t="s">
        <v>3257</v>
      </c>
      <c r="D148" s="113" t="s">
        <v>78</v>
      </c>
      <c r="E148" s="104">
        <v>8.2249999999999996</v>
      </c>
      <c r="F148" s="102" t="s">
        <v>97</v>
      </c>
      <c r="G148" s="1" t="s">
        <v>3260</v>
      </c>
      <c r="H148" s="1" t="s">
        <v>3256</v>
      </c>
      <c r="I148" s="110">
        <v>45231</v>
      </c>
    </row>
    <row r="149" spans="1:9" hidden="1">
      <c r="A149" s="66" t="s">
        <v>3259</v>
      </c>
      <c r="B149" s="103">
        <v>45245</v>
      </c>
      <c r="C149" s="13" t="s">
        <v>3115</v>
      </c>
      <c r="D149" s="113" t="s">
        <v>78</v>
      </c>
      <c r="E149" s="104">
        <v>6.3380000000000001</v>
      </c>
      <c r="F149" s="102" t="s">
        <v>97</v>
      </c>
      <c r="G149" s="1" t="s">
        <v>3260</v>
      </c>
      <c r="H149" s="1" t="s">
        <v>3256</v>
      </c>
      <c r="I149" s="110">
        <v>45231</v>
      </c>
    </row>
    <row r="150" spans="1:9" hidden="1">
      <c r="A150" s="66" t="s">
        <v>3259</v>
      </c>
      <c r="B150" s="103">
        <v>45245</v>
      </c>
      <c r="C150" s="13" t="s">
        <v>3045</v>
      </c>
      <c r="D150" s="113" t="s">
        <v>78</v>
      </c>
      <c r="E150" s="104">
        <v>2.855</v>
      </c>
      <c r="F150" s="102" t="s">
        <v>97</v>
      </c>
      <c r="G150" s="1" t="s">
        <v>3260</v>
      </c>
      <c r="H150" s="1" t="s">
        <v>3256</v>
      </c>
      <c r="I150" s="110">
        <v>45231</v>
      </c>
    </row>
    <row r="151" spans="1:9" hidden="1">
      <c r="A151" s="66" t="s">
        <v>3259</v>
      </c>
      <c r="B151" s="103">
        <v>45245</v>
      </c>
      <c r="C151" s="13" t="s">
        <v>3258</v>
      </c>
      <c r="D151" s="113" t="s">
        <v>78</v>
      </c>
      <c r="E151" s="104">
        <v>0.875</v>
      </c>
      <c r="F151" s="102" t="s">
        <v>97</v>
      </c>
      <c r="G151" s="1" t="s">
        <v>3260</v>
      </c>
      <c r="H151" s="1" t="s">
        <v>3256</v>
      </c>
      <c r="I151" s="110">
        <v>45231</v>
      </c>
    </row>
    <row r="152" spans="1:9" hidden="1">
      <c r="A152" s="15"/>
      <c r="B152" s="61"/>
      <c r="C152" s="13"/>
      <c r="D152" s="1"/>
      <c r="E152" s="41">
        <f>SUM(E146:E151)</f>
        <v>63.862000000000002</v>
      </c>
      <c r="F152" s="102"/>
      <c r="G152" s="1"/>
      <c r="H152" s="1"/>
      <c r="I152" s="110"/>
    </row>
    <row r="153" spans="1:9" hidden="1">
      <c r="A153" s="66" t="s">
        <v>3272</v>
      </c>
      <c r="B153" s="103">
        <v>45246</v>
      </c>
      <c r="C153" s="13" t="s">
        <v>2487</v>
      </c>
      <c r="D153" s="113" t="s">
        <v>78</v>
      </c>
      <c r="E153" s="104">
        <f>4.791+24.025</f>
        <v>28.815999999999999</v>
      </c>
      <c r="F153" s="102" t="s">
        <v>116</v>
      </c>
      <c r="G153" s="1" t="s">
        <v>3273</v>
      </c>
      <c r="H153" s="1" t="s">
        <v>3130</v>
      </c>
      <c r="I153" s="110">
        <v>45231</v>
      </c>
    </row>
    <row r="154" spans="1:9" hidden="1">
      <c r="A154" s="66" t="s">
        <v>3272</v>
      </c>
      <c r="B154" s="103">
        <v>45246</v>
      </c>
      <c r="C154" s="13" t="s">
        <v>2488</v>
      </c>
      <c r="D154" s="113" t="s">
        <v>78</v>
      </c>
      <c r="E154" s="104">
        <v>2.4420000000000002</v>
      </c>
      <c r="F154" s="102" t="s">
        <v>116</v>
      </c>
      <c r="G154" s="1" t="s">
        <v>3273</v>
      </c>
      <c r="H154" s="1" t="s">
        <v>3130</v>
      </c>
      <c r="I154" s="110">
        <v>45231</v>
      </c>
    </row>
    <row r="155" spans="1:9" hidden="1">
      <c r="A155" s="66" t="s">
        <v>3274</v>
      </c>
      <c r="B155" s="103">
        <v>45246</v>
      </c>
      <c r="C155" s="13" t="s">
        <v>2843</v>
      </c>
      <c r="D155" s="113" t="s">
        <v>78</v>
      </c>
      <c r="E155" s="104">
        <f>3.001+0.328</f>
        <v>3.3289999999999997</v>
      </c>
      <c r="F155" s="102" t="s">
        <v>86</v>
      </c>
      <c r="G155" s="1" t="s">
        <v>3275</v>
      </c>
      <c r="H155" s="1" t="s">
        <v>3256</v>
      </c>
      <c r="I155" s="110">
        <v>45227</v>
      </c>
    </row>
    <row r="156" spans="1:9" hidden="1">
      <c r="A156" s="66" t="s">
        <v>3274</v>
      </c>
      <c r="B156" s="103">
        <v>45246</v>
      </c>
      <c r="C156" s="13" t="s">
        <v>3257</v>
      </c>
      <c r="D156" s="113" t="s">
        <v>78</v>
      </c>
      <c r="E156" s="104">
        <v>6.4349999999999996</v>
      </c>
      <c r="F156" s="102" t="s">
        <v>86</v>
      </c>
      <c r="G156" s="1" t="s">
        <v>3275</v>
      </c>
      <c r="H156" s="1" t="s">
        <v>3256</v>
      </c>
      <c r="I156" s="110">
        <v>45227</v>
      </c>
    </row>
    <row r="157" spans="1:9" hidden="1">
      <c r="A157" s="66" t="s">
        <v>3274</v>
      </c>
      <c r="B157" s="103">
        <v>45246</v>
      </c>
      <c r="C157" s="13" t="s">
        <v>3258</v>
      </c>
      <c r="D157" s="113" t="s">
        <v>78</v>
      </c>
      <c r="E157" s="104">
        <v>2.4529999999999998</v>
      </c>
      <c r="F157" s="102" t="s">
        <v>86</v>
      </c>
      <c r="G157" s="1" t="s">
        <v>3275</v>
      </c>
      <c r="H157" s="1" t="s">
        <v>3256</v>
      </c>
      <c r="I157" s="110">
        <v>45227</v>
      </c>
    </row>
    <row r="158" spans="1:9" hidden="1">
      <c r="A158" s="66" t="s">
        <v>3274</v>
      </c>
      <c r="B158" s="103">
        <v>45246</v>
      </c>
      <c r="C158" s="13" t="s">
        <v>3115</v>
      </c>
      <c r="D158" s="113" t="s">
        <v>78</v>
      </c>
      <c r="E158" s="104">
        <v>2.206</v>
      </c>
      <c r="F158" s="102" t="s">
        <v>86</v>
      </c>
      <c r="G158" s="1" t="s">
        <v>3275</v>
      </c>
      <c r="H158" s="1" t="s">
        <v>3256</v>
      </c>
      <c r="I158" s="110">
        <v>45227</v>
      </c>
    </row>
    <row r="159" spans="1:9" hidden="1">
      <c r="A159" s="66" t="s">
        <v>3276</v>
      </c>
      <c r="B159" s="103">
        <v>45246</v>
      </c>
      <c r="C159" s="13" t="s">
        <v>2488</v>
      </c>
      <c r="D159" s="113" t="s">
        <v>78</v>
      </c>
      <c r="E159" s="104">
        <v>18.57</v>
      </c>
      <c r="F159" s="102" t="s">
        <v>86</v>
      </c>
      <c r="G159" s="1" t="s">
        <v>3277</v>
      </c>
      <c r="H159" s="1" t="s">
        <v>3130</v>
      </c>
      <c r="I159" s="110">
        <v>45231</v>
      </c>
    </row>
    <row r="160" spans="1:9" hidden="1">
      <c r="A160" s="15"/>
      <c r="B160" s="61"/>
      <c r="C160" s="13"/>
      <c r="D160" s="1"/>
      <c r="E160" s="41">
        <f>SUM(E153:E159)</f>
        <v>64.251000000000005</v>
      </c>
      <c r="F160" s="102"/>
      <c r="G160" s="1"/>
      <c r="H160" s="1"/>
      <c r="I160" s="110"/>
    </row>
    <row r="161" spans="1:9" hidden="1">
      <c r="A161" s="66" t="s">
        <v>3292</v>
      </c>
      <c r="B161" s="103">
        <v>45247</v>
      </c>
      <c r="C161" s="13" t="s">
        <v>2488</v>
      </c>
      <c r="D161" s="113" t="s">
        <v>78</v>
      </c>
      <c r="E161" s="104">
        <f>1.49+5.586+12.263+5.127+4.371</f>
        <v>28.836999999999996</v>
      </c>
      <c r="F161" s="102" t="s">
        <v>116</v>
      </c>
      <c r="G161" s="1" t="s">
        <v>3293</v>
      </c>
      <c r="H161" s="1" t="s">
        <v>3130</v>
      </c>
      <c r="I161" s="110">
        <v>45231</v>
      </c>
    </row>
    <row r="162" spans="1:9" hidden="1">
      <c r="A162" s="66" t="s">
        <v>3292</v>
      </c>
      <c r="B162" s="103">
        <v>45247</v>
      </c>
      <c r="C162" s="13" t="s">
        <v>3008</v>
      </c>
      <c r="D162" s="113" t="s">
        <v>78</v>
      </c>
      <c r="E162" s="104">
        <v>3.26</v>
      </c>
      <c r="F162" s="102" t="s">
        <v>116</v>
      </c>
      <c r="G162" s="1" t="s">
        <v>3293</v>
      </c>
      <c r="H162" s="1" t="s">
        <v>3130</v>
      </c>
      <c r="I162" s="110">
        <v>45231</v>
      </c>
    </row>
    <row r="163" spans="1:9">
      <c r="A163" s="66" t="s">
        <v>3294</v>
      </c>
      <c r="B163" s="103">
        <v>45247</v>
      </c>
      <c r="C163" s="13" t="s">
        <v>2489</v>
      </c>
      <c r="D163" s="13" t="s">
        <v>11</v>
      </c>
      <c r="E163" s="104">
        <v>22.363</v>
      </c>
      <c r="F163" s="102" t="s">
        <v>3295</v>
      </c>
      <c r="G163" s="1" t="s">
        <v>3296</v>
      </c>
      <c r="H163" s="1" t="s">
        <v>2745</v>
      </c>
      <c r="I163" s="110">
        <v>45176</v>
      </c>
    </row>
    <row r="164" spans="1:9" hidden="1">
      <c r="A164" s="66" t="s">
        <v>3297</v>
      </c>
      <c r="B164" s="103">
        <v>45247</v>
      </c>
      <c r="C164" s="13" t="s">
        <v>2488</v>
      </c>
      <c r="D164" s="113" t="s">
        <v>78</v>
      </c>
      <c r="E164" s="104">
        <v>28.571000000000002</v>
      </c>
      <c r="F164" s="102" t="s">
        <v>97</v>
      </c>
      <c r="G164" s="1" t="s">
        <v>3298</v>
      </c>
      <c r="H164" s="1" t="s">
        <v>3130</v>
      </c>
      <c r="I164" s="110">
        <v>45231</v>
      </c>
    </row>
    <row r="165" spans="1:9" hidden="1">
      <c r="A165" s="66" t="s">
        <v>3297</v>
      </c>
      <c r="B165" s="103">
        <v>45247</v>
      </c>
      <c r="C165" s="13" t="s">
        <v>2486</v>
      </c>
      <c r="D165" s="113" t="s">
        <v>78</v>
      </c>
      <c r="E165" s="104">
        <v>2.988</v>
      </c>
      <c r="F165" s="102" t="s">
        <v>97</v>
      </c>
      <c r="G165" s="1" t="s">
        <v>3298</v>
      </c>
      <c r="H165" s="1" t="s">
        <v>3130</v>
      </c>
      <c r="I165" s="110">
        <v>45231</v>
      </c>
    </row>
    <row r="166" spans="1:9">
      <c r="A166" s="66" t="s">
        <v>3299</v>
      </c>
      <c r="B166" s="103">
        <v>45247</v>
      </c>
      <c r="C166" s="13" t="s">
        <v>2489</v>
      </c>
      <c r="D166" s="13" t="s">
        <v>11</v>
      </c>
      <c r="E166" s="104">
        <v>6.0860000000000003</v>
      </c>
      <c r="F166" s="102" t="s">
        <v>3300</v>
      </c>
      <c r="G166" s="1" t="s">
        <v>3301</v>
      </c>
      <c r="H166" s="1" t="s">
        <v>2745</v>
      </c>
      <c r="I166" s="110">
        <v>45176</v>
      </c>
    </row>
    <row r="167" spans="1:9">
      <c r="A167" s="66" t="s">
        <v>3299</v>
      </c>
      <c r="B167" s="103">
        <v>45247</v>
      </c>
      <c r="C167" s="13" t="s">
        <v>2488</v>
      </c>
      <c r="D167" s="6" t="s">
        <v>11</v>
      </c>
      <c r="E167" s="104">
        <v>6.1680000000000001</v>
      </c>
      <c r="F167" s="102" t="s">
        <v>3300</v>
      </c>
      <c r="G167" s="1" t="s">
        <v>3301</v>
      </c>
      <c r="H167" s="1" t="s">
        <v>2745</v>
      </c>
      <c r="I167" s="110">
        <v>45176</v>
      </c>
    </row>
    <row r="168" spans="1:9">
      <c r="A168" s="66" t="s">
        <v>3299</v>
      </c>
      <c r="B168" s="103">
        <v>45247</v>
      </c>
      <c r="C168" s="13" t="s">
        <v>2487</v>
      </c>
      <c r="D168" s="13" t="s">
        <v>11</v>
      </c>
      <c r="E168" s="104">
        <v>4.8419999999999996</v>
      </c>
      <c r="F168" s="102" t="s">
        <v>3300</v>
      </c>
      <c r="G168" s="1" t="s">
        <v>3301</v>
      </c>
      <c r="H168" s="1" t="s">
        <v>2745</v>
      </c>
      <c r="I168" s="110">
        <v>45176</v>
      </c>
    </row>
    <row r="169" spans="1:9">
      <c r="A169" s="66" t="s">
        <v>3299</v>
      </c>
      <c r="B169" s="103">
        <v>45247</v>
      </c>
      <c r="C169" s="13" t="s">
        <v>3144</v>
      </c>
      <c r="D169" s="13" t="s">
        <v>11</v>
      </c>
      <c r="E169" s="104">
        <v>7.258</v>
      </c>
      <c r="F169" s="102" t="s">
        <v>3300</v>
      </c>
      <c r="G169" s="1" t="s">
        <v>3301</v>
      </c>
      <c r="H169" s="1" t="s">
        <v>2745</v>
      </c>
      <c r="I169" s="110">
        <v>45176</v>
      </c>
    </row>
    <row r="170" spans="1:9" hidden="1">
      <c r="A170" s="15"/>
      <c r="B170" s="61"/>
      <c r="C170" s="13"/>
      <c r="D170" s="1"/>
      <c r="E170" s="41">
        <f>SUM(E161:E169)</f>
        <v>110.37299999999999</v>
      </c>
      <c r="F170" s="102"/>
      <c r="G170" s="1"/>
      <c r="H170" s="1"/>
      <c r="I170" s="110"/>
    </row>
    <row r="171" spans="1:9" hidden="1">
      <c r="A171" s="66" t="s">
        <v>3302</v>
      </c>
      <c r="B171" s="103">
        <v>45248</v>
      </c>
      <c r="C171" s="13" t="s">
        <v>2488</v>
      </c>
      <c r="D171" s="113" t="s">
        <v>78</v>
      </c>
      <c r="E171" s="104">
        <f>3.206+21.137</f>
        <v>24.343</v>
      </c>
      <c r="F171" s="102" t="s">
        <v>116</v>
      </c>
      <c r="G171" s="1" t="s">
        <v>3303</v>
      </c>
      <c r="H171" s="1" t="s">
        <v>3130</v>
      </c>
      <c r="I171" s="110">
        <v>45231</v>
      </c>
    </row>
    <row r="172" spans="1:9" hidden="1">
      <c r="A172" s="66" t="s">
        <v>3302</v>
      </c>
      <c r="B172" s="103">
        <v>45248</v>
      </c>
      <c r="C172" s="13" t="s">
        <v>3008</v>
      </c>
      <c r="D172" s="113" t="s">
        <v>78</v>
      </c>
      <c r="E172" s="104">
        <v>2.8519999999999999</v>
      </c>
      <c r="F172" s="102" t="s">
        <v>116</v>
      </c>
      <c r="G172" s="1" t="s">
        <v>3303</v>
      </c>
      <c r="H172" s="1" t="s">
        <v>3130</v>
      </c>
      <c r="I172" s="110">
        <v>45231</v>
      </c>
    </row>
    <row r="173" spans="1:9" hidden="1">
      <c r="A173" s="66" t="s">
        <v>3302</v>
      </c>
      <c r="B173" s="103">
        <v>45248</v>
      </c>
      <c r="C173" s="13" t="s">
        <v>2486</v>
      </c>
      <c r="D173" s="113" t="s">
        <v>78</v>
      </c>
      <c r="E173" s="104">
        <v>2.6890000000000001</v>
      </c>
      <c r="F173" s="102" t="s">
        <v>116</v>
      </c>
      <c r="G173" s="1" t="s">
        <v>3303</v>
      </c>
      <c r="H173" s="1" t="s">
        <v>3130</v>
      </c>
      <c r="I173" s="110">
        <v>45231</v>
      </c>
    </row>
    <row r="174" spans="1:9" hidden="1">
      <c r="A174" s="66" t="s">
        <v>3302</v>
      </c>
      <c r="B174" s="103">
        <v>45248</v>
      </c>
      <c r="C174" s="13" t="s">
        <v>2960</v>
      </c>
      <c r="D174" s="113" t="s">
        <v>78</v>
      </c>
      <c r="E174" s="104">
        <f>2.504+0.605</f>
        <v>3.109</v>
      </c>
      <c r="F174" s="102" t="s">
        <v>116</v>
      </c>
      <c r="G174" s="1" t="s">
        <v>3303</v>
      </c>
      <c r="H174" s="1" t="s">
        <v>3130</v>
      </c>
      <c r="I174" s="110">
        <v>45231</v>
      </c>
    </row>
    <row r="175" spans="1:9" hidden="1">
      <c r="A175" s="66" t="s">
        <v>3304</v>
      </c>
      <c r="B175" s="103">
        <v>45248</v>
      </c>
      <c r="C175" s="13" t="s">
        <v>3305</v>
      </c>
      <c r="D175" s="113" t="s">
        <v>2706</v>
      </c>
      <c r="E175" s="104">
        <v>31.946999999999999</v>
      </c>
      <c r="F175" s="102" t="s">
        <v>3016</v>
      </c>
      <c r="G175" s="1" t="s">
        <v>3306</v>
      </c>
      <c r="H175" s="1" t="s">
        <v>3307</v>
      </c>
      <c r="I175" s="110">
        <v>45238</v>
      </c>
    </row>
    <row r="176" spans="1:9" hidden="1">
      <c r="A176" s="66" t="s">
        <v>3308</v>
      </c>
      <c r="B176" s="103">
        <v>45248</v>
      </c>
      <c r="C176" s="13" t="s">
        <v>3053</v>
      </c>
      <c r="D176" s="113" t="s">
        <v>78</v>
      </c>
      <c r="E176" s="104">
        <v>21.599</v>
      </c>
      <c r="F176" s="102" t="s">
        <v>83</v>
      </c>
      <c r="G176" s="1" t="s">
        <v>3309</v>
      </c>
      <c r="H176" s="1" t="s">
        <v>3130</v>
      </c>
      <c r="I176" s="110">
        <v>45231</v>
      </c>
    </row>
    <row r="177" spans="1:9" hidden="1">
      <c r="A177" s="66" t="s">
        <v>3308</v>
      </c>
      <c r="B177" s="103">
        <v>45248</v>
      </c>
      <c r="C177" s="13" t="s">
        <v>2489</v>
      </c>
      <c r="D177" s="113" t="s">
        <v>78</v>
      </c>
      <c r="E177" s="104">
        <v>4.1719999999999997</v>
      </c>
      <c r="F177" s="102" t="s">
        <v>83</v>
      </c>
      <c r="G177" s="1" t="s">
        <v>3309</v>
      </c>
      <c r="H177" s="1" t="s">
        <v>3130</v>
      </c>
      <c r="I177" s="110">
        <v>45231</v>
      </c>
    </row>
    <row r="178" spans="1:9" hidden="1">
      <c r="A178" s="66" t="s">
        <v>3308</v>
      </c>
      <c r="B178" s="103">
        <v>45248</v>
      </c>
      <c r="C178" s="13" t="s">
        <v>3191</v>
      </c>
      <c r="D178" s="113" t="s">
        <v>78</v>
      </c>
      <c r="E178" s="104">
        <f>0.088+5.452</f>
        <v>5.54</v>
      </c>
      <c r="F178" s="102" t="s">
        <v>83</v>
      </c>
      <c r="G178" s="1" t="s">
        <v>3309</v>
      </c>
      <c r="H178" s="1" t="s">
        <v>3130</v>
      </c>
      <c r="I178" s="110">
        <v>45231</v>
      </c>
    </row>
    <row r="179" spans="1:9" hidden="1">
      <c r="A179" s="66" t="s">
        <v>3310</v>
      </c>
      <c r="B179" s="103">
        <v>45248</v>
      </c>
      <c r="C179" s="134" t="s">
        <v>2488</v>
      </c>
      <c r="D179" s="113" t="s">
        <v>78</v>
      </c>
      <c r="E179" s="104">
        <v>1.798</v>
      </c>
      <c r="F179" s="102" t="s">
        <v>83</v>
      </c>
      <c r="G179" s="1" t="s">
        <v>3311</v>
      </c>
      <c r="H179" s="1" t="s">
        <v>3137</v>
      </c>
      <c r="I179" s="110">
        <v>45231</v>
      </c>
    </row>
    <row r="180" spans="1:9" hidden="1">
      <c r="A180" s="15"/>
      <c r="B180" s="61"/>
      <c r="C180" s="13"/>
      <c r="D180" s="1"/>
      <c r="E180" s="41">
        <f>SUM(E171:E179)</f>
        <v>98.049000000000007</v>
      </c>
      <c r="F180" s="102"/>
      <c r="G180" s="1"/>
      <c r="H180" s="1"/>
      <c r="I180" s="110"/>
    </row>
    <row r="181" spans="1:9">
      <c r="A181" s="66" t="s">
        <v>3326</v>
      </c>
      <c r="B181" s="103">
        <v>45249</v>
      </c>
      <c r="C181" s="13" t="s">
        <v>3325</v>
      </c>
      <c r="D181" s="13" t="s">
        <v>11</v>
      </c>
      <c r="E181" s="104">
        <v>24.55</v>
      </c>
      <c r="F181" s="102" t="s">
        <v>3327</v>
      </c>
      <c r="G181" s="1" t="s">
        <v>3328</v>
      </c>
      <c r="H181" s="1" t="s">
        <v>2745</v>
      </c>
      <c r="I181" s="110">
        <v>45176</v>
      </c>
    </row>
    <row r="182" spans="1:9">
      <c r="A182" s="66" t="s">
        <v>3329</v>
      </c>
      <c r="B182" s="103">
        <v>45249</v>
      </c>
      <c r="C182" s="13" t="s">
        <v>3053</v>
      </c>
      <c r="D182" s="13" t="s">
        <v>11</v>
      </c>
      <c r="E182" s="104">
        <v>11.496</v>
      </c>
      <c r="F182" s="102" t="s">
        <v>2372</v>
      </c>
      <c r="G182" s="1" t="s">
        <v>3330</v>
      </c>
      <c r="H182" s="1" t="s">
        <v>2745</v>
      </c>
      <c r="I182" s="110">
        <v>45176</v>
      </c>
    </row>
    <row r="183" spans="1:9">
      <c r="A183" s="66" t="s">
        <v>3329</v>
      </c>
      <c r="B183" s="103">
        <v>45249</v>
      </c>
      <c r="C183" s="13" t="s">
        <v>2739</v>
      </c>
      <c r="D183" s="13" t="s">
        <v>11</v>
      </c>
      <c r="E183" s="104">
        <v>12.500999999999999</v>
      </c>
      <c r="F183" s="102" t="s">
        <v>2372</v>
      </c>
      <c r="G183" s="1" t="s">
        <v>3330</v>
      </c>
      <c r="H183" s="1" t="s">
        <v>2745</v>
      </c>
      <c r="I183" s="110">
        <v>45176</v>
      </c>
    </row>
    <row r="184" spans="1:9">
      <c r="A184" s="66" t="s">
        <v>3331</v>
      </c>
      <c r="B184" s="103">
        <v>45249</v>
      </c>
      <c r="C184" s="13" t="s">
        <v>3325</v>
      </c>
      <c r="D184" s="13" t="s">
        <v>11</v>
      </c>
      <c r="E184" s="104">
        <v>11.127000000000001</v>
      </c>
      <c r="F184" s="102" t="s">
        <v>3332</v>
      </c>
      <c r="G184" s="1" t="s">
        <v>3333</v>
      </c>
      <c r="H184" s="1" t="s">
        <v>2745</v>
      </c>
      <c r="I184" s="110">
        <v>45176</v>
      </c>
    </row>
    <row r="185" spans="1:9">
      <c r="A185" s="66" t="s">
        <v>3331</v>
      </c>
      <c r="B185" s="103">
        <v>45249</v>
      </c>
      <c r="C185" s="13" t="s">
        <v>2741</v>
      </c>
      <c r="D185" s="13" t="s">
        <v>11</v>
      </c>
      <c r="E185" s="104">
        <v>5.3630000000000004</v>
      </c>
      <c r="F185" s="102" t="s">
        <v>3332</v>
      </c>
      <c r="G185" s="1" t="s">
        <v>3333</v>
      </c>
      <c r="H185" s="1" t="s">
        <v>2745</v>
      </c>
      <c r="I185" s="110">
        <v>45176</v>
      </c>
    </row>
    <row r="186" spans="1:9">
      <c r="A186" s="66" t="s">
        <v>3331</v>
      </c>
      <c r="B186" s="103">
        <v>45249</v>
      </c>
      <c r="C186" s="13" t="s">
        <v>2739</v>
      </c>
      <c r="D186" s="13" t="s">
        <v>11</v>
      </c>
      <c r="E186" s="104">
        <v>7.9770000000000003</v>
      </c>
      <c r="F186" s="102" t="s">
        <v>3332</v>
      </c>
      <c r="G186" s="1" t="s">
        <v>3333</v>
      </c>
      <c r="H186" s="1" t="s">
        <v>2745</v>
      </c>
      <c r="I186" s="110">
        <v>45176</v>
      </c>
    </row>
    <row r="187" spans="1:9" hidden="1">
      <c r="A187" s="66" t="s">
        <v>3334</v>
      </c>
      <c r="B187" s="103">
        <v>45249</v>
      </c>
      <c r="C187" s="13" t="s">
        <v>2488</v>
      </c>
      <c r="D187" s="113" t="s">
        <v>78</v>
      </c>
      <c r="E187" s="104">
        <v>31.745999999999999</v>
      </c>
      <c r="F187" s="102" t="s">
        <v>116</v>
      </c>
      <c r="G187" s="1" t="s">
        <v>3335</v>
      </c>
      <c r="H187" s="1" t="s">
        <v>3336</v>
      </c>
      <c r="I187" s="110">
        <v>45231</v>
      </c>
    </row>
    <row r="188" spans="1:9" hidden="1">
      <c r="A188" s="15"/>
      <c r="B188" s="61"/>
      <c r="C188" s="6"/>
      <c r="D188" s="1"/>
      <c r="E188" s="41">
        <f>SUM(E181:E187)</f>
        <v>104.76</v>
      </c>
      <c r="F188" s="102"/>
      <c r="G188" s="1"/>
      <c r="H188" s="1"/>
      <c r="I188" s="110"/>
    </row>
    <row r="189" spans="1:9" hidden="1">
      <c r="A189" s="66" t="s">
        <v>3338</v>
      </c>
      <c r="B189" s="103">
        <v>45250</v>
      </c>
      <c r="C189" s="13" t="s">
        <v>3337</v>
      </c>
      <c r="D189" s="113" t="s">
        <v>2706</v>
      </c>
      <c r="E189" s="104">
        <f>4.568+4.852</f>
        <v>9.42</v>
      </c>
      <c r="F189" s="102" t="s">
        <v>559</v>
      </c>
      <c r="G189" s="131" t="s">
        <v>3339</v>
      </c>
      <c r="H189" s="1" t="s">
        <v>3340</v>
      </c>
      <c r="I189" s="110">
        <v>45218</v>
      </c>
    </row>
    <row r="190" spans="1:9" hidden="1">
      <c r="A190" s="66" t="s">
        <v>3341</v>
      </c>
      <c r="B190" s="103">
        <v>45250</v>
      </c>
      <c r="C190" s="13" t="s">
        <v>3305</v>
      </c>
      <c r="D190" s="113" t="s">
        <v>2706</v>
      </c>
      <c r="E190" s="104">
        <f>0.315+4.632+3.438</f>
        <v>8.3849999999999998</v>
      </c>
      <c r="F190" s="102" t="s">
        <v>559</v>
      </c>
      <c r="G190" s="1" t="s">
        <v>3342</v>
      </c>
      <c r="H190" s="1" t="s">
        <v>3307</v>
      </c>
      <c r="I190" s="110">
        <v>45238</v>
      </c>
    </row>
    <row r="191" spans="1:9" hidden="1">
      <c r="A191" s="66" t="s">
        <v>3343</v>
      </c>
      <c r="B191" s="103">
        <v>45250</v>
      </c>
      <c r="C191" s="13" t="s">
        <v>2840</v>
      </c>
      <c r="D191" s="113" t="s">
        <v>2706</v>
      </c>
      <c r="E191" s="104">
        <v>4.1989999999999998</v>
      </c>
      <c r="F191" s="102" t="s">
        <v>559</v>
      </c>
      <c r="G191" s="1" t="s">
        <v>3344</v>
      </c>
      <c r="H191" s="1" t="s">
        <v>2994</v>
      </c>
      <c r="I191" s="110">
        <v>45213</v>
      </c>
    </row>
    <row r="192" spans="1:9" hidden="1">
      <c r="A192" s="66" t="s">
        <v>3343</v>
      </c>
      <c r="B192" s="103">
        <v>45250</v>
      </c>
      <c r="C192" s="13" t="s">
        <v>3157</v>
      </c>
      <c r="D192" s="113" t="s">
        <v>2706</v>
      </c>
      <c r="E192" s="104">
        <v>0.46400000000000002</v>
      </c>
      <c r="F192" s="102" t="s">
        <v>559</v>
      </c>
      <c r="G192" s="1" t="s">
        <v>3344</v>
      </c>
      <c r="H192" s="1" t="s">
        <v>2994</v>
      </c>
      <c r="I192" s="110">
        <v>45213</v>
      </c>
    </row>
    <row r="193" spans="1:9" hidden="1">
      <c r="A193" s="66" t="s">
        <v>3343</v>
      </c>
      <c r="B193" s="103">
        <v>45250</v>
      </c>
      <c r="C193" s="13" t="s">
        <v>3186</v>
      </c>
      <c r="D193" s="113" t="s">
        <v>2706</v>
      </c>
      <c r="E193" s="104">
        <v>3.0449999999999999</v>
      </c>
      <c r="F193" s="102" t="s">
        <v>559</v>
      </c>
      <c r="G193" s="1" t="s">
        <v>3344</v>
      </c>
      <c r="H193" s="1" t="s">
        <v>2994</v>
      </c>
      <c r="I193" s="110">
        <v>45213</v>
      </c>
    </row>
    <row r="194" spans="1:9">
      <c r="A194" s="66" t="s">
        <v>3345</v>
      </c>
      <c r="B194" s="103">
        <v>45250</v>
      </c>
      <c r="C194" s="13" t="s">
        <v>2741</v>
      </c>
      <c r="D194" s="13" t="s">
        <v>11</v>
      </c>
      <c r="E194" s="104">
        <f>8.195+10.031</f>
        <v>18.225999999999999</v>
      </c>
      <c r="F194" s="102" t="s">
        <v>3346</v>
      </c>
      <c r="G194" s="1" t="s">
        <v>3347</v>
      </c>
      <c r="H194" s="1" t="s">
        <v>2745</v>
      </c>
      <c r="I194" s="110">
        <v>45176</v>
      </c>
    </row>
    <row r="195" spans="1:9">
      <c r="A195" s="66" t="s">
        <v>3345</v>
      </c>
      <c r="B195" s="103">
        <v>45250</v>
      </c>
      <c r="C195" s="13" t="s">
        <v>2489</v>
      </c>
      <c r="D195" s="13" t="s">
        <v>11</v>
      </c>
      <c r="E195" s="104">
        <v>2.6459999999999999</v>
      </c>
      <c r="F195" s="102" t="s">
        <v>3346</v>
      </c>
      <c r="G195" s="1" t="s">
        <v>3347</v>
      </c>
      <c r="H195" s="1" t="s">
        <v>2745</v>
      </c>
      <c r="I195" s="110">
        <v>45176</v>
      </c>
    </row>
    <row r="196" spans="1:9">
      <c r="A196" s="66" t="s">
        <v>3345</v>
      </c>
      <c r="B196" s="103">
        <v>45250</v>
      </c>
      <c r="C196" s="13" t="s">
        <v>2488</v>
      </c>
      <c r="D196" s="13" t="s">
        <v>11</v>
      </c>
      <c r="E196" s="104">
        <v>0.95899999999999996</v>
      </c>
      <c r="F196" s="102" t="s">
        <v>3346</v>
      </c>
      <c r="G196" s="1" t="s">
        <v>3347</v>
      </c>
      <c r="H196" s="1" t="s">
        <v>2745</v>
      </c>
      <c r="I196" s="110">
        <v>45176</v>
      </c>
    </row>
    <row r="197" spans="1:9">
      <c r="A197" s="66" t="s">
        <v>3345</v>
      </c>
      <c r="B197" s="103">
        <v>45250</v>
      </c>
      <c r="C197" s="13" t="s">
        <v>2487</v>
      </c>
      <c r="D197" s="13" t="s">
        <v>11</v>
      </c>
      <c r="E197" s="104">
        <v>2.2639999999999998</v>
      </c>
      <c r="F197" s="102" t="s">
        <v>3346</v>
      </c>
      <c r="G197" s="1" t="s">
        <v>3347</v>
      </c>
      <c r="H197" s="1" t="s">
        <v>2745</v>
      </c>
      <c r="I197" s="110">
        <v>45176</v>
      </c>
    </row>
    <row r="198" spans="1:9">
      <c r="A198" s="66" t="s">
        <v>3348</v>
      </c>
      <c r="B198" s="103">
        <v>45250</v>
      </c>
      <c r="C198" s="13" t="s">
        <v>2739</v>
      </c>
      <c r="D198" s="13" t="s">
        <v>11</v>
      </c>
      <c r="E198" s="104">
        <v>16.077999999999999</v>
      </c>
      <c r="F198" s="102" t="s">
        <v>3349</v>
      </c>
      <c r="G198" s="1" t="s">
        <v>3350</v>
      </c>
      <c r="H198" s="1" t="s">
        <v>2745</v>
      </c>
      <c r="I198" s="110">
        <v>45176</v>
      </c>
    </row>
    <row r="199" spans="1:9">
      <c r="A199" s="66" t="s">
        <v>3348</v>
      </c>
      <c r="B199" s="103">
        <v>45250</v>
      </c>
      <c r="C199" s="13" t="s">
        <v>2740</v>
      </c>
      <c r="D199" s="13" t="s">
        <v>11</v>
      </c>
      <c r="E199" s="104">
        <f>4.932+3.476</f>
        <v>8.4080000000000013</v>
      </c>
      <c r="F199" s="102" t="s">
        <v>3349</v>
      </c>
      <c r="G199" s="1" t="s">
        <v>3350</v>
      </c>
      <c r="H199" s="1" t="s">
        <v>2745</v>
      </c>
      <c r="I199" s="110">
        <v>45176</v>
      </c>
    </row>
    <row r="200" spans="1:9" hidden="1">
      <c r="A200" s="66" t="s">
        <v>3351</v>
      </c>
      <c r="B200" s="103">
        <v>45250</v>
      </c>
      <c r="C200" s="13" t="s">
        <v>2488</v>
      </c>
      <c r="D200" s="113" t="s">
        <v>78</v>
      </c>
      <c r="E200" s="104">
        <v>4.8840000000000003</v>
      </c>
      <c r="F200" s="102" t="s">
        <v>116</v>
      </c>
      <c r="G200" s="1" t="s">
        <v>3352</v>
      </c>
      <c r="H200" s="1" t="s">
        <v>3336</v>
      </c>
      <c r="I200" s="110">
        <v>45231</v>
      </c>
    </row>
    <row r="201" spans="1:9" hidden="1">
      <c r="A201" s="66" t="s">
        <v>3353</v>
      </c>
      <c r="B201" s="103">
        <v>45250</v>
      </c>
      <c r="C201" s="13" t="s">
        <v>3128</v>
      </c>
      <c r="D201" s="113" t="s">
        <v>78</v>
      </c>
      <c r="E201" s="104">
        <v>12.016</v>
      </c>
      <c r="F201" s="102" t="s">
        <v>116</v>
      </c>
      <c r="G201" s="1" t="s">
        <v>3352</v>
      </c>
      <c r="H201" s="1" t="s">
        <v>3130</v>
      </c>
      <c r="I201" s="110">
        <v>45231</v>
      </c>
    </row>
    <row r="202" spans="1:9" hidden="1">
      <c r="A202" s="66" t="s">
        <v>3353</v>
      </c>
      <c r="B202" s="103">
        <v>45250</v>
      </c>
      <c r="C202" s="13" t="s">
        <v>3215</v>
      </c>
      <c r="D202" s="113" t="s">
        <v>78</v>
      </c>
      <c r="E202" s="104">
        <v>1.4359999999999999</v>
      </c>
      <c r="F202" s="102" t="s">
        <v>116</v>
      </c>
      <c r="G202" s="1" t="s">
        <v>3352</v>
      </c>
      <c r="H202" s="1" t="s">
        <v>3130</v>
      </c>
      <c r="I202" s="110">
        <v>45231</v>
      </c>
    </row>
    <row r="203" spans="1:9" hidden="1">
      <c r="A203" s="66" t="s">
        <v>3353</v>
      </c>
      <c r="B203" s="103">
        <v>45250</v>
      </c>
      <c r="C203" s="13" t="s">
        <v>3157</v>
      </c>
      <c r="D203" s="113" t="s">
        <v>78</v>
      </c>
      <c r="E203" s="104">
        <v>0.98199999999999998</v>
      </c>
      <c r="F203" s="102" t="s">
        <v>116</v>
      </c>
      <c r="G203" s="1" t="s">
        <v>3352</v>
      </c>
      <c r="H203" s="1" t="s">
        <v>3130</v>
      </c>
      <c r="I203" s="110">
        <v>45231</v>
      </c>
    </row>
    <row r="204" spans="1:9" hidden="1">
      <c r="A204" s="66" t="s">
        <v>3353</v>
      </c>
      <c r="B204" s="103">
        <v>45250</v>
      </c>
      <c r="C204" s="13" t="s">
        <v>2840</v>
      </c>
      <c r="D204" s="113" t="s">
        <v>78</v>
      </c>
      <c r="E204" s="104">
        <v>4.4939999999999998</v>
      </c>
      <c r="F204" s="102" t="s">
        <v>116</v>
      </c>
      <c r="G204" s="1" t="s">
        <v>3352</v>
      </c>
      <c r="H204" s="1" t="s">
        <v>3130</v>
      </c>
      <c r="I204" s="110">
        <v>45231</v>
      </c>
    </row>
    <row r="205" spans="1:9" hidden="1">
      <c r="A205" s="66" t="s">
        <v>3353</v>
      </c>
      <c r="B205" s="103">
        <v>45250</v>
      </c>
      <c r="C205" s="13" t="s">
        <v>3203</v>
      </c>
      <c r="D205" s="113" t="s">
        <v>78</v>
      </c>
      <c r="E205" s="104">
        <v>1.3129999999999999</v>
      </c>
      <c r="F205" s="102" t="s">
        <v>116</v>
      </c>
      <c r="G205" s="1" t="s">
        <v>3352</v>
      </c>
      <c r="H205" s="1" t="s">
        <v>3130</v>
      </c>
      <c r="I205" s="110">
        <v>45231</v>
      </c>
    </row>
    <row r="206" spans="1:9" hidden="1">
      <c r="A206" s="66" t="s">
        <v>3353</v>
      </c>
      <c r="B206" s="103">
        <v>45250</v>
      </c>
      <c r="C206" s="13" t="s">
        <v>2960</v>
      </c>
      <c r="D206" s="113" t="s">
        <v>78</v>
      </c>
      <c r="E206" s="104">
        <f>3.64</f>
        <v>3.64</v>
      </c>
      <c r="F206" s="102" t="s">
        <v>116</v>
      </c>
      <c r="G206" s="1" t="s">
        <v>3352</v>
      </c>
      <c r="H206" s="1" t="s">
        <v>3130</v>
      </c>
      <c r="I206" s="110">
        <v>45231</v>
      </c>
    </row>
    <row r="207" spans="1:9" hidden="1">
      <c r="A207" s="66" t="s">
        <v>3353</v>
      </c>
      <c r="B207" s="103">
        <v>45250</v>
      </c>
      <c r="C207" s="13" t="s">
        <v>3221</v>
      </c>
      <c r="D207" s="113" t="s">
        <v>78</v>
      </c>
      <c r="E207" s="104">
        <f>2.4</f>
        <v>2.4</v>
      </c>
      <c r="F207" s="102" t="s">
        <v>116</v>
      </c>
      <c r="G207" s="1" t="s">
        <v>3352</v>
      </c>
      <c r="H207" s="1" t="s">
        <v>3130</v>
      </c>
      <c r="I207" s="110">
        <v>45231</v>
      </c>
    </row>
    <row r="208" spans="1:9" hidden="1">
      <c r="A208" s="66"/>
      <c r="B208" s="103"/>
      <c r="C208" s="11"/>
      <c r="D208" s="113"/>
      <c r="E208" s="58">
        <f>SUM(E189:E207)</f>
        <v>105.25900000000001</v>
      </c>
      <c r="F208" s="102"/>
      <c r="G208" s="1"/>
      <c r="H208" s="1"/>
      <c r="I208" s="110"/>
    </row>
    <row r="209" spans="1:9" hidden="1">
      <c r="A209" s="66" t="s">
        <v>3362</v>
      </c>
      <c r="B209" s="103">
        <v>45251</v>
      </c>
      <c r="C209" s="13" t="s">
        <v>3128</v>
      </c>
      <c r="D209" s="113" t="s">
        <v>78</v>
      </c>
      <c r="E209" s="104">
        <v>20.67</v>
      </c>
      <c r="F209" s="102" t="s">
        <v>116</v>
      </c>
      <c r="G209" s="1" t="s">
        <v>3363</v>
      </c>
      <c r="H209" s="1" t="s">
        <v>3256</v>
      </c>
      <c r="I209" s="110">
        <v>45227</v>
      </c>
    </row>
    <row r="210" spans="1:9" hidden="1">
      <c r="A210" s="66" t="s">
        <v>3364</v>
      </c>
      <c r="B210" s="103">
        <v>45251</v>
      </c>
      <c r="C210" s="13" t="s">
        <v>3157</v>
      </c>
      <c r="D210" s="113" t="s">
        <v>78</v>
      </c>
      <c r="E210" s="104">
        <v>2.8650000000000002</v>
      </c>
      <c r="F210" s="102" t="s">
        <v>116</v>
      </c>
      <c r="G210" s="1" t="s">
        <v>3363</v>
      </c>
      <c r="H210" s="1" t="s">
        <v>3130</v>
      </c>
      <c r="I210" s="110">
        <v>45231</v>
      </c>
    </row>
    <row r="211" spans="1:9" hidden="1">
      <c r="A211" s="66" t="s">
        <v>3364</v>
      </c>
      <c r="B211" s="103">
        <v>45251</v>
      </c>
      <c r="C211" s="13" t="s">
        <v>2489</v>
      </c>
      <c r="D211" s="113" t="s">
        <v>78</v>
      </c>
      <c r="E211" s="104">
        <v>0.88500000000000001</v>
      </c>
      <c r="F211" s="102" t="s">
        <v>116</v>
      </c>
      <c r="G211" s="1" t="s">
        <v>3363</v>
      </c>
      <c r="H211" s="1" t="s">
        <v>3130</v>
      </c>
      <c r="I211" s="110">
        <v>45231</v>
      </c>
    </row>
    <row r="212" spans="1:9" hidden="1">
      <c r="A212" s="66" t="s">
        <v>3364</v>
      </c>
      <c r="B212" s="103">
        <v>45251</v>
      </c>
      <c r="C212" s="13" t="s">
        <v>3186</v>
      </c>
      <c r="D212" s="113" t="s">
        <v>78</v>
      </c>
      <c r="E212" s="104">
        <v>0.41699999999999998</v>
      </c>
      <c r="F212" s="102" t="s">
        <v>116</v>
      </c>
      <c r="G212" s="1" t="s">
        <v>3363</v>
      </c>
      <c r="H212" s="1" t="s">
        <v>3130</v>
      </c>
      <c r="I212" s="110">
        <v>45231</v>
      </c>
    </row>
    <row r="213" spans="1:9" hidden="1">
      <c r="A213" s="66" t="s">
        <v>3364</v>
      </c>
      <c r="B213" s="103">
        <v>45251</v>
      </c>
      <c r="C213" s="13" t="s">
        <v>3210</v>
      </c>
      <c r="D213" s="113" t="s">
        <v>78</v>
      </c>
      <c r="E213" s="104">
        <v>0.83699999999999997</v>
      </c>
      <c r="F213" s="102" t="s">
        <v>116</v>
      </c>
      <c r="G213" s="1" t="s">
        <v>3363</v>
      </c>
      <c r="H213" s="1" t="s">
        <v>3130</v>
      </c>
      <c r="I213" s="110">
        <v>45231</v>
      </c>
    </row>
    <row r="214" spans="1:9" hidden="1">
      <c r="A214" s="66" t="s">
        <v>3364</v>
      </c>
      <c r="B214" s="103">
        <v>45251</v>
      </c>
      <c r="C214" s="13" t="s">
        <v>3128</v>
      </c>
      <c r="D214" s="113" t="s">
        <v>78</v>
      </c>
      <c r="E214" s="104">
        <v>5.7130000000000001</v>
      </c>
      <c r="F214" s="102" t="s">
        <v>116</v>
      </c>
      <c r="G214" s="1" t="s">
        <v>3363</v>
      </c>
      <c r="H214" s="1" t="s">
        <v>3130</v>
      </c>
      <c r="I214" s="110">
        <v>45231</v>
      </c>
    </row>
    <row r="215" spans="1:9" hidden="1">
      <c r="A215" s="66" t="s">
        <v>3365</v>
      </c>
      <c r="B215" s="103">
        <v>45251</v>
      </c>
      <c r="C215" s="13" t="s">
        <v>2840</v>
      </c>
      <c r="D215" s="113" t="s">
        <v>78</v>
      </c>
      <c r="E215" s="104">
        <v>24.975000000000001</v>
      </c>
      <c r="F215" s="24" t="s">
        <v>86</v>
      </c>
      <c r="G215" s="1" t="s">
        <v>3366</v>
      </c>
      <c r="H215" s="1" t="s">
        <v>3256</v>
      </c>
      <c r="I215" s="110">
        <v>45227</v>
      </c>
    </row>
    <row r="216" spans="1:9" hidden="1">
      <c r="A216" s="66" t="s">
        <v>3365</v>
      </c>
      <c r="B216" s="103">
        <v>45251</v>
      </c>
      <c r="C216" s="13" t="s">
        <v>3150</v>
      </c>
      <c r="D216" s="113" t="s">
        <v>78</v>
      </c>
      <c r="E216" s="104">
        <v>5.9980000000000002</v>
      </c>
      <c r="F216" s="24" t="s">
        <v>86</v>
      </c>
      <c r="G216" s="1" t="s">
        <v>3366</v>
      </c>
      <c r="H216" s="1" t="s">
        <v>3256</v>
      </c>
      <c r="I216" s="110">
        <v>45227</v>
      </c>
    </row>
    <row r="217" spans="1:9" hidden="1">
      <c r="A217" s="66" t="s">
        <v>3367</v>
      </c>
      <c r="B217" s="103">
        <v>45251</v>
      </c>
      <c r="C217" s="13" t="s">
        <v>2840</v>
      </c>
      <c r="D217" s="113" t="s">
        <v>78</v>
      </c>
      <c r="E217" s="104">
        <f>5.496+7.682</f>
        <v>13.178000000000001</v>
      </c>
      <c r="F217" s="24" t="s">
        <v>851</v>
      </c>
      <c r="G217" s="1" t="s">
        <v>3368</v>
      </c>
      <c r="H217" s="1" t="s">
        <v>3256</v>
      </c>
      <c r="I217" s="110">
        <v>45227</v>
      </c>
    </row>
    <row r="218" spans="1:9" hidden="1">
      <c r="A218" s="66" t="s">
        <v>3367</v>
      </c>
      <c r="B218" s="103">
        <v>45251</v>
      </c>
      <c r="C218" s="13" t="s">
        <v>3128</v>
      </c>
      <c r="D218" s="113" t="s">
        <v>78</v>
      </c>
      <c r="E218" s="104">
        <v>14.976000000000001</v>
      </c>
      <c r="F218" s="24" t="s">
        <v>851</v>
      </c>
      <c r="G218" s="1" t="s">
        <v>3368</v>
      </c>
      <c r="H218" s="1" t="s">
        <v>3256</v>
      </c>
      <c r="I218" s="110">
        <v>45227</v>
      </c>
    </row>
    <row r="219" spans="1:9" hidden="1">
      <c r="A219" s="66" t="s">
        <v>3367</v>
      </c>
      <c r="B219" s="103">
        <v>45251</v>
      </c>
      <c r="C219" s="13" t="s">
        <v>3157</v>
      </c>
      <c r="D219" s="113" t="s">
        <v>78</v>
      </c>
      <c r="E219" s="104">
        <v>4.5220000000000002</v>
      </c>
      <c r="F219" s="24" t="s">
        <v>851</v>
      </c>
      <c r="G219" s="1" t="s">
        <v>3368</v>
      </c>
      <c r="H219" s="1" t="s">
        <v>3256</v>
      </c>
      <c r="I219" s="110">
        <v>45227</v>
      </c>
    </row>
    <row r="220" spans="1:9" hidden="1">
      <c r="A220" s="117"/>
      <c r="B220" s="61"/>
      <c r="C220" s="6"/>
      <c r="D220" s="1"/>
      <c r="E220" s="41">
        <f>SUM(E209:E219)</f>
        <v>95.036000000000016</v>
      </c>
      <c r="F220" s="102"/>
      <c r="G220" s="1"/>
      <c r="H220" s="1"/>
      <c r="I220" s="110"/>
    </row>
    <row r="221" spans="1:9" hidden="1">
      <c r="A221" s="66" t="s">
        <v>3375</v>
      </c>
      <c r="B221" s="103">
        <v>45252</v>
      </c>
      <c r="C221" s="13" t="s">
        <v>2840</v>
      </c>
      <c r="D221" s="113" t="s">
        <v>78</v>
      </c>
      <c r="E221" s="104">
        <v>3.7370000000000001</v>
      </c>
      <c r="F221" s="102" t="s">
        <v>267</v>
      </c>
      <c r="G221" s="1" t="s">
        <v>3376</v>
      </c>
      <c r="H221" s="1" t="s">
        <v>3256</v>
      </c>
      <c r="I221" s="110">
        <v>45227</v>
      </c>
    </row>
    <row r="222" spans="1:9" hidden="1">
      <c r="A222" s="66" t="s">
        <v>3375</v>
      </c>
      <c r="B222" s="103">
        <v>45252</v>
      </c>
      <c r="C222" s="13" t="s">
        <v>3128</v>
      </c>
      <c r="D222" s="113" t="s">
        <v>78</v>
      </c>
      <c r="E222" s="104">
        <f>2.191+7.258</f>
        <v>9.4489999999999998</v>
      </c>
      <c r="F222" s="102" t="s">
        <v>267</v>
      </c>
      <c r="G222" s="1" t="s">
        <v>3376</v>
      </c>
      <c r="H222" s="1" t="s">
        <v>3256</v>
      </c>
      <c r="I222" s="110">
        <v>45227</v>
      </c>
    </row>
    <row r="223" spans="1:9" hidden="1">
      <c r="A223" s="66" t="s">
        <v>3375</v>
      </c>
      <c r="B223" s="103">
        <v>45252</v>
      </c>
      <c r="C223" s="13" t="s">
        <v>3149</v>
      </c>
      <c r="D223" s="113" t="s">
        <v>78</v>
      </c>
      <c r="E223" s="104">
        <v>14.587</v>
      </c>
      <c r="F223" s="102" t="s">
        <v>267</v>
      </c>
      <c r="G223" s="1" t="s">
        <v>3376</v>
      </c>
      <c r="H223" s="1" t="s">
        <v>3256</v>
      </c>
      <c r="I223" s="110">
        <v>45227</v>
      </c>
    </row>
    <row r="224" spans="1:9" hidden="1">
      <c r="A224" s="66" t="s">
        <v>3374</v>
      </c>
      <c r="B224" s="103">
        <v>45252</v>
      </c>
      <c r="C224" s="13" t="s">
        <v>3009</v>
      </c>
      <c r="D224" s="113" t="s">
        <v>78</v>
      </c>
      <c r="E224" s="104">
        <v>4.4329999999999998</v>
      </c>
      <c r="F224" s="102" t="s">
        <v>267</v>
      </c>
      <c r="G224" s="1" t="s">
        <v>3377</v>
      </c>
      <c r="H224" s="1" t="s">
        <v>3130</v>
      </c>
      <c r="I224" s="110">
        <v>45231</v>
      </c>
    </row>
    <row r="225" spans="1:9" hidden="1">
      <c r="A225" s="66" t="s">
        <v>3378</v>
      </c>
      <c r="B225" s="103">
        <v>45252</v>
      </c>
      <c r="C225" s="13" t="s">
        <v>3009</v>
      </c>
      <c r="D225" s="113" t="s">
        <v>78</v>
      </c>
      <c r="E225" s="104">
        <f>2.206+2.012+2.904+3.493</f>
        <v>10.615</v>
      </c>
      <c r="F225" s="102" t="s">
        <v>83</v>
      </c>
      <c r="G225" s="1" t="s">
        <v>3379</v>
      </c>
      <c r="H225" s="1" t="s">
        <v>3130</v>
      </c>
      <c r="I225" s="110">
        <v>45231</v>
      </c>
    </row>
    <row r="226" spans="1:9" hidden="1">
      <c r="A226" s="66" t="s">
        <v>3378</v>
      </c>
      <c r="B226" s="103">
        <v>45252</v>
      </c>
      <c r="C226" s="13" t="s">
        <v>3180</v>
      </c>
      <c r="D226" s="113" t="s">
        <v>78</v>
      </c>
      <c r="E226" s="104">
        <v>11.069000000000001</v>
      </c>
      <c r="F226" s="102" t="s">
        <v>83</v>
      </c>
      <c r="G226" s="1" t="s">
        <v>3379</v>
      </c>
      <c r="H226" s="1" t="s">
        <v>3130</v>
      </c>
      <c r="I226" s="110">
        <v>45231</v>
      </c>
    </row>
    <row r="227" spans="1:9" hidden="1">
      <c r="A227" s="66" t="s">
        <v>3378</v>
      </c>
      <c r="B227" s="103">
        <v>45252</v>
      </c>
      <c r="C227" s="13" t="s">
        <v>2490</v>
      </c>
      <c r="D227" s="113" t="s">
        <v>78</v>
      </c>
      <c r="E227" s="104">
        <v>8.7880000000000003</v>
      </c>
      <c r="F227" s="102" t="s">
        <v>83</v>
      </c>
      <c r="G227" s="1" t="s">
        <v>3379</v>
      </c>
      <c r="H227" s="1" t="s">
        <v>3130</v>
      </c>
      <c r="I227" s="110">
        <v>45231</v>
      </c>
    </row>
    <row r="228" spans="1:9" hidden="1">
      <c r="A228" s="66" t="s">
        <v>3382</v>
      </c>
      <c r="B228" s="103">
        <v>45252</v>
      </c>
      <c r="C228" s="13" t="s">
        <v>3128</v>
      </c>
      <c r="D228" s="113" t="s">
        <v>78</v>
      </c>
      <c r="E228" s="104">
        <v>11.327</v>
      </c>
      <c r="F228" s="102" t="s">
        <v>851</v>
      </c>
      <c r="G228" s="1" t="s">
        <v>3380</v>
      </c>
      <c r="H228" s="1" t="s">
        <v>3256</v>
      </c>
      <c r="I228" s="110">
        <v>45227</v>
      </c>
    </row>
    <row r="229" spans="1:9" hidden="1">
      <c r="A229" s="66" t="s">
        <v>3382</v>
      </c>
      <c r="B229" s="103">
        <v>45252</v>
      </c>
      <c r="C229" s="13" t="s">
        <v>3144</v>
      </c>
      <c r="D229" s="113" t="s">
        <v>78</v>
      </c>
      <c r="E229" s="104">
        <v>11.153</v>
      </c>
      <c r="F229" s="102" t="s">
        <v>851</v>
      </c>
      <c r="G229" s="1" t="s">
        <v>3380</v>
      </c>
      <c r="H229" s="1" t="s">
        <v>3256</v>
      </c>
      <c r="I229" s="110">
        <v>45227</v>
      </c>
    </row>
    <row r="230" spans="1:9" hidden="1">
      <c r="A230" s="66" t="s">
        <v>3382</v>
      </c>
      <c r="B230" s="103">
        <v>45252</v>
      </c>
      <c r="C230" s="13" t="s">
        <v>2747</v>
      </c>
      <c r="D230" s="113" t="s">
        <v>78</v>
      </c>
      <c r="E230" s="104">
        <v>8.8439999999999994</v>
      </c>
      <c r="F230" s="102" t="s">
        <v>851</v>
      </c>
      <c r="G230" s="1" t="s">
        <v>3380</v>
      </c>
      <c r="H230" s="1" t="s">
        <v>3256</v>
      </c>
      <c r="I230" s="110">
        <v>45227</v>
      </c>
    </row>
    <row r="231" spans="1:9" hidden="1">
      <c r="A231" s="15"/>
      <c r="B231" s="61"/>
      <c r="C231" s="6"/>
      <c r="D231" s="1"/>
      <c r="E231" s="41">
        <f>SUM(E221:E230)</f>
        <v>94.00200000000001</v>
      </c>
      <c r="F231" s="102"/>
      <c r="G231" s="1"/>
      <c r="H231" s="1"/>
      <c r="I231" s="110"/>
    </row>
    <row r="232" spans="1:9">
      <c r="A232" s="66" t="s">
        <v>3385</v>
      </c>
      <c r="B232" s="103">
        <v>45253</v>
      </c>
      <c r="C232" s="13" t="s">
        <v>3325</v>
      </c>
      <c r="D232" s="13" t="s">
        <v>11</v>
      </c>
      <c r="E232" s="104">
        <f>5.796+5.577+13.341</f>
        <v>24.713999999999999</v>
      </c>
      <c r="F232" s="102" t="s">
        <v>3386</v>
      </c>
      <c r="G232" s="1" t="s">
        <v>3387</v>
      </c>
      <c r="H232" s="1" t="s">
        <v>2745</v>
      </c>
      <c r="I232" s="110">
        <v>45176</v>
      </c>
    </row>
    <row r="233" spans="1:9" hidden="1">
      <c r="A233" s="66" t="s">
        <v>3396</v>
      </c>
      <c r="B233" s="103">
        <v>45253</v>
      </c>
      <c r="C233" s="13" t="s">
        <v>2746</v>
      </c>
      <c r="D233" s="113" t="s">
        <v>78</v>
      </c>
      <c r="E233" s="104">
        <v>6.6529999999999996</v>
      </c>
      <c r="F233" s="102" t="s">
        <v>851</v>
      </c>
      <c r="G233" s="1" t="s">
        <v>3397</v>
      </c>
      <c r="H233" s="1" t="s">
        <v>3256</v>
      </c>
      <c r="I233" s="110">
        <v>45227</v>
      </c>
    </row>
    <row r="234" spans="1:9" hidden="1">
      <c r="A234" s="66" t="s">
        <v>3396</v>
      </c>
      <c r="B234" s="103">
        <v>45253</v>
      </c>
      <c r="C234" s="13" t="s">
        <v>2747</v>
      </c>
      <c r="D234" s="113" t="s">
        <v>78</v>
      </c>
      <c r="E234" s="104">
        <v>8.5609999999999999</v>
      </c>
      <c r="F234" s="102" t="s">
        <v>851</v>
      </c>
      <c r="G234" s="1" t="s">
        <v>3397</v>
      </c>
      <c r="H234" s="1" t="s">
        <v>3256</v>
      </c>
      <c r="I234" s="110">
        <v>45227</v>
      </c>
    </row>
    <row r="235" spans="1:9" hidden="1">
      <c r="A235" s="66" t="s">
        <v>3396</v>
      </c>
      <c r="B235" s="103">
        <v>45253</v>
      </c>
      <c r="C235" s="13" t="s">
        <v>3149</v>
      </c>
      <c r="D235" s="113" t="s">
        <v>78</v>
      </c>
      <c r="E235" s="104">
        <f>0.591+3.868</f>
        <v>4.4589999999999996</v>
      </c>
      <c r="F235" s="102" t="s">
        <v>851</v>
      </c>
      <c r="G235" s="1" t="s">
        <v>3397</v>
      </c>
      <c r="H235" s="1" t="s">
        <v>3256</v>
      </c>
      <c r="I235" s="110">
        <v>45227</v>
      </c>
    </row>
    <row r="236" spans="1:9" hidden="1">
      <c r="A236" s="66" t="s">
        <v>3398</v>
      </c>
      <c r="B236" s="103">
        <v>45253</v>
      </c>
      <c r="C236" s="13" t="s">
        <v>2490</v>
      </c>
      <c r="D236" s="113" t="s">
        <v>78</v>
      </c>
      <c r="E236" s="104">
        <v>6.8460000000000001</v>
      </c>
      <c r="F236" s="102" t="s">
        <v>851</v>
      </c>
      <c r="G236" s="1" t="s">
        <v>3399</v>
      </c>
      <c r="H236" s="1" t="s">
        <v>3130</v>
      </c>
      <c r="I236" s="110">
        <v>45231</v>
      </c>
    </row>
    <row r="237" spans="1:9" hidden="1">
      <c r="A237" s="66" t="s">
        <v>3398</v>
      </c>
      <c r="B237" s="103">
        <v>45253</v>
      </c>
      <c r="C237" s="13" t="s">
        <v>3180</v>
      </c>
      <c r="D237" s="113" t="s">
        <v>78</v>
      </c>
      <c r="E237" s="104">
        <v>5.4610000000000003</v>
      </c>
      <c r="F237" s="102" t="s">
        <v>851</v>
      </c>
      <c r="G237" s="1" t="s">
        <v>3399</v>
      </c>
      <c r="H237" s="1" t="s">
        <v>3130</v>
      </c>
      <c r="I237" s="110">
        <v>45231</v>
      </c>
    </row>
    <row r="238" spans="1:9" hidden="1">
      <c r="A238" s="66" t="s">
        <v>3405</v>
      </c>
      <c r="B238" s="103">
        <v>45253</v>
      </c>
      <c r="C238" s="13" t="s">
        <v>2843</v>
      </c>
      <c r="D238" s="113" t="s">
        <v>78</v>
      </c>
      <c r="E238" s="104">
        <v>4.3090000000000002</v>
      </c>
      <c r="F238" s="102" t="s">
        <v>97</v>
      </c>
      <c r="G238" s="1" t="s">
        <v>3406</v>
      </c>
      <c r="H238" s="1" t="s">
        <v>3130</v>
      </c>
      <c r="I238" s="110">
        <v>45231</v>
      </c>
    </row>
    <row r="239" spans="1:9" hidden="1">
      <c r="A239" s="66" t="s">
        <v>3405</v>
      </c>
      <c r="B239" s="103">
        <v>45253</v>
      </c>
      <c r="C239" s="13" t="s">
        <v>1753</v>
      </c>
      <c r="D239" s="113" t="s">
        <v>78</v>
      </c>
      <c r="E239" s="104">
        <f>8.634+19.404</f>
        <v>28.038</v>
      </c>
      <c r="F239" s="102" t="s">
        <v>97</v>
      </c>
      <c r="G239" s="1" t="s">
        <v>3406</v>
      </c>
      <c r="H239" s="1" t="s">
        <v>3130</v>
      </c>
      <c r="I239" s="110">
        <v>45231</v>
      </c>
    </row>
    <row r="240" spans="1:9" hidden="1">
      <c r="A240" s="15"/>
      <c r="B240" s="61"/>
      <c r="C240" s="6"/>
      <c r="D240" s="1"/>
      <c r="E240" s="41">
        <f>SUM(E232:E239)</f>
        <v>89.040999999999997</v>
      </c>
      <c r="F240" s="102"/>
      <c r="G240" s="1"/>
      <c r="H240" s="1"/>
      <c r="I240" s="110"/>
    </row>
    <row r="241" spans="1:9">
      <c r="A241" s="66" t="s">
        <v>3407</v>
      </c>
      <c r="B241" s="103">
        <v>45254</v>
      </c>
      <c r="C241" s="13" t="s">
        <v>3053</v>
      </c>
      <c r="D241" s="13" t="s">
        <v>11</v>
      </c>
      <c r="E241" s="104">
        <f>9.705+8.363</f>
        <v>18.067999999999998</v>
      </c>
      <c r="F241" s="102" t="s">
        <v>3408</v>
      </c>
      <c r="G241" s="1" t="s">
        <v>3409</v>
      </c>
      <c r="H241" s="1" t="s">
        <v>2745</v>
      </c>
      <c r="I241" s="110">
        <v>45176</v>
      </c>
    </row>
    <row r="242" spans="1:9">
      <c r="A242" s="66" t="s">
        <v>3407</v>
      </c>
      <c r="B242" s="103">
        <v>45254</v>
      </c>
      <c r="C242" s="13" t="s">
        <v>2740</v>
      </c>
      <c r="D242" s="13" t="s">
        <v>11</v>
      </c>
      <c r="E242" s="104">
        <v>2.8929999999999998</v>
      </c>
      <c r="F242" s="102" t="s">
        <v>3408</v>
      </c>
      <c r="G242" s="1" t="s">
        <v>3409</v>
      </c>
      <c r="H242" s="1" t="s">
        <v>2745</v>
      </c>
      <c r="I242" s="110">
        <v>45176</v>
      </c>
    </row>
    <row r="243" spans="1:9">
      <c r="A243" s="66" t="s">
        <v>3407</v>
      </c>
      <c r="B243" s="103">
        <v>45254</v>
      </c>
      <c r="C243" s="13" t="s">
        <v>2489</v>
      </c>
      <c r="D243" s="13" t="s">
        <v>11</v>
      </c>
      <c r="E243" s="104">
        <v>3.2970000000000002</v>
      </c>
      <c r="F243" s="102" t="s">
        <v>3408</v>
      </c>
      <c r="G243" s="1" t="s">
        <v>3409</v>
      </c>
      <c r="H243" s="1" t="s">
        <v>2745</v>
      </c>
      <c r="I243" s="110">
        <v>45176</v>
      </c>
    </row>
    <row r="244" spans="1:9" hidden="1">
      <c r="A244" s="66" t="s">
        <v>3412</v>
      </c>
      <c r="B244" s="103">
        <v>45254</v>
      </c>
      <c r="C244" s="13" t="s">
        <v>2747</v>
      </c>
      <c r="D244" s="113" t="s">
        <v>78</v>
      </c>
      <c r="E244" s="104">
        <v>8.57</v>
      </c>
      <c r="F244" s="102" t="s">
        <v>83</v>
      </c>
      <c r="G244" s="1" t="s">
        <v>3413</v>
      </c>
      <c r="H244" s="1" t="s">
        <v>3256</v>
      </c>
      <c r="I244" s="110">
        <v>45227</v>
      </c>
    </row>
    <row r="245" spans="1:9" hidden="1">
      <c r="A245" s="66" t="s">
        <v>3412</v>
      </c>
      <c r="B245" s="103">
        <v>45254</v>
      </c>
      <c r="C245" s="13" t="s">
        <v>3186</v>
      </c>
      <c r="D245" s="113" t="s">
        <v>78</v>
      </c>
      <c r="E245" s="104">
        <v>1.4450000000000001</v>
      </c>
      <c r="F245" s="102" t="s">
        <v>83</v>
      </c>
      <c r="G245" s="1" t="s">
        <v>3413</v>
      </c>
      <c r="H245" s="1" t="s">
        <v>3256</v>
      </c>
      <c r="I245" s="110">
        <v>45227</v>
      </c>
    </row>
    <row r="246" spans="1:9" hidden="1">
      <c r="A246" s="66" t="s">
        <v>3412</v>
      </c>
      <c r="B246" s="103">
        <v>45254</v>
      </c>
      <c r="C246" s="13" t="s">
        <v>3410</v>
      </c>
      <c r="D246" s="113" t="s">
        <v>78</v>
      </c>
      <c r="E246" s="104">
        <f>4.578+12.757</f>
        <v>17.335000000000001</v>
      </c>
      <c r="F246" s="102" t="s">
        <v>83</v>
      </c>
      <c r="G246" s="1" t="s">
        <v>3413</v>
      </c>
      <c r="H246" s="1" t="s">
        <v>3256</v>
      </c>
      <c r="I246" s="110">
        <v>45227</v>
      </c>
    </row>
    <row r="247" spans="1:9" hidden="1">
      <c r="A247" s="66" t="s">
        <v>3412</v>
      </c>
      <c r="B247" s="103">
        <v>45254</v>
      </c>
      <c r="C247" s="13" t="s">
        <v>3411</v>
      </c>
      <c r="D247" s="113" t="s">
        <v>78</v>
      </c>
      <c r="E247" s="104">
        <v>5.24</v>
      </c>
      <c r="F247" s="102" t="s">
        <v>83</v>
      </c>
      <c r="G247" s="1" t="s">
        <v>3413</v>
      </c>
      <c r="H247" s="1" t="s">
        <v>3256</v>
      </c>
      <c r="I247" s="110">
        <v>45227</v>
      </c>
    </row>
    <row r="248" spans="1:9" hidden="1">
      <c r="A248" s="66" t="s">
        <v>3423</v>
      </c>
      <c r="B248" s="103">
        <v>45254</v>
      </c>
      <c r="C248" s="13" t="s">
        <v>2957</v>
      </c>
      <c r="D248" s="113" t="s">
        <v>78</v>
      </c>
      <c r="E248" s="104">
        <v>3.2639999999999998</v>
      </c>
      <c r="F248" s="102" t="s">
        <v>851</v>
      </c>
      <c r="G248" s="1" t="s">
        <v>3424</v>
      </c>
      <c r="H248" s="1" t="s">
        <v>3256</v>
      </c>
      <c r="I248" s="110">
        <v>45227</v>
      </c>
    </row>
    <row r="249" spans="1:9" hidden="1">
      <c r="A249" s="66" t="s">
        <v>3423</v>
      </c>
      <c r="B249" s="103">
        <v>45254</v>
      </c>
      <c r="C249" s="13" t="s">
        <v>3410</v>
      </c>
      <c r="D249" s="113" t="s">
        <v>78</v>
      </c>
      <c r="E249" s="104">
        <v>5.14</v>
      </c>
      <c r="F249" s="102" t="s">
        <v>851</v>
      </c>
      <c r="G249" s="1" t="s">
        <v>3424</v>
      </c>
      <c r="H249" s="1" t="s">
        <v>3256</v>
      </c>
      <c r="I249" s="110">
        <v>45227</v>
      </c>
    </row>
    <row r="250" spans="1:9" hidden="1">
      <c r="A250" s="66" t="s">
        <v>3425</v>
      </c>
      <c r="B250" s="103">
        <v>45254</v>
      </c>
      <c r="C250" s="13" t="s">
        <v>3115</v>
      </c>
      <c r="D250" s="113" t="s">
        <v>78</v>
      </c>
      <c r="E250" s="104">
        <f>2.689+21.538</f>
        <v>24.227</v>
      </c>
      <c r="F250" s="102" t="s">
        <v>851</v>
      </c>
      <c r="G250" s="1" t="s">
        <v>3426</v>
      </c>
      <c r="H250" s="1" t="s">
        <v>3130</v>
      </c>
      <c r="I250" s="110">
        <v>45231</v>
      </c>
    </row>
    <row r="251" spans="1:9" hidden="1">
      <c r="A251" s="15"/>
      <c r="B251" s="61"/>
      <c r="C251" s="6"/>
      <c r="D251" s="1"/>
      <c r="E251" s="41">
        <f>SUM(E241:E250)</f>
        <v>89.479000000000013</v>
      </c>
      <c r="F251" s="102"/>
      <c r="G251" s="1"/>
      <c r="H251" s="1"/>
      <c r="I251" s="110"/>
    </row>
    <row r="252" spans="1:9" hidden="1">
      <c r="A252" s="66" t="s">
        <v>3434</v>
      </c>
      <c r="B252" s="103">
        <v>45255</v>
      </c>
      <c r="C252" s="13" t="s">
        <v>3411</v>
      </c>
      <c r="D252" s="113" t="s">
        <v>78</v>
      </c>
      <c r="E252" s="104">
        <f>7.534+6.523+17.379</f>
        <v>31.436</v>
      </c>
      <c r="F252" s="102" t="s">
        <v>86</v>
      </c>
      <c r="G252" s="4" t="s">
        <v>3435</v>
      </c>
      <c r="H252" s="4" t="s">
        <v>3130</v>
      </c>
      <c r="I252" s="110">
        <v>45231</v>
      </c>
    </row>
    <row r="253" spans="1:9" hidden="1">
      <c r="A253" s="66" t="s">
        <v>3434</v>
      </c>
      <c r="B253" s="103">
        <v>45255</v>
      </c>
      <c r="C253" s="13" t="s">
        <v>3190</v>
      </c>
      <c r="D253" s="113" t="s">
        <v>78</v>
      </c>
      <c r="E253" s="104">
        <v>0.50900000000000001</v>
      </c>
      <c r="F253" s="102" t="s">
        <v>86</v>
      </c>
      <c r="G253" s="4" t="s">
        <v>3435</v>
      </c>
      <c r="H253" s="4" t="s">
        <v>3130</v>
      </c>
      <c r="I253" s="110">
        <v>45231</v>
      </c>
    </row>
    <row r="254" spans="1:9" hidden="1">
      <c r="A254" s="66" t="s">
        <v>3434</v>
      </c>
      <c r="B254" s="103">
        <v>45255</v>
      </c>
      <c r="C254" s="13" t="s">
        <v>3433</v>
      </c>
      <c r="D254" s="113" t="s">
        <v>78</v>
      </c>
      <c r="E254" s="104">
        <v>0.51600000000000001</v>
      </c>
      <c r="F254" s="102" t="s">
        <v>86</v>
      </c>
      <c r="G254" s="4" t="s">
        <v>3435</v>
      </c>
      <c r="H254" s="4" t="s">
        <v>3130</v>
      </c>
      <c r="I254" s="110">
        <v>45231</v>
      </c>
    </row>
    <row r="255" spans="1:9" hidden="1">
      <c r="A255" s="66" t="s">
        <v>3436</v>
      </c>
      <c r="B255" s="103">
        <v>45255</v>
      </c>
      <c r="C255" s="13" t="s">
        <v>3411</v>
      </c>
      <c r="D255" s="113" t="s">
        <v>78</v>
      </c>
      <c r="E255" s="104">
        <f>17.982+14.618</f>
        <v>32.6</v>
      </c>
      <c r="F255" s="102" t="s">
        <v>851</v>
      </c>
      <c r="G255" s="4" t="s">
        <v>3437</v>
      </c>
      <c r="H255" s="4" t="s">
        <v>3130</v>
      </c>
      <c r="I255" s="110">
        <v>45231</v>
      </c>
    </row>
    <row r="256" spans="1:9" hidden="1">
      <c r="A256" s="117"/>
      <c r="B256" s="61"/>
      <c r="C256" s="13"/>
      <c r="D256" s="4"/>
      <c r="E256" s="41">
        <f>SUM(E252:E255)</f>
        <v>65.061000000000007</v>
      </c>
      <c r="F256" s="102"/>
      <c r="G256" s="4"/>
      <c r="H256" s="4"/>
      <c r="I256" s="110"/>
    </row>
    <row r="257" spans="1:9" hidden="1">
      <c r="A257" s="66" t="s">
        <v>3447</v>
      </c>
      <c r="B257" s="103">
        <v>45256</v>
      </c>
      <c r="C257" s="13" t="s">
        <v>3411</v>
      </c>
      <c r="D257" s="113" t="s">
        <v>78</v>
      </c>
      <c r="E257" s="104">
        <v>31.824000000000002</v>
      </c>
      <c r="F257" s="102" t="s">
        <v>851</v>
      </c>
      <c r="G257" s="1" t="s">
        <v>3448</v>
      </c>
      <c r="H257" s="4" t="s">
        <v>3130</v>
      </c>
      <c r="I257" s="110">
        <v>45231</v>
      </c>
    </row>
    <row r="258" spans="1:9" hidden="1">
      <c r="A258" s="66" t="s">
        <v>3449</v>
      </c>
      <c r="B258" s="103">
        <v>45256</v>
      </c>
      <c r="C258" s="13" t="s">
        <v>3411</v>
      </c>
      <c r="D258" s="113" t="s">
        <v>78</v>
      </c>
      <c r="E258" s="104">
        <v>32.212000000000003</v>
      </c>
      <c r="F258" s="102" t="s">
        <v>97</v>
      </c>
      <c r="G258" s="1" t="s">
        <v>3450</v>
      </c>
      <c r="H258" s="4" t="s">
        <v>3130</v>
      </c>
      <c r="I258" s="110">
        <v>45231</v>
      </c>
    </row>
    <row r="259" spans="1:9" hidden="1">
      <c r="A259" s="66" t="s">
        <v>3451</v>
      </c>
      <c r="B259" s="103">
        <v>45256</v>
      </c>
      <c r="C259" s="13" t="s">
        <v>3149</v>
      </c>
      <c r="D259" s="113" t="s">
        <v>78</v>
      </c>
      <c r="E259" s="104">
        <f>8.617+24.178</f>
        <v>32.795000000000002</v>
      </c>
      <c r="F259" s="24" t="s">
        <v>116</v>
      </c>
      <c r="G259" s="1" t="s">
        <v>3450</v>
      </c>
      <c r="H259" s="4" t="s">
        <v>3130</v>
      </c>
      <c r="I259" s="110">
        <v>45231</v>
      </c>
    </row>
    <row r="260" spans="1:9" hidden="1">
      <c r="A260" s="66" t="s">
        <v>3452</v>
      </c>
      <c r="B260" s="103">
        <v>45256</v>
      </c>
      <c r="C260" s="13" t="s">
        <v>2488</v>
      </c>
      <c r="D260" s="113" t="s">
        <v>78</v>
      </c>
      <c r="E260" s="104">
        <f>4.912+27.572</f>
        <v>32.484000000000002</v>
      </c>
      <c r="F260" s="102" t="s">
        <v>83</v>
      </c>
      <c r="G260" s="1" t="s">
        <v>3453</v>
      </c>
      <c r="H260" s="1" t="s">
        <v>3336</v>
      </c>
      <c r="I260" s="110">
        <v>45231</v>
      </c>
    </row>
    <row r="261" spans="1:9" hidden="1">
      <c r="A261" s="117"/>
      <c r="B261" s="61"/>
      <c r="C261" s="6"/>
      <c r="D261" s="1"/>
      <c r="E261" s="41">
        <f>SUM(E257:E260)</f>
        <v>129.315</v>
      </c>
      <c r="F261" s="102"/>
      <c r="G261" s="1"/>
      <c r="H261" s="1"/>
      <c r="I261" s="110"/>
    </row>
    <row r="262" spans="1:9" hidden="1">
      <c r="A262" s="66" t="s">
        <v>3454</v>
      </c>
      <c r="B262" s="103">
        <v>45257</v>
      </c>
      <c r="C262" s="13" t="s">
        <v>3115</v>
      </c>
      <c r="D262" s="113" t="s">
        <v>78</v>
      </c>
      <c r="E262" s="104">
        <v>32.555</v>
      </c>
      <c r="F262" s="102" t="s">
        <v>97</v>
      </c>
      <c r="G262" s="1" t="s">
        <v>3455</v>
      </c>
      <c r="H262" s="1" t="s">
        <v>3336</v>
      </c>
      <c r="I262" s="110">
        <v>45231</v>
      </c>
    </row>
    <row r="263" spans="1:9" hidden="1">
      <c r="A263" s="66" t="s">
        <v>3461</v>
      </c>
      <c r="B263" s="103">
        <v>45257</v>
      </c>
      <c r="C263" s="13" t="s">
        <v>2486</v>
      </c>
      <c r="D263" s="113" t="s">
        <v>78</v>
      </c>
      <c r="E263" s="104">
        <f>6.96+14.138</f>
        <v>21.097999999999999</v>
      </c>
      <c r="F263" s="102" t="s">
        <v>83</v>
      </c>
      <c r="G263" s="1" t="s">
        <v>3460</v>
      </c>
      <c r="H263" s="1" t="s">
        <v>3256</v>
      </c>
      <c r="I263" s="110">
        <v>45227</v>
      </c>
    </row>
    <row r="264" spans="1:9" hidden="1">
      <c r="A264" s="66" t="s">
        <v>3461</v>
      </c>
      <c r="B264" s="103">
        <v>45257</v>
      </c>
      <c r="C264" s="13" t="s">
        <v>3411</v>
      </c>
      <c r="D264" s="113" t="s">
        <v>78</v>
      </c>
      <c r="E264" s="104">
        <v>8.7710000000000008</v>
      </c>
      <c r="F264" s="102" t="s">
        <v>83</v>
      </c>
      <c r="G264" s="1" t="s">
        <v>3460</v>
      </c>
      <c r="H264" s="1" t="s">
        <v>3256</v>
      </c>
      <c r="I264" s="110">
        <v>45227</v>
      </c>
    </row>
    <row r="265" spans="1:9" hidden="1">
      <c r="A265" s="66" t="s">
        <v>3461</v>
      </c>
      <c r="B265" s="103">
        <v>45257</v>
      </c>
      <c r="C265" s="13" t="s">
        <v>3410</v>
      </c>
      <c r="D265" s="113" t="s">
        <v>78</v>
      </c>
      <c r="E265" s="104">
        <v>2.5150000000000001</v>
      </c>
      <c r="F265" s="102" t="s">
        <v>83</v>
      </c>
      <c r="G265" s="1" t="s">
        <v>3460</v>
      </c>
      <c r="H265" s="1" t="s">
        <v>3256</v>
      </c>
      <c r="I265" s="110">
        <v>45227</v>
      </c>
    </row>
    <row r="266" spans="1:9" hidden="1">
      <c r="A266" s="66" t="s">
        <v>3462</v>
      </c>
      <c r="B266" s="103">
        <v>45257</v>
      </c>
      <c r="C266" s="13" t="s">
        <v>2747</v>
      </c>
      <c r="D266" s="113" t="s">
        <v>78</v>
      </c>
      <c r="E266" s="104">
        <v>0.29799999999999999</v>
      </c>
      <c r="F266" s="102" t="s">
        <v>83</v>
      </c>
      <c r="G266" s="1" t="s">
        <v>3463</v>
      </c>
      <c r="H266" s="1" t="s">
        <v>3118</v>
      </c>
      <c r="I266" s="110">
        <v>45225</v>
      </c>
    </row>
    <row r="267" spans="1:9" hidden="1">
      <c r="A267" s="66" t="s">
        <v>3462</v>
      </c>
      <c r="B267" s="103">
        <v>45257</v>
      </c>
      <c r="C267" s="13" t="s">
        <v>3219</v>
      </c>
      <c r="D267" s="113" t="s">
        <v>78</v>
      </c>
      <c r="E267" s="104">
        <v>0.31900000000000001</v>
      </c>
      <c r="F267" s="102" t="s">
        <v>83</v>
      </c>
      <c r="G267" s="1" t="s">
        <v>3463</v>
      </c>
      <c r="H267" s="1" t="s">
        <v>3118</v>
      </c>
      <c r="I267" s="110">
        <v>45225</v>
      </c>
    </row>
    <row r="268" spans="1:9" hidden="1">
      <c r="A268" s="66" t="s">
        <v>3464</v>
      </c>
      <c r="B268" s="103">
        <v>45257</v>
      </c>
      <c r="C268" s="13" t="s">
        <v>3149</v>
      </c>
      <c r="D268" s="113" t="s">
        <v>78</v>
      </c>
      <c r="E268" s="104">
        <v>32.468000000000004</v>
      </c>
      <c r="F268" s="24" t="s">
        <v>86</v>
      </c>
      <c r="G268" s="1" t="s">
        <v>3465</v>
      </c>
      <c r="H268" s="4" t="s">
        <v>3130</v>
      </c>
      <c r="I268" s="110">
        <v>45231</v>
      </c>
    </row>
    <row r="269" spans="1:9" hidden="1">
      <c r="A269" s="66" t="s">
        <v>3471</v>
      </c>
      <c r="B269" s="103">
        <v>45257</v>
      </c>
      <c r="C269" s="13" t="s">
        <v>2486</v>
      </c>
      <c r="D269" s="113" t="s">
        <v>78</v>
      </c>
      <c r="E269" s="104">
        <v>31.292000000000002</v>
      </c>
      <c r="F269" s="24" t="s">
        <v>116</v>
      </c>
      <c r="G269" s="1" t="s">
        <v>3470</v>
      </c>
      <c r="H269" s="1" t="s">
        <v>3256</v>
      </c>
      <c r="I269" s="110">
        <v>45227</v>
      </c>
    </row>
    <row r="270" spans="1:9" hidden="1">
      <c r="A270" s="66"/>
      <c r="B270" s="103"/>
      <c r="C270" s="11"/>
      <c r="D270" s="113"/>
      <c r="E270" s="58">
        <f>SUM(E262:E269)</f>
        <v>129.316</v>
      </c>
      <c r="F270" s="24"/>
      <c r="G270" s="1"/>
      <c r="H270" s="4"/>
      <c r="I270" s="110"/>
    </row>
    <row r="271" spans="1:9">
      <c r="A271" s="66" t="s">
        <v>3472</v>
      </c>
      <c r="B271" s="103">
        <v>45258</v>
      </c>
      <c r="C271" s="13" t="s">
        <v>2739</v>
      </c>
      <c r="D271" s="13" t="s">
        <v>11</v>
      </c>
      <c r="E271" s="104">
        <f>3.16+5.39+5.084</f>
        <v>13.634</v>
      </c>
      <c r="F271" s="24" t="s">
        <v>2372</v>
      </c>
      <c r="G271" s="1" t="s">
        <v>3473</v>
      </c>
      <c r="H271" s="1" t="s">
        <v>2745</v>
      </c>
      <c r="I271" s="110">
        <v>45176</v>
      </c>
    </row>
    <row r="272" spans="1:9">
      <c r="A272" s="66" t="s">
        <v>3472</v>
      </c>
      <c r="B272" s="103">
        <v>45258</v>
      </c>
      <c r="C272" s="13" t="s">
        <v>2741</v>
      </c>
      <c r="D272" s="13" t="s">
        <v>11</v>
      </c>
      <c r="E272" s="104">
        <f>9.421+1.454</f>
        <v>10.875</v>
      </c>
      <c r="F272" s="24" t="s">
        <v>2372</v>
      </c>
      <c r="G272" s="1" t="s">
        <v>3473</v>
      </c>
      <c r="H272" s="1" t="s">
        <v>2745</v>
      </c>
      <c r="I272" s="110">
        <v>45176</v>
      </c>
    </row>
    <row r="273" spans="1:9">
      <c r="A273" s="66" t="s">
        <v>3474</v>
      </c>
      <c r="B273" s="103">
        <v>45258</v>
      </c>
      <c r="C273" s="13" t="s">
        <v>2740</v>
      </c>
      <c r="D273" s="13" t="s">
        <v>11</v>
      </c>
      <c r="E273" s="104">
        <f>13.873+0.497</f>
        <v>14.37</v>
      </c>
      <c r="F273" s="24" t="s">
        <v>3475</v>
      </c>
      <c r="G273" s="1" t="s">
        <v>3476</v>
      </c>
      <c r="H273" s="1" t="s">
        <v>2745</v>
      </c>
      <c r="I273" s="110">
        <v>45176</v>
      </c>
    </row>
    <row r="274" spans="1:9">
      <c r="A274" s="66" t="s">
        <v>3474</v>
      </c>
      <c r="B274" s="103">
        <v>45258</v>
      </c>
      <c r="C274" s="13" t="s">
        <v>2488</v>
      </c>
      <c r="D274" s="13" t="s">
        <v>11</v>
      </c>
      <c r="E274" s="104">
        <v>1.044</v>
      </c>
      <c r="F274" s="24" t="s">
        <v>3475</v>
      </c>
      <c r="G274" s="1" t="s">
        <v>3476</v>
      </c>
      <c r="H274" s="1" t="s">
        <v>2745</v>
      </c>
      <c r="I274" s="110">
        <v>45176</v>
      </c>
    </row>
    <row r="275" spans="1:9">
      <c r="A275" s="66" t="s">
        <v>3474</v>
      </c>
      <c r="B275" s="103">
        <v>45258</v>
      </c>
      <c r="C275" s="13" t="s">
        <v>2489</v>
      </c>
      <c r="D275" s="13" t="s">
        <v>11</v>
      </c>
      <c r="E275" s="104">
        <v>1.696</v>
      </c>
      <c r="F275" s="24" t="s">
        <v>3475</v>
      </c>
      <c r="G275" s="1" t="s">
        <v>3476</v>
      </c>
      <c r="H275" s="1" t="s">
        <v>2745</v>
      </c>
      <c r="I275" s="110">
        <v>45176</v>
      </c>
    </row>
    <row r="276" spans="1:9">
      <c r="A276" s="66" t="s">
        <v>3474</v>
      </c>
      <c r="B276" s="103">
        <v>45258</v>
      </c>
      <c r="C276" s="13" t="s">
        <v>3325</v>
      </c>
      <c r="D276" s="13" t="s">
        <v>11</v>
      </c>
      <c r="E276" s="104">
        <v>5.0170000000000003</v>
      </c>
      <c r="F276" s="24" t="s">
        <v>3475</v>
      </c>
      <c r="G276" s="1" t="s">
        <v>3476</v>
      </c>
      <c r="H276" s="1" t="s">
        <v>2745</v>
      </c>
      <c r="I276" s="110">
        <v>45176</v>
      </c>
    </row>
    <row r="277" spans="1:9">
      <c r="A277" s="66" t="s">
        <v>3474</v>
      </c>
      <c r="B277" s="103">
        <v>45258</v>
      </c>
      <c r="C277" s="13" t="s">
        <v>2739</v>
      </c>
      <c r="D277" s="13" t="s">
        <v>11</v>
      </c>
      <c r="E277" s="104">
        <v>3.0030000000000001</v>
      </c>
      <c r="F277" s="24" t="s">
        <v>3475</v>
      </c>
      <c r="G277" s="1" t="s">
        <v>3476</v>
      </c>
      <c r="H277" s="1" t="s">
        <v>2745</v>
      </c>
      <c r="I277" s="110">
        <v>45176</v>
      </c>
    </row>
    <row r="278" spans="1:9" hidden="1">
      <c r="A278" s="66" t="s">
        <v>3477</v>
      </c>
      <c r="B278" s="103">
        <v>45258</v>
      </c>
      <c r="C278" s="13" t="s">
        <v>2486</v>
      </c>
      <c r="D278" s="113" t="s">
        <v>78</v>
      </c>
      <c r="E278" s="104">
        <v>32.020000000000003</v>
      </c>
      <c r="F278" s="24" t="s">
        <v>97</v>
      </c>
      <c r="G278" s="1" t="s">
        <v>3478</v>
      </c>
      <c r="H278" s="1" t="s">
        <v>3256</v>
      </c>
      <c r="I278" s="110">
        <v>45227</v>
      </c>
    </row>
    <row r="279" spans="1:9" hidden="1">
      <c r="A279" s="66" t="s">
        <v>3479</v>
      </c>
      <c r="B279" s="103">
        <v>45258</v>
      </c>
      <c r="C279" s="13" t="s">
        <v>3020</v>
      </c>
      <c r="D279" s="113" t="s">
        <v>78</v>
      </c>
      <c r="E279" s="104">
        <f>12.07+6.426</f>
        <v>18.496000000000002</v>
      </c>
      <c r="F279" s="24" t="s">
        <v>83</v>
      </c>
      <c r="G279" s="1" t="s">
        <v>3480</v>
      </c>
      <c r="H279" s="1" t="s">
        <v>3256</v>
      </c>
      <c r="I279" s="110">
        <v>45227</v>
      </c>
    </row>
    <row r="280" spans="1:9" hidden="1">
      <c r="A280" s="66" t="s">
        <v>3479</v>
      </c>
      <c r="B280" s="103">
        <v>45258</v>
      </c>
      <c r="C280" s="13" t="s">
        <v>3008</v>
      </c>
      <c r="D280" s="113" t="s">
        <v>78</v>
      </c>
      <c r="E280" s="104">
        <v>5.6589999999999998</v>
      </c>
      <c r="F280" s="24" t="s">
        <v>83</v>
      </c>
      <c r="G280" s="1" t="s">
        <v>3480</v>
      </c>
      <c r="H280" s="1" t="s">
        <v>3256</v>
      </c>
      <c r="I280" s="110">
        <v>45227</v>
      </c>
    </row>
    <row r="281" spans="1:9" hidden="1">
      <c r="A281" s="66" t="s">
        <v>3479</v>
      </c>
      <c r="B281" s="103">
        <v>45258</v>
      </c>
      <c r="C281" s="13" t="s">
        <v>2486</v>
      </c>
      <c r="D281" s="113" t="s">
        <v>78</v>
      </c>
      <c r="E281" s="104">
        <v>8.532</v>
      </c>
      <c r="F281" s="24" t="s">
        <v>83</v>
      </c>
      <c r="G281" s="1" t="s">
        <v>3480</v>
      </c>
      <c r="H281" s="1" t="s">
        <v>3256</v>
      </c>
      <c r="I281" s="110">
        <v>45227</v>
      </c>
    </row>
    <row r="282" spans="1:9" hidden="1">
      <c r="A282" s="66"/>
      <c r="B282" s="103"/>
      <c r="C282" s="11"/>
      <c r="D282" s="113"/>
      <c r="E282" s="58">
        <f>SUM(E271:E281)</f>
        <v>114.346</v>
      </c>
      <c r="F282" s="24"/>
      <c r="G282" s="1"/>
      <c r="H282" s="4"/>
      <c r="I282" s="110"/>
    </row>
    <row r="283" spans="1:9" hidden="1">
      <c r="A283" s="66" t="s">
        <v>3481</v>
      </c>
      <c r="B283" s="103">
        <v>45259</v>
      </c>
      <c r="C283" s="13" t="s">
        <v>2957</v>
      </c>
      <c r="D283" s="113" t="s">
        <v>78</v>
      </c>
      <c r="E283" s="142">
        <v>32.286000000000001</v>
      </c>
      <c r="F283" s="24" t="s">
        <v>116</v>
      </c>
      <c r="G283" s="1" t="s">
        <v>3482</v>
      </c>
      <c r="H283" s="4" t="s">
        <v>3130</v>
      </c>
      <c r="I283" s="110">
        <v>45231</v>
      </c>
    </row>
    <row r="284" spans="1:9" hidden="1">
      <c r="A284" s="66" t="s">
        <v>3485</v>
      </c>
      <c r="B284" s="103">
        <v>45259</v>
      </c>
      <c r="C284" s="13" t="s">
        <v>2957</v>
      </c>
      <c r="D284" s="113" t="s">
        <v>78</v>
      </c>
      <c r="E284" s="142">
        <v>22.741</v>
      </c>
      <c r="F284" s="24" t="s">
        <v>97</v>
      </c>
      <c r="G284" s="1" t="s">
        <v>3486</v>
      </c>
      <c r="H284" s="4" t="s">
        <v>3130</v>
      </c>
      <c r="I284" s="110">
        <v>45231</v>
      </c>
    </row>
    <row r="285" spans="1:9" hidden="1">
      <c r="A285" s="66" t="s">
        <v>3485</v>
      </c>
      <c r="B285" s="103">
        <v>45259</v>
      </c>
      <c r="C285" s="13" t="s">
        <v>3149</v>
      </c>
      <c r="D285" s="113" t="s">
        <v>78</v>
      </c>
      <c r="E285" s="142">
        <v>8.8209999999999997</v>
      </c>
      <c r="F285" s="24" t="s">
        <v>97</v>
      </c>
      <c r="G285" s="1" t="s">
        <v>3486</v>
      </c>
      <c r="H285" s="4" t="s">
        <v>3130</v>
      </c>
      <c r="I285" s="110">
        <v>45231</v>
      </c>
    </row>
    <row r="286" spans="1:9" hidden="1">
      <c r="A286" s="66"/>
      <c r="B286" s="103"/>
      <c r="C286" s="11"/>
      <c r="D286" s="113"/>
      <c r="E286" s="58">
        <f>SUM(E283:E285)</f>
        <v>63.847999999999999</v>
      </c>
      <c r="F286" s="24"/>
      <c r="G286" s="1"/>
      <c r="H286" s="4"/>
      <c r="I286" s="110"/>
    </row>
    <row r="287" spans="1:9">
      <c r="A287" s="140"/>
      <c r="B287" s="127"/>
      <c r="C287" s="141"/>
      <c r="D287" s="128"/>
      <c r="E287" s="130"/>
      <c r="F287" s="135"/>
      <c r="G287" s="93"/>
      <c r="H287" s="126"/>
      <c r="I287" s="136"/>
    </row>
    <row r="288" spans="1:9">
      <c r="A288" s="140"/>
      <c r="B288" s="127"/>
      <c r="C288" s="141"/>
      <c r="D288" s="128"/>
      <c r="E288" s="130"/>
      <c r="F288" s="135"/>
      <c r="G288" s="93"/>
      <c r="H288" s="126"/>
      <c r="I288" s="136"/>
    </row>
    <row r="289" spans="1:12">
      <c r="A289" s="140"/>
      <c r="B289" s="127"/>
      <c r="C289" s="141"/>
      <c r="D289" s="128"/>
      <c r="E289" s="130"/>
      <c r="F289" s="135"/>
      <c r="G289" s="93"/>
      <c r="H289" s="126"/>
      <c r="I289" s="136"/>
    </row>
    <row r="290" spans="1:12">
      <c r="A290" s="140"/>
      <c r="B290" s="127"/>
      <c r="C290" s="141"/>
      <c r="D290" s="128"/>
      <c r="E290" s="130"/>
      <c r="F290" s="135"/>
      <c r="G290" s="93"/>
      <c r="H290" s="126"/>
      <c r="I290" s="136"/>
    </row>
    <row r="291" spans="1:12">
      <c r="A291" s="140"/>
      <c r="B291" s="127"/>
      <c r="C291" s="141"/>
      <c r="D291" s="128"/>
      <c r="E291" s="130"/>
      <c r="F291" s="135"/>
      <c r="G291" s="93"/>
      <c r="H291" s="126"/>
      <c r="I291" s="136"/>
    </row>
    <row r="292" spans="1:12">
      <c r="A292" s="140"/>
      <c r="B292" s="127"/>
      <c r="C292" s="141"/>
      <c r="D292" s="128"/>
      <c r="E292" s="130"/>
      <c r="F292" s="135"/>
      <c r="G292" s="93"/>
      <c r="H292" s="126"/>
      <c r="I292" s="136"/>
    </row>
    <row r="293" spans="1:12">
      <c r="A293" s="140"/>
      <c r="B293" s="127"/>
      <c r="C293" s="141"/>
      <c r="D293" s="128"/>
      <c r="E293" s="130"/>
      <c r="F293" s="135"/>
      <c r="G293" s="93"/>
      <c r="H293" s="126"/>
      <c r="I293" s="136"/>
    </row>
    <row r="294" spans="1:12">
      <c r="A294" s="117"/>
      <c r="B294" s="118"/>
      <c r="C294" s="119"/>
      <c r="D294" s="93"/>
      <c r="E294" s="124"/>
      <c r="F294" s="121"/>
      <c r="G294" s="93"/>
      <c r="H294" s="93"/>
      <c r="I294" s="136"/>
    </row>
    <row r="295" spans="1:12">
      <c r="A295" s="117"/>
      <c r="B295" s="118"/>
      <c r="C295" s="119"/>
      <c r="D295" s="93"/>
      <c r="E295" s="120"/>
      <c r="F295" s="121"/>
      <c r="G295" s="93"/>
      <c r="H295" s="93"/>
      <c r="I295" s="122"/>
      <c r="J295" t="s">
        <v>2275</v>
      </c>
      <c r="K295" t="s">
        <v>2864</v>
      </c>
      <c r="L295" t="s">
        <v>2779</v>
      </c>
    </row>
    <row r="296" spans="1:12">
      <c r="A296" s="1"/>
      <c r="B296" s="16"/>
      <c r="C296" s="1"/>
      <c r="D296" s="2" t="s">
        <v>3041</v>
      </c>
      <c r="E296" s="20">
        <f>SUM(E20:E295)/2</f>
        <v>2404.9350000000004</v>
      </c>
      <c r="F296" s="102"/>
      <c r="G296" s="1"/>
      <c r="H296" s="1"/>
      <c r="I296" s="109"/>
      <c r="J296">
        <f>+'KEC JBP DISPATCHED NOV '!E258</f>
        <v>769.73999999999955</v>
      </c>
      <c r="K296" s="97"/>
      <c r="L296" s="97">
        <f>+'KEC JAIPUR TRADING NOV'!E20</f>
        <v>38.098999999999997</v>
      </c>
    </row>
    <row r="297" spans="1:12">
      <c r="A297" s="1"/>
      <c r="B297" s="16"/>
      <c r="C297" s="1"/>
      <c r="D297" s="1"/>
      <c r="E297" s="54"/>
      <c r="F297" s="24"/>
      <c r="G297" s="1"/>
      <c r="H297" s="1"/>
      <c r="I297" s="109"/>
    </row>
    <row r="298" spans="1:12">
      <c r="A298" s="1"/>
      <c r="B298" s="3"/>
      <c r="C298" s="1"/>
      <c r="D298" s="2" t="s">
        <v>3040</v>
      </c>
      <c r="E298" s="20">
        <v>224.708</v>
      </c>
      <c r="F298" s="24"/>
      <c r="G298" s="1"/>
      <c r="H298" s="1"/>
      <c r="I298" s="109"/>
      <c r="K298" s="97">
        <f>+J296+K296+L296+E296</f>
        <v>3212.7739999999999</v>
      </c>
    </row>
    <row r="299" spans="1:12">
      <c r="A299" s="1"/>
      <c r="B299" s="3"/>
      <c r="C299" s="1"/>
      <c r="D299" s="1"/>
      <c r="E299" s="55"/>
      <c r="F299" s="24"/>
      <c r="G299" s="1"/>
      <c r="H299" s="1"/>
      <c r="I299" s="109"/>
    </row>
    <row r="300" spans="1:12">
      <c r="A300" s="1"/>
      <c r="B300" s="3"/>
      <c r="C300" s="1"/>
      <c r="D300" s="2"/>
      <c r="E300" s="20">
        <f>+E298+E296</f>
        <v>2629.6430000000005</v>
      </c>
      <c r="F300" s="24"/>
      <c r="G300" s="1"/>
      <c r="H300" s="1"/>
      <c r="I300" s="109"/>
      <c r="K300" s="23">
        <f>+K299+K298</f>
        <v>3212.7739999999999</v>
      </c>
    </row>
    <row r="301" spans="1:12">
      <c r="A301" s="1"/>
      <c r="B301" s="3"/>
      <c r="C301" s="1"/>
      <c r="D301" s="2"/>
      <c r="E301" s="54"/>
      <c r="F301" s="24"/>
      <c r="G301" s="1"/>
      <c r="H301" s="1"/>
      <c r="I301" s="109"/>
    </row>
    <row r="302" spans="1:12">
      <c r="A302" s="1"/>
      <c r="B302" s="3"/>
      <c r="C302" s="1"/>
      <c r="D302" s="1"/>
      <c r="E302" s="2"/>
      <c r="F302" s="24"/>
      <c r="G302" s="1"/>
      <c r="H302" s="1"/>
      <c r="I302" s="109"/>
    </row>
    <row r="303" spans="1:12">
      <c r="A303" s="1"/>
      <c r="B303" s="3"/>
      <c r="C303" s="1"/>
      <c r="D303" s="1"/>
      <c r="E303" s="2"/>
      <c r="F303" s="24"/>
      <c r="G303" s="1"/>
      <c r="H303" s="1"/>
      <c r="I303" s="109"/>
    </row>
    <row r="304" spans="1:12">
      <c r="A304" s="1"/>
      <c r="B304" s="3"/>
      <c r="C304" s="1"/>
      <c r="D304" s="1"/>
      <c r="E304" s="2"/>
      <c r="F304" s="24"/>
      <c r="G304" s="1"/>
      <c r="H304" s="1"/>
      <c r="I304" s="109"/>
    </row>
    <row r="305" spans="1:9">
      <c r="A305" s="1"/>
      <c r="B305" s="3"/>
      <c r="C305" s="1"/>
      <c r="D305" s="1"/>
      <c r="E305" s="2"/>
      <c r="F305" s="24"/>
      <c r="G305" s="1"/>
      <c r="H305" s="1"/>
      <c r="I305" s="109"/>
    </row>
    <row r="306" spans="1:9">
      <c r="A306" s="1"/>
      <c r="B306" s="3"/>
      <c r="C306" s="1"/>
      <c r="D306" s="1"/>
      <c r="E306" s="2"/>
      <c r="F306" s="24"/>
      <c r="G306" s="1"/>
      <c r="H306" s="1"/>
      <c r="I306" s="109"/>
    </row>
    <row r="307" spans="1:9">
      <c r="A307" s="1"/>
      <c r="B307" s="1"/>
      <c r="C307" s="1"/>
      <c r="D307" s="1"/>
      <c r="E307" s="2"/>
      <c r="F307" s="24"/>
      <c r="G307" s="1"/>
      <c r="H307" s="1"/>
      <c r="I307" s="4"/>
    </row>
  </sheetData>
  <autoFilter ref="A1:L286">
    <filterColumn colId="7">
      <filters>
        <filter val="LOI-795"/>
      </filters>
    </filterColumn>
  </autoFilter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272"/>
  <sheetViews>
    <sheetView topLeftCell="A254" workbookViewId="0">
      <selection activeCell="F265" sqref="F265"/>
    </sheetView>
  </sheetViews>
  <sheetFormatPr defaultRowHeight="15"/>
  <cols>
    <col min="1" max="1" width="18.28515625" customWidth="1"/>
    <col min="2" max="2" width="10.28515625" bestFit="1" customWidth="1"/>
    <col min="3" max="3" width="25.85546875" customWidth="1"/>
    <col min="4" max="4" width="37.7109375" bestFit="1" customWidth="1"/>
    <col min="5" max="5" width="12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66" t="s">
        <v>2780</v>
      </c>
      <c r="B2" s="103">
        <v>45219</v>
      </c>
      <c r="C2" s="13" t="s">
        <v>1756</v>
      </c>
      <c r="D2" s="13" t="s">
        <v>716</v>
      </c>
      <c r="E2" s="104">
        <v>4.992</v>
      </c>
      <c r="F2" s="24" t="s">
        <v>1127</v>
      </c>
      <c r="G2" s="1" t="s">
        <v>2781</v>
      </c>
      <c r="H2" s="1" t="s">
        <v>2386</v>
      </c>
      <c r="I2" s="110">
        <v>45167</v>
      </c>
    </row>
    <row r="3" spans="1:9">
      <c r="A3" s="66" t="s">
        <v>2780</v>
      </c>
      <c r="B3" s="103">
        <v>45219</v>
      </c>
      <c r="C3" s="13" t="s">
        <v>1256</v>
      </c>
      <c r="D3" s="13" t="s">
        <v>716</v>
      </c>
      <c r="E3" s="104">
        <f>11.446+7.508</f>
        <v>18.954000000000001</v>
      </c>
      <c r="F3" s="24" t="s">
        <v>1127</v>
      </c>
      <c r="G3" s="1" t="s">
        <v>2781</v>
      </c>
      <c r="H3" s="1" t="s">
        <v>2386</v>
      </c>
      <c r="I3" s="110">
        <v>45167</v>
      </c>
    </row>
    <row r="4" spans="1:9">
      <c r="A4" s="66" t="s">
        <v>2780</v>
      </c>
      <c r="B4" s="103">
        <v>45219</v>
      </c>
      <c r="C4" s="13" t="s">
        <v>1226</v>
      </c>
      <c r="D4" s="13" t="s">
        <v>716</v>
      </c>
      <c r="E4" s="104">
        <v>2.5459999999999998</v>
      </c>
      <c r="F4" s="24" t="s">
        <v>1127</v>
      </c>
      <c r="G4" s="1" t="s">
        <v>2781</v>
      </c>
      <c r="H4" s="1" t="s">
        <v>2386</v>
      </c>
      <c r="I4" s="110">
        <v>45167</v>
      </c>
    </row>
    <row r="5" spans="1:9">
      <c r="A5" s="66" t="s">
        <v>2782</v>
      </c>
      <c r="B5" s="103">
        <v>45219</v>
      </c>
      <c r="C5" s="13" t="s">
        <v>1226</v>
      </c>
      <c r="D5" s="13" t="s">
        <v>716</v>
      </c>
      <c r="E5" s="104">
        <v>1.7150000000000001</v>
      </c>
      <c r="F5" s="24" t="s">
        <v>1127</v>
      </c>
      <c r="G5" s="1" t="s">
        <v>2783</v>
      </c>
      <c r="H5" s="1" t="s">
        <v>2784</v>
      </c>
      <c r="I5" s="110">
        <v>45188</v>
      </c>
    </row>
    <row r="6" spans="1:9">
      <c r="A6" s="66" t="s">
        <v>2782</v>
      </c>
      <c r="B6" s="103">
        <v>45219</v>
      </c>
      <c r="C6" s="13" t="s">
        <v>1256</v>
      </c>
      <c r="D6" s="13" t="s">
        <v>716</v>
      </c>
      <c r="E6" s="104">
        <v>0.29699999999999999</v>
      </c>
      <c r="F6" s="24" t="s">
        <v>1127</v>
      </c>
      <c r="G6" s="1" t="s">
        <v>2783</v>
      </c>
      <c r="H6" s="1" t="s">
        <v>2784</v>
      </c>
      <c r="I6" s="110">
        <v>45188</v>
      </c>
    </row>
    <row r="7" spans="1:9">
      <c r="A7" s="66" t="s">
        <v>2785</v>
      </c>
      <c r="B7" s="103">
        <v>45219</v>
      </c>
      <c r="C7" s="13" t="s">
        <v>1226</v>
      </c>
      <c r="D7" s="13" t="s">
        <v>716</v>
      </c>
      <c r="E7" s="104">
        <v>0.98799999999999999</v>
      </c>
      <c r="F7" s="24" t="s">
        <v>1127</v>
      </c>
      <c r="G7" s="1" t="s">
        <v>2783</v>
      </c>
      <c r="H7" s="1" t="s">
        <v>2663</v>
      </c>
      <c r="I7" s="110">
        <v>45188</v>
      </c>
    </row>
    <row r="8" spans="1:9">
      <c r="A8" s="66" t="s">
        <v>2785</v>
      </c>
      <c r="B8" s="103">
        <v>45219</v>
      </c>
      <c r="C8" s="13" t="s">
        <v>1256</v>
      </c>
      <c r="D8" s="13" t="s">
        <v>716</v>
      </c>
      <c r="E8" s="104">
        <v>3.4209999999999998</v>
      </c>
      <c r="F8" s="24" t="s">
        <v>1127</v>
      </c>
      <c r="G8" s="1" t="s">
        <v>2783</v>
      </c>
      <c r="H8" s="1" t="s">
        <v>2663</v>
      </c>
      <c r="I8" s="110">
        <v>45188</v>
      </c>
    </row>
    <row r="9" spans="1:9">
      <c r="A9" s="66" t="s">
        <v>2786</v>
      </c>
      <c r="B9" s="103">
        <v>45219</v>
      </c>
      <c r="C9" s="13" t="s">
        <v>1823</v>
      </c>
      <c r="D9" s="13" t="s">
        <v>716</v>
      </c>
      <c r="E9" s="104">
        <v>9.7530000000000001</v>
      </c>
      <c r="F9" s="24" t="s">
        <v>2787</v>
      </c>
      <c r="G9" s="1" t="s">
        <v>2788</v>
      </c>
      <c r="H9" s="1" t="s">
        <v>2386</v>
      </c>
      <c r="I9" s="110">
        <v>45167</v>
      </c>
    </row>
    <row r="10" spans="1:9">
      <c r="A10" s="66" t="s">
        <v>2786</v>
      </c>
      <c r="B10" s="103">
        <v>45219</v>
      </c>
      <c r="C10" s="13" t="s">
        <v>1801</v>
      </c>
      <c r="D10" s="13" t="s">
        <v>716</v>
      </c>
      <c r="E10" s="104">
        <v>1.4039999999999999</v>
      </c>
      <c r="F10" s="24" t="s">
        <v>2787</v>
      </c>
      <c r="G10" s="1" t="s">
        <v>2788</v>
      </c>
      <c r="H10" s="1" t="s">
        <v>2386</v>
      </c>
      <c r="I10" s="110">
        <v>45167</v>
      </c>
    </row>
    <row r="11" spans="1:9">
      <c r="A11" s="66" t="s">
        <v>2786</v>
      </c>
      <c r="B11" s="103">
        <v>45219</v>
      </c>
      <c r="C11" s="13" t="s">
        <v>1753</v>
      </c>
      <c r="D11" s="13" t="s">
        <v>716</v>
      </c>
      <c r="E11" s="104">
        <f>2.139+1.941</f>
        <v>4.08</v>
      </c>
      <c r="F11" s="24" t="s">
        <v>2787</v>
      </c>
      <c r="G11" s="1" t="s">
        <v>2788</v>
      </c>
      <c r="H11" s="1" t="s">
        <v>2386</v>
      </c>
      <c r="I11" s="110">
        <v>45167</v>
      </c>
    </row>
    <row r="12" spans="1:9">
      <c r="A12" s="66" t="s">
        <v>2786</v>
      </c>
      <c r="B12" s="103">
        <v>45219</v>
      </c>
      <c r="C12" s="13" t="s">
        <v>1227</v>
      </c>
      <c r="D12" s="13" t="s">
        <v>716</v>
      </c>
      <c r="E12" s="104">
        <f>3.396+0.549</f>
        <v>3.9449999999999998</v>
      </c>
      <c r="F12" s="24" t="s">
        <v>2787</v>
      </c>
      <c r="G12" s="1" t="s">
        <v>2788</v>
      </c>
      <c r="H12" s="1" t="s">
        <v>2386</v>
      </c>
      <c r="I12" s="110">
        <v>45167</v>
      </c>
    </row>
    <row r="13" spans="1:9">
      <c r="A13" s="66" t="s">
        <v>2791</v>
      </c>
      <c r="B13" s="103">
        <v>45219</v>
      </c>
      <c r="C13" s="13" t="s">
        <v>1227</v>
      </c>
      <c r="D13" s="13" t="s">
        <v>716</v>
      </c>
      <c r="E13" s="104">
        <f>6.118-0.549</f>
        <v>5.569</v>
      </c>
      <c r="F13" s="24" t="s">
        <v>2787</v>
      </c>
      <c r="G13" s="1" t="s">
        <v>2790</v>
      </c>
      <c r="H13" s="1" t="s">
        <v>2663</v>
      </c>
      <c r="I13" s="110">
        <v>45188</v>
      </c>
    </row>
    <row r="14" spans="1:9">
      <c r="A14" s="66" t="s">
        <v>2794</v>
      </c>
      <c r="B14" s="103">
        <v>45219</v>
      </c>
      <c r="C14" s="13" t="s">
        <v>1256</v>
      </c>
      <c r="D14" s="13" t="s">
        <v>716</v>
      </c>
      <c r="E14" s="104">
        <v>3.7189999999999999</v>
      </c>
      <c r="F14" s="24" t="s">
        <v>1918</v>
      </c>
      <c r="G14" s="1" t="s">
        <v>2795</v>
      </c>
      <c r="H14" s="1" t="s">
        <v>2663</v>
      </c>
      <c r="I14" s="110">
        <v>45188</v>
      </c>
    </row>
    <row r="15" spans="1:9">
      <c r="A15" s="66" t="s">
        <v>2803</v>
      </c>
      <c r="B15" s="103">
        <v>45219</v>
      </c>
      <c r="C15" s="13" t="s">
        <v>2197</v>
      </c>
      <c r="D15" s="13" t="s">
        <v>716</v>
      </c>
      <c r="E15" s="104">
        <v>1.115</v>
      </c>
      <c r="F15" s="24" t="s">
        <v>2801</v>
      </c>
      <c r="G15" s="1" t="s">
        <v>2804</v>
      </c>
      <c r="H15" s="1" t="s">
        <v>2386</v>
      </c>
      <c r="I15" s="110">
        <v>45167</v>
      </c>
    </row>
    <row r="16" spans="1:9">
      <c r="A16" s="66" t="s">
        <v>2803</v>
      </c>
      <c r="B16" s="103">
        <v>45219</v>
      </c>
      <c r="C16" s="13" t="s">
        <v>1753</v>
      </c>
      <c r="D16" s="13" t="s">
        <v>716</v>
      </c>
      <c r="E16" s="104">
        <v>6.2949999999999999</v>
      </c>
      <c r="F16" s="24" t="s">
        <v>2801</v>
      </c>
      <c r="G16" s="1" t="s">
        <v>2804</v>
      </c>
      <c r="H16" s="1" t="s">
        <v>2386</v>
      </c>
      <c r="I16" s="110">
        <v>45167</v>
      </c>
    </row>
    <row r="17" spans="1:9">
      <c r="A17" s="66" t="s">
        <v>2803</v>
      </c>
      <c r="B17" s="103">
        <v>45219</v>
      </c>
      <c r="C17" s="13" t="s">
        <v>1695</v>
      </c>
      <c r="D17" s="13" t="s">
        <v>716</v>
      </c>
      <c r="E17" s="104">
        <v>0.115</v>
      </c>
      <c r="F17" s="24" t="s">
        <v>2801</v>
      </c>
      <c r="G17" s="1" t="s">
        <v>2804</v>
      </c>
      <c r="H17" s="1" t="s">
        <v>2386</v>
      </c>
      <c r="I17" s="110">
        <v>45167</v>
      </c>
    </row>
    <row r="18" spans="1:9">
      <c r="A18" s="66" t="s">
        <v>2803</v>
      </c>
      <c r="B18" s="103">
        <v>45219</v>
      </c>
      <c r="C18" s="13" t="s">
        <v>1478</v>
      </c>
      <c r="D18" s="13" t="s">
        <v>716</v>
      </c>
      <c r="E18" s="104">
        <v>3.3319999999999999</v>
      </c>
      <c r="F18" s="24" t="s">
        <v>2801</v>
      </c>
      <c r="G18" s="1" t="s">
        <v>2804</v>
      </c>
      <c r="H18" s="1" t="s">
        <v>2386</v>
      </c>
      <c r="I18" s="110">
        <v>45167</v>
      </c>
    </row>
    <row r="19" spans="1:9">
      <c r="A19" s="66" t="s">
        <v>2807</v>
      </c>
      <c r="B19" s="103">
        <v>45219</v>
      </c>
      <c r="C19" s="13" t="s">
        <v>2299</v>
      </c>
      <c r="D19" s="13" t="s">
        <v>716</v>
      </c>
      <c r="E19" s="104">
        <v>32.530999999999999</v>
      </c>
      <c r="F19" s="24" t="s">
        <v>2382</v>
      </c>
      <c r="G19" s="1" t="s">
        <v>2808</v>
      </c>
      <c r="H19" s="1" t="s">
        <v>2689</v>
      </c>
      <c r="I19" s="110">
        <v>45197</v>
      </c>
    </row>
    <row r="20" spans="1:9">
      <c r="A20" s="66" t="s">
        <v>2813</v>
      </c>
      <c r="B20" s="103">
        <v>45219</v>
      </c>
      <c r="C20" s="13" t="s">
        <v>1367</v>
      </c>
      <c r="D20" s="13" t="s">
        <v>716</v>
      </c>
      <c r="E20" s="104">
        <v>5.0780000000000003</v>
      </c>
      <c r="F20" s="24" t="s">
        <v>544</v>
      </c>
      <c r="G20" s="1" t="s">
        <v>2814</v>
      </c>
      <c r="H20" s="1" t="s">
        <v>2663</v>
      </c>
      <c r="I20" s="110">
        <v>45188</v>
      </c>
    </row>
    <row r="21" spans="1:9">
      <c r="A21" s="66" t="s">
        <v>2813</v>
      </c>
      <c r="B21" s="103">
        <v>45219</v>
      </c>
      <c r="C21" s="13" t="s">
        <v>1245</v>
      </c>
      <c r="D21" s="13" t="s">
        <v>716</v>
      </c>
      <c r="E21" s="104">
        <f>11.72+0.793</f>
        <v>12.513</v>
      </c>
      <c r="F21" s="24" t="s">
        <v>544</v>
      </c>
      <c r="G21" s="1" t="s">
        <v>2814</v>
      </c>
      <c r="H21" s="1" t="s">
        <v>2663</v>
      </c>
      <c r="I21" s="110">
        <v>45188</v>
      </c>
    </row>
    <row r="22" spans="1:9">
      <c r="A22" s="66" t="s">
        <v>2815</v>
      </c>
      <c r="B22" s="103">
        <v>45219</v>
      </c>
      <c r="C22" s="13" t="s">
        <v>1367</v>
      </c>
      <c r="D22" s="13" t="s">
        <v>716</v>
      </c>
      <c r="E22" s="104">
        <v>1.77</v>
      </c>
      <c r="F22" s="24" t="s">
        <v>544</v>
      </c>
      <c r="G22" s="1" t="s">
        <v>2816</v>
      </c>
      <c r="H22" s="1" t="s">
        <v>2784</v>
      </c>
      <c r="I22" s="110">
        <v>45188</v>
      </c>
    </row>
    <row r="23" spans="1:9">
      <c r="A23" s="66" t="s">
        <v>2815</v>
      </c>
      <c r="B23" s="103">
        <v>45219</v>
      </c>
      <c r="C23" s="13" t="s">
        <v>1245</v>
      </c>
      <c r="D23" s="13" t="s">
        <v>716</v>
      </c>
      <c r="E23" s="104">
        <v>3.6579999999999999</v>
      </c>
      <c r="F23" s="24" t="s">
        <v>544</v>
      </c>
      <c r="G23" s="1" t="s">
        <v>2816</v>
      </c>
      <c r="H23" s="1" t="s">
        <v>2784</v>
      </c>
      <c r="I23" s="110">
        <v>45188</v>
      </c>
    </row>
    <row r="24" spans="1:9">
      <c r="A24" s="66"/>
      <c r="B24" s="103"/>
      <c r="C24" s="11"/>
      <c r="D24" s="13"/>
      <c r="E24" s="57">
        <f>SUM(E2:E23)</f>
        <v>127.78999999999999</v>
      </c>
      <c r="F24" s="24"/>
      <c r="G24" s="1"/>
      <c r="H24" s="1"/>
      <c r="I24" s="110"/>
    </row>
    <row r="25" spans="1:9">
      <c r="A25" s="66" t="s">
        <v>2828</v>
      </c>
      <c r="B25" s="103">
        <v>45220</v>
      </c>
      <c r="C25" s="13" t="s">
        <v>1341</v>
      </c>
      <c r="D25" s="13" t="s">
        <v>716</v>
      </c>
      <c r="E25" s="104">
        <v>2.1110000000000002</v>
      </c>
      <c r="F25" s="102" t="s">
        <v>2826</v>
      </c>
      <c r="G25" s="4" t="s">
        <v>2827</v>
      </c>
      <c r="H25" s="4" t="s">
        <v>2784</v>
      </c>
      <c r="I25" s="110">
        <v>45188</v>
      </c>
    </row>
    <row r="26" spans="1:9">
      <c r="A26" s="66" t="s">
        <v>2851</v>
      </c>
      <c r="B26" s="103">
        <v>45220</v>
      </c>
      <c r="C26" s="13" t="s">
        <v>1459</v>
      </c>
      <c r="D26" s="13" t="s">
        <v>716</v>
      </c>
      <c r="E26" s="104">
        <v>6.734</v>
      </c>
      <c r="F26" s="102" t="s">
        <v>2849</v>
      </c>
      <c r="G26" s="4" t="s">
        <v>2850</v>
      </c>
      <c r="H26" s="4" t="s">
        <v>2663</v>
      </c>
      <c r="I26" s="110">
        <v>45188</v>
      </c>
    </row>
    <row r="27" spans="1:9">
      <c r="A27" s="66"/>
      <c r="B27" s="103"/>
      <c r="C27" s="11"/>
      <c r="D27" s="13"/>
      <c r="E27" s="57">
        <f>SUM(E25:E26)</f>
        <v>8.8450000000000006</v>
      </c>
      <c r="F27" s="24"/>
      <c r="G27" s="1"/>
      <c r="H27" s="1"/>
      <c r="I27" s="110"/>
    </row>
    <row r="28" spans="1:9">
      <c r="A28" s="66" t="s">
        <v>2869</v>
      </c>
      <c r="B28" s="103">
        <v>45221</v>
      </c>
      <c r="C28" s="13" t="s">
        <v>1350</v>
      </c>
      <c r="D28" s="13" t="s">
        <v>716</v>
      </c>
      <c r="E28" s="104">
        <v>1.022</v>
      </c>
      <c r="F28" s="102" t="s">
        <v>1899</v>
      </c>
      <c r="G28" s="4" t="s">
        <v>2870</v>
      </c>
      <c r="H28" s="4" t="s">
        <v>2784</v>
      </c>
      <c r="I28" s="110">
        <v>45188</v>
      </c>
    </row>
    <row r="29" spans="1:9">
      <c r="A29" s="66" t="s">
        <v>2874</v>
      </c>
      <c r="B29" s="103">
        <v>45221</v>
      </c>
      <c r="C29" s="13" t="s">
        <v>1251</v>
      </c>
      <c r="D29" s="13" t="s">
        <v>716</v>
      </c>
      <c r="E29" s="104">
        <v>0.85299999999999998</v>
      </c>
      <c r="F29" s="102" t="s">
        <v>2875</v>
      </c>
      <c r="G29" s="4" t="s">
        <v>2876</v>
      </c>
      <c r="H29" s="4" t="s">
        <v>2386</v>
      </c>
      <c r="I29" s="110">
        <v>45167</v>
      </c>
    </row>
    <row r="30" spans="1:9">
      <c r="A30" s="66" t="s">
        <v>2874</v>
      </c>
      <c r="B30" s="103">
        <v>45221</v>
      </c>
      <c r="C30" s="13" t="s">
        <v>2273</v>
      </c>
      <c r="D30" s="13" t="s">
        <v>716</v>
      </c>
      <c r="E30" s="104">
        <v>3.169</v>
      </c>
      <c r="F30" s="102" t="s">
        <v>2875</v>
      </c>
      <c r="G30" s="4" t="s">
        <v>2876</v>
      </c>
      <c r="H30" s="4" t="s">
        <v>2386</v>
      </c>
      <c r="I30" s="110">
        <v>45167</v>
      </c>
    </row>
    <row r="31" spans="1:9">
      <c r="A31" s="66" t="s">
        <v>2874</v>
      </c>
      <c r="B31" s="103">
        <v>45221</v>
      </c>
      <c r="C31" s="13" t="s">
        <v>1226</v>
      </c>
      <c r="D31" s="13" t="s">
        <v>716</v>
      </c>
      <c r="E31" s="104">
        <v>0.67</v>
      </c>
      <c r="F31" s="102" t="s">
        <v>2875</v>
      </c>
      <c r="G31" s="4" t="s">
        <v>2876</v>
      </c>
      <c r="H31" s="4" t="s">
        <v>2386</v>
      </c>
      <c r="I31" s="110">
        <v>45167</v>
      </c>
    </row>
    <row r="32" spans="1:9">
      <c r="A32" s="66" t="s">
        <v>2877</v>
      </c>
      <c r="B32" s="103">
        <v>45221</v>
      </c>
      <c r="C32" s="13" t="s">
        <v>1226</v>
      </c>
      <c r="D32" s="13" t="s">
        <v>716</v>
      </c>
      <c r="E32" s="104">
        <v>2.0299999999999998</v>
      </c>
      <c r="F32" s="102" t="s">
        <v>2875</v>
      </c>
      <c r="G32" s="4" t="s">
        <v>2876</v>
      </c>
      <c r="H32" s="4" t="s">
        <v>2663</v>
      </c>
      <c r="I32" s="110">
        <v>45188</v>
      </c>
    </row>
    <row r="33" spans="1:9">
      <c r="A33" s="66" t="s">
        <v>2877</v>
      </c>
      <c r="B33" s="103">
        <v>45221</v>
      </c>
      <c r="C33" s="13" t="s">
        <v>1245</v>
      </c>
      <c r="D33" s="13" t="s">
        <v>716</v>
      </c>
      <c r="E33" s="104">
        <v>0.33500000000000002</v>
      </c>
      <c r="F33" s="102" t="s">
        <v>2875</v>
      </c>
      <c r="G33" s="4" t="s">
        <v>2876</v>
      </c>
      <c r="H33" s="4" t="s">
        <v>2663</v>
      </c>
      <c r="I33" s="110">
        <v>45188</v>
      </c>
    </row>
    <row r="34" spans="1:9">
      <c r="A34" s="66" t="s">
        <v>2878</v>
      </c>
      <c r="B34" s="103">
        <v>45221</v>
      </c>
      <c r="C34" s="13" t="s">
        <v>1342</v>
      </c>
      <c r="D34" s="13" t="s">
        <v>716</v>
      </c>
      <c r="E34" s="104">
        <v>1.2</v>
      </c>
      <c r="F34" s="102" t="s">
        <v>2875</v>
      </c>
      <c r="G34" s="4" t="s">
        <v>2876</v>
      </c>
      <c r="H34" s="4" t="s">
        <v>2545</v>
      </c>
      <c r="I34" s="110">
        <v>45139</v>
      </c>
    </row>
    <row r="35" spans="1:9">
      <c r="A35" s="66" t="s">
        <v>2878</v>
      </c>
      <c r="B35" s="103">
        <v>45221</v>
      </c>
      <c r="C35" s="13" t="s">
        <v>1251</v>
      </c>
      <c r="D35" s="13" t="s">
        <v>716</v>
      </c>
      <c r="E35" s="104">
        <v>6.4989999999999997</v>
      </c>
      <c r="F35" s="102" t="s">
        <v>2875</v>
      </c>
      <c r="G35" s="4" t="s">
        <v>2876</v>
      </c>
      <c r="H35" s="4" t="s">
        <v>2545</v>
      </c>
      <c r="I35" s="110">
        <v>45139</v>
      </c>
    </row>
    <row r="36" spans="1:9">
      <c r="A36" s="66" t="s">
        <v>2879</v>
      </c>
      <c r="B36" s="103">
        <v>45221</v>
      </c>
      <c r="C36" s="13" t="s">
        <v>1350</v>
      </c>
      <c r="D36" s="13" t="s">
        <v>716</v>
      </c>
      <c r="E36" s="104">
        <v>13.835000000000001</v>
      </c>
      <c r="F36" s="102" t="s">
        <v>1309</v>
      </c>
      <c r="G36" s="4" t="s">
        <v>2880</v>
      </c>
      <c r="H36" s="4" t="s">
        <v>2663</v>
      </c>
      <c r="I36" s="110">
        <v>45188</v>
      </c>
    </row>
    <row r="37" spans="1:9">
      <c r="A37" s="66" t="s">
        <v>2879</v>
      </c>
      <c r="B37" s="103">
        <v>45221</v>
      </c>
      <c r="C37" s="13" t="s">
        <v>1341</v>
      </c>
      <c r="D37" s="13" t="s">
        <v>716</v>
      </c>
      <c r="E37" s="104">
        <v>1.2769999999999999</v>
      </c>
      <c r="F37" s="102" t="s">
        <v>1309</v>
      </c>
      <c r="G37" s="4" t="s">
        <v>2880</v>
      </c>
      <c r="H37" s="4" t="s">
        <v>2663</v>
      </c>
      <c r="I37" s="110">
        <v>45188</v>
      </c>
    </row>
    <row r="38" spans="1:9">
      <c r="A38" s="66" t="s">
        <v>2881</v>
      </c>
      <c r="B38" s="103">
        <v>45221</v>
      </c>
      <c r="C38" s="13" t="s">
        <v>1350</v>
      </c>
      <c r="D38" s="13" t="s">
        <v>716</v>
      </c>
      <c r="E38" s="104">
        <v>3.6110000000000002</v>
      </c>
      <c r="F38" s="102" t="s">
        <v>1309</v>
      </c>
      <c r="G38" s="4" t="s">
        <v>2880</v>
      </c>
      <c r="H38" s="4" t="s">
        <v>2386</v>
      </c>
      <c r="I38" s="110">
        <v>45167</v>
      </c>
    </row>
    <row r="39" spans="1:9">
      <c r="A39" s="66" t="s">
        <v>2882</v>
      </c>
      <c r="B39" s="103">
        <v>45221</v>
      </c>
      <c r="C39" s="13" t="s">
        <v>1350</v>
      </c>
      <c r="D39" s="13" t="s">
        <v>716</v>
      </c>
      <c r="E39" s="104">
        <v>3.4670000000000001</v>
      </c>
      <c r="F39" s="102" t="s">
        <v>1309</v>
      </c>
      <c r="G39" s="4" t="s">
        <v>2880</v>
      </c>
      <c r="H39" s="4" t="s">
        <v>2784</v>
      </c>
      <c r="I39" s="110">
        <v>45188</v>
      </c>
    </row>
    <row r="40" spans="1:9">
      <c r="A40" s="66" t="s">
        <v>2888</v>
      </c>
      <c r="B40" s="103">
        <v>45221</v>
      </c>
      <c r="C40" s="13" t="s">
        <v>1341</v>
      </c>
      <c r="D40" s="13" t="s">
        <v>716</v>
      </c>
      <c r="E40" s="104">
        <v>3.0150000000000001</v>
      </c>
      <c r="F40" s="102" t="s">
        <v>2318</v>
      </c>
      <c r="G40" s="4" t="s">
        <v>2889</v>
      </c>
      <c r="H40" s="4" t="s">
        <v>2784</v>
      </c>
      <c r="I40" s="110">
        <v>45188</v>
      </c>
    </row>
    <row r="41" spans="1:9">
      <c r="A41" s="66" t="s">
        <v>2891</v>
      </c>
      <c r="B41" s="103">
        <v>45221</v>
      </c>
      <c r="C41" s="13" t="s">
        <v>1823</v>
      </c>
      <c r="D41" s="13" t="s">
        <v>716</v>
      </c>
      <c r="E41" s="104">
        <v>4.9800000000000004</v>
      </c>
      <c r="F41" s="102" t="s">
        <v>2655</v>
      </c>
      <c r="G41" s="4" t="s">
        <v>2892</v>
      </c>
      <c r="H41" s="4" t="s">
        <v>2689</v>
      </c>
      <c r="I41" s="110">
        <v>45197</v>
      </c>
    </row>
    <row r="42" spans="1:9">
      <c r="A42" s="66" t="s">
        <v>2893</v>
      </c>
      <c r="B42" s="103">
        <v>45221</v>
      </c>
      <c r="C42" s="13" t="s">
        <v>2299</v>
      </c>
      <c r="D42" s="13" t="s">
        <v>716</v>
      </c>
      <c r="E42" s="104">
        <f>9.812+8.098</f>
        <v>17.91</v>
      </c>
      <c r="F42" s="102" t="s">
        <v>2655</v>
      </c>
      <c r="G42" s="4" t="s">
        <v>2894</v>
      </c>
      <c r="H42" s="4" t="s">
        <v>2895</v>
      </c>
      <c r="I42" s="110">
        <v>45197</v>
      </c>
    </row>
    <row r="43" spans="1:9">
      <c r="A43" s="66" t="s">
        <v>2896</v>
      </c>
      <c r="B43" s="103">
        <v>45221</v>
      </c>
      <c r="C43" s="13" t="s">
        <v>2299</v>
      </c>
      <c r="D43" s="13" t="s">
        <v>716</v>
      </c>
      <c r="E43" s="104">
        <v>9.3960000000000008</v>
      </c>
      <c r="F43" s="102" t="s">
        <v>2655</v>
      </c>
      <c r="G43" s="4" t="s">
        <v>2897</v>
      </c>
      <c r="H43" s="4" t="s">
        <v>2824</v>
      </c>
      <c r="I43" s="110">
        <v>45197</v>
      </c>
    </row>
    <row r="44" spans="1:9">
      <c r="A44" s="66"/>
      <c r="B44" s="103"/>
      <c r="C44" s="11"/>
      <c r="D44" s="13"/>
      <c r="E44" s="57">
        <f>SUM(E28:E43)</f>
        <v>73.268999999999991</v>
      </c>
      <c r="F44" s="24"/>
      <c r="G44" s="1"/>
      <c r="H44" s="1"/>
      <c r="I44" s="110"/>
    </row>
    <row r="45" spans="1:9">
      <c r="A45" s="66" t="s">
        <v>2903</v>
      </c>
      <c r="B45" s="103">
        <v>45222</v>
      </c>
      <c r="C45" s="13" t="s">
        <v>1350</v>
      </c>
      <c r="D45" s="13" t="s">
        <v>716</v>
      </c>
      <c r="E45" s="104">
        <v>3.222</v>
      </c>
      <c r="F45" s="102" t="s">
        <v>1893</v>
      </c>
      <c r="G45" s="4" t="s">
        <v>2904</v>
      </c>
      <c r="H45" s="4" t="s">
        <v>2663</v>
      </c>
      <c r="I45" s="110">
        <v>45188</v>
      </c>
    </row>
    <row r="46" spans="1:9">
      <c r="A46" s="66" t="s">
        <v>2905</v>
      </c>
      <c r="B46" s="103">
        <v>45222</v>
      </c>
      <c r="C46" s="13" t="s">
        <v>1350</v>
      </c>
      <c r="D46" s="13" t="s">
        <v>716</v>
      </c>
      <c r="E46" s="104">
        <v>1.022</v>
      </c>
      <c r="F46" s="102" t="s">
        <v>1893</v>
      </c>
      <c r="G46" s="4" t="s">
        <v>2904</v>
      </c>
      <c r="H46" s="4" t="s">
        <v>2784</v>
      </c>
      <c r="I46" s="110">
        <v>45188</v>
      </c>
    </row>
    <row r="47" spans="1:9">
      <c r="A47" s="66" t="s">
        <v>2913</v>
      </c>
      <c r="B47" s="103">
        <v>45222</v>
      </c>
      <c r="C47" s="13" t="s">
        <v>1341</v>
      </c>
      <c r="D47" s="13" t="s">
        <v>716</v>
      </c>
      <c r="E47" s="104">
        <v>0.38900000000000001</v>
      </c>
      <c r="F47" s="102" t="s">
        <v>1918</v>
      </c>
      <c r="G47" s="4" t="s">
        <v>2914</v>
      </c>
      <c r="H47" s="4" t="s">
        <v>2663</v>
      </c>
      <c r="I47" s="110">
        <v>45188</v>
      </c>
    </row>
    <row r="48" spans="1:9">
      <c r="A48" s="66" t="s">
        <v>2913</v>
      </c>
      <c r="B48" s="103">
        <v>45222</v>
      </c>
      <c r="C48" s="13" t="s">
        <v>1350</v>
      </c>
      <c r="D48" s="13" t="s">
        <v>716</v>
      </c>
      <c r="E48" s="104">
        <v>1.8520000000000001</v>
      </c>
      <c r="F48" s="102" t="s">
        <v>1918</v>
      </c>
      <c r="G48" s="4" t="s">
        <v>2914</v>
      </c>
      <c r="H48" s="4" t="s">
        <v>2663</v>
      </c>
      <c r="I48" s="110">
        <v>45188</v>
      </c>
    </row>
    <row r="49" spans="1:9">
      <c r="A49" s="66" t="s">
        <v>2915</v>
      </c>
      <c r="B49" s="103">
        <v>45222</v>
      </c>
      <c r="C49" s="13" t="s">
        <v>1350</v>
      </c>
      <c r="D49" s="13" t="s">
        <v>716</v>
      </c>
      <c r="E49" s="104">
        <v>1.278</v>
      </c>
      <c r="F49" s="102" t="s">
        <v>1918</v>
      </c>
      <c r="G49" s="4" t="s">
        <v>2914</v>
      </c>
      <c r="H49" s="4" t="s">
        <v>2545</v>
      </c>
      <c r="I49" s="110">
        <v>45139</v>
      </c>
    </row>
    <row r="50" spans="1:9">
      <c r="A50" s="66" t="s">
        <v>2915</v>
      </c>
      <c r="B50" s="103">
        <v>45222</v>
      </c>
      <c r="C50" s="13" t="s">
        <v>1341</v>
      </c>
      <c r="D50" s="13" t="s">
        <v>716</v>
      </c>
      <c r="E50" s="104">
        <v>2.5270000000000001</v>
      </c>
      <c r="F50" s="102" t="s">
        <v>1918</v>
      </c>
      <c r="G50" s="4" t="s">
        <v>2914</v>
      </c>
      <c r="H50" s="4" t="s">
        <v>2545</v>
      </c>
      <c r="I50" s="110">
        <v>45139</v>
      </c>
    </row>
    <row r="51" spans="1:9">
      <c r="A51" s="66" t="s">
        <v>2916</v>
      </c>
      <c r="B51" s="103">
        <v>45222</v>
      </c>
      <c r="C51" s="13" t="s">
        <v>1478</v>
      </c>
      <c r="D51" s="13" t="s">
        <v>716</v>
      </c>
      <c r="E51" s="104">
        <v>6.2539999999999996</v>
      </c>
      <c r="F51" s="102" t="s">
        <v>1918</v>
      </c>
      <c r="G51" s="4" t="s">
        <v>2914</v>
      </c>
      <c r="H51" s="4" t="s">
        <v>2689</v>
      </c>
      <c r="I51" s="110">
        <v>45197</v>
      </c>
    </row>
    <row r="52" spans="1:9">
      <c r="A52" s="66" t="s">
        <v>2916</v>
      </c>
      <c r="B52" s="103">
        <v>45222</v>
      </c>
      <c r="C52" s="13" t="s">
        <v>1823</v>
      </c>
      <c r="D52" s="13" t="s">
        <v>716</v>
      </c>
      <c r="E52" s="104">
        <v>14.913</v>
      </c>
      <c r="F52" s="102" t="s">
        <v>1918</v>
      </c>
      <c r="G52" s="4" t="s">
        <v>2914</v>
      </c>
      <c r="H52" s="4" t="s">
        <v>2689</v>
      </c>
      <c r="I52" s="110">
        <v>45197</v>
      </c>
    </row>
    <row r="53" spans="1:9">
      <c r="A53" s="66" t="s">
        <v>2916</v>
      </c>
      <c r="B53" s="103">
        <v>45222</v>
      </c>
      <c r="C53" s="13" t="s">
        <v>2617</v>
      </c>
      <c r="D53" s="13" t="s">
        <v>716</v>
      </c>
      <c r="E53" s="104">
        <v>1.605</v>
      </c>
      <c r="F53" s="102" t="s">
        <v>1918</v>
      </c>
      <c r="G53" s="4" t="s">
        <v>2914</v>
      </c>
      <c r="H53" s="4" t="s">
        <v>2689</v>
      </c>
      <c r="I53" s="110">
        <v>45197</v>
      </c>
    </row>
    <row r="54" spans="1:9">
      <c r="A54" s="66" t="s">
        <v>2917</v>
      </c>
      <c r="B54" s="103">
        <v>45222</v>
      </c>
      <c r="C54" s="13" t="s">
        <v>2617</v>
      </c>
      <c r="D54" s="13" t="s">
        <v>716</v>
      </c>
      <c r="E54" s="104">
        <v>2.0840000000000001</v>
      </c>
      <c r="F54" s="102" t="s">
        <v>1918</v>
      </c>
      <c r="G54" s="4" t="s">
        <v>2914</v>
      </c>
      <c r="H54" s="4" t="s">
        <v>2918</v>
      </c>
      <c r="I54" s="110">
        <v>45197</v>
      </c>
    </row>
    <row r="55" spans="1:9">
      <c r="A55" s="66" t="s">
        <v>2919</v>
      </c>
      <c r="B55" s="103">
        <v>45222</v>
      </c>
      <c r="C55" s="13" t="s">
        <v>1823</v>
      </c>
      <c r="D55" s="13" t="s">
        <v>716</v>
      </c>
      <c r="E55" s="104">
        <v>1.498</v>
      </c>
      <c r="F55" s="102" t="s">
        <v>1911</v>
      </c>
      <c r="G55" s="4" t="s">
        <v>2920</v>
      </c>
      <c r="H55" s="4" t="s">
        <v>2689</v>
      </c>
      <c r="I55" s="110">
        <v>45197</v>
      </c>
    </row>
    <row r="56" spans="1:9">
      <c r="A56" s="66" t="s">
        <v>2919</v>
      </c>
      <c r="B56" s="103">
        <v>45222</v>
      </c>
      <c r="C56" s="13" t="s">
        <v>1478</v>
      </c>
      <c r="D56" s="13" t="s">
        <v>716</v>
      </c>
      <c r="E56" s="104">
        <v>1.163</v>
      </c>
      <c r="F56" s="102" t="s">
        <v>1911</v>
      </c>
      <c r="G56" s="4" t="s">
        <v>2920</v>
      </c>
      <c r="H56" s="4" t="s">
        <v>2689</v>
      </c>
      <c r="I56" s="110">
        <v>45197</v>
      </c>
    </row>
    <row r="57" spans="1:9">
      <c r="A57" s="66" t="s">
        <v>2919</v>
      </c>
      <c r="B57" s="103">
        <v>45222</v>
      </c>
      <c r="C57" s="13" t="s">
        <v>2617</v>
      </c>
      <c r="D57" s="13" t="s">
        <v>716</v>
      </c>
      <c r="E57" s="104">
        <v>1.835</v>
      </c>
      <c r="F57" s="102" t="s">
        <v>1911</v>
      </c>
      <c r="G57" s="4" t="s">
        <v>2920</v>
      </c>
      <c r="H57" s="4" t="s">
        <v>2689</v>
      </c>
      <c r="I57" s="110">
        <v>45197</v>
      </c>
    </row>
    <row r="58" spans="1:9">
      <c r="A58" s="66" t="s">
        <v>2921</v>
      </c>
      <c r="B58" s="103">
        <v>45222</v>
      </c>
      <c r="C58" s="13" t="s">
        <v>1478</v>
      </c>
      <c r="D58" s="13" t="s">
        <v>716</v>
      </c>
      <c r="E58" s="104">
        <v>0.29099999999999998</v>
      </c>
      <c r="F58" s="102" t="s">
        <v>1911</v>
      </c>
      <c r="G58" s="4" t="s">
        <v>2920</v>
      </c>
      <c r="H58" s="4" t="s">
        <v>2895</v>
      </c>
      <c r="I58" s="110">
        <v>45197</v>
      </c>
    </row>
    <row r="59" spans="1:9">
      <c r="A59" s="66" t="s">
        <v>2922</v>
      </c>
      <c r="B59" s="103">
        <v>45222</v>
      </c>
      <c r="C59" s="13" t="s">
        <v>1478</v>
      </c>
      <c r="D59" s="13" t="s">
        <v>716</v>
      </c>
      <c r="E59" s="104">
        <v>0.58199999999999996</v>
      </c>
      <c r="F59" s="102" t="s">
        <v>1911</v>
      </c>
      <c r="G59" s="4" t="s">
        <v>2920</v>
      </c>
      <c r="H59" s="4" t="s">
        <v>2824</v>
      </c>
      <c r="I59" s="110">
        <v>45197</v>
      </c>
    </row>
    <row r="60" spans="1:9">
      <c r="A60" s="66" t="s">
        <v>2922</v>
      </c>
      <c r="B60" s="103">
        <v>45222</v>
      </c>
      <c r="C60" s="13" t="s">
        <v>2273</v>
      </c>
      <c r="D60" s="13" t="s">
        <v>716</v>
      </c>
      <c r="E60" s="104">
        <v>0.14399999999999999</v>
      </c>
      <c r="F60" s="102" t="s">
        <v>1911</v>
      </c>
      <c r="G60" s="4" t="s">
        <v>2920</v>
      </c>
      <c r="H60" s="4" t="s">
        <v>2824</v>
      </c>
      <c r="I60" s="110">
        <v>45197</v>
      </c>
    </row>
    <row r="61" spans="1:9">
      <c r="A61" s="66" t="s">
        <v>2923</v>
      </c>
      <c r="B61" s="103">
        <v>45222</v>
      </c>
      <c r="C61" s="13" t="s">
        <v>2299</v>
      </c>
      <c r="D61" s="13" t="s">
        <v>716</v>
      </c>
      <c r="E61" s="104">
        <v>24.533999999999999</v>
      </c>
      <c r="F61" s="102" t="s">
        <v>1911</v>
      </c>
      <c r="G61" s="4" t="s">
        <v>2920</v>
      </c>
      <c r="H61" s="4" t="s">
        <v>2918</v>
      </c>
      <c r="I61" s="110">
        <v>45197</v>
      </c>
    </row>
    <row r="62" spans="1:9">
      <c r="A62" s="66" t="s">
        <v>2923</v>
      </c>
      <c r="B62" s="103">
        <v>45222</v>
      </c>
      <c r="C62" s="13" t="s">
        <v>2617</v>
      </c>
      <c r="D62" s="13" t="s">
        <v>716</v>
      </c>
      <c r="E62" s="104">
        <v>0.92600000000000005</v>
      </c>
      <c r="F62" s="102" t="s">
        <v>1911</v>
      </c>
      <c r="G62" s="4" t="s">
        <v>2920</v>
      </c>
      <c r="H62" s="4" t="s">
        <v>2918</v>
      </c>
      <c r="I62" s="110">
        <v>45197</v>
      </c>
    </row>
    <row r="63" spans="1:9">
      <c r="A63" s="66" t="s">
        <v>2924</v>
      </c>
      <c r="B63" s="103">
        <v>45222</v>
      </c>
      <c r="C63" s="13" t="s">
        <v>2273</v>
      </c>
      <c r="D63" s="13" t="s">
        <v>716</v>
      </c>
      <c r="E63" s="104">
        <v>1.4370000000000001</v>
      </c>
      <c r="F63" s="102" t="s">
        <v>1911</v>
      </c>
      <c r="G63" s="4" t="s">
        <v>2920</v>
      </c>
      <c r="H63" s="4" t="s">
        <v>2925</v>
      </c>
      <c r="I63" s="110">
        <v>45197</v>
      </c>
    </row>
    <row r="64" spans="1:9">
      <c r="A64" s="66" t="s">
        <v>2924</v>
      </c>
      <c r="B64" s="103">
        <v>45222</v>
      </c>
      <c r="C64" s="13" t="s">
        <v>1478</v>
      </c>
      <c r="D64" s="13" t="s">
        <v>716</v>
      </c>
      <c r="E64" s="104">
        <v>7.2999999999999995E-2</v>
      </c>
      <c r="F64" s="102" t="s">
        <v>1911</v>
      </c>
      <c r="G64" s="4" t="s">
        <v>2920</v>
      </c>
      <c r="H64" s="4" t="s">
        <v>2925</v>
      </c>
      <c r="I64" s="110">
        <v>45197</v>
      </c>
    </row>
    <row r="65" spans="1:9">
      <c r="A65" s="1"/>
      <c r="B65" s="3"/>
      <c r="C65" s="1"/>
      <c r="D65" s="1"/>
      <c r="E65" s="132">
        <f>SUM(E45:E64)</f>
        <v>67.628999999999976</v>
      </c>
      <c r="F65" s="24"/>
      <c r="G65" s="1"/>
      <c r="H65" s="1"/>
      <c r="I65" s="3"/>
    </row>
    <row r="66" spans="1:9">
      <c r="A66" s="66" t="s">
        <v>2932</v>
      </c>
      <c r="B66" s="103">
        <v>45226</v>
      </c>
      <c r="C66" s="13" t="s">
        <v>1801</v>
      </c>
      <c r="D66" s="13" t="s">
        <v>716</v>
      </c>
      <c r="E66" s="104">
        <v>2.0089999999999999</v>
      </c>
      <c r="F66" s="102" t="s">
        <v>2930</v>
      </c>
      <c r="G66" s="4" t="s">
        <v>2933</v>
      </c>
      <c r="H66" s="4" t="s">
        <v>2386</v>
      </c>
      <c r="I66" s="110">
        <v>45167</v>
      </c>
    </row>
    <row r="67" spans="1:9">
      <c r="A67" s="66" t="s">
        <v>2932</v>
      </c>
      <c r="B67" s="103">
        <v>45226</v>
      </c>
      <c r="C67" s="13" t="s">
        <v>1756</v>
      </c>
      <c r="D67" s="13" t="s">
        <v>716</v>
      </c>
      <c r="E67" s="104">
        <v>3.4369999999999998</v>
      </c>
      <c r="F67" s="102" t="s">
        <v>2930</v>
      </c>
      <c r="G67" s="4" t="s">
        <v>2933</v>
      </c>
      <c r="H67" s="4" t="s">
        <v>2386</v>
      </c>
      <c r="I67" s="110">
        <v>45167</v>
      </c>
    </row>
    <row r="68" spans="1:9">
      <c r="A68" s="66" t="s">
        <v>2932</v>
      </c>
      <c r="B68" s="103">
        <v>45226</v>
      </c>
      <c r="C68" s="13" t="s">
        <v>2273</v>
      </c>
      <c r="D68" s="13" t="s">
        <v>716</v>
      </c>
      <c r="E68" s="104">
        <v>0.48199999999999998</v>
      </c>
      <c r="F68" s="102" t="s">
        <v>2930</v>
      </c>
      <c r="G68" s="4" t="s">
        <v>2933</v>
      </c>
      <c r="H68" s="4" t="s">
        <v>2386</v>
      </c>
      <c r="I68" s="110">
        <v>45167</v>
      </c>
    </row>
    <row r="69" spans="1:9">
      <c r="A69" s="66" t="s">
        <v>2932</v>
      </c>
      <c r="B69" s="103">
        <v>45226</v>
      </c>
      <c r="C69" s="13" t="s">
        <v>1256</v>
      </c>
      <c r="D69" s="13" t="s">
        <v>716</v>
      </c>
      <c r="E69" s="104">
        <v>3.6640000000000001</v>
      </c>
      <c r="F69" s="102" t="s">
        <v>2930</v>
      </c>
      <c r="G69" s="4" t="s">
        <v>2933</v>
      </c>
      <c r="H69" s="4" t="s">
        <v>2386</v>
      </c>
      <c r="I69" s="110">
        <v>45167</v>
      </c>
    </row>
    <row r="70" spans="1:9">
      <c r="A70" s="66" t="s">
        <v>2932</v>
      </c>
      <c r="B70" s="103">
        <v>45226</v>
      </c>
      <c r="C70" s="13" t="s">
        <v>1823</v>
      </c>
      <c r="D70" s="13" t="s">
        <v>716</v>
      </c>
      <c r="E70" s="104">
        <f>0.099+1.518</f>
        <v>1.617</v>
      </c>
      <c r="F70" s="102" t="s">
        <v>2930</v>
      </c>
      <c r="G70" s="4" t="s">
        <v>2933</v>
      </c>
      <c r="H70" s="4" t="s">
        <v>2386</v>
      </c>
      <c r="I70" s="110">
        <v>45167</v>
      </c>
    </row>
    <row r="71" spans="1:9">
      <c r="A71" s="66" t="s">
        <v>2932</v>
      </c>
      <c r="B71" s="103">
        <v>45226</v>
      </c>
      <c r="C71" s="13" t="s">
        <v>1260</v>
      </c>
      <c r="D71" s="13" t="s">
        <v>716</v>
      </c>
      <c r="E71" s="104">
        <v>0.75900000000000001</v>
      </c>
      <c r="F71" s="102" t="s">
        <v>2930</v>
      </c>
      <c r="G71" s="4" t="s">
        <v>2933</v>
      </c>
      <c r="H71" s="4" t="s">
        <v>2386</v>
      </c>
      <c r="I71" s="110">
        <v>45167</v>
      </c>
    </row>
    <row r="72" spans="1:9">
      <c r="A72" s="66" t="s">
        <v>2934</v>
      </c>
      <c r="B72" s="103">
        <v>45226</v>
      </c>
      <c r="C72" s="13" t="s">
        <v>1341</v>
      </c>
      <c r="D72" s="13" t="s">
        <v>716</v>
      </c>
      <c r="E72" s="104">
        <v>0.88900000000000001</v>
      </c>
      <c r="F72" s="102" t="s">
        <v>2930</v>
      </c>
      <c r="G72" s="4" t="s">
        <v>2935</v>
      </c>
      <c r="H72" s="4" t="s">
        <v>2784</v>
      </c>
      <c r="I72" s="110">
        <v>45188</v>
      </c>
    </row>
    <row r="73" spans="1:9">
      <c r="A73" s="66" t="s">
        <v>2936</v>
      </c>
      <c r="B73" s="103">
        <v>45226</v>
      </c>
      <c r="C73" s="13" t="s">
        <v>1341</v>
      </c>
      <c r="D73" s="13" t="s">
        <v>716</v>
      </c>
      <c r="E73" s="104">
        <v>5.7069999999999999</v>
      </c>
      <c r="F73" s="102" t="s">
        <v>2930</v>
      </c>
      <c r="G73" s="4" t="s">
        <v>2935</v>
      </c>
      <c r="H73" s="4" t="s">
        <v>2663</v>
      </c>
      <c r="I73" s="110">
        <v>45188</v>
      </c>
    </row>
    <row r="74" spans="1:9">
      <c r="A74" s="66" t="s">
        <v>2936</v>
      </c>
      <c r="B74" s="103">
        <v>45226</v>
      </c>
      <c r="C74" s="13" t="s">
        <v>1255</v>
      </c>
      <c r="D74" s="13" t="s">
        <v>716</v>
      </c>
      <c r="E74" s="104">
        <v>0.42499999999999999</v>
      </c>
      <c r="F74" s="102" t="s">
        <v>2930</v>
      </c>
      <c r="G74" s="4" t="s">
        <v>2935</v>
      </c>
      <c r="H74" s="4" t="s">
        <v>2663</v>
      </c>
      <c r="I74" s="110">
        <v>45188</v>
      </c>
    </row>
    <row r="75" spans="1:9">
      <c r="A75" s="66" t="s">
        <v>2936</v>
      </c>
      <c r="B75" s="103">
        <v>45226</v>
      </c>
      <c r="C75" s="13" t="s">
        <v>1223</v>
      </c>
      <c r="D75" s="13" t="s">
        <v>716</v>
      </c>
      <c r="E75" s="104">
        <v>0.28999999999999998</v>
      </c>
      <c r="F75" s="102" t="s">
        <v>2930</v>
      </c>
      <c r="G75" s="4" t="s">
        <v>2935</v>
      </c>
      <c r="H75" s="4" t="s">
        <v>2663</v>
      </c>
      <c r="I75" s="110">
        <v>45188</v>
      </c>
    </row>
    <row r="76" spans="1:9">
      <c r="A76" s="66" t="s">
        <v>2937</v>
      </c>
      <c r="B76" s="103">
        <v>45226</v>
      </c>
      <c r="C76" s="13" t="s">
        <v>1251</v>
      </c>
      <c r="D76" s="13" t="s">
        <v>716</v>
      </c>
      <c r="E76" s="104">
        <v>0.73799999999999999</v>
      </c>
      <c r="F76" s="102" t="s">
        <v>2930</v>
      </c>
      <c r="G76" s="4" t="s">
        <v>2935</v>
      </c>
      <c r="H76" s="4" t="s">
        <v>2545</v>
      </c>
      <c r="I76" s="110">
        <v>45139</v>
      </c>
    </row>
    <row r="77" spans="1:9">
      <c r="A77" s="66" t="s">
        <v>2937</v>
      </c>
      <c r="B77" s="103">
        <v>45226</v>
      </c>
      <c r="C77" s="13" t="s">
        <v>1756</v>
      </c>
      <c r="D77" s="13" t="s">
        <v>716</v>
      </c>
      <c r="E77" s="104">
        <v>1.486</v>
      </c>
      <c r="F77" s="102" t="s">
        <v>2930</v>
      </c>
      <c r="G77" s="4" t="s">
        <v>2935</v>
      </c>
      <c r="H77" s="4" t="s">
        <v>2545</v>
      </c>
      <c r="I77" s="110">
        <v>45139</v>
      </c>
    </row>
    <row r="78" spans="1:9">
      <c r="A78" s="66" t="s">
        <v>2937</v>
      </c>
      <c r="B78" s="103">
        <v>45226</v>
      </c>
      <c r="C78" s="13" t="s">
        <v>1823</v>
      </c>
      <c r="D78" s="13" t="s">
        <v>716</v>
      </c>
      <c r="E78" s="104">
        <v>0.26700000000000002</v>
      </c>
      <c r="F78" s="102" t="s">
        <v>2930</v>
      </c>
      <c r="G78" s="4" t="s">
        <v>2935</v>
      </c>
      <c r="H78" s="4" t="s">
        <v>2545</v>
      </c>
      <c r="I78" s="110">
        <v>45139</v>
      </c>
    </row>
    <row r="79" spans="1:9">
      <c r="A79" s="66" t="s">
        <v>2938</v>
      </c>
      <c r="B79" s="103">
        <v>45226</v>
      </c>
      <c r="C79" s="13" t="s">
        <v>1695</v>
      </c>
      <c r="D79" s="13" t="s">
        <v>716</v>
      </c>
      <c r="E79" s="104">
        <v>1.0389999999999999</v>
      </c>
      <c r="F79" s="102" t="s">
        <v>2930</v>
      </c>
      <c r="G79" s="4" t="s">
        <v>2935</v>
      </c>
      <c r="H79" s="4" t="s">
        <v>2421</v>
      </c>
      <c r="I79" s="110">
        <v>45150</v>
      </c>
    </row>
    <row r="80" spans="1:9">
      <c r="A80" s="66" t="s">
        <v>2939</v>
      </c>
      <c r="B80" s="103">
        <v>45226</v>
      </c>
      <c r="C80" s="13" t="s">
        <v>1223</v>
      </c>
      <c r="D80" s="13" t="s">
        <v>716</v>
      </c>
      <c r="E80" s="104">
        <v>1.0649999999999999</v>
      </c>
      <c r="F80" s="102" t="s">
        <v>2930</v>
      </c>
      <c r="G80" s="4" t="s">
        <v>2935</v>
      </c>
      <c r="H80" s="4" t="s">
        <v>2912</v>
      </c>
      <c r="I80" s="110">
        <v>45167</v>
      </c>
    </row>
    <row r="81" spans="1:9">
      <c r="A81" s="66" t="s">
        <v>2940</v>
      </c>
      <c r="B81" s="103">
        <v>45226</v>
      </c>
      <c r="C81" s="13" t="s">
        <v>2299</v>
      </c>
      <c r="D81" s="13" t="s">
        <v>716</v>
      </c>
      <c r="E81" s="104">
        <v>9.5220000000000002</v>
      </c>
      <c r="F81" s="102" t="s">
        <v>2930</v>
      </c>
      <c r="G81" s="4" t="s">
        <v>2935</v>
      </c>
      <c r="H81" s="4" t="s">
        <v>2941</v>
      </c>
      <c r="I81" s="110">
        <v>45197</v>
      </c>
    </row>
    <row r="82" spans="1:9">
      <c r="A82" s="66" t="s">
        <v>2942</v>
      </c>
      <c r="B82" s="103">
        <v>45226</v>
      </c>
      <c r="C82" s="13" t="s">
        <v>2299</v>
      </c>
      <c r="D82" s="13" t="s">
        <v>716</v>
      </c>
      <c r="E82" s="104">
        <v>2.7450000000000001</v>
      </c>
      <c r="F82" s="102" t="s">
        <v>2930</v>
      </c>
      <c r="G82" s="4" t="s">
        <v>2935</v>
      </c>
      <c r="H82" s="4" t="s">
        <v>2918</v>
      </c>
      <c r="I82" s="110">
        <v>45197</v>
      </c>
    </row>
    <row r="83" spans="1:9">
      <c r="A83" s="66" t="s">
        <v>2943</v>
      </c>
      <c r="B83" s="103">
        <v>45226</v>
      </c>
      <c r="C83" s="13" t="s">
        <v>2299</v>
      </c>
      <c r="D83" s="13" t="s">
        <v>716</v>
      </c>
      <c r="E83" s="104">
        <v>1.1879999999999999</v>
      </c>
      <c r="F83" s="102" t="s">
        <v>2930</v>
      </c>
      <c r="G83" s="4" t="s">
        <v>2935</v>
      </c>
      <c r="H83" s="4" t="s">
        <v>2824</v>
      </c>
      <c r="I83" s="110">
        <v>45197</v>
      </c>
    </row>
    <row r="84" spans="1:9">
      <c r="A84" s="1"/>
      <c r="B84" s="3"/>
      <c r="C84" s="1"/>
      <c r="D84" s="1"/>
      <c r="E84" s="132">
        <f>SUM(E66:E83)</f>
        <v>37.329000000000001</v>
      </c>
      <c r="F84" s="24"/>
      <c r="G84" s="1"/>
      <c r="H84" s="1"/>
      <c r="I84" s="3"/>
    </row>
    <row r="85" spans="1:9">
      <c r="A85" s="66" t="s">
        <v>2946</v>
      </c>
      <c r="B85" s="103">
        <v>45227</v>
      </c>
      <c r="C85" s="13" t="s">
        <v>1365</v>
      </c>
      <c r="D85" s="13" t="s">
        <v>716</v>
      </c>
      <c r="E85" s="104">
        <f>3.228+2.757</f>
        <v>5.9850000000000003</v>
      </c>
      <c r="F85" s="102" t="s">
        <v>2945</v>
      </c>
      <c r="G85" s="4" t="s">
        <v>2947</v>
      </c>
      <c r="H85" s="4" t="s">
        <v>2386</v>
      </c>
      <c r="I85" s="110">
        <v>45167</v>
      </c>
    </row>
    <row r="86" spans="1:9">
      <c r="A86" s="66" t="s">
        <v>2948</v>
      </c>
      <c r="B86" s="103">
        <v>45227</v>
      </c>
      <c r="C86" s="13" t="s">
        <v>1365</v>
      </c>
      <c r="D86" s="13" t="s">
        <v>716</v>
      </c>
      <c r="E86" s="104">
        <v>2.5470000000000002</v>
      </c>
      <c r="F86" s="102" t="s">
        <v>2945</v>
      </c>
      <c r="G86" s="4" t="s">
        <v>2949</v>
      </c>
      <c r="H86" s="4" t="s">
        <v>2663</v>
      </c>
      <c r="I86" s="110">
        <v>45188</v>
      </c>
    </row>
    <row r="87" spans="1:9">
      <c r="A87" s="66" t="s">
        <v>2948</v>
      </c>
      <c r="B87" s="103">
        <v>45227</v>
      </c>
      <c r="C87" s="13" t="s">
        <v>1640</v>
      </c>
      <c r="D87" s="13" t="s">
        <v>716</v>
      </c>
      <c r="E87" s="104">
        <v>0.38400000000000001</v>
      </c>
      <c r="F87" s="102" t="s">
        <v>2945</v>
      </c>
      <c r="G87" s="4" t="s">
        <v>2949</v>
      </c>
      <c r="H87" s="4" t="s">
        <v>2663</v>
      </c>
      <c r="I87" s="110">
        <v>45188</v>
      </c>
    </row>
    <row r="88" spans="1:9">
      <c r="A88" s="66" t="s">
        <v>2950</v>
      </c>
      <c r="B88" s="103">
        <v>45227</v>
      </c>
      <c r="C88" s="13" t="s">
        <v>1251</v>
      </c>
      <c r="D88" s="13" t="s">
        <v>716</v>
      </c>
      <c r="E88" s="104">
        <v>0.58499999999999996</v>
      </c>
      <c r="F88" s="102" t="s">
        <v>2945</v>
      </c>
      <c r="G88" s="4" t="s">
        <v>2949</v>
      </c>
      <c r="H88" s="4" t="s">
        <v>2421</v>
      </c>
      <c r="I88" s="110">
        <v>45150</v>
      </c>
    </row>
    <row r="89" spans="1:9">
      <c r="A89" s="66" t="s">
        <v>2951</v>
      </c>
      <c r="B89" s="103">
        <v>45227</v>
      </c>
      <c r="C89" s="13" t="s">
        <v>1251</v>
      </c>
      <c r="D89" s="13" t="s">
        <v>716</v>
      </c>
      <c r="E89" s="104">
        <v>0.438</v>
      </c>
      <c r="F89" s="102" t="s">
        <v>2945</v>
      </c>
      <c r="G89" s="4" t="s">
        <v>2949</v>
      </c>
      <c r="H89" s="4" t="s">
        <v>2545</v>
      </c>
      <c r="I89" s="110">
        <v>45139</v>
      </c>
    </row>
    <row r="90" spans="1:9">
      <c r="A90" s="66" t="s">
        <v>2951</v>
      </c>
      <c r="B90" s="103">
        <v>45227</v>
      </c>
      <c r="C90" s="13" t="s">
        <v>1342</v>
      </c>
      <c r="D90" s="13" t="s">
        <v>716</v>
      </c>
      <c r="E90" s="104">
        <v>1.698</v>
      </c>
      <c r="F90" s="102" t="s">
        <v>2945</v>
      </c>
      <c r="G90" s="4" t="s">
        <v>2949</v>
      </c>
      <c r="H90" s="4" t="s">
        <v>2545</v>
      </c>
      <c r="I90" s="110">
        <v>45139</v>
      </c>
    </row>
    <row r="91" spans="1:9">
      <c r="A91" s="66" t="s">
        <v>2952</v>
      </c>
      <c r="B91" s="103">
        <v>45227</v>
      </c>
      <c r="C91" s="13" t="s">
        <v>2299</v>
      </c>
      <c r="D91" s="13" t="s">
        <v>716</v>
      </c>
      <c r="E91" s="104">
        <v>0.91400000000000003</v>
      </c>
      <c r="F91" s="102" t="s">
        <v>2945</v>
      </c>
      <c r="G91" s="4" t="s">
        <v>2949</v>
      </c>
      <c r="H91" s="4" t="s">
        <v>2918</v>
      </c>
      <c r="I91" s="110">
        <v>45197</v>
      </c>
    </row>
    <row r="92" spans="1:9">
      <c r="A92" s="66" t="s">
        <v>2953</v>
      </c>
      <c r="B92" s="103">
        <v>45227</v>
      </c>
      <c r="C92" s="13" t="s">
        <v>2299</v>
      </c>
      <c r="D92" s="13" t="s">
        <v>716</v>
      </c>
      <c r="E92" s="104">
        <v>1.3460000000000001</v>
      </c>
      <c r="F92" s="102" t="s">
        <v>2945</v>
      </c>
      <c r="G92" s="4" t="s">
        <v>2949</v>
      </c>
      <c r="H92" s="4" t="s">
        <v>2941</v>
      </c>
      <c r="I92" s="110">
        <v>45197</v>
      </c>
    </row>
    <row r="93" spans="1:9">
      <c r="A93" s="66" t="s">
        <v>2954</v>
      </c>
      <c r="B93" s="103">
        <v>45227</v>
      </c>
      <c r="C93" s="13" t="s">
        <v>2299</v>
      </c>
      <c r="D93" s="13" t="s">
        <v>716</v>
      </c>
      <c r="E93" s="104">
        <v>3.96</v>
      </c>
      <c r="F93" s="102" t="s">
        <v>2945</v>
      </c>
      <c r="G93" s="4" t="s">
        <v>2949</v>
      </c>
      <c r="H93" s="4" t="s">
        <v>2824</v>
      </c>
      <c r="I93" s="110">
        <v>45197</v>
      </c>
    </row>
    <row r="94" spans="1:9">
      <c r="A94" s="66" t="s">
        <v>2955</v>
      </c>
      <c r="B94" s="103">
        <v>45227</v>
      </c>
      <c r="C94" s="13" t="s">
        <v>2299</v>
      </c>
      <c r="D94" s="13" t="s">
        <v>716</v>
      </c>
      <c r="E94" s="104">
        <v>13.295</v>
      </c>
      <c r="F94" s="102" t="s">
        <v>2945</v>
      </c>
      <c r="G94" s="4" t="s">
        <v>2949</v>
      </c>
      <c r="H94" s="4" t="s">
        <v>2689</v>
      </c>
      <c r="I94" s="110">
        <v>45197</v>
      </c>
    </row>
    <row r="95" spans="1:9">
      <c r="A95" s="66" t="s">
        <v>2956</v>
      </c>
      <c r="B95" s="103">
        <v>45227</v>
      </c>
      <c r="C95" s="13" t="s">
        <v>2299</v>
      </c>
      <c r="D95" s="13" t="s">
        <v>716</v>
      </c>
      <c r="E95" s="104">
        <v>0.75600000000000001</v>
      </c>
      <c r="F95" s="102" t="s">
        <v>2945</v>
      </c>
      <c r="G95" s="4" t="s">
        <v>2949</v>
      </c>
      <c r="H95" s="4" t="s">
        <v>2895</v>
      </c>
      <c r="I95" s="110">
        <v>45197</v>
      </c>
    </row>
    <row r="96" spans="1:9">
      <c r="A96" s="1"/>
      <c r="B96" s="3"/>
      <c r="C96" s="1"/>
      <c r="D96" s="1"/>
      <c r="E96" s="57">
        <f>SUM(E85:E95)</f>
        <v>31.908000000000001</v>
      </c>
      <c r="F96" s="24"/>
      <c r="G96" s="1"/>
      <c r="H96" s="1"/>
      <c r="I96" s="3"/>
    </row>
    <row r="97" spans="1:9">
      <c r="A97" s="66" t="s">
        <v>2966</v>
      </c>
      <c r="B97" s="103">
        <v>45228</v>
      </c>
      <c r="C97" s="13" t="s">
        <v>1756</v>
      </c>
      <c r="D97" s="13" t="s">
        <v>716</v>
      </c>
      <c r="E97" s="104">
        <f>0.429+24.424</f>
        <v>24.852999999999998</v>
      </c>
      <c r="F97" s="102" t="s">
        <v>573</v>
      </c>
      <c r="G97" s="4" t="s">
        <v>2967</v>
      </c>
      <c r="H97" s="4" t="s">
        <v>2968</v>
      </c>
      <c r="I97" s="110">
        <v>45152</v>
      </c>
    </row>
    <row r="98" spans="1:9">
      <c r="A98" s="66" t="s">
        <v>2966</v>
      </c>
      <c r="B98" s="103">
        <v>45228</v>
      </c>
      <c r="C98" s="13" t="s">
        <v>1801</v>
      </c>
      <c r="D98" s="13" t="s">
        <v>716</v>
      </c>
      <c r="E98" s="104">
        <f>4.556+3.139</f>
        <v>7.6950000000000003</v>
      </c>
      <c r="F98" s="102" t="s">
        <v>573</v>
      </c>
      <c r="G98" s="4" t="s">
        <v>2967</v>
      </c>
      <c r="H98" s="4" t="s">
        <v>2968</v>
      </c>
      <c r="I98" s="110">
        <v>45152</v>
      </c>
    </row>
    <row r="99" spans="1:9">
      <c r="A99" s="66" t="s">
        <v>2969</v>
      </c>
      <c r="B99" s="103">
        <v>45228</v>
      </c>
      <c r="C99" s="13" t="s">
        <v>1823</v>
      </c>
      <c r="D99" s="13" t="s">
        <v>716</v>
      </c>
      <c r="E99" s="104">
        <v>32.545000000000002</v>
      </c>
      <c r="F99" s="102" t="s">
        <v>2970</v>
      </c>
      <c r="G99" s="4" t="s">
        <v>2971</v>
      </c>
      <c r="H99" s="4" t="s">
        <v>2968</v>
      </c>
      <c r="I99" s="110">
        <v>45152</v>
      </c>
    </row>
    <row r="100" spans="1:9">
      <c r="A100" s="66" t="s">
        <v>2972</v>
      </c>
      <c r="B100" s="103">
        <v>45228</v>
      </c>
      <c r="C100" s="13" t="s">
        <v>1341</v>
      </c>
      <c r="D100" s="13" t="s">
        <v>716</v>
      </c>
      <c r="E100" s="104">
        <v>1.9139999999999999</v>
      </c>
      <c r="F100" s="102" t="s">
        <v>2638</v>
      </c>
      <c r="G100" s="4" t="s">
        <v>2973</v>
      </c>
      <c r="H100" s="4" t="s">
        <v>2663</v>
      </c>
      <c r="I100" s="110">
        <v>45188</v>
      </c>
    </row>
    <row r="101" spans="1:9">
      <c r="A101" s="66" t="s">
        <v>2972</v>
      </c>
      <c r="B101" s="103">
        <v>45228</v>
      </c>
      <c r="C101" s="13" t="s">
        <v>1367</v>
      </c>
      <c r="D101" s="13" t="s">
        <v>716</v>
      </c>
      <c r="E101" s="104">
        <v>2.0169999999999999</v>
      </c>
      <c r="F101" s="102" t="s">
        <v>2638</v>
      </c>
      <c r="G101" s="4" t="s">
        <v>2973</v>
      </c>
      <c r="H101" s="4" t="s">
        <v>2663</v>
      </c>
      <c r="I101" s="110">
        <v>45188</v>
      </c>
    </row>
    <row r="102" spans="1:9">
      <c r="A102" s="66" t="s">
        <v>2974</v>
      </c>
      <c r="B102" s="103">
        <v>45228</v>
      </c>
      <c r="C102" s="13" t="s">
        <v>1350</v>
      </c>
      <c r="D102" s="13" t="s">
        <v>716</v>
      </c>
      <c r="E102" s="104">
        <v>1.3440000000000001</v>
      </c>
      <c r="F102" s="102" t="s">
        <v>2638</v>
      </c>
      <c r="G102" s="4" t="s">
        <v>2973</v>
      </c>
      <c r="H102" s="4" t="s">
        <v>2545</v>
      </c>
      <c r="I102" s="110">
        <v>45139</v>
      </c>
    </row>
    <row r="103" spans="1:9">
      <c r="A103" s="66" t="s">
        <v>2975</v>
      </c>
      <c r="B103" s="103">
        <v>45228</v>
      </c>
      <c r="C103" s="13" t="s">
        <v>1317</v>
      </c>
      <c r="D103" s="13" t="s">
        <v>716</v>
      </c>
      <c r="E103" s="104">
        <v>0.09</v>
      </c>
      <c r="F103" s="102" t="s">
        <v>2638</v>
      </c>
      <c r="G103" s="4" t="s">
        <v>2973</v>
      </c>
      <c r="H103" s="4" t="s">
        <v>2912</v>
      </c>
      <c r="I103" s="110">
        <v>45167</v>
      </c>
    </row>
    <row r="104" spans="1:9">
      <c r="A104" s="66" t="s">
        <v>2976</v>
      </c>
      <c r="B104" s="103">
        <v>45228</v>
      </c>
      <c r="C104" s="13" t="s">
        <v>1478</v>
      </c>
      <c r="D104" s="13" t="s">
        <v>716</v>
      </c>
      <c r="E104" s="104">
        <v>0.39100000000000001</v>
      </c>
      <c r="F104" s="102" t="s">
        <v>2638</v>
      </c>
      <c r="G104" s="4" t="s">
        <v>2973</v>
      </c>
      <c r="H104" s="4" t="s">
        <v>2977</v>
      </c>
      <c r="I104" s="110">
        <v>45167</v>
      </c>
    </row>
    <row r="105" spans="1:9">
      <c r="A105" s="66" t="s">
        <v>2976</v>
      </c>
      <c r="B105" s="103">
        <v>45228</v>
      </c>
      <c r="C105" s="13" t="s">
        <v>1823</v>
      </c>
      <c r="D105" s="13" t="s">
        <v>716</v>
      </c>
      <c r="E105" s="104">
        <v>0.14599999999999999</v>
      </c>
      <c r="F105" s="102" t="s">
        <v>2638</v>
      </c>
      <c r="G105" s="4" t="s">
        <v>2973</v>
      </c>
      <c r="H105" s="4" t="s">
        <v>2977</v>
      </c>
      <c r="I105" s="110">
        <v>45167</v>
      </c>
    </row>
    <row r="106" spans="1:9">
      <c r="A106" s="66" t="s">
        <v>2979</v>
      </c>
      <c r="B106" s="103">
        <v>45228</v>
      </c>
      <c r="C106" s="13" t="s">
        <v>1478</v>
      </c>
      <c r="D106" s="13" t="s">
        <v>716</v>
      </c>
      <c r="E106" s="104">
        <f>3.402+0.959</f>
        <v>4.3609999999999998</v>
      </c>
      <c r="F106" s="102" t="s">
        <v>2638</v>
      </c>
      <c r="G106" s="4" t="s">
        <v>2980</v>
      </c>
      <c r="H106" s="4" t="s">
        <v>2941</v>
      </c>
      <c r="I106" s="110">
        <v>45197</v>
      </c>
    </row>
    <row r="107" spans="1:9">
      <c r="A107" s="66" t="s">
        <v>2979</v>
      </c>
      <c r="B107" s="103">
        <v>45228</v>
      </c>
      <c r="C107" s="13" t="s">
        <v>2978</v>
      </c>
      <c r="D107" s="13" t="s">
        <v>716</v>
      </c>
      <c r="E107" s="104">
        <v>0.98099999999999998</v>
      </c>
      <c r="F107" s="102" t="s">
        <v>2638</v>
      </c>
      <c r="G107" s="4" t="s">
        <v>2980</v>
      </c>
      <c r="H107" s="4" t="s">
        <v>2941</v>
      </c>
      <c r="I107" s="110">
        <v>45197</v>
      </c>
    </row>
    <row r="108" spans="1:9">
      <c r="A108" s="66" t="s">
        <v>2979</v>
      </c>
      <c r="B108" s="103">
        <v>45228</v>
      </c>
      <c r="C108" s="13" t="s">
        <v>2299</v>
      </c>
      <c r="D108" s="13" t="s">
        <v>716</v>
      </c>
      <c r="E108" s="104">
        <v>8.8930000000000007</v>
      </c>
      <c r="F108" s="102" t="s">
        <v>2638</v>
      </c>
      <c r="G108" s="4" t="s">
        <v>2980</v>
      </c>
      <c r="H108" s="4" t="s">
        <v>2941</v>
      </c>
      <c r="I108" s="110">
        <v>45197</v>
      </c>
    </row>
    <row r="109" spans="1:9">
      <c r="A109" s="66" t="s">
        <v>2979</v>
      </c>
      <c r="B109" s="103">
        <v>45228</v>
      </c>
      <c r="C109" s="13" t="s">
        <v>2617</v>
      </c>
      <c r="D109" s="13" t="s">
        <v>716</v>
      </c>
      <c r="E109" s="104">
        <v>0.36799999999999999</v>
      </c>
      <c r="F109" s="102" t="s">
        <v>2638</v>
      </c>
      <c r="G109" s="4" t="s">
        <v>2980</v>
      </c>
      <c r="H109" s="4" t="s">
        <v>2941</v>
      </c>
      <c r="I109" s="110">
        <v>45197</v>
      </c>
    </row>
    <row r="110" spans="1:9">
      <c r="A110" s="66" t="s">
        <v>2981</v>
      </c>
      <c r="B110" s="103">
        <v>45228</v>
      </c>
      <c r="C110" s="13" t="s">
        <v>1478</v>
      </c>
      <c r="D110" s="13" t="s">
        <v>716</v>
      </c>
      <c r="E110" s="104">
        <v>0.49399999999999999</v>
      </c>
      <c r="F110" s="102" t="s">
        <v>2638</v>
      </c>
      <c r="G110" s="4" t="s">
        <v>2982</v>
      </c>
      <c r="H110" s="4" t="s">
        <v>2918</v>
      </c>
      <c r="I110" s="110">
        <v>45197</v>
      </c>
    </row>
    <row r="111" spans="1:9">
      <c r="A111" s="66" t="s">
        <v>2981</v>
      </c>
      <c r="B111" s="103">
        <v>45228</v>
      </c>
      <c r="C111" s="13" t="s">
        <v>2299</v>
      </c>
      <c r="D111" s="13" t="s">
        <v>716</v>
      </c>
      <c r="E111" s="104">
        <f>2.521+1.267</f>
        <v>3.7879999999999998</v>
      </c>
      <c r="F111" s="102" t="s">
        <v>2638</v>
      </c>
      <c r="G111" s="4" t="s">
        <v>2982</v>
      </c>
      <c r="H111" s="4" t="s">
        <v>2918</v>
      </c>
      <c r="I111" s="110">
        <v>45197</v>
      </c>
    </row>
    <row r="112" spans="1:9">
      <c r="A112" s="66" t="s">
        <v>2983</v>
      </c>
      <c r="B112" s="103">
        <v>45228</v>
      </c>
      <c r="C112" s="13" t="s">
        <v>2978</v>
      </c>
      <c r="D112" s="13" t="s">
        <v>716</v>
      </c>
      <c r="E112" s="104">
        <v>0.58799999999999997</v>
      </c>
      <c r="F112" s="102" t="s">
        <v>2638</v>
      </c>
      <c r="G112" s="4" t="s">
        <v>2984</v>
      </c>
      <c r="H112" s="4" t="s">
        <v>2824</v>
      </c>
      <c r="I112" s="110">
        <v>45197</v>
      </c>
    </row>
    <row r="113" spans="1:9">
      <c r="A113" s="66" t="s">
        <v>2983</v>
      </c>
      <c r="B113" s="103">
        <v>45228</v>
      </c>
      <c r="C113" s="13" t="s">
        <v>2617</v>
      </c>
      <c r="D113" s="13" t="s">
        <v>716</v>
      </c>
      <c r="E113" s="104">
        <v>0.61199999999999999</v>
      </c>
      <c r="F113" s="102" t="s">
        <v>2638</v>
      </c>
      <c r="G113" s="4" t="s">
        <v>2984</v>
      </c>
      <c r="H113" s="4" t="s">
        <v>2824</v>
      </c>
      <c r="I113" s="110">
        <v>45197</v>
      </c>
    </row>
    <row r="114" spans="1:9">
      <c r="A114" s="66" t="s">
        <v>2983</v>
      </c>
      <c r="B114" s="103">
        <v>45228</v>
      </c>
      <c r="C114" s="13" t="s">
        <v>1823</v>
      </c>
      <c r="D114" s="13" t="s">
        <v>716</v>
      </c>
      <c r="E114" s="104">
        <v>0.79900000000000004</v>
      </c>
      <c r="F114" s="102" t="s">
        <v>2638</v>
      </c>
      <c r="G114" s="4" t="s">
        <v>2984</v>
      </c>
      <c r="H114" s="4" t="s">
        <v>2824</v>
      </c>
      <c r="I114" s="110">
        <v>45197</v>
      </c>
    </row>
    <row r="115" spans="1:9">
      <c r="A115" s="66" t="s">
        <v>2985</v>
      </c>
      <c r="B115" s="103">
        <v>45228</v>
      </c>
      <c r="C115" s="13" t="s">
        <v>2978</v>
      </c>
      <c r="D115" s="13" t="s">
        <v>716</v>
      </c>
      <c r="E115" s="104">
        <v>0.39200000000000002</v>
      </c>
      <c r="F115" s="102" t="s">
        <v>2638</v>
      </c>
      <c r="G115" s="4" t="s">
        <v>2984</v>
      </c>
      <c r="H115" s="4" t="s">
        <v>2925</v>
      </c>
      <c r="I115" s="110">
        <v>45197</v>
      </c>
    </row>
    <row r="116" spans="1:9">
      <c r="A116" s="66" t="s">
        <v>2986</v>
      </c>
      <c r="B116" s="103">
        <v>45228</v>
      </c>
      <c r="C116" s="13" t="s">
        <v>2617</v>
      </c>
      <c r="D116" s="13" t="s">
        <v>716</v>
      </c>
      <c r="E116" s="104">
        <v>1.31</v>
      </c>
      <c r="F116" s="102" t="s">
        <v>2638</v>
      </c>
      <c r="G116" s="4" t="s">
        <v>2984</v>
      </c>
      <c r="H116" s="4" t="s">
        <v>2689</v>
      </c>
      <c r="I116" s="110">
        <v>45197</v>
      </c>
    </row>
    <row r="117" spans="1:9">
      <c r="A117" s="66" t="s">
        <v>2986</v>
      </c>
      <c r="B117" s="103">
        <v>45228</v>
      </c>
      <c r="C117" s="13" t="s">
        <v>1823</v>
      </c>
      <c r="D117" s="13" t="s">
        <v>716</v>
      </c>
      <c r="E117" s="104">
        <v>0.64100000000000001</v>
      </c>
      <c r="F117" s="102" t="s">
        <v>2638</v>
      </c>
      <c r="G117" s="4" t="s">
        <v>2984</v>
      </c>
      <c r="H117" s="4" t="s">
        <v>2689</v>
      </c>
      <c r="I117" s="110">
        <v>45197</v>
      </c>
    </row>
    <row r="118" spans="1:9">
      <c r="A118" s="66" t="s">
        <v>2987</v>
      </c>
      <c r="B118" s="103">
        <v>45228</v>
      </c>
      <c r="C118" s="13" t="s">
        <v>1823</v>
      </c>
      <c r="D118" s="13" t="s">
        <v>716</v>
      </c>
      <c r="E118" s="104">
        <v>2.9950000000000001</v>
      </c>
      <c r="F118" s="102" t="s">
        <v>2638</v>
      </c>
      <c r="G118" s="4" t="s">
        <v>2984</v>
      </c>
      <c r="H118" s="4" t="s">
        <v>2968</v>
      </c>
      <c r="I118" s="110">
        <v>45152</v>
      </c>
    </row>
    <row r="119" spans="1:9">
      <c r="A119" s="1"/>
      <c r="B119" s="3"/>
      <c r="C119" s="1"/>
      <c r="D119" s="1"/>
      <c r="E119" s="57">
        <f>SUM(E97:E118)</f>
        <v>97.216999999999999</v>
      </c>
      <c r="F119" s="24"/>
      <c r="G119" s="1"/>
      <c r="H119" s="1"/>
      <c r="I119" s="3"/>
    </row>
    <row r="120" spans="1:9">
      <c r="A120" s="66" t="s">
        <v>2988</v>
      </c>
      <c r="B120" s="103">
        <v>45229</v>
      </c>
      <c r="C120" s="13" t="s">
        <v>2197</v>
      </c>
      <c r="D120" s="13" t="s">
        <v>716</v>
      </c>
      <c r="E120" s="104">
        <v>19.559000000000001</v>
      </c>
      <c r="F120" s="102" t="s">
        <v>1918</v>
      </c>
      <c r="G120" s="4" t="s">
        <v>2989</v>
      </c>
      <c r="H120" s="4" t="s">
        <v>2968</v>
      </c>
      <c r="I120" s="110">
        <v>45152</v>
      </c>
    </row>
    <row r="121" spans="1:9">
      <c r="A121" s="66" t="s">
        <v>2988</v>
      </c>
      <c r="B121" s="103">
        <v>45229</v>
      </c>
      <c r="C121" s="13" t="s">
        <v>1796</v>
      </c>
      <c r="D121" s="13" t="s">
        <v>716</v>
      </c>
      <c r="E121" s="104">
        <f>3.089+9.448</f>
        <v>12.537000000000001</v>
      </c>
      <c r="F121" s="102" t="s">
        <v>1918</v>
      </c>
      <c r="G121" s="4" t="s">
        <v>2989</v>
      </c>
      <c r="H121" s="4" t="s">
        <v>2968</v>
      </c>
      <c r="I121" s="110">
        <v>45152</v>
      </c>
    </row>
    <row r="122" spans="1:9">
      <c r="A122" s="66" t="s">
        <v>3002</v>
      </c>
      <c r="B122" s="103">
        <v>45229</v>
      </c>
      <c r="C122" s="13" t="s">
        <v>2197</v>
      </c>
      <c r="D122" s="13" t="s">
        <v>716</v>
      </c>
      <c r="E122" s="104">
        <v>2.7879999999999998</v>
      </c>
      <c r="F122" s="102" t="s">
        <v>717</v>
      </c>
      <c r="G122" s="4" t="s">
        <v>3003</v>
      </c>
      <c r="H122" s="4" t="s">
        <v>2968</v>
      </c>
      <c r="I122" s="110">
        <v>45152</v>
      </c>
    </row>
    <row r="123" spans="1:9">
      <c r="A123" s="66" t="s">
        <v>3002</v>
      </c>
      <c r="B123" s="103">
        <v>45229</v>
      </c>
      <c r="C123" s="13" t="s">
        <v>1791</v>
      </c>
      <c r="D123" s="13" t="s">
        <v>716</v>
      </c>
      <c r="E123" s="104">
        <v>12.823</v>
      </c>
      <c r="F123" s="102" t="s">
        <v>717</v>
      </c>
      <c r="G123" s="4" t="s">
        <v>3003</v>
      </c>
      <c r="H123" s="4" t="s">
        <v>2968</v>
      </c>
      <c r="I123" s="110">
        <v>45152</v>
      </c>
    </row>
    <row r="124" spans="1:9">
      <c r="A124" s="66" t="s">
        <v>3002</v>
      </c>
      <c r="B124" s="103">
        <v>45229</v>
      </c>
      <c r="C124" s="13" t="s">
        <v>1705</v>
      </c>
      <c r="D124" s="13" t="s">
        <v>716</v>
      </c>
      <c r="E124" s="104">
        <v>3.621</v>
      </c>
      <c r="F124" s="102" t="s">
        <v>717</v>
      </c>
      <c r="G124" s="4" t="s">
        <v>3003</v>
      </c>
      <c r="H124" s="4" t="s">
        <v>2968</v>
      </c>
      <c r="I124" s="110">
        <v>45152</v>
      </c>
    </row>
    <row r="125" spans="1:9">
      <c r="A125" s="66" t="s">
        <v>3002</v>
      </c>
      <c r="B125" s="103">
        <v>45229</v>
      </c>
      <c r="C125" s="13" t="s">
        <v>1801</v>
      </c>
      <c r="D125" s="13" t="s">
        <v>716</v>
      </c>
      <c r="E125" s="104">
        <f>8.341+0.747</f>
        <v>9.0879999999999992</v>
      </c>
      <c r="F125" s="102" t="s">
        <v>717</v>
      </c>
      <c r="G125" s="4" t="s">
        <v>3003</v>
      </c>
      <c r="H125" s="4" t="s">
        <v>2968</v>
      </c>
      <c r="I125" s="110">
        <v>45152</v>
      </c>
    </row>
    <row r="126" spans="1:9">
      <c r="A126" s="66" t="s">
        <v>3002</v>
      </c>
      <c r="B126" s="103">
        <v>45229</v>
      </c>
      <c r="C126" s="13" t="s">
        <v>1823</v>
      </c>
      <c r="D126" s="13" t="s">
        <v>716</v>
      </c>
      <c r="E126" s="104">
        <v>8.1050000000000004</v>
      </c>
      <c r="F126" s="102" t="s">
        <v>717</v>
      </c>
      <c r="G126" s="4" t="s">
        <v>3003</v>
      </c>
      <c r="H126" s="4" t="s">
        <v>2968</v>
      </c>
      <c r="I126" s="110">
        <v>45152</v>
      </c>
    </row>
    <row r="127" spans="1:9">
      <c r="A127" s="66" t="s">
        <v>3004</v>
      </c>
      <c r="B127" s="103">
        <v>45229</v>
      </c>
      <c r="C127" s="13" t="s">
        <v>2197</v>
      </c>
      <c r="D127" s="13" t="s">
        <v>716</v>
      </c>
      <c r="E127" s="104">
        <v>1.129</v>
      </c>
      <c r="F127" s="102" t="s">
        <v>717</v>
      </c>
      <c r="G127" s="4" t="s">
        <v>3005</v>
      </c>
      <c r="H127" s="4" t="s">
        <v>2545</v>
      </c>
      <c r="I127" s="110">
        <v>45139</v>
      </c>
    </row>
    <row r="128" spans="1:9">
      <c r="A128" s="66" t="s">
        <v>3006</v>
      </c>
      <c r="B128" s="103">
        <v>45229</v>
      </c>
      <c r="C128" s="13" t="s">
        <v>2299</v>
      </c>
      <c r="D128" s="13" t="s">
        <v>716</v>
      </c>
      <c r="E128" s="104">
        <v>1.944</v>
      </c>
      <c r="F128" s="102" t="s">
        <v>717</v>
      </c>
      <c r="G128" s="4" t="s">
        <v>3005</v>
      </c>
      <c r="H128" s="4" t="s">
        <v>2977</v>
      </c>
      <c r="I128" s="110">
        <v>45167</v>
      </c>
    </row>
    <row r="129" spans="1:9">
      <c r="A129" s="1"/>
      <c r="B129" s="103"/>
      <c r="C129" s="1"/>
      <c r="D129" s="13"/>
      <c r="E129" s="57">
        <f>SUM(E120:E128)</f>
        <v>71.594000000000008</v>
      </c>
      <c r="F129" s="24"/>
      <c r="G129" s="1"/>
      <c r="H129" s="1"/>
      <c r="I129" s="3"/>
    </row>
    <row r="130" spans="1:9">
      <c r="A130" s="66" t="s">
        <v>3028</v>
      </c>
      <c r="B130" s="103">
        <v>45230</v>
      </c>
      <c r="C130" s="13" t="s">
        <v>1255</v>
      </c>
      <c r="D130" s="13" t="s">
        <v>716</v>
      </c>
      <c r="E130" s="104">
        <f>17.276+12.035</f>
        <v>29.311</v>
      </c>
      <c r="F130" s="24" t="s">
        <v>1127</v>
      </c>
      <c r="G130" s="1" t="s">
        <v>3029</v>
      </c>
      <c r="H130" s="1" t="s">
        <v>3030</v>
      </c>
      <c r="I130" s="110">
        <v>45227</v>
      </c>
    </row>
    <row r="131" spans="1:9">
      <c r="A131" s="66" t="s">
        <v>3031</v>
      </c>
      <c r="B131" s="103">
        <v>45230</v>
      </c>
      <c r="C131" s="13" t="s">
        <v>2616</v>
      </c>
      <c r="D131" s="13" t="s">
        <v>716</v>
      </c>
      <c r="E131" s="104">
        <v>2.895</v>
      </c>
      <c r="F131" s="24" t="s">
        <v>1127</v>
      </c>
      <c r="G131" s="1" t="s">
        <v>3032</v>
      </c>
      <c r="H131" s="1" t="s">
        <v>3033</v>
      </c>
      <c r="I131" s="110">
        <v>45197</v>
      </c>
    </row>
    <row r="132" spans="1:9">
      <c r="A132" s="66" t="s">
        <v>3034</v>
      </c>
      <c r="B132" s="103">
        <v>45230</v>
      </c>
      <c r="C132" s="13" t="s">
        <v>1640</v>
      </c>
      <c r="D132" s="13" t="s">
        <v>716</v>
      </c>
      <c r="E132" s="104">
        <v>13.994</v>
      </c>
      <c r="F132" s="24" t="s">
        <v>973</v>
      </c>
      <c r="G132" s="1" t="s">
        <v>3035</v>
      </c>
      <c r="H132" s="1" t="s">
        <v>3030</v>
      </c>
      <c r="I132" s="110">
        <v>45227</v>
      </c>
    </row>
    <row r="133" spans="1:9">
      <c r="A133" s="66" t="s">
        <v>3036</v>
      </c>
      <c r="B133" s="103">
        <v>45230</v>
      </c>
      <c r="C133" s="13" t="s">
        <v>1695</v>
      </c>
      <c r="D133" s="13" t="s">
        <v>716</v>
      </c>
      <c r="E133" s="104">
        <v>40.076999999999998</v>
      </c>
      <c r="F133" s="24" t="s">
        <v>1957</v>
      </c>
      <c r="G133" s="1" t="s">
        <v>3037</v>
      </c>
      <c r="H133" s="1" t="s">
        <v>3030</v>
      </c>
      <c r="I133" s="110">
        <v>45227</v>
      </c>
    </row>
    <row r="134" spans="1:9">
      <c r="A134" s="66" t="s">
        <v>3038</v>
      </c>
      <c r="B134" s="103">
        <v>45230</v>
      </c>
      <c r="C134" s="13" t="s">
        <v>1255</v>
      </c>
      <c r="D134" s="13" t="s">
        <v>716</v>
      </c>
      <c r="E134" s="104">
        <f>28.289+4.368</f>
        <v>32.657000000000004</v>
      </c>
      <c r="F134" s="24" t="s">
        <v>2337</v>
      </c>
      <c r="G134" s="1" t="s">
        <v>3039</v>
      </c>
      <c r="H134" s="1" t="s">
        <v>3030</v>
      </c>
      <c r="I134" s="110">
        <v>45227</v>
      </c>
    </row>
    <row r="135" spans="1:9">
      <c r="A135" s="1"/>
      <c r="B135" s="103"/>
      <c r="C135" s="1"/>
      <c r="D135" s="13"/>
      <c r="E135" s="57">
        <f>SUM(E130:E134)</f>
        <v>118.934</v>
      </c>
      <c r="F135" s="24"/>
      <c r="G135" s="1"/>
      <c r="H135" s="1"/>
      <c r="I135" s="3"/>
    </row>
    <row r="136" spans="1:9">
      <c r="A136" s="66" t="s">
        <v>3043</v>
      </c>
      <c r="B136" s="103">
        <v>45231</v>
      </c>
      <c r="C136" s="13" t="s">
        <v>1255</v>
      </c>
      <c r="D136" s="13" t="s">
        <v>716</v>
      </c>
      <c r="E136" s="104">
        <f>24.943+8.097</f>
        <v>33.04</v>
      </c>
      <c r="F136" s="24" t="s">
        <v>1886</v>
      </c>
      <c r="G136" s="1" t="s">
        <v>3044</v>
      </c>
      <c r="H136" s="1" t="s">
        <v>3030</v>
      </c>
      <c r="I136" s="110">
        <v>45227</v>
      </c>
    </row>
    <row r="137" spans="1:9">
      <c r="A137" s="66" t="s">
        <v>3051</v>
      </c>
      <c r="B137" s="103">
        <v>45231</v>
      </c>
      <c r="C137" s="13" t="s">
        <v>1255</v>
      </c>
      <c r="D137" s="13" t="s">
        <v>716</v>
      </c>
      <c r="E137" s="104">
        <f>21.085+8.111</f>
        <v>29.196000000000002</v>
      </c>
      <c r="F137" s="24" t="s">
        <v>2787</v>
      </c>
      <c r="G137" s="1" t="s">
        <v>3052</v>
      </c>
      <c r="H137" s="1" t="s">
        <v>3030</v>
      </c>
      <c r="I137" s="110">
        <v>45227</v>
      </c>
    </row>
    <row r="138" spans="1:9">
      <c r="A138" s="66" t="s">
        <v>3051</v>
      </c>
      <c r="B138" s="103">
        <v>45231</v>
      </c>
      <c r="C138" s="13" t="s">
        <v>1640</v>
      </c>
      <c r="D138" s="13" t="s">
        <v>716</v>
      </c>
      <c r="E138" s="104">
        <v>3.0459999999999998</v>
      </c>
      <c r="F138" s="24" t="s">
        <v>2787</v>
      </c>
      <c r="G138" s="1" t="s">
        <v>3052</v>
      </c>
      <c r="H138" s="1" t="s">
        <v>3030</v>
      </c>
      <c r="I138" s="110">
        <v>45227</v>
      </c>
    </row>
    <row r="139" spans="1:9">
      <c r="A139" s="1"/>
      <c r="B139" s="103"/>
      <c r="C139" s="4"/>
      <c r="D139" s="13"/>
      <c r="E139" s="41">
        <f>SUM(E136:E138)</f>
        <v>65.282000000000011</v>
      </c>
      <c r="F139" s="24"/>
      <c r="G139" s="1"/>
      <c r="H139" s="1"/>
      <c r="I139" s="3"/>
    </row>
    <row r="140" spans="1:9">
      <c r="A140" s="66" t="s">
        <v>3066</v>
      </c>
      <c r="B140" s="103">
        <v>45232</v>
      </c>
      <c r="C140" s="13" t="s">
        <v>1640</v>
      </c>
      <c r="D140" s="13" t="s">
        <v>716</v>
      </c>
      <c r="E140" s="104">
        <v>6.99</v>
      </c>
      <c r="F140" s="102" t="s">
        <v>3067</v>
      </c>
      <c r="G140" s="1" t="s">
        <v>3068</v>
      </c>
      <c r="H140" s="1" t="s">
        <v>3030</v>
      </c>
      <c r="I140" s="110">
        <v>45227</v>
      </c>
    </row>
    <row r="141" spans="1:9">
      <c r="A141" s="66" t="s">
        <v>3066</v>
      </c>
      <c r="B141" s="103">
        <v>45232</v>
      </c>
      <c r="C141" s="13" t="s">
        <v>1695</v>
      </c>
      <c r="D141" s="13" t="s">
        <v>716</v>
      </c>
      <c r="E141" s="104">
        <v>9.3539999999999992</v>
      </c>
      <c r="F141" s="102" t="s">
        <v>3067</v>
      </c>
      <c r="G141" s="1" t="s">
        <v>3068</v>
      </c>
      <c r="H141" s="1" t="s">
        <v>3030</v>
      </c>
      <c r="I141" s="110">
        <v>45227</v>
      </c>
    </row>
    <row r="142" spans="1:9">
      <c r="A142" s="66" t="s">
        <v>3066</v>
      </c>
      <c r="B142" s="103">
        <v>45232</v>
      </c>
      <c r="C142" s="13" t="s">
        <v>1245</v>
      </c>
      <c r="D142" s="13" t="s">
        <v>716</v>
      </c>
      <c r="E142" s="104">
        <f>1.654+22.122</f>
        <v>23.776</v>
      </c>
      <c r="F142" s="102" t="s">
        <v>3067</v>
      </c>
      <c r="G142" s="1" t="s">
        <v>3068</v>
      </c>
      <c r="H142" s="1" t="s">
        <v>3030</v>
      </c>
      <c r="I142" s="110">
        <v>45227</v>
      </c>
    </row>
    <row r="143" spans="1:9">
      <c r="A143" s="1"/>
      <c r="B143" s="3"/>
      <c r="C143" s="1"/>
      <c r="D143" s="1"/>
      <c r="E143" s="41">
        <f>SUM(E140:E142)</f>
        <v>40.120000000000005</v>
      </c>
      <c r="F143" s="24"/>
      <c r="G143" s="1"/>
      <c r="H143" s="1"/>
      <c r="I143" s="3"/>
    </row>
    <row r="144" spans="1:9">
      <c r="A144" s="66" t="s">
        <v>3077</v>
      </c>
      <c r="B144" s="103">
        <v>45233</v>
      </c>
      <c r="C144" s="13" t="s">
        <v>1260</v>
      </c>
      <c r="D144" s="13" t="s">
        <v>716</v>
      </c>
      <c r="E144" s="104">
        <v>0.19400000000000001</v>
      </c>
      <c r="F144" s="24" t="s">
        <v>573</v>
      </c>
      <c r="G144" s="1" t="s">
        <v>3078</v>
      </c>
      <c r="H144" s="4" t="s">
        <v>2386</v>
      </c>
      <c r="I144" s="110">
        <v>45167</v>
      </c>
    </row>
    <row r="145" spans="1:9">
      <c r="A145" s="66" t="s">
        <v>3079</v>
      </c>
      <c r="B145" s="103">
        <v>45233</v>
      </c>
      <c r="C145" s="13" t="s">
        <v>1791</v>
      </c>
      <c r="D145" s="13" t="s">
        <v>716</v>
      </c>
      <c r="E145" s="104">
        <v>0.20399999999999999</v>
      </c>
      <c r="F145" s="24" t="s">
        <v>573</v>
      </c>
      <c r="G145" s="1" t="s">
        <v>3080</v>
      </c>
      <c r="H145" s="4" t="s">
        <v>2968</v>
      </c>
      <c r="I145" s="110">
        <v>45152</v>
      </c>
    </row>
    <row r="146" spans="1:9">
      <c r="A146" s="66" t="s">
        <v>3079</v>
      </c>
      <c r="B146" s="103">
        <v>45233</v>
      </c>
      <c r="C146" s="13" t="s">
        <v>1801</v>
      </c>
      <c r="D146" s="13" t="s">
        <v>716</v>
      </c>
      <c r="E146" s="104">
        <v>1.871</v>
      </c>
      <c r="F146" s="24" t="s">
        <v>573</v>
      </c>
      <c r="G146" s="1" t="s">
        <v>3080</v>
      </c>
      <c r="H146" s="4" t="s">
        <v>2968</v>
      </c>
      <c r="I146" s="110">
        <v>45152</v>
      </c>
    </row>
    <row r="147" spans="1:9">
      <c r="A147" s="66" t="s">
        <v>3079</v>
      </c>
      <c r="B147" s="103">
        <v>45233</v>
      </c>
      <c r="C147" s="13" t="s">
        <v>1756</v>
      </c>
      <c r="D147" s="13" t="s">
        <v>716</v>
      </c>
      <c r="E147" s="104">
        <v>1.1819999999999999</v>
      </c>
      <c r="F147" s="24" t="s">
        <v>573</v>
      </c>
      <c r="G147" s="1" t="s">
        <v>3080</v>
      </c>
      <c r="H147" s="4" t="s">
        <v>2968</v>
      </c>
      <c r="I147" s="110">
        <v>45152</v>
      </c>
    </row>
    <row r="148" spans="1:9">
      <c r="A148" s="66" t="s">
        <v>3079</v>
      </c>
      <c r="B148" s="103">
        <v>45233</v>
      </c>
      <c r="C148" s="13" t="s">
        <v>1823</v>
      </c>
      <c r="D148" s="13" t="s">
        <v>716</v>
      </c>
      <c r="E148" s="104">
        <v>0.64100000000000001</v>
      </c>
      <c r="F148" s="24" t="s">
        <v>573</v>
      </c>
      <c r="G148" s="1" t="s">
        <v>3080</v>
      </c>
      <c r="H148" s="4" t="s">
        <v>2968</v>
      </c>
      <c r="I148" s="110">
        <v>45152</v>
      </c>
    </row>
    <row r="149" spans="1:9">
      <c r="A149" s="66" t="s">
        <v>3079</v>
      </c>
      <c r="B149" s="103">
        <v>45233</v>
      </c>
      <c r="C149" s="13" t="s">
        <v>1823</v>
      </c>
      <c r="D149" s="13" t="s">
        <v>716</v>
      </c>
      <c r="E149" s="104">
        <v>0.121</v>
      </c>
      <c r="F149" s="24" t="s">
        <v>573</v>
      </c>
      <c r="G149" s="1" t="s">
        <v>3080</v>
      </c>
      <c r="H149" s="4" t="s">
        <v>2968</v>
      </c>
      <c r="I149" s="110">
        <v>45152</v>
      </c>
    </row>
    <row r="150" spans="1:9">
      <c r="A150" s="66" t="s">
        <v>3081</v>
      </c>
      <c r="B150" s="103">
        <v>45233</v>
      </c>
      <c r="C150" s="13" t="s">
        <v>1245</v>
      </c>
      <c r="D150" s="13" t="s">
        <v>716</v>
      </c>
      <c r="E150" s="104">
        <f>10.752+17.421</f>
        <v>28.173000000000002</v>
      </c>
      <c r="F150" s="24" t="s">
        <v>573</v>
      </c>
      <c r="G150" s="1" t="s">
        <v>3080</v>
      </c>
      <c r="H150" s="1" t="s">
        <v>3030</v>
      </c>
      <c r="I150" s="110">
        <v>45227</v>
      </c>
    </row>
    <row r="151" spans="1:9">
      <c r="A151" s="66" t="s">
        <v>3082</v>
      </c>
      <c r="B151" s="103">
        <v>45233</v>
      </c>
      <c r="C151" s="13" t="s">
        <v>2616</v>
      </c>
      <c r="D151" s="13" t="s">
        <v>716</v>
      </c>
      <c r="E151" s="104">
        <f>13.214+2.745</f>
        <v>15.959</v>
      </c>
      <c r="F151" s="24" t="s">
        <v>2630</v>
      </c>
      <c r="G151" s="1" t="s">
        <v>3083</v>
      </c>
      <c r="H151" s="1" t="s">
        <v>2977</v>
      </c>
      <c r="I151" s="110">
        <v>45197</v>
      </c>
    </row>
    <row r="152" spans="1:9">
      <c r="A152" s="66" t="s">
        <v>3085</v>
      </c>
      <c r="B152" s="103">
        <v>45233</v>
      </c>
      <c r="C152" s="13" t="s">
        <v>2616</v>
      </c>
      <c r="D152" s="13" t="s">
        <v>716</v>
      </c>
      <c r="E152" s="104">
        <v>8.4459999999999997</v>
      </c>
      <c r="F152" s="24" t="s">
        <v>2630</v>
      </c>
      <c r="G152" s="1" t="s">
        <v>3084</v>
      </c>
      <c r="H152" s="1" t="s">
        <v>2918</v>
      </c>
      <c r="I152" s="110">
        <v>45197</v>
      </c>
    </row>
    <row r="153" spans="1:9">
      <c r="A153" s="66" t="s">
        <v>3086</v>
      </c>
      <c r="B153" s="103">
        <v>45233</v>
      </c>
      <c r="C153" s="13" t="s">
        <v>2616</v>
      </c>
      <c r="D153" s="13" t="s">
        <v>716</v>
      </c>
      <c r="E153" s="104">
        <v>1.5369999999999999</v>
      </c>
      <c r="F153" s="24" t="s">
        <v>2630</v>
      </c>
      <c r="G153" s="1" t="s">
        <v>3084</v>
      </c>
      <c r="H153" s="1" t="s">
        <v>2689</v>
      </c>
      <c r="I153" s="110">
        <v>45197</v>
      </c>
    </row>
    <row r="154" spans="1:9">
      <c r="A154" s="66" t="s">
        <v>3087</v>
      </c>
      <c r="B154" s="103">
        <v>45233</v>
      </c>
      <c r="C154" s="13" t="s">
        <v>2616</v>
      </c>
      <c r="D154" s="13" t="s">
        <v>716</v>
      </c>
      <c r="E154" s="104">
        <v>6.56</v>
      </c>
      <c r="F154" s="24" t="s">
        <v>2630</v>
      </c>
      <c r="G154" s="1" t="s">
        <v>3084</v>
      </c>
      <c r="H154" s="1" t="s">
        <v>2895</v>
      </c>
      <c r="I154" s="110">
        <v>45197</v>
      </c>
    </row>
    <row r="155" spans="1:9">
      <c r="A155" s="66" t="s">
        <v>3088</v>
      </c>
      <c r="B155" s="103">
        <v>45233</v>
      </c>
      <c r="C155" s="13" t="s">
        <v>1695</v>
      </c>
      <c r="D155" s="13" t="s">
        <v>716</v>
      </c>
      <c r="E155" s="104">
        <v>6.1360000000000001</v>
      </c>
      <c r="F155" s="24" t="s">
        <v>3090</v>
      </c>
      <c r="G155" s="1" t="s">
        <v>3089</v>
      </c>
      <c r="H155" s="1" t="s">
        <v>3030</v>
      </c>
      <c r="I155" s="110">
        <v>45227</v>
      </c>
    </row>
    <row r="156" spans="1:9">
      <c r="A156" s="66" t="s">
        <v>3088</v>
      </c>
      <c r="B156" s="103">
        <v>45233</v>
      </c>
      <c r="C156" s="13" t="s">
        <v>1640</v>
      </c>
      <c r="D156" s="13" t="s">
        <v>716</v>
      </c>
      <c r="E156" s="104">
        <f>3.308+4.19</f>
        <v>7.4980000000000002</v>
      </c>
      <c r="F156" s="24" t="s">
        <v>3090</v>
      </c>
      <c r="G156" s="1" t="s">
        <v>3089</v>
      </c>
      <c r="H156" s="1" t="s">
        <v>3030</v>
      </c>
      <c r="I156" s="110">
        <v>45227</v>
      </c>
    </row>
    <row r="157" spans="1:9">
      <c r="A157" s="66" t="s">
        <v>3088</v>
      </c>
      <c r="B157" s="103">
        <v>45233</v>
      </c>
      <c r="C157" s="13" t="s">
        <v>1245</v>
      </c>
      <c r="D157" s="13" t="s">
        <v>716</v>
      </c>
      <c r="E157" s="104">
        <v>18.015999999999998</v>
      </c>
      <c r="F157" s="24" t="s">
        <v>3090</v>
      </c>
      <c r="G157" s="1" t="s">
        <v>3089</v>
      </c>
      <c r="H157" s="1" t="s">
        <v>3030</v>
      </c>
      <c r="I157" s="110">
        <v>45227</v>
      </c>
    </row>
    <row r="158" spans="1:9">
      <c r="A158" s="66" t="s">
        <v>3092</v>
      </c>
      <c r="B158" s="103">
        <v>45233</v>
      </c>
      <c r="C158" s="134" t="s">
        <v>1226</v>
      </c>
      <c r="D158" s="13" t="s">
        <v>716</v>
      </c>
      <c r="E158" s="104">
        <v>1.1080000000000001</v>
      </c>
      <c r="F158" s="24" t="s">
        <v>3090</v>
      </c>
      <c r="G158" s="1" t="s">
        <v>3093</v>
      </c>
      <c r="H158" s="1" t="s">
        <v>2545</v>
      </c>
      <c r="I158" s="110">
        <v>45139</v>
      </c>
    </row>
    <row r="159" spans="1:9">
      <c r="A159" s="1"/>
      <c r="B159" s="3"/>
      <c r="C159" s="1"/>
      <c r="D159" s="1"/>
      <c r="E159" s="54">
        <f>SUM(E144:E158)</f>
        <v>97.645999999999987</v>
      </c>
      <c r="F159" s="24"/>
      <c r="G159" s="1"/>
      <c r="H159" s="1"/>
      <c r="I159" s="3"/>
    </row>
    <row r="160" spans="1:9">
      <c r="A160" s="66" t="s">
        <v>3101</v>
      </c>
      <c r="B160" s="103">
        <v>45234</v>
      </c>
      <c r="C160" s="13" t="s">
        <v>2616</v>
      </c>
      <c r="D160" s="13" t="s">
        <v>716</v>
      </c>
      <c r="E160" s="104">
        <f>6.052+1.506</f>
        <v>7.5579999999999998</v>
      </c>
      <c r="F160" s="24" t="s">
        <v>3102</v>
      </c>
      <c r="G160" s="1" t="s">
        <v>3103</v>
      </c>
      <c r="H160" s="1" t="s">
        <v>2918</v>
      </c>
      <c r="I160" s="110">
        <v>45197</v>
      </c>
    </row>
    <row r="161" spans="1:9">
      <c r="A161" s="66" t="s">
        <v>3104</v>
      </c>
      <c r="B161" s="103">
        <v>45234</v>
      </c>
      <c r="C161" s="13" t="s">
        <v>2616</v>
      </c>
      <c r="D161" s="13" t="s">
        <v>716</v>
      </c>
      <c r="E161" s="104">
        <v>2.81</v>
      </c>
      <c r="F161" s="24" t="s">
        <v>3102</v>
      </c>
      <c r="G161" s="1" t="s">
        <v>3105</v>
      </c>
      <c r="H161" s="1" t="s">
        <v>2689</v>
      </c>
      <c r="I161" s="110">
        <v>45197</v>
      </c>
    </row>
    <row r="162" spans="1:9">
      <c r="A162" s="66" t="s">
        <v>3106</v>
      </c>
      <c r="B162" s="103">
        <v>45234</v>
      </c>
      <c r="C162" s="13" t="s">
        <v>2616</v>
      </c>
      <c r="D162" s="13" t="s">
        <v>716</v>
      </c>
      <c r="E162" s="104">
        <v>6.2220000000000004</v>
      </c>
      <c r="F162" s="24" t="s">
        <v>3102</v>
      </c>
      <c r="G162" s="1" t="s">
        <v>3105</v>
      </c>
      <c r="H162" s="1" t="s">
        <v>2941</v>
      </c>
      <c r="I162" s="110">
        <v>45197</v>
      </c>
    </row>
    <row r="163" spans="1:9">
      <c r="A163" s="66" t="s">
        <v>3107</v>
      </c>
      <c r="B163" s="103">
        <v>45234</v>
      </c>
      <c r="C163" s="13" t="s">
        <v>1761</v>
      </c>
      <c r="D163" s="13" t="s">
        <v>716</v>
      </c>
      <c r="E163" s="104">
        <v>1.7889999999999999</v>
      </c>
      <c r="F163" s="24" t="s">
        <v>3102</v>
      </c>
      <c r="G163" s="1" t="s">
        <v>3105</v>
      </c>
      <c r="H163" s="1" t="s">
        <v>2925</v>
      </c>
      <c r="I163" s="110">
        <v>45197</v>
      </c>
    </row>
    <row r="164" spans="1:9">
      <c r="A164" s="66" t="s">
        <v>3108</v>
      </c>
      <c r="B164" s="103">
        <v>45234</v>
      </c>
      <c r="C164" s="13" t="s">
        <v>1227</v>
      </c>
      <c r="D164" s="13" t="s">
        <v>716</v>
      </c>
      <c r="E164" s="104">
        <v>13.423</v>
      </c>
      <c r="F164" s="24" t="s">
        <v>3102</v>
      </c>
      <c r="G164" s="1" t="s">
        <v>3105</v>
      </c>
      <c r="H164" s="1" t="s">
        <v>3030</v>
      </c>
      <c r="I164" s="110">
        <v>45227</v>
      </c>
    </row>
    <row r="165" spans="1:9">
      <c r="A165" s="66" t="s">
        <v>3109</v>
      </c>
      <c r="B165" s="103">
        <v>45234</v>
      </c>
      <c r="C165" s="13" t="s">
        <v>1695</v>
      </c>
      <c r="D165" s="13" t="s">
        <v>716</v>
      </c>
      <c r="E165" s="104">
        <v>6.6000000000000003E-2</v>
      </c>
      <c r="F165" s="24" t="s">
        <v>3102</v>
      </c>
      <c r="G165" s="1" t="s">
        <v>3105</v>
      </c>
      <c r="H165" s="1" t="s">
        <v>3110</v>
      </c>
      <c r="I165" s="110">
        <v>45227</v>
      </c>
    </row>
    <row r="166" spans="1:9">
      <c r="A166" s="66" t="s">
        <v>3109</v>
      </c>
      <c r="B166" s="103">
        <v>45234</v>
      </c>
      <c r="C166" s="13" t="s">
        <v>1640</v>
      </c>
      <c r="D166" s="13" t="s">
        <v>716</v>
      </c>
      <c r="E166" s="104">
        <v>0.154</v>
      </c>
      <c r="F166" s="24" t="s">
        <v>3102</v>
      </c>
      <c r="G166" s="1" t="s">
        <v>3105</v>
      </c>
      <c r="H166" s="1" t="s">
        <v>3110</v>
      </c>
      <c r="I166" s="110">
        <v>45227</v>
      </c>
    </row>
    <row r="167" spans="1:9">
      <c r="A167" s="66" t="s">
        <v>3111</v>
      </c>
      <c r="B167" s="103">
        <v>45234</v>
      </c>
      <c r="C167" s="13" t="s">
        <v>1245</v>
      </c>
      <c r="D167" s="13" t="s">
        <v>716</v>
      </c>
      <c r="E167" s="104">
        <v>8.5579999999999998</v>
      </c>
      <c r="F167" s="24" t="s">
        <v>892</v>
      </c>
      <c r="G167" s="1" t="s">
        <v>3112</v>
      </c>
      <c r="H167" s="1" t="s">
        <v>3030</v>
      </c>
      <c r="I167" s="110">
        <v>45227</v>
      </c>
    </row>
    <row r="168" spans="1:9">
      <c r="A168" s="66" t="s">
        <v>3111</v>
      </c>
      <c r="B168" s="103">
        <v>45234</v>
      </c>
      <c r="C168" s="13" t="s">
        <v>1227</v>
      </c>
      <c r="D168" s="13" t="s">
        <v>716</v>
      </c>
      <c r="E168" s="104">
        <v>7.8949999999999996</v>
      </c>
      <c r="F168" s="24" t="s">
        <v>892</v>
      </c>
      <c r="G168" s="1" t="s">
        <v>3112</v>
      </c>
      <c r="H168" s="1" t="s">
        <v>3030</v>
      </c>
      <c r="I168" s="110">
        <v>45227</v>
      </c>
    </row>
    <row r="169" spans="1:9">
      <c r="A169" s="66" t="s">
        <v>3111</v>
      </c>
      <c r="B169" s="103">
        <v>45234</v>
      </c>
      <c r="C169" s="13" t="s">
        <v>1367</v>
      </c>
      <c r="D169" s="13" t="s">
        <v>716</v>
      </c>
      <c r="E169" s="104">
        <v>2.7010000000000001</v>
      </c>
      <c r="F169" s="24" t="s">
        <v>892</v>
      </c>
      <c r="G169" s="1" t="s">
        <v>3112</v>
      </c>
      <c r="H169" s="1" t="s">
        <v>3030</v>
      </c>
      <c r="I169" s="110">
        <v>45227</v>
      </c>
    </row>
    <row r="170" spans="1:9">
      <c r="A170" s="66" t="s">
        <v>3111</v>
      </c>
      <c r="B170" s="103">
        <v>45234</v>
      </c>
      <c r="C170" s="13" t="s">
        <v>1255</v>
      </c>
      <c r="D170" s="13" t="s">
        <v>716</v>
      </c>
      <c r="E170" s="104">
        <v>4.2480000000000002</v>
      </c>
      <c r="F170" s="24" t="s">
        <v>892</v>
      </c>
      <c r="G170" s="1" t="s">
        <v>3112</v>
      </c>
      <c r="H170" s="1" t="s">
        <v>3030</v>
      </c>
      <c r="I170" s="110">
        <v>45227</v>
      </c>
    </row>
    <row r="171" spans="1:9">
      <c r="A171" s="66" t="s">
        <v>3113</v>
      </c>
      <c r="B171" s="103">
        <v>45234</v>
      </c>
      <c r="C171" s="13" t="s">
        <v>2299</v>
      </c>
      <c r="D171" s="13" t="s">
        <v>716</v>
      </c>
      <c r="E171" s="104">
        <v>8.7479999999999993</v>
      </c>
      <c r="F171" s="24" t="s">
        <v>892</v>
      </c>
      <c r="G171" s="1" t="s">
        <v>3112</v>
      </c>
      <c r="H171" s="1" t="s">
        <v>3114</v>
      </c>
      <c r="I171" s="110">
        <v>45222</v>
      </c>
    </row>
    <row r="172" spans="1:9">
      <c r="A172" s="1"/>
      <c r="B172" s="3"/>
      <c r="C172" s="1"/>
      <c r="D172" s="1"/>
      <c r="E172" s="54">
        <f>SUM(E160:E171)</f>
        <v>64.171999999999997</v>
      </c>
      <c r="F172" s="24"/>
      <c r="G172" s="1"/>
      <c r="H172" s="1"/>
      <c r="I172" s="3"/>
    </row>
    <row r="173" spans="1:9">
      <c r="A173" s="66" t="s">
        <v>3138</v>
      </c>
      <c r="B173" s="103">
        <v>45236</v>
      </c>
      <c r="C173" s="13" t="s">
        <v>1756</v>
      </c>
      <c r="D173" s="13" t="s">
        <v>716</v>
      </c>
      <c r="E173" s="104">
        <v>0.39900000000000002</v>
      </c>
      <c r="F173" s="24" t="s">
        <v>573</v>
      </c>
      <c r="G173" s="1" t="s">
        <v>3139</v>
      </c>
      <c r="H173" s="1" t="s">
        <v>3140</v>
      </c>
      <c r="I173" s="110">
        <v>45217</v>
      </c>
    </row>
    <row r="174" spans="1:9">
      <c r="A174" s="66" t="s">
        <v>3141</v>
      </c>
      <c r="B174" s="103">
        <v>45236</v>
      </c>
      <c r="C174" s="13" t="s">
        <v>1341</v>
      </c>
      <c r="D174" s="13" t="s">
        <v>716</v>
      </c>
      <c r="E174" s="104">
        <v>17.315999999999999</v>
      </c>
      <c r="F174" s="24" t="s">
        <v>573</v>
      </c>
      <c r="G174" s="1" t="s">
        <v>3139</v>
      </c>
      <c r="H174" s="1" t="s">
        <v>3030</v>
      </c>
      <c r="I174" s="110">
        <v>45227</v>
      </c>
    </row>
    <row r="175" spans="1:9">
      <c r="A175" s="66" t="s">
        <v>3141</v>
      </c>
      <c r="B175" s="103">
        <v>45236</v>
      </c>
      <c r="C175" s="13" t="s">
        <v>1500</v>
      </c>
      <c r="D175" s="13" t="s">
        <v>716</v>
      </c>
      <c r="E175" s="104">
        <v>11.394</v>
      </c>
      <c r="F175" s="24" t="s">
        <v>573</v>
      </c>
      <c r="G175" s="1" t="s">
        <v>3139</v>
      </c>
      <c r="H175" s="1" t="s">
        <v>3030</v>
      </c>
      <c r="I175" s="110">
        <v>45227</v>
      </c>
    </row>
    <row r="176" spans="1:9">
      <c r="A176" s="66" t="s">
        <v>3142</v>
      </c>
      <c r="B176" s="103">
        <v>45236</v>
      </c>
      <c r="C176" s="13" t="s">
        <v>2299</v>
      </c>
      <c r="D176" s="13" t="s">
        <v>716</v>
      </c>
      <c r="E176" s="104">
        <v>3.65</v>
      </c>
      <c r="F176" s="24" t="s">
        <v>573</v>
      </c>
      <c r="G176" s="1" t="s">
        <v>3139</v>
      </c>
      <c r="H176" s="1" t="s">
        <v>3143</v>
      </c>
      <c r="I176" s="110">
        <v>45227</v>
      </c>
    </row>
    <row r="177" spans="1:9">
      <c r="A177" s="1"/>
      <c r="B177" s="3"/>
      <c r="C177" s="1"/>
      <c r="D177" s="1"/>
      <c r="E177" s="54">
        <f>SUM(E173:E176)</f>
        <v>32.759</v>
      </c>
      <c r="F177" s="24"/>
      <c r="G177" s="1"/>
      <c r="H177" s="1"/>
      <c r="I177" s="3"/>
    </row>
    <row r="178" spans="1:9">
      <c r="A178" s="66" t="s">
        <v>3171</v>
      </c>
      <c r="B178" s="103">
        <v>45238</v>
      </c>
      <c r="C178" s="13" t="s">
        <v>1500</v>
      </c>
      <c r="D178" s="13" t="s">
        <v>716</v>
      </c>
      <c r="E178" s="104">
        <v>32.774999999999999</v>
      </c>
      <c r="F178" s="24" t="s">
        <v>892</v>
      </c>
      <c r="G178" s="1" t="s">
        <v>3169</v>
      </c>
      <c r="H178" s="1" t="s">
        <v>3170</v>
      </c>
      <c r="I178" s="110">
        <v>45227</v>
      </c>
    </row>
    <row r="179" spans="1:9">
      <c r="A179" s="66" t="s">
        <v>3174</v>
      </c>
      <c r="B179" s="103">
        <v>45238</v>
      </c>
      <c r="C179" s="13" t="s">
        <v>1500</v>
      </c>
      <c r="D179" s="13" t="s">
        <v>716</v>
      </c>
      <c r="E179" s="104">
        <v>3.2749999999999999</v>
      </c>
      <c r="F179" s="24" t="s">
        <v>3172</v>
      </c>
      <c r="G179" s="1" t="s">
        <v>3173</v>
      </c>
      <c r="H179" s="1" t="s">
        <v>3030</v>
      </c>
      <c r="I179" s="110">
        <v>45227</v>
      </c>
    </row>
    <row r="180" spans="1:9">
      <c r="A180" s="66" t="s">
        <v>3175</v>
      </c>
      <c r="B180" s="103">
        <v>45238</v>
      </c>
      <c r="C180" s="13" t="s">
        <v>1500</v>
      </c>
      <c r="D180" s="13" t="s">
        <v>716</v>
      </c>
      <c r="E180" s="104">
        <f>6.354+21.536</f>
        <v>27.89</v>
      </c>
      <c r="F180" s="24" t="s">
        <v>3172</v>
      </c>
      <c r="G180" s="1" t="s">
        <v>3176</v>
      </c>
      <c r="H180" s="1" t="s">
        <v>3170</v>
      </c>
      <c r="I180" s="110">
        <v>45227</v>
      </c>
    </row>
    <row r="181" spans="1:9">
      <c r="A181" s="66" t="s">
        <v>3177</v>
      </c>
      <c r="B181" s="103">
        <v>45238</v>
      </c>
      <c r="C181" s="13" t="s">
        <v>1387</v>
      </c>
      <c r="D181" s="13" t="s">
        <v>716</v>
      </c>
      <c r="E181" s="104">
        <v>0.22700000000000001</v>
      </c>
      <c r="F181" s="24" t="s">
        <v>3172</v>
      </c>
      <c r="G181" s="1" t="s">
        <v>3178</v>
      </c>
      <c r="H181" s="1" t="s">
        <v>3110</v>
      </c>
      <c r="I181" s="110">
        <v>45227</v>
      </c>
    </row>
    <row r="182" spans="1:9">
      <c r="A182" s="66" t="s">
        <v>3198</v>
      </c>
      <c r="B182" s="103">
        <v>45238</v>
      </c>
      <c r="C182" s="13" t="s">
        <v>1470</v>
      </c>
      <c r="D182" s="13" t="s">
        <v>716</v>
      </c>
      <c r="E182" s="104">
        <v>5.8959999999999999</v>
      </c>
      <c r="F182" s="24" t="s">
        <v>1127</v>
      </c>
      <c r="G182" s="1" t="s">
        <v>3199</v>
      </c>
      <c r="H182" s="1" t="s">
        <v>3170</v>
      </c>
      <c r="I182" s="110">
        <v>45227</v>
      </c>
    </row>
    <row r="183" spans="1:9">
      <c r="A183" s="66" t="s">
        <v>3198</v>
      </c>
      <c r="B183" s="103">
        <v>45238</v>
      </c>
      <c r="C183" s="13" t="s">
        <v>1507</v>
      </c>
      <c r="D183" s="13" t="s">
        <v>716</v>
      </c>
      <c r="E183" s="104">
        <v>11.554</v>
      </c>
      <c r="F183" s="24" t="s">
        <v>1127</v>
      </c>
      <c r="G183" s="1" t="s">
        <v>3199</v>
      </c>
      <c r="H183" s="1" t="s">
        <v>3170</v>
      </c>
      <c r="I183" s="110">
        <v>45227</v>
      </c>
    </row>
    <row r="184" spans="1:9">
      <c r="A184" s="66" t="s">
        <v>3200</v>
      </c>
      <c r="B184" s="103">
        <v>45238</v>
      </c>
      <c r="C184" s="13" t="s">
        <v>1350</v>
      </c>
      <c r="D184" s="13" t="s">
        <v>716</v>
      </c>
      <c r="E184" s="104">
        <v>7.2320000000000002</v>
      </c>
      <c r="F184" s="24" t="s">
        <v>1127</v>
      </c>
      <c r="G184" s="1" t="s">
        <v>3199</v>
      </c>
      <c r="H184" s="1" t="s">
        <v>3030</v>
      </c>
      <c r="I184" s="110">
        <v>45227</v>
      </c>
    </row>
    <row r="185" spans="1:9">
      <c r="A185" s="1"/>
      <c r="B185" s="3"/>
      <c r="C185" s="1"/>
      <c r="D185" s="1"/>
      <c r="E185" s="54">
        <f>SUM(E178:E184)</f>
        <v>88.849000000000004</v>
      </c>
      <c r="F185" s="24"/>
      <c r="G185" s="1"/>
      <c r="H185" s="1"/>
      <c r="I185" s="3"/>
    </row>
    <row r="186" spans="1:9">
      <c r="A186" s="66" t="s">
        <v>3226</v>
      </c>
      <c r="B186" s="103">
        <v>45240</v>
      </c>
      <c r="C186" s="13" t="s">
        <v>1453</v>
      </c>
      <c r="D186" s="13" t="s">
        <v>716</v>
      </c>
      <c r="E186" s="104">
        <v>2.76</v>
      </c>
      <c r="F186" s="24" t="s">
        <v>2826</v>
      </c>
      <c r="G186" s="1" t="s">
        <v>3227</v>
      </c>
      <c r="H186" s="1" t="s">
        <v>3228</v>
      </c>
      <c r="I186" s="110">
        <v>45222</v>
      </c>
    </row>
    <row r="187" spans="1:9">
      <c r="A187" s="66" t="s">
        <v>3230</v>
      </c>
      <c r="B187" s="103">
        <v>45240</v>
      </c>
      <c r="C187" s="13" t="s">
        <v>1791</v>
      </c>
      <c r="D187" s="13" t="s">
        <v>716</v>
      </c>
      <c r="E187" s="104">
        <f>0.869+0.019</f>
        <v>0.88800000000000001</v>
      </c>
      <c r="F187" s="24" t="s">
        <v>2826</v>
      </c>
      <c r="G187" s="1" t="s">
        <v>3229</v>
      </c>
      <c r="H187" s="1" t="s">
        <v>2545</v>
      </c>
      <c r="I187" s="110">
        <v>45139</v>
      </c>
    </row>
    <row r="188" spans="1:9">
      <c r="A188" s="66" t="s">
        <v>3231</v>
      </c>
      <c r="B188" s="103">
        <v>45240</v>
      </c>
      <c r="C188" s="13" t="s">
        <v>1470</v>
      </c>
      <c r="D188" s="13" t="s">
        <v>716</v>
      </c>
      <c r="E188" s="104">
        <v>0.71799999999999997</v>
      </c>
      <c r="F188" s="24" t="s">
        <v>2826</v>
      </c>
      <c r="G188" s="1" t="s">
        <v>3232</v>
      </c>
      <c r="H188" s="1" t="s">
        <v>3233</v>
      </c>
      <c r="I188" s="110">
        <v>45227</v>
      </c>
    </row>
    <row r="189" spans="1:9">
      <c r="A189" s="66" t="s">
        <v>3234</v>
      </c>
      <c r="B189" s="103">
        <v>45240</v>
      </c>
      <c r="C189" s="13" t="s">
        <v>1245</v>
      </c>
      <c r="D189" s="13" t="s">
        <v>716</v>
      </c>
      <c r="E189" s="104">
        <f>2.748+0.047</f>
        <v>2.7950000000000004</v>
      </c>
      <c r="F189" s="24" t="s">
        <v>2826</v>
      </c>
      <c r="G189" s="1" t="s">
        <v>3235</v>
      </c>
      <c r="H189" s="1" t="s">
        <v>3030</v>
      </c>
      <c r="I189" s="110">
        <v>45227</v>
      </c>
    </row>
    <row r="190" spans="1:9">
      <c r="A190" s="66" t="s">
        <v>3234</v>
      </c>
      <c r="B190" s="103">
        <v>45240</v>
      </c>
      <c r="C190" s="13" t="s">
        <v>1227</v>
      </c>
      <c r="D190" s="13" t="s">
        <v>716</v>
      </c>
      <c r="E190" s="104">
        <v>4.9580000000000002</v>
      </c>
      <c r="F190" s="24" t="s">
        <v>2826</v>
      </c>
      <c r="G190" s="1" t="s">
        <v>3235</v>
      </c>
      <c r="H190" s="1" t="s">
        <v>3030</v>
      </c>
      <c r="I190" s="110">
        <v>45227</v>
      </c>
    </row>
    <row r="191" spans="1:9">
      <c r="A191" s="66" t="s">
        <v>3234</v>
      </c>
      <c r="B191" s="103">
        <v>45240</v>
      </c>
      <c r="C191" s="13" t="s">
        <v>1350</v>
      </c>
      <c r="D191" s="13" t="s">
        <v>716</v>
      </c>
      <c r="E191" s="104">
        <v>11.805</v>
      </c>
      <c r="F191" s="24" t="s">
        <v>2826</v>
      </c>
      <c r="G191" s="1" t="s">
        <v>3235</v>
      </c>
      <c r="H191" s="1" t="s">
        <v>3030</v>
      </c>
      <c r="I191" s="110">
        <v>45227</v>
      </c>
    </row>
    <row r="192" spans="1:9">
      <c r="A192" s="66" t="s">
        <v>3234</v>
      </c>
      <c r="B192" s="103">
        <v>45240</v>
      </c>
      <c r="C192" s="13" t="s">
        <v>1459</v>
      </c>
      <c r="D192" s="13" t="s">
        <v>716</v>
      </c>
      <c r="E192" s="104">
        <v>2.028</v>
      </c>
      <c r="F192" s="24" t="s">
        <v>2826</v>
      </c>
      <c r="G192" s="1" t="s">
        <v>3235</v>
      </c>
      <c r="H192" s="1" t="s">
        <v>3030</v>
      </c>
      <c r="I192" s="110">
        <v>45227</v>
      </c>
    </row>
    <row r="193" spans="1:9">
      <c r="A193" s="66" t="s">
        <v>3234</v>
      </c>
      <c r="B193" s="103">
        <v>45240</v>
      </c>
      <c r="C193" s="13" t="s">
        <v>1341</v>
      </c>
      <c r="D193" s="13" t="s">
        <v>716</v>
      </c>
      <c r="E193" s="104">
        <v>3.351</v>
      </c>
      <c r="F193" s="24" t="s">
        <v>2826</v>
      </c>
      <c r="G193" s="1" t="s">
        <v>3235</v>
      </c>
      <c r="H193" s="1" t="s">
        <v>3030</v>
      </c>
      <c r="I193" s="110">
        <v>45227</v>
      </c>
    </row>
    <row r="194" spans="1:9">
      <c r="A194" s="66" t="s">
        <v>3236</v>
      </c>
      <c r="B194" s="103">
        <v>45240</v>
      </c>
      <c r="C194" s="13" t="s">
        <v>1500</v>
      </c>
      <c r="D194" s="13" t="s">
        <v>716</v>
      </c>
      <c r="E194" s="104">
        <v>0.34100000000000003</v>
      </c>
      <c r="F194" s="24" t="s">
        <v>2826</v>
      </c>
      <c r="G194" s="1" t="s">
        <v>3237</v>
      </c>
      <c r="H194" s="1" t="s">
        <v>3110</v>
      </c>
      <c r="I194" s="110">
        <v>45227</v>
      </c>
    </row>
    <row r="195" spans="1:9">
      <c r="A195" s="66" t="s">
        <v>3238</v>
      </c>
      <c r="B195" s="103">
        <v>45240</v>
      </c>
      <c r="C195" s="13" t="s">
        <v>1500</v>
      </c>
      <c r="D195" s="13" t="s">
        <v>716</v>
      </c>
      <c r="E195" s="104">
        <v>3.0019999999999998</v>
      </c>
      <c r="F195" s="24" t="s">
        <v>2826</v>
      </c>
      <c r="G195" s="1" t="s">
        <v>3237</v>
      </c>
      <c r="H195" s="1" t="s">
        <v>3170</v>
      </c>
      <c r="I195" s="110">
        <v>45227</v>
      </c>
    </row>
    <row r="196" spans="1:9">
      <c r="A196" s="66"/>
      <c r="B196" s="103"/>
      <c r="C196" s="11"/>
      <c r="D196" s="13"/>
      <c r="E196" s="58">
        <f>SUM(E186:E195)</f>
        <v>32.646000000000001</v>
      </c>
      <c r="F196" s="24"/>
      <c r="G196" s="1"/>
      <c r="H196" s="1"/>
      <c r="I196" s="110"/>
    </row>
    <row r="197" spans="1:9">
      <c r="A197" s="66" t="s">
        <v>3243</v>
      </c>
      <c r="B197" s="103">
        <v>45241</v>
      </c>
      <c r="C197" s="13" t="s">
        <v>1350</v>
      </c>
      <c r="D197" s="13" t="s">
        <v>716</v>
      </c>
      <c r="E197" s="104">
        <v>7.1260000000000003</v>
      </c>
      <c r="F197" s="24" t="s">
        <v>3244</v>
      </c>
      <c r="G197" s="1" t="s">
        <v>3245</v>
      </c>
      <c r="H197" s="1" t="s">
        <v>3246</v>
      </c>
      <c r="I197" s="110">
        <v>45215</v>
      </c>
    </row>
    <row r="198" spans="1:9">
      <c r="A198" s="66" t="s">
        <v>3243</v>
      </c>
      <c r="B198" s="103">
        <v>45241</v>
      </c>
      <c r="C198" s="13" t="s">
        <v>1341</v>
      </c>
      <c r="D198" s="13" t="s">
        <v>716</v>
      </c>
      <c r="E198" s="104">
        <f>11.239+1.353</f>
        <v>12.592000000000001</v>
      </c>
      <c r="F198" s="24" t="s">
        <v>3244</v>
      </c>
      <c r="G198" s="1" t="s">
        <v>3245</v>
      </c>
      <c r="H198" s="1" t="s">
        <v>3246</v>
      </c>
      <c r="I198" s="110">
        <v>45215</v>
      </c>
    </row>
    <row r="199" spans="1:9">
      <c r="A199" s="66" t="s">
        <v>3243</v>
      </c>
      <c r="B199" s="103">
        <v>45241</v>
      </c>
      <c r="C199" s="13" t="s">
        <v>1342</v>
      </c>
      <c r="D199" s="13" t="s">
        <v>716</v>
      </c>
      <c r="E199" s="104">
        <v>9.8290000000000006</v>
      </c>
      <c r="F199" s="24" t="s">
        <v>3244</v>
      </c>
      <c r="G199" s="1" t="s">
        <v>3245</v>
      </c>
      <c r="H199" s="1" t="s">
        <v>3246</v>
      </c>
      <c r="I199" s="110">
        <v>45215</v>
      </c>
    </row>
    <row r="200" spans="1:9">
      <c r="A200" s="66" t="s">
        <v>3243</v>
      </c>
      <c r="B200" s="103">
        <v>45241</v>
      </c>
      <c r="C200" s="13" t="s">
        <v>1251</v>
      </c>
      <c r="D200" s="13" t="s">
        <v>716</v>
      </c>
      <c r="E200" s="104">
        <v>3.508</v>
      </c>
      <c r="F200" s="24" t="s">
        <v>3244</v>
      </c>
      <c r="G200" s="1" t="s">
        <v>3245</v>
      </c>
      <c r="H200" s="1" t="s">
        <v>3246</v>
      </c>
      <c r="I200" s="110">
        <v>45215</v>
      </c>
    </row>
    <row r="201" spans="1:9">
      <c r="A201" s="66" t="s">
        <v>3247</v>
      </c>
      <c r="B201" s="103">
        <v>45241</v>
      </c>
      <c r="C201" s="13" t="s">
        <v>1753</v>
      </c>
      <c r="D201" s="13" t="s">
        <v>716</v>
      </c>
      <c r="E201" s="104">
        <v>3.1160000000000001</v>
      </c>
      <c r="F201" s="24" t="s">
        <v>2253</v>
      </c>
      <c r="G201" s="1" t="s">
        <v>3248</v>
      </c>
      <c r="H201" s="1" t="s">
        <v>3249</v>
      </c>
      <c r="I201" s="110">
        <v>45222</v>
      </c>
    </row>
    <row r="202" spans="1:9">
      <c r="A202" s="66" t="s">
        <v>3250</v>
      </c>
      <c r="B202" s="103">
        <v>45241</v>
      </c>
      <c r="C202" s="13" t="s">
        <v>1756</v>
      </c>
      <c r="D202" s="13" t="s">
        <v>716</v>
      </c>
      <c r="E202" s="104">
        <v>12.3</v>
      </c>
      <c r="F202" s="24" t="s">
        <v>2253</v>
      </c>
      <c r="G202" s="1" t="s">
        <v>3248</v>
      </c>
      <c r="H202" s="1" t="s">
        <v>3030</v>
      </c>
      <c r="I202" s="110">
        <v>45227</v>
      </c>
    </row>
    <row r="203" spans="1:9">
      <c r="A203" s="66" t="s">
        <v>3250</v>
      </c>
      <c r="B203" s="103">
        <v>45241</v>
      </c>
      <c r="C203" s="13" t="s">
        <v>1801</v>
      </c>
      <c r="D203" s="13" t="s">
        <v>716</v>
      </c>
      <c r="E203" s="104">
        <v>8.0679999999999996</v>
      </c>
      <c r="F203" s="24" t="s">
        <v>2253</v>
      </c>
      <c r="G203" s="1" t="s">
        <v>3248</v>
      </c>
      <c r="H203" s="1" t="s">
        <v>3030</v>
      </c>
      <c r="I203" s="110">
        <v>45227</v>
      </c>
    </row>
    <row r="204" spans="1:9">
      <c r="A204" s="66" t="s">
        <v>3250</v>
      </c>
      <c r="B204" s="103">
        <v>45241</v>
      </c>
      <c r="C204" s="13" t="s">
        <v>1255</v>
      </c>
      <c r="D204" s="13" t="s">
        <v>716</v>
      </c>
      <c r="E204" s="104">
        <v>9.1120000000000001</v>
      </c>
      <c r="F204" s="24" t="s">
        <v>2253</v>
      </c>
      <c r="G204" s="1" t="s">
        <v>3248</v>
      </c>
      <c r="H204" s="1" t="s">
        <v>3030</v>
      </c>
      <c r="I204" s="110">
        <v>45227</v>
      </c>
    </row>
    <row r="205" spans="1:9">
      <c r="A205" s="66" t="s">
        <v>3251</v>
      </c>
      <c r="B205" s="103">
        <v>45241</v>
      </c>
      <c r="C205" s="13" t="s">
        <v>1227</v>
      </c>
      <c r="D205" s="13" t="s">
        <v>716</v>
      </c>
      <c r="E205" s="104">
        <v>12.9</v>
      </c>
      <c r="F205" s="24" t="s">
        <v>919</v>
      </c>
      <c r="G205" s="1" t="s">
        <v>3252</v>
      </c>
      <c r="H205" s="1" t="s">
        <v>3249</v>
      </c>
      <c r="I205" s="110">
        <v>45222</v>
      </c>
    </row>
    <row r="206" spans="1:9">
      <c r="A206" s="66" t="s">
        <v>3251</v>
      </c>
      <c r="B206" s="103">
        <v>45241</v>
      </c>
      <c r="C206" s="13" t="s">
        <v>1245</v>
      </c>
      <c r="D206" s="13" t="s">
        <v>716</v>
      </c>
      <c r="E206" s="104">
        <v>4.6159999999999997</v>
      </c>
      <c r="F206" s="24" t="s">
        <v>919</v>
      </c>
      <c r="G206" s="1" t="s">
        <v>3252</v>
      </c>
      <c r="H206" s="1" t="s">
        <v>3249</v>
      </c>
      <c r="I206" s="110">
        <v>45222</v>
      </c>
    </row>
    <row r="207" spans="1:9">
      <c r="A207" s="66" t="s">
        <v>3251</v>
      </c>
      <c r="B207" s="103">
        <v>45241</v>
      </c>
      <c r="C207" s="13" t="s">
        <v>1367</v>
      </c>
      <c r="D207" s="13" t="s">
        <v>716</v>
      </c>
      <c r="E207" s="104">
        <v>9.4809999999999999</v>
      </c>
      <c r="F207" s="24" t="s">
        <v>919</v>
      </c>
      <c r="G207" s="1" t="s">
        <v>3252</v>
      </c>
      <c r="H207" s="1" t="s">
        <v>3249</v>
      </c>
      <c r="I207" s="110">
        <v>45222</v>
      </c>
    </row>
    <row r="208" spans="1:9">
      <c r="A208" s="66" t="s">
        <v>3253</v>
      </c>
      <c r="B208" s="103">
        <v>45241</v>
      </c>
      <c r="C208" s="13" t="s">
        <v>1350</v>
      </c>
      <c r="D208" s="13" t="s">
        <v>716</v>
      </c>
      <c r="E208" s="104">
        <v>5.0380000000000003</v>
      </c>
      <c r="F208" s="24" t="s">
        <v>919</v>
      </c>
      <c r="G208" s="1" t="s">
        <v>3252</v>
      </c>
      <c r="H208" s="1" t="s">
        <v>3246</v>
      </c>
      <c r="I208" s="110">
        <v>45215</v>
      </c>
    </row>
    <row r="209" spans="1:9">
      <c r="A209" s="1"/>
      <c r="B209" s="3"/>
      <c r="C209" s="1"/>
      <c r="D209" s="1"/>
      <c r="E209" s="54">
        <f>SUM(E197:E208)</f>
        <v>97.685999999999993</v>
      </c>
      <c r="F209" s="24"/>
      <c r="G209" s="1"/>
      <c r="H209" s="1"/>
      <c r="I209" s="3"/>
    </row>
    <row r="210" spans="1:9">
      <c r="A210" s="66" t="s">
        <v>3261</v>
      </c>
      <c r="B210" s="103">
        <v>45245</v>
      </c>
      <c r="C210" s="13" t="s">
        <v>1341</v>
      </c>
      <c r="D210" s="13" t="s">
        <v>716</v>
      </c>
      <c r="E210" s="52">
        <v>12.249000000000001</v>
      </c>
      <c r="F210" s="24" t="s">
        <v>3262</v>
      </c>
      <c r="G210" s="1" t="s">
        <v>3263</v>
      </c>
      <c r="H210" s="1" t="s">
        <v>3246</v>
      </c>
      <c r="I210" s="110">
        <v>45215</v>
      </c>
    </row>
    <row r="211" spans="1:9">
      <c r="A211" s="66" t="s">
        <v>3261</v>
      </c>
      <c r="B211" s="103">
        <v>45245</v>
      </c>
      <c r="C211" s="13" t="s">
        <v>1342</v>
      </c>
      <c r="D211" s="13" t="s">
        <v>716</v>
      </c>
      <c r="E211" s="52">
        <v>4.3890000000000002</v>
      </c>
      <c r="F211" s="24" t="s">
        <v>3262</v>
      </c>
      <c r="G211" s="1" t="s">
        <v>3263</v>
      </c>
      <c r="H211" s="1" t="s">
        <v>3246</v>
      </c>
      <c r="I211" s="110">
        <v>45215</v>
      </c>
    </row>
    <row r="212" spans="1:9">
      <c r="A212" s="66" t="s">
        <v>3261</v>
      </c>
      <c r="B212" s="103">
        <v>45245</v>
      </c>
      <c r="C212" s="13" t="s">
        <v>1350</v>
      </c>
      <c r="D212" s="13" t="s">
        <v>716</v>
      </c>
      <c r="E212" s="52">
        <v>10.000999999999999</v>
      </c>
      <c r="F212" s="24" t="s">
        <v>3262</v>
      </c>
      <c r="G212" s="1" t="s">
        <v>3263</v>
      </c>
      <c r="H212" s="1" t="s">
        <v>3246</v>
      </c>
      <c r="I212" s="110">
        <v>45215</v>
      </c>
    </row>
    <row r="213" spans="1:9">
      <c r="A213" s="66" t="s">
        <v>3264</v>
      </c>
      <c r="B213" s="103">
        <v>45245</v>
      </c>
      <c r="C213" s="13" t="s">
        <v>1227</v>
      </c>
      <c r="D213" s="13" t="s">
        <v>716</v>
      </c>
      <c r="E213" s="52">
        <v>5.8250000000000002</v>
      </c>
      <c r="F213" s="24" t="s">
        <v>3262</v>
      </c>
      <c r="G213" s="1" t="s">
        <v>3265</v>
      </c>
      <c r="H213" s="1" t="s">
        <v>3249</v>
      </c>
      <c r="I213" s="110">
        <v>45222</v>
      </c>
    </row>
    <row r="214" spans="1:9">
      <c r="A214" s="66" t="s">
        <v>3266</v>
      </c>
      <c r="B214" s="103">
        <v>45245</v>
      </c>
      <c r="C214" s="13" t="s">
        <v>2558</v>
      </c>
      <c r="D214" s="13" t="s">
        <v>716</v>
      </c>
      <c r="E214" s="52">
        <v>10.444000000000001</v>
      </c>
      <c r="F214" s="24" t="s">
        <v>2318</v>
      </c>
      <c r="G214" s="1" t="s">
        <v>3267</v>
      </c>
      <c r="H214" s="1" t="s">
        <v>3249</v>
      </c>
      <c r="I214" s="110">
        <v>45222</v>
      </c>
    </row>
    <row r="215" spans="1:9">
      <c r="A215" s="66" t="s">
        <v>3266</v>
      </c>
      <c r="B215" s="103">
        <v>45245</v>
      </c>
      <c r="C215" s="13" t="s">
        <v>2557</v>
      </c>
      <c r="D215" s="13" t="s">
        <v>716</v>
      </c>
      <c r="E215" s="52">
        <v>4.1369999999999996</v>
      </c>
      <c r="F215" s="24" t="s">
        <v>2318</v>
      </c>
      <c r="G215" s="1" t="s">
        <v>3267</v>
      </c>
      <c r="H215" s="1" t="s">
        <v>3249</v>
      </c>
      <c r="I215" s="110">
        <v>45222</v>
      </c>
    </row>
    <row r="216" spans="1:9">
      <c r="A216" s="66" t="s">
        <v>3266</v>
      </c>
      <c r="B216" s="103">
        <v>45245</v>
      </c>
      <c r="C216" s="13" t="s">
        <v>1245</v>
      </c>
      <c r="D216" s="13" t="s">
        <v>716</v>
      </c>
      <c r="E216" s="52">
        <v>1.607</v>
      </c>
      <c r="F216" s="24" t="s">
        <v>2318</v>
      </c>
      <c r="G216" s="1" t="s">
        <v>3267</v>
      </c>
      <c r="H216" s="1" t="s">
        <v>3249</v>
      </c>
      <c r="I216" s="110">
        <v>45222</v>
      </c>
    </row>
    <row r="217" spans="1:9">
      <c r="A217" s="66" t="s">
        <v>3266</v>
      </c>
      <c r="B217" s="103">
        <v>45245</v>
      </c>
      <c r="C217" s="13" t="s">
        <v>1226</v>
      </c>
      <c r="D217" s="13" t="s">
        <v>716</v>
      </c>
      <c r="E217" s="52">
        <v>9.5269999999999992</v>
      </c>
      <c r="F217" s="24" t="s">
        <v>2318</v>
      </c>
      <c r="G217" s="1" t="s">
        <v>3267</v>
      </c>
      <c r="H217" s="1" t="s">
        <v>3249</v>
      </c>
      <c r="I217" s="110">
        <v>45222</v>
      </c>
    </row>
    <row r="218" spans="1:9">
      <c r="A218" s="66" t="s">
        <v>3269</v>
      </c>
      <c r="B218" s="103">
        <v>45245</v>
      </c>
      <c r="C218" s="13" t="s">
        <v>1640</v>
      </c>
      <c r="D218" s="13" t="s">
        <v>716</v>
      </c>
      <c r="E218" s="52">
        <v>1.5920000000000001</v>
      </c>
      <c r="F218" s="24" t="s">
        <v>2318</v>
      </c>
      <c r="G218" s="1" t="s">
        <v>3267</v>
      </c>
      <c r="H218" s="1" t="s">
        <v>3268</v>
      </c>
      <c r="I218" s="110">
        <v>45222</v>
      </c>
    </row>
    <row r="219" spans="1:9">
      <c r="A219" s="66" t="s">
        <v>3269</v>
      </c>
      <c r="B219" s="103">
        <v>45245</v>
      </c>
      <c r="C219" s="13" t="s">
        <v>1223</v>
      </c>
      <c r="D219" s="13" t="s">
        <v>716</v>
      </c>
      <c r="E219" s="52">
        <v>2.9350000000000001</v>
      </c>
      <c r="F219" s="24" t="s">
        <v>2318</v>
      </c>
      <c r="G219" s="1" t="s">
        <v>3267</v>
      </c>
      <c r="H219" s="1" t="s">
        <v>3268</v>
      </c>
      <c r="I219" s="110">
        <v>45222</v>
      </c>
    </row>
    <row r="220" spans="1:9">
      <c r="A220" s="66" t="s">
        <v>3269</v>
      </c>
      <c r="B220" s="103">
        <v>45245</v>
      </c>
      <c r="C220" s="13" t="s">
        <v>1226</v>
      </c>
      <c r="D220" s="13" t="s">
        <v>716</v>
      </c>
      <c r="E220" s="52">
        <v>1.4470000000000001</v>
      </c>
      <c r="F220" s="24" t="s">
        <v>2318</v>
      </c>
      <c r="G220" s="1" t="s">
        <v>3267</v>
      </c>
      <c r="H220" s="1" t="s">
        <v>3268</v>
      </c>
      <c r="I220" s="110">
        <v>45222</v>
      </c>
    </row>
    <row r="221" spans="1:9">
      <c r="A221" s="66" t="s">
        <v>3270</v>
      </c>
      <c r="B221" s="103">
        <v>45245</v>
      </c>
      <c r="C221" s="13" t="s">
        <v>1223</v>
      </c>
      <c r="D221" s="13" t="s">
        <v>716</v>
      </c>
      <c r="E221" s="52">
        <v>0.91200000000000003</v>
      </c>
      <c r="F221" s="24" t="s">
        <v>2318</v>
      </c>
      <c r="G221" s="1" t="s">
        <v>3267</v>
      </c>
      <c r="H221" s="1" t="s">
        <v>3271</v>
      </c>
      <c r="I221" s="110">
        <v>45222</v>
      </c>
    </row>
    <row r="222" spans="1:9">
      <c r="A222" s="66" t="s">
        <v>3270</v>
      </c>
      <c r="B222" s="103">
        <v>45245</v>
      </c>
      <c r="C222" s="13" t="s">
        <v>1226</v>
      </c>
      <c r="D222" s="13" t="s">
        <v>716</v>
      </c>
      <c r="E222" s="52">
        <v>0.40200000000000002</v>
      </c>
      <c r="F222" s="24" t="s">
        <v>2318</v>
      </c>
      <c r="G222" s="1" t="s">
        <v>3267</v>
      </c>
      <c r="H222" s="1" t="s">
        <v>3271</v>
      </c>
      <c r="I222" s="110">
        <v>45222</v>
      </c>
    </row>
    <row r="223" spans="1:9">
      <c r="A223" s="1"/>
      <c r="B223" s="3"/>
      <c r="C223" s="11"/>
      <c r="D223" s="1"/>
      <c r="E223" s="54">
        <f>SUM(E210:E222)</f>
        <v>65.467000000000013</v>
      </c>
      <c r="F223" s="24"/>
      <c r="G223" s="1"/>
      <c r="H223" s="1"/>
      <c r="I223" s="3"/>
    </row>
    <row r="224" spans="1:9">
      <c r="A224" s="66" t="s">
        <v>3278</v>
      </c>
      <c r="B224" s="103">
        <v>45246</v>
      </c>
      <c r="C224" s="13" t="s">
        <v>1453</v>
      </c>
      <c r="D224" s="13" t="s">
        <v>716</v>
      </c>
      <c r="E224" s="104">
        <f>5.004+1.187</f>
        <v>6.1909999999999998</v>
      </c>
      <c r="F224" s="24" t="s">
        <v>3279</v>
      </c>
      <c r="G224" s="1" t="s">
        <v>3280</v>
      </c>
      <c r="H224" s="1" t="s">
        <v>3170</v>
      </c>
      <c r="I224" s="110">
        <v>45227</v>
      </c>
    </row>
    <row r="225" spans="1:9">
      <c r="A225" s="66" t="s">
        <v>3278</v>
      </c>
      <c r="B225" s="103">
        <v>45246</v>
      </c>
      <c r="C225" s="13" t="s">
        <v>1500</v>
      </c>
      <c r="D225" s="13" t="s">
        <v>716</v>
      </c>
      <c r="E225" s="104">
        <v>4.3659999999999997</v>
      </c>
      <c r="F225" s="24" t="s">
        <v>3279</v>
      </c>
      <c r="G225" s="1" t="s">
        <v>3280</v>
      </c>
      <c r="H225" s="1" t="s">
        <v>3170</v>
      </c>
      <c r="I225" s="110">
        <v>45227</v>
      </c>
    </row>
    <row r="226" spans="1:9">
      <c r="A226" s="66" t="s">
        <v>3278</v>
      </c>
      <c r="B226" s="103">
        <v>45246</v>
      </c>
      <c r="C226" s="13" t="s">
        <v>1470</v>
      </c>
      <c r="D226" s="13" t="s">
        <v>716</v>
      </c>
      <c r="E226" s="104">
        <v>2.5270000000000001</v>
      </c>
      <c r="F226" s="24" t="s">
        <v>3279</v>
      </c>
      <c r="G226" s="1" t="s">
        <v>3280</v>
      </c>
      <c r="H226" s="1" t="s">
        <v>3170</v>
      </c>
      <c r="I226" s="110">
        <v>45227</v>
      </c>
    </row>
    <row r="227" spans="1:9">
      <c r="A227" s="66" t="s">
        <v>3281</v>
      </c>
      <c r="B227" s="103">
        <v>45246</v>
      </c>
      <c r="C227" s="13" t="s">
        <v>1453</v>
      </c>
      <c r="D227" s="13" t="s">
        <v>716</v>
      </c>
      <c r="E227" s="104">
        <v>0.55900000000000005</v>
      </c>
      <c r="F227" s="24" t="s">
        <v>3279</v>
      </c>
      <c r="G227" s="1" t="s">
        <v>3282</v>
      </c>
      <c r="H227" s="1" t="s">
        <v>3030</v>
      </c>
      <c r="I227" s="110">
        <v>45227</v>
      </c>
    </row>
    <row r="228" spans="1:9">
      <c r="A228" s="66" t="s">
        <v>3281</v>
      </c>
      <c r="B228" s="103">
        <v>45246</v>
      </c>
      <c r="C228" s="13" t="s">
        <v>1500</v>
      </c>
      <c r="D228" s="13" t="s">
        <v>716</v>
      </c>
      <c r="E228" s="104">
        <f>5.881+4.149</f>
        <v>10.030000000000001</v>
      </c>
      <c r="F228" s="24" t="s">
        <v>3279</v>
      </c>
      <c r="G228" s="1" t="s">
        <v>3282</v>
      </c>
      <c r="H228" s="1" t="s">
        <v>3030</v>
      </c>
      <c r="I228" s="110">
        <v>45227</v>
      </c>
    </row>
    <row r="229" spans="1:9">
      <c r="A229" s="66" t="s">
        <v>3283</v>
      </c>
      <c r="B229" s="103">
        <v>45246</v>
      </c>
      <c r="C229" s="13" t="s">
        <v>1260</v>
      </c>
      <c r="D229" s="13" t="s">
        <v>716</v>
      </c>
      <c r="E229" s="104">
        <v>2.1019999999999999</v>
      </c>
      <c r="F229" s="24" t="s">
        <v>3279</v>
      </c>
      <c r="G229" s="1" t="s">
        <v>3284</v>
      </c>
      <c r="H229" s="1" t="s">
        <v>3268</v>
      </c>
      <c r="I229" s="110">
        <v>45227</v>
      </c>
    </row>
    <row r="230" spans="1:9">
      <c r="A230" s="66" t="s">
        <v>3285</v>
      </c>
      <c r="B230" s="103">
        <v>45246</v>
      </c>
      <c r="C230" s="13" t="s">
        <v>1260</v>
      </c>
      <c r="D230" s="13" t="s">
        <v>716</v>
      </c>
      <c r="E230" s="104">
        <v>0.53100000000000003</v>
      </c>
      <c r="F230" s="24" t="s">
        <v>3279</v>
      </c>
      <c r="G230" s="1" t="s">
        <v>3284</v>
      </c>
      <c r="H230" s="1" t="s">
        <v>3271</v>
      </c>
      <c r="I230" s="110">
        <v>45227</v>
      </c>
    </row>
    <row r="231" spans="1:9">
      <c r="A231" s="66" t="s">
        <v>3286</v>
      </c>
      <c r="B231" s="103">
        <v>45246</v>
      </c>
      <c r="C231" s="13" t="s">
        <v>1227</v>
      </c>
      <c r="D231" s="13" t="s">
        <v>716</v>
      </c>
      <c r="E231" s="104">
        <v>5.63</v>
      </c>
      <c r="F231" s="24" t="s">
        <v>3279</v>
      </c>
      <c r="G231" s="1" t="s">
        <v>3284</v>
      </c>
      <c r="H231" s="1" t="s">
        <v>3249</v>
      </c>
      <c r="I231" s="110">
        <v>45222</v>
      </c>
    </row>
    <row r="232" spans="1:9">
      <c r="A232" s="66" t="s">
        <v>3290</v>
      </c>
      <c r="B232" s="103">
        <v>45246</v>
      </c>
      <c r="C232" s="13" t="s">
        <v>1294</v>
      </c>
      <c r="D232" s="13" t="s">
        <v>716</v>
      </c>
      <c r="E232" s="104">
        <f>3.583+10.139</f>
        <v>13.722</v>
      </c>
      <c r="F232" s="24" t="s">
        <v>579</v>
      </c>
      <c r="G232" s="1" t="s">
        <v>3288</v>
      </c>
      <c r="H232" s="1" t="s">
        <v>3030</v>
      </c>
      <c r="I232" s="110">
        <v>45227</v>
      </c>
    </row>
    <row r="233" spans="1:9">
      <c r="A233" s="66" t="s">
        <v>3290</v>
      </c>
      <c r="B233" s="103">
        <v>45246</v>
      </c>
      <c r="C233" s="13" t="s">
        <v>3287</v>
      </c>
      <c r="D233" s="13" t="s">
        <v>716</v>
      </c>
      <c r="E233" s="104">
        <v>7.74</v>
      </c>
      <c r="F233" s="24" t="s">
        <v>579</v>
      </c>
      <c r="G233" s="1" t="s">
        <v>3288</v>
      </c>
      <c r="H233" s="1" t="s">
        <v>3030</v>
      </c>
      <c r="I233" s="110">
        <v>45227</v>
      </c>
    </row>
    <row r="234" spans="1:9">
      <c r="A234" s="66" t="s">
        <v>3291</v>
      </c>
      <c r="B234" s="103">
        <v>45246</v>
      </c>
      <c r="C234" s="13" t="s">
        <v>1294</v>
      </c>
      <c r="D234" s="13" t="s">
        <v>716</v>
      </c>
      <c r="E234" s="104">
        <v>10.731</v>
      </c>
      <c r="F234" s="24" t="s">
        <v>579</v>
      </c>
      <c r="G234" s="1" t="s">
        <v>3289</v>
      </c>
      <c r="H234" s="1" t="s">
        <v>3170</v>
      </c>
      <c r="I234" s="110">
        <v>45227</v>
      </c>
    </row>
    <row r="235" spans="1:9">
      <c r="A235" s="93"/>
      <c r="B235" s="3"/>
      <c r="C235" s="11"/>
      <c r="D235" s="1"/>
      <c r="E235" s="120">
        <f>SUM(E224:E234)</f>
        <v>64.129000000000005</v>
      </c>
      <c r="F235" s="135"/>
      <c r="G235" s="93"/>
      <c r="H235" s="93"/>
      <c r="I235" s="137"/>
    </row>
    <row r="236" spans="1:9">
      <c r="A236" s="66" t="s">
        <v>3313</v>
      </c>
      <c r="B236" s="103">
        <v>45248</v>
      </c>
      <c r="C236" s="13" t="s">
        <v>1500</v>
      </c>
      <c r="D236" s="13" t="s">
        <v>716</v>
      </c>
      <c r="E236" s="104">
        <v>4.2160000000000002</v>
      </c>
      <c r="F236" s="24" t="s">
        <v>2200</v>
      </c>
      <c r="G236" s="1" t="s">
        <v>3312</v>
      </c>
      <c r="H236" s="1" t="s">
        <v>3030</v>
      </c>
      <c r="I236" s="110">
        <v>45227</v>
      </c>
    </row>
    <row r="237" spans="1:9">
      <c r="A237" s="66" t="s">
        <v>3314</v>
      </c>
      <c r="B237" s="103">
        <v>45248</v>
      </c>
      <c r="C237" s="13" t="s">
        <v>1500</v>
      </c>
      <c r="D237" s="13" t="s">
        <v>716</v>
      </c>
      <c r="E237" s="104">
        <f>21.643+6.875</f>
        <v>28.518000000000001</v>
      </c>
      <c r="F237" s="24" t="s">
        <v>2200</v>
      </c>
      <c r="G237" s="1" t="s">
        <v>3315</v>
      </c>
      <c r="H237" s="1" t="s">
        <v>3030</v>
      </c>
      <c r="I237" s="110">
        <v>45227</v>
      </c>
    </row>
    <row r="238" spans="1:9">
      <c r="A238" s="66" t="s">
        <v>3316</v>
      </c>
      <c r="B238" s="103">
        <v>45248</v>
      </c>
      <c r="C238" s="13" t="s">
        <v>1255</v>
      </c>
      <c r="D238" s="13" t="s">
        <v>716</v>
      </c>
      <c r="E238" s="104">
        <f>5.032+5.03</f>
        <v>10.062000000000001</v>
      </c>
      <c r="F238" s="24" t="s">
        <v>993</v>
      </c>
      <c r="G238" s="1" t="s">
        <v>3317</v>
      </c>
      <c r="H238" s="1" t="s">
        <v>3030</v>
      </c>
      <c r="I238" s="110">
        <v>45227</v>
      </c>
    </row>
    <row r="239" spans="1:9">
      <c r="A239" s="66" t="s">
        <v>3316</v>
      </c>
      <c r="B239" s="103">
        <v>45248</v>
      </c>
      <c r="C239" s="13" t="s">
        <v>1801</v>
      </c>
      <c r="D239" s="13" t="s">
        <v>716</v>
      </c>
      <c r="E239" s="104">
        <v>1.603</v>
      </c>
      <c r="F239" s="24" t="s">
        <v>993</v>
      </c>
      <c r="G239" s="1" t="s">
        <v>3317</v>
      </c>
      <c r="H239" s="1" t="s">
        <v>3030</v>
      </c>
      <c r="I239" s="110">
        <v>45227</v>
      </c>
    </row>
    <row r="240" spans="1:9">
      <c r="A240" s="1"/>
      <c r="B240" s="3"/>
      <c r="C240" s="11"/>
      <c r="D240" s="1"/>
      <c r="E240" s="54">
        <f>SUM(E236:E239)</f>
        <v>44.399000000000008</v>
      </c>
      <c r="F240" s="24"/>
      <c r="G240" s="1"/>
      <c r="H240" s="1"/>
      <c r="I240" s="3"/>
    </row>
    <row r="241" spans="1:9">
      <c r="A241" s="66" t="s">
        <v>3318</v>
      </c>
      <c r="B241" s="103">
        <v>45249</v>
      </c>
      <c r="C241" s="13" t="s">
        <v>3287</v>
      </c>
      <c r="D241" s="13" t="s">
        <v>716</v>
      </c>
      <c r="E241" s="104">
        <v>5.0549999999999997</v>
      </c>
      <c r="F241" s="24" t="s">
        <v>548</v>
      </c>
      <c r="G241" s="1" t="s">
        <v>3319</v>
      </c>
      <c r="H241" s="1" t="s">
        <v>3170</v>
      </c>
      <c r="I241" s="110">
        <v>45227</v>
      </c>
    </row>
    <row r="242" spans="1:9">
      <c r="A242" s="66" t="s">
        <v>3318</v>
      </c>
      <c r="B242" s="103">
        <v>45249</v>
      </c>
      <c r="C242" s="13" t="s">
        <v>1294</v>
      </c>
      <c r="D242" s="13" t="s">
        <v>716</v>
      </c>
      <c r="E242" s="104">
        <v>7.3890000000000002</v>
      </c>
      <c r="F242" s="24" t="s">
        <v>548</v>
      </c>
      <c r="G242" s="1" t="s">
        <v>3319</v>
      </c>
      <c r="H242" s="1" t="s">
        <v>3170</v>
      </c>
      <c r="I242" s="110">
        <v>45227</v>
      </c>
    </row>
    <row r="243" spans="1:9">
      <c r="A243" s="66" t="s">
        <v>3318</v>
      </c>
      <c r="B243" s="103">
        <v>45249</v>
      </c>
      <c r="C243" s="13" t="s">
        <v>2721</v>
      </c>
      <c r="D243" s="13" t="s">
        <v>716</v>
      </c>
      <c r="E243" s="104">
        <v>5.87</v>
      </c>
      <c r="F243" s="24" t="s">
        <v>548</v>
      </c>
      <c r="G243" s="1" t="s">
        <v>3319</v>
      </c>
      <c r="H243" s="1" t="s">
        <v>3170</v>
      </c>
      <c r="I243" s="110">
        <v>45227</v>
      </c>
    </row>
    <row r="244" spans="1:9">
      <c r="A244" s="66" t="s">
        <v>3320</v>
      </c>
      <c r="B244" s="103">
        <v>45249</v>
      </c>
      <c r="C244" s="13" t="s">
        <v>2721</v>
      </c>
      <c r="D244" s="13" t="s">
        <v>716</v>
      </c>
      <c r="E244" s="104">
        <v>4.0250000000000004</v>
      </c>
      <c r="F244" s="24" t="s">
        <v>548</v>
      </c>
      <c r="G244" s="14" t="s">
        <v>3321</v>
      </c>
      <c r="H244" s="1" t="s">
        <v>3030</v>
      </c>
      <c r="I244" s="110">
        <v>45227</v>
      </c>
    </row>
    <row r="245" spans="1:9">
      <c r="A245" s="66" t="s">
        <v>3320</v>
      </c>
      <c r="B245" s="103">
        <v>45249</v>
      </c>
      <c r="C245" s="13" t="s">
        <v>1801</v>
      </c>
      <c r="D245" s="13" t="s">
        <v>716</v>
      </c>
      <c r="E245" s="104">
        <f>0.422+3.436</f>
        <v>3.8580000000000001</v>
      </c>
      <c r="F245" s="24" t="s">
        <v>548</v>
      </c>
      <c r="G245" s="14" t="s">
        <v>3321</v>
      </c>
      <c r="H245" s="1" t="s">
        <v>3030</v>
      </c>
      <c r="I245" s="110">
        <v>45227</v>
      </c>
    </row>
    <row r="246" spans="1:9">
      <c r="A246" s="66" t="s">
        <v>3320</v>
      </c>
      <c r="B246" s="103">
        <v>45249</v>
      </c>
      <c r="C246" s="13" t="s">
        <v>1387</v>
      </c>
      <c r="D246" s="13" t="s">
        <v>716</v>
      </c>
      <c r="E246" s="104">
        <v>6.1529999999999996</v>
      </c>
      <c r="F246" s="24" t="s">
        <v>548</v>
      </c>
      <c r="G246" s="14" t="s">
        <v>3321</v>
      </c>
      <c r="H246" s="1" t="s">
        <v>3030</v>
      </c>
      <c r="I246" s="110">
        <v>45227</v>
      </c>
    </row>
    <row r="247" spans="1:9">
      <c r="A247" s="66" t="s">
        <v>3490</v>
      </c>
      <c r="B247" s="103">
        <v>45249</v>
      </c>
      <c r="C247" s="13" t="s">
        <v>1500</v>
      </c>
      <c r="D247" s="13" t="s">
        <v>716</v>
      </c>
      <c r="E247" s="104">
        <f>19.777+0.581</f>
        <v>20.358000000000001</v>
      </c>
      <c r="F247" s="24" t="s">
        <v>3322</v>
      </c>
      <c r="G247" s="1" t="s">
        <v>3323</v>
      </c>
      <c r="H247" s="1" t="s">
        <v>3170</v>
      </c>
      <c r="I247" s="110">
        <v>45227</v>
      </c>
    </row>
    <row r="248" spans="1:9">
      <c r="A248" s="66" t="s">
        <v>3490</v>
      </c>
      <c r="B248" s="103">
        <v>45249</v>
      </c>
      <c r="C248" s="13" t="s">
        <v>1355</v>
      </c>
      <c r="D248" s="13" t="s">
        <v>716</v>
      </c>
      <c r="E248" s="104">
        <v>7.65</v>
      </c>
      <c r="F248" s="24" t="s">
        <v>3322</v>
      </c>
      <c r="G248" s="1" t="s">
        <v>3323</v>
      </c>
      <c r="H248" s="1" t="s">
        <v>3170</v>
      </c>
      <c r="I248" s="110">
        <v>45227</v>
      </c>
    </row>
    <row r="249" spans="1:9">
      <c r="A249" s="66" t="s">
        <v>3491</v>
      </c>
      <c r="B249" s="103">
        <v>45249</v>
      </c>
      <c r="C249" s="13" t="s">
        <v>1355</v>
      </c>
      <c r="D249" s="13" t="s">
        <v>716</v>
      </c>
      <c r="E249" s="104">
        <v>5.1269999999999998</v>
      </c>
      <c r="F249" s="24" t="s">
        <v>3322</v>
      </c>
      <c r="G249" s="1" t="s">
        <v>3324</v>
      </c>
      <c r="H249" s="1" t="s">
        <v>3030</v>
      </c>
      <c r="I249" s="110">
        <v>45227</v>
      </c>
    </row>
    <row r="250" spans="1:9">
      <c r="A250" s="1"/>
      <c r="B250" s="3"/>
      <c r="C250" s="11"/>
      <c r="D250" s="1"/>
      <c r="E250" s="54">
        <f>SUM(E241:E249)</f>
        <v>65.484999999999999</v>
      </c>
      <c r="F250" s="24"/>
      <c r="G250" s="1"/>
      <c r="H250" s="1"/>
      <c r="I250" s="3"/>
    </row>
    <row r="251" spans="1:9">
      <c r="A251" s="66" t="s">
        <v>3369</v>
      </c>
      <c r="B251" s="103">
        <v>45251</v>
      </c>
      <c r="C251" s="13" t="s">
        <v>1226</v>
      </c>
      <c r="D251" s="13" t="s">
        <v>716</v>
      </c>
      <c r="E251" s="101">
        <v>0.313</v>
      </c>
      <c r="F251" s="102" t="s">
        <v>906</v>
      </c>
      <c r="G251" s="4" t="s">
        <v>3370</v>
      </c>
      <c r="H251" s="4" t="s">
        <v>3246</v>
      </c>
      <c r="I251" s="110">
        <v>45215</v>
      </c>
    </row>
    <row r="252" spans="1:9">
      <c r="A252" s="66" t="s">
        <v>3369</v>
      </c>
      <c r="B252" s="103">
        <v>45251</v>
      </c>
      <c r="C252" s="13" t="s">
        <v>1738</v>
      </c>
      <c r="D252" s="13" t="s">
        <v>716</v>
      </c>
      <c r="E252" s="101">
        <v>0.54800000000000004</v>
      </c>
      <c r="F252" s="102" t="s">
        <v>906</v>
      </c>
      <c r="G252" s="4" t="s">
        <v>3370</v>
      </c>
      <c r="H252" s="4" t="s">
        <v>3246</v>
      </c>
      <c r="I252" s="110">
        <v>45215</v>
      </c>
    </row>
    <row r="253" spans="1:9">
      <c r="A253" s="66" t="s">
        <v>3369</v>
      </c>
      <c r="B253" s="103">
        <v>45251</v>
      </c>
      <c r="C253" s="13" t="s">
        <v>1756</v>
      </c>
      <c r="D253" s="13" t="s">
        <v>716</v>
      </c>
      <c r="E253" s="101">
        <v>9.9000000000000005E-2</v>
      </c>
      <c r="F253" s="102" t="s">
        <v>906</v>
      </c>
      <c r="G253" s="4" t="s">
        <v>3370</v>
      </c>
      <c r="H253" s="4" t="s">
        <v>3246</v>
      </c>
      <c r="I253" s="110">
        <v>45215</v>
      </c>
    </row>
    <row r="254" spans="1:9">
      <c r="A254" s="66" t="s">
        <v>3371</v>
      </c>
      <c r="B254" s="103">
        <v>45251</v>
      </c>
      <c r="C254" s="13" t="s">
        <v>1342</v>
      </c>
      <c r="D254" s="13" t="s">
        <v>716</v>
      </c>
      <c r="E254" s="101">
        <v>3.4750000000000001</v>
      </c>
      <c r="F254" s="102" t="s">
        <v>906</v>
      </c>
      <c r="G254" s="4" t="s">
        <v>3370</v>
      </c>
      <c r="H254" s="4" t="s">
        <v>3268</v>
      </c>
      <c r="I254" s="110">
        <v>45227</v>
      </c>
    </row>
    <row r="255" spans="1:9">
      <c r="A255" s="66" t="s">
        <v>3373</v>
      </c>
      <c r="B255" s="103">
        <v>45251</v>
      </c>
      <c r="C255" s="13" t="s">
        <v>1355</v>
      </c>
      <c r="D255" s="13" t="s">
        <v>716</v>
      </c>
      <c r="E255" s="101">
        <v>6.665</v>
      </c>
      <c r="F255" s="102" t="s">
        <v>906</v>
      </c>
      <c r="G255" s="4" t="s">
        <v>3370</v>
      </c>
      <c r="H255" s="4" t="s">
        <v>3030</v>
      </c>
      <c r="I255" s="110">
        <v>45227</v>
      </c>
    </row>
    <row r="256" spans="1:9">
      <c r="A256" s="1"/>
      <c r="B256" s="3"/>
      <c r="C256" s="11"/>
      <c r="D256" s="1"/>
      <c r="E256" s="54">
        <f>SUM(E251:E255)</f>
        <v>11.100000000000001</v>
      </c>
      <c r="F256" s="24"/>
      <c r="G256" s="1"/>
      <c r="H256" s="1"/>
      <c r="I256" s="3"/>
    </row>
    <row r="257" spans="1:11">
      <c r="A257" s="1"/>
      <c r="B257" s="3"/>
      <c r="C257" s="1"/>
      <c r="D257" s="1"/>
      <c r="E257" s="2"/>
      <c r="F257" s="24"/>
      <c r="G257" s="1"/>
      <c r="H257" s="1"/>
      <c r="I257" s="3"/>
    </row>
    <row r="258" spans="1:11">
      <c r="A258" s="1"/>
      <c r="B258" s="3"/>
      <c r="C258" s="1"/>
      <c r="D258" s="2" t="s">
        <v>3042</v>
      </c>
      <c r="E258" s="20">
        <f>SUM(E136:E257)/2</f>
        <v>769.73999999999955</v>
      </c>
      <c r="F258" s="24"/>
      <c r="G258" s="1"/>
      <c r="H258" s="1"/>
      <c r="I258" s="3"/>
    </row>
    <row r="259" spans="1:11">
      <c r="A259" s="1"/>
      <c r="B259" s="3"/>
      <c r="C259" s="1"/>
      <c r="D259" s="1"/>
      <c r="E259" s="2"/>
      <c r="F259" s="24"/>
      <c r="G259" s="1"/>
      <c r="H259" s="1"/>
      <c r="I259" s="3"/>
    </row>
    <row r="260" spans="1:11">
      <c r="A260" s="1"/>
      <c r="B260" s="3"/>
      <c r="C260" s="1"/>
      <c r="D260" s="2" t="s">
        <v>3040</v>
      </c>
      <c r="E260" s="20">
        <v>634.51499999999999</v>
      </c>
      <c r="F260" s="24"/>
      <c r="G260" s="98"/>
      <c r="H260" s="1"/>
      <c r="I260" s="3"/>
    </row>
    <row r="261" spans="1:11">
      <c r="A261" s="1"/>
      <c r="B261" s="3"/>
      <c r="C261" s="1"/>
      <c r="D261" s="1"/>
      <c r="E261" s="54"/>
      <c r="F261" s="24"/>
      <c r="G261" s="1"/>
      <c r="H261" s="1"/>
      <c r="I261" s="3"/>
    </row>
    <row r="262" spans="1:11">
      <c r="A262" s="1"/>
      <c r="B262" s="3"/>
      <c r="C262" s="1"/>
      <c r="D262" s="2"/>
      <c r="E262" s="20"/>
      <c r="F262" s="24"/>
      <c r="G262" s="1"/>
      <c r="H262" s="1"/>
      <c r="I262" s="3"/>
    </row>
    <row r="263" spans="1:11">
      <c r="A263" s="1"/>
      <c r="B263" s="3"/>
      <c r="C263" s="1"/>
      <c r="D263" s="1"/>
      <c r="E263" s="55"/>
      <c r="F263" s="24"/>
      <c r="G263" s="1"/>
      <c r="H263" s="1"/>
      <c r="I263" s="3"/>
    </row>
    <row r="264" spans="1:11">
      <c r="A264" s="1"/>
      <c r="B264" s="3"/>
      <c r="C264" s="1"/>
      <c r="D264" s="2"/>
      <c r="E264" s="20">
        <f>+E258+E260</f>
        <v>1404.2549999999997</v>
      </c>
      <c r="F264" s="24"/>
      <c r="G264" s="1"/>
      <c r="H264" s="1"/>
      <c r="I264" s="3"/>
    </row>
    <row r="265" spans="1:11">
      <c r="A265" s="1"/>
      <c r="B265" s="3"/>
      <c r="C265" s="1"/>
      <c r="D265" s="1"/>
      <c r="E265" s="2"/>
      <c r="F265" s="24"/>
      <c r="G265" s="1"/>
      <c r="H265" s="1"/>
      <c r="I265" s="3"/>
    </row>
    <row r="266" spans="1:11">
      <c r="A266" s="1"/>
      <c r="B266" s="1"/>
      <c r="C266" s="1"/>
      <c r="D266" s="1"/>
      <c r="E266" s="2"/>
      <c r="F266" s="24"/>
      <c r="G266" s="1"/>
      <c r="H266" s="1"/>
      <c r="I266" s="1"/>
    </row>
    <row r="271" spans="1:11" s="31" customFormat="1">
      <c r="A271"/>
      <c r="B271"/>
      <c r="C271"/>
      <c r="D271"/>
      <c r="E271" s="23"/>
      <c r="G271"/>
      <c r="H271"/>
      <c r="I271"/>
      <c r="J271"/>
      <c r="K271"/>
    </row>
    <row r="272" spans="1:11" s="31" customFormat="1">
      <c r="A272"/>
      <c r="B272"/>
      <c r="C272"/>
      <c r="D272"/>
      <c r="E272"/>
      <c r="G272"/>
      <c r="H272"/>
      <c r="I272"/>
      <c r="J272"/>
      <c r="K272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26"/>
  <sheetViews>
    <sheetView topLeftCell="A7" workbookViewId="0">
      <selection activeCell="F25" sqref="F25"/>
    </sheetView>
  </sheetViews>
  <sheetFormatPr defaultRowHeight="15"/>
  <cols>
    <col min="1" max="1" width="18.28515625" customWidth="1"/>
    <col min="2" max="2" width="10.28515625" bestFit="1" customWidth="1"/>
    <col min="3" max="3" width="25.85546875" customWidth="1"/>
    <col min="4" max="4" width="37.7109375" bestFit="1" customWidth="1"/>
    <col min="5" max="5" width="10.5703125" bestFit="1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>
      <c r="A1" s="1" t="s">
        <v>5</v>
      </c>
      <c r="B1" s="1" t="s">
        <v>6</v>
      </c>
      <c r="C1" s="1" t="s">
        <v>7</v>
      </c>
      <c r="D1" s="1" t="s">
        <v>0</v>
      </c>
      <c r="E1" s="1" t="s">
        <v>873</v>
      </c>
      <c r="F1" s="1" t="s">
        <v>2</v>
      </c>
      <c r="G1" s="1" t="s">
        <v>4</v>
      </c>
      <c r="H1" s="1" t="s">
        <v>874</v>
      </c>
      <c r="I1" s="5" t="s">
        <v>10</v>
      </c>
    </row>
    <row r="2" spans="1:9">
      <c r="A2" s="1" t="s">
        <v>3122</v>
      </c>
      <c r="B2" s="3">
        <v>45235</v>
      </c>
      <c r="C2" s="6" t="s">
        <v>195</v>
      </c>
      <c r="D2" s="9" t="s">
        <v>1936</v>
      </c>
      <c r="E2" s="6">
        <v>14.831</v>
      </c>
      <c r="F2" s="6" t="s">
        <v>926</v>
      </c>
      <c r="G2" s="6" t="s">
        <v>2754</v>
      </c>
      <c r="H2" s="10">
        <v>45218</v>
      </c>
      <c r="I2" s="9">
        <v>51120</v>
      </c>
    </row>
    <row r="3" spans="1:9">
      <c r="A3" s="1" t="s">
        <v>3122</v>
      </c>
      <c r="B3" s="3">
        <v>45235</v>
      </c>
      <c r="C3" s="6" t="s">
        <v>310</v>
      </c>
      <c r="D3" s="9" t="s">
        <v>1936</v>
      </c>
      <c r="E3" s="6">
        <v>2.36</v>
      </c>
      <c r="F3" s="6" t="s">
        <v>926</v>
      </c>
      <c r="G3" s="6" t="s">
        <v>2754</v>
      </c>
      <c r="H3" s="10">
        <v>45218</v>
      </c>
      <c r="I3" s="9">
        <v>50920</v>
      </c>
    </row>
    <row r="4" spans="1:9">
      <c r="A4" s="1" t="s">
        <v>3122</v>
      </c>
      <c r="B4" s="3">
        <v>45235</v>
      </c>
      <c r="C4" s="6" t="s">
        <v>226</v>
      </c>
      <c r="D4" s="9" t="s">
        <v>1936</v>
      </c>
      <c r="E4" s="6">
        <v>0.88300000000000001</v>
      </c>
      <c r="F4" s="6" t="s">
        <v>926</v>
      </c>
      <c r="G4" s="6" t="s">
        <v>2754</v>
      </c>
      <c r="H4" s="10">
        <v>45218</v>
      </c>
      <c r="I4" s="9">
        <v>50920</v>
      </c>
    </row>
    <row r="5" spans="1:9">
      <c r="A5" s="1" t="s">
        <v>3122</v>
      </c>
      <c r="B5" s="3">
        <v>45235</v>
      </c>
      <c r="C5" s="6" t="s">
        <v>303</v>
      </c>
      <c r="D5" s="9" t="s">
        <v>1936</v>
      </c>
      <c r="E5" s="6">
        <v>3.2330000000000001</v>
      </c>
      <c r="F5" s="6" t="s">
        <v>926</v>
      </c>
      <c r="G5" s="6" t="s">
        <v>2754</v>
      </c>
      <c r="H5" s="10">
        <v>45218</v>
      </c>
      <c r="I5" s="9">
        <v>50920</v>
      </c>
    </row>
    <row r="6" spans="1:9">
      <c r="A6" s="1" t="s">
        <v>3122</v>
      </c>
      <c r="B6" s="3">
        <v>45235</v>
      </c>
      <c r="C6" s="6" t="s">
        <v>345</v>
      </c>
      <c r="D6" s="9" t="s">
        <v>1936</v>
      </c>
      <c r="E6" s="6">
        <v>0.55900000000000005</v>
      </c>
      <c r="F6" s="6" t="s">
        <v>926</v>
      </c>
      <c r="G6" s="6" t="s">
        <v>2754</v>
      </c>
      <c r="H6" s="10">
        <v>45218</v>
      </c>
      <c r="I6" s="9">
        <v>50920</v>
      </c>
    </row>
    <row r="7" spans="1:9">
      <c r="A7" s="1" t="s">
        <v>3123</v>
      </c>
      <c r="B7" s="3">
        <v>45235</v>
      </c>
      <c r="C7" s="6" t="s">
        <v>609</v>
      </c>
      <c r="D7" s="9" t="s">
        <v>1936</v>
      </c>
      <c r="E7" s="6">
        <v>0.55900000000000005</v>
      </c>
      <c r="F7" s="6" t="s">
        <v>926</v>
      </c>
      <c r="G7" s="6" t="s">
        <v>2756</v>
      </c>
      <c r="H7" s="10">
        <v>45218</v>
      </c>
      <c r="I7" s="9">
        <v>59920</v>
      </c>
    </row>
    <row r="8" spans="1:9">
      <c r="A8" s="1" t="s">
        <v>3123</v>
      </c>
      <c r="B8" s="3">
        <v>45235</v>
      </c>
      <c r="C8" s="6" t="s">
        <v>303</v>
      </c>
      <c r="D8" s="9" t="s">
        <v>1936</v>
      </c>
      <c r="E8" s="6">
        <v>0.46400000000000002</v>
      </c>
      <c r="F8" s="6" t="s">
        <v>926</v>
      </c>
      <c r="G8" s="6" t="s">
        <v>2756</v>
      </c>
      <c r="H8" s="10">
        <v>45218</v>
      </c>
      <c r="I8" s="9">
        <v>50920</v>
      </c>
    </row>
    <row r="9" spans="1:9">
      <c r="A9" s="1" t="s">
        <v>3123</v>
      </c>
      <c r="B9" s="3">
        <v>45235</v>
      </c>
      <c r="C9" s="6" t="s">
        <v>345</v>
      </c>
      <c r="D9" s="9" t="s">
        <v>1936</v>
      </c>
      <c r="E9" s="6">
        <v>3.3719999999999999</v>
      </c>
      <c r="F9" s="6" t="s">
        <v>926</v>
      </c>
      <c r="G9" s="6" t="s">
        <v>2756</v>
      </c>
      <c r="H9" s="10">
        <v>45218</v>
      </c>
      <c r="I9" s="9">
        <v>50920</v>
      </c>
    </row>
    <row r="10" spans="1:9">
      <c r="A10" s="1" t="s">
        <v>3124</v>
      </c>
      <c r="B10" s="3">
        <v>45235</v>
      </c>
      <c r="C10" s="6" t="s">
        <v>3125</v>
      </c>
      <c r="D10" s="9" t="s">
        <v>1936</v>
      </c>
      <c r="E10" s="13">
        <v>1.081</v>
      </c>
      <c r="F10" s="6" t="s">
        <v>926</v>
      </c>
      <c r="G10" s="6" t="s">
        <v>3126</v>
      </c>
      <c r="H10" s="10">
        <v>45213</v>
      </c>
      <c r="I10" s="9">
        <v>57330</v>
      </c>
    </row>
    <row r="11" spans="1:9">
      <c r="A11" s="1" t="s">
        <v>3124</v>
      </c>
      <c r="B11" s="3">
        <v>45235</v>
      </c>
      <c r="C11" s="6" t="s">
        <v>303</v>
      </c>
      <c r="D11" s="9" t="s">
        <v>1936</v>
      </c>
      <c r="E11" s="6">
        <v>4.6420000000000003</v>
      </c>
      <c r="F11" s="6" t="s">
        <v>926</v>
      </c>
      <c r="G11" s="6" t="s">
        <v>3126</v>
      </c>
      <c r="H11" s="10">
        <v>45213</v>
      </c>
      <c r="I11" s="9">
        <v>57330</v>
      </c>
    </row>
    <row r="12" spans="1:9">
      <c r="A12" s="1"/>
      <c r="B12" s="3"/>
      <c r="C12" s="1"/>
      <c r="D12" s="9"/>
      <c r="E12" s="11">
        <f>SUM(E2:E11)</f>
        <v>31.983999999999998</v>
      </c>
      <c r="F12" s="6"/>
      <c r="G12" s="6"/>
      <c r="H12" s="10"/>
      <c r="I12" s="9"/>
    </row>
    <row r="13" spans="1:9">
      <c r="A13" s="1" t="s">
        <v>3354</v>
      </c>
      <c r="B13" s="3">
        <v>45251</v>
      </c>
      <c r="C13" s="6" t="s">
        <v>196</v>
      </c>
      <c r="D13" s="9" t="s">
        <v>1936</v>
      </c>
      <c r="E13" s="2">
        <v>6.1150000000000002</v>
      </c>
      <c r="F13" s="102" t="s">
        <v>559</v>
      </c>
      <c r="G13" s="6" t="s">
        <v>2754</v>
      </c>
      <c r="H13" s="10">
        <v>45218</v>
      </c>
      <c r="I13" s="9">
        <v>51120</v>
      </c>
    </row>
    <row r="14" spans="1:9">
      <c r="A14" s="1"/>
      <c r="B14" s="3"/>
      <c r="C14" s="1"/>
      <c r="D14" s="9"/>
      <c r="E14" s="2">
        <f>SUM(E13)</f>
        <v>6.1150000000000002</v>
      </c>
      <c r="F14" s="1"/>
      <c r="G14" s="1"/>
      <c r="H14" s="1"/>
      <c r="I14" s="24"/>
    </row>
    <row r="15" spans="1:9">
      <c r="A15" s="1"/>
      <c r="B15" s="3"/>
      <c r="C15" s="1"/>
      <c r="D15" s="9"/>
      <c r="E15" s="2"/>
      <c r="F15" s="1"/>
      <c r="G15" s="1"/>
      <c r="H15" s="1"/>
      <c r="I15" s="24"/>
    </row>
    <row r="16" spans="1:9">
      <c r="A16" s="1"/>
      <c r="B16" s="3"/>
      <c r="C16" s="1"/>
      <c r="D16" s="9"/>
      <c r="E16" s="2"/>
      <c r="F16" s="1"/>
      <c r="G16" s="1"/>
      <c r="H16" s="1"/>
      <c r="I16" s="24"/>
    </row>
    <row r="17" spans="1:11">
      <c r="A17" s="1"/>
      <c r="B17" s="3"/>
      <c r="C17" s="1"/>
      <c r="D17" s="9"/>
      <c r="E17" s="2"/>
      <c r="F17" s="1"/>
      <c r="G17" s="1"/>
      <c r="H17" s="1"/>
      <c r="I17" s="24"/>
    </row>
    <row r="18" spans="1:11">
      <c r="A18" s="1"/>
      <c r="B18" s="3"/>
      <c r="C18" s="1"/>
      <c r="D18" s="9"/>
      <c r="E18" s="1"/>
      <c r="F18" s="1"/>
      <c r="G18" s="1"/>
      <c r="H18" s="1"/>
      <c r="I18" s="24"/>
    </row>
    <row r="19" spans="1:11">
      <c r="A19" s="1"/>
      <c r="B19" s="3"/>
      <c r="C19" s="1"/>
      <c r="D19" s="1"/>
      <c r="E19" s="1"/>
      <c r="F19" s="1"/>
      <c r="G19" s="1"/>
      <c r="H19" s="1"/>
      <c r="I19" s="24"/>
    </row>
    <row r="20" spans="1:11">
      <c r="A20" s="1"/>
      <c r="B20" s="1"/>
      <c r="C20" s="1"/>
      <c r="D20" s="59" t="s">
        <v>924</v>
      </c>
      <c r="E20" s="2">
        <f>SUM(E2:E19)/2</f>
        <v>38.098999999999997</v>
      </c>
      <c r="F20" s="1"/>
      <c r="G20" s="1"/>
      <c r="H20" s="1"/>
      <c r="I20" s="1"/>
    </row>
    <row r="25" spans="1:11" s="31" customFormat="1">
      <c r="A25"/>
      <c r="B25"/>
      <c r="C25"/>
      <c r="D25"/>
      <c r="E25" s="23"/>
      <c r="G25"/>
      <c r="H25"/>
      <c r="I25"/>
      <c r="J25"/>
      <c r="K25"/>
    </row>
    <row r="26" spans="1:11" s="31" customFormat="1">
      <c r="A26"/>
      <c r="B26"/>
      <c r="C26"/>
      <c r="D26"/>
      <c r="E26"/>
      <c r="G26"/>
      <c r="H26"/>
      <c r="I26"/>
      <c r="J26"/>
      <c r="K26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346"/>
  <sheetViews>
    <sheetView topLeftCell="A157" workbookViewId="0">
      <selection activeCell="D163" sqref="D163"/>
    </sheetView>
  </sheetViews>
  <sheetFormatPr defaultRowHeight="15"/>
  <cols>
    <col min="1" max="1" width="18.28515625" customWidth="1"/>
    <col min="2" max="2" width="10.28515625" bestFit="1" customWidth="1"/>
    <col min="3" max="3" width="30.5703125" customWidth="1"/>
    <col min="4" max="4" width="48.28515625" bestFit="1" customWidth="1"/>
    <col min="5" max="5" width="12" customWidth="1"/>
    <col min="6" max="6" width="15" style="31" customWidth="1"/>
    <col min="7" max="7" width="29.7109375" customWidth="1"/>
    <col min="8" max="8" width="16.5703125" customWidth="1"/>
    <col min="9" max="9" width="12.7109375" style="112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66" t="s">
        <v>3483</v>
      </c>
      <c r="B2" s="103">
        <v>45259</v>
      </c>
      <c r="C2" s="13" t="s">
        <v>2957</v>
      </c>
      <c r="D2" s="113" t="s">
        <v>78</v>
      </c>
      <c r="E2" s="52">
        <v>4.38</v>
      </c>
      <c r="F2" s="24" t="s">
        <v>851</v>
      </c>
      <c r="G2" s="1" t="s">
        <v>3484</v>
      </c>
      <c r="H2" s="4" t="s">
        <v>3130</v>
      </c>
      <c r="I2" s="110">
        <v>45231</v>
      </c>
    </row>
    <row r="3" spans="1:9">
      <c r="A3" s="66" t="s">
        <v>3483</v>
      </c>
      <c r="B3" s="103">
        <v>45259</v>
      </c>
      <c r="C3" s="13" t="s">
        <v>2747</v>
      </c>
      <c r="D3" s="113" t="s">
        <v>78</v>
      </c>
      <c r="E3" s="52">
        <v>28.532</v>
      </c>
      <c r="F3" s="24" t="s">
        <v>851</v>
      </c>
      <c r="G3" s="1" t="s">
        <v>3484</v>
      </c>
      <c r="H3" s="4" t="s">
        <v>3130</v>
      </c>
      <c r="I3" s="110">
        <v>45231</v>
      </c>
    </row>
    <row r="4" spans="1:9">
      <c r="A4" s="66" t="s">
        <v>3487</v>
      </c>
      <c r="B4" s="103">
        <v>45259</v>
      </c>
      <c r="C4" s="13" t="s">
        <v>3411</v>
      </c>
      <c r="D4" s="113" t="s">
        <v>78</v>
      </c>
      <c r="E4" s="52">
        <v>7.0010000000000003</v>
      </c>
      <c r="F4" s="24" t="s">
        <v>83</v>
      </c>
      <c r="G4" s="1" t="s">
        <v>3488</v>
      </c>
      <c r="H4" s="4" t="s">
        <v>3130</v>
      </c>
      <c r="I4" s="110">
        <v>45231</v>
      </c>
    </row>
    <row r="5" spans="1:9">
      <c r="A5" s="66" t="s">
        <v>3489</v>
      </c>
      <c r="B5" s="103">
        <v>45259</v>
      </c>
      <c r="C5" s="13" t="s">
        <v>2488</v>
      </c>
      <c r="D5" s="113" t="s">
        <v>78</v>
      </c>
      <c r="E5" s="52">
        <v>18.869</v>
      </c>
      <c r="F5" s="24" t="s">
        <v>83</v>
      </c>
      <c r="G5" s="1" t="s">
        <v>3488</v>
      </c>
      <c r="H5" s="1" t="s">
        <v>3336</v>
      </c>
      <c r="I5" s="110">
        <v>45231</v>
      </c>
    </row>
    <row r="6" spans="1:9">
      <c r="A6" s="66" t="s">
        <v>3489</v>
      </c>
      <c r="B6" s="103">
        <v>45259</v>
      </c>
      <c r="C6" s="13" t="s">
        <v>3115</v>
      </c>
      <c r="D6" s="113" t="s">
        <v>78</v>
      </c>
      <c r="E6" s="52">
        <v>6.0570000000000004</v>
      </c>
      <c r="F6" s="24" t="s">
        <v>83</v>
      </c>
      <c r="G6" s="1" t="s">
        <v>3488</v>
      </c>
      <c r="H6" s="1" t="s">
        <v>3336</v>
      </c>
      <c r="I6" s="110">
        <v>45231</v>
      </c>
    </row>
    <row r="7" spans="1:9">
      <c r="A7" s="66"/>
      <c r="B7" s="103"/>
      <c r="C7" s="11"/>
      <c r="D7" s="113"/>
      <c r="E7" s="58">
        <f>SUM(E2:E6)</f>
        <v>64.838999999999999</v>
      </c>
      <c r="F7" s="24"/>
      <c r="G7" s="1"/>
      <c r="H7" s="4"/>
      <c r="I7" s="110"/>
    </row>
    <row r="8" spans="1:9">
      <c r="A8" s="66" t="s">
        <v>3492</v>
      </c>
      <c r="B8" s="103">
        <v>45260</v>
      </c>
      <c r="C8" s="13" t="s">
        <v>3411</v>
      </c>
      <c r="D8" s="113" t="s">
        <v>78</v>
      </c>
      <c r="E8" s="104">
        <f>0.058+16.279</f>
        <v>16.337</v>
      </c>
      <c r="F8" s="24" t="s">
        <v>238</v>
      </c>
      <c r="G8" s="1" t="s">
        <v>3493</v>
      </c>
      <c r="H8" s="4" t="s">
        <v>3130</v>
      </c>
      <c r="I8" s="110">
        <v>45231</v>
      </c>
    </row>
    <row r="9" spans="1:9">
      <c r="A9" s="66" t="s">
        <v>3492</v>
      </c>
      <c r="B9" s="103">
        <v>45260</v>
      </c>
      <c r="C9" s="13" t="s">
        <v>2957</v>
      </c>
      <c r="D9" s="113" t="s">
        <v>78</v>
      </c>
      <c r="E9" s="104">
        <f>9.095+7.98</f>
        <v>17.075000000000003</v>
      </c>
      <c r="F9" s="24" t="s">
        <v>238</v>
      </c>
      <c r="G9" s="1" t="s">
        <v>3493</v>
      </c>
      <c r="H9" s="4" t="s">
        <v>3130</v>
      </c>
      <c r="I9" s="110">
        <v>45231</v>
      </c>
    </row>
    <row r="10" spans="1:9">
      <c r="A10" s="66" t="s">
        <v>3494</v>
      </c>
      <c r="B10" s="103">
        <v>45260</v>
      </c>
      <c r="C10" s="13" t="s">
        <v>3157</v>
      </c>
      <c r="D10" s="113" t="s">
        <v>78</v>
      </c>
      <c r="E10" s="104">
        <v>4.9809999999999999</v>
      </c>
      <c r="F10" s="24" t="s">
        <v>116</v>
      </c>
      <c r="G10" s="1" t="s">
        <v>3495</v>
      </c>
      <c r="H10" s="1" t="s">
        <v>3256</v>
      </c>
      <c r="I10" s="110">
        <v>45227</v>
      </c>
    </row>
    <row r="11" spans="1:9">
      <c r="A11" s="66" t="s">
        <v>3494</v>
      </c>
      <c r="B11" s="103">
        <v>45260</v>
      </c>
      <c r="C11" s="13" t="s">
        <v>3020</v>
      </c>
      <c r="D11" s="113" t="s">
        <v>78</v>
      </c>
      <c r="E11" s="104">
        <f>12.541+5.39</f>
        <v>17.931000000000001</v>
      </c>
      <c r="F11" s="24" t="s">
        <v>116</v>
      </c>
      <c r="G11" s="1" t="s">
        <v>3495</v>
      </c>
      <c r="H11" s="1" t="s">
        <v>3256</v>
      </c>
      <c r="I11" s="110">
        <v>45227</v>
      </c>
    </row>
    <row r="12" spans="1:9">
      <c r="A12" s="66" t="s">
        <v>3494</v>
      </c>
      <c r="B12" s="103">
        <v>45260</v>
      </c>
      <c r="C12" s="13" t="s">
        <v>3008</v>
      </c>
      <c r="D12" s="113" t="s">
        <v>78</v>
      </c>
      <c r="E12" s="104">
        <v>7.6630000000000003</v>
      </c>
      <c r="F12" s="24" t="s">
        <v>116</v>
      </c>
      <c r="G12" s="1" t="s">
        <v>3495</v>
      </c>
      <c r="H12" s="1" t="s">
        <v>3256</v>
      </c>
      <c r="I12" s="110">
        <v>45227</v>
      </c>
    </row>
    <row r="13" spans="1:9">
      <c r="A13" s="66" t="s">
        <v>3496</v>
      </c>
      <c r="B13" s="103">
        <v>45260</v>
      </c>
      <c r="C13" s="13" t="s">
        <v>3184</v>
      </c>
      <c r="D13" s="113" t="s">
        <v>78</v>
      </c>
      <c r="E13" s="104">
        <v>0.65800000000000003</v>
      </c>
      <c r="F13" s="24" t="s">
        <v>116</v>
      </c>
      <c r="G13" s="1" t="s">
        <v>3497</v>
      </c>
      <c r="H13" s="4" t="s">
        <v>3130</v>
      </c>
      <c r="I13" s="110">
        <v>45231</v>
      </c>
    </row>
    <row r="14" spans="1:9">
      <c r="A14" s="66" t="s">
        <v>3498</v>
      </c>
      <c r="B14" s="103">
        <v>45260</v>
      </c>
      <c r="C14" s="13" t="s">
        <v>3219</v>
      </c>
      <c r="D14" s="113" t="s">
        <v>78</v>
      </c>
      <c r="E14" s="104">
        <f>11.791+16.614</f>
        <v>28.405000000000001</v>
      </c>
      <c r="F14" s="24" t="s">
        <v>1156</v>
      </c>
      <c r="G14" s="1" t="s">
        <v>3499</v>
      </c>
      <c r="H14" s="4" t="s">
        <v>3130</v>
      </c>
      <c r="I14" s="110">
        <v>45231</v>
      </c>
    </row>
    <row r="15" spans="1:9">
      <c r="A15" s="66" t="s">
        <v>3498</v>
      </c>
      <c r="B15" s="103">
        <v>45260</v>
      </c>
      <c r="C15" s="13" t="s">
        <v>3220</v>
      </c>
      <c r="D15" s="113" t="s">
        <v>78</v>
      </c>
      <c r="E15" s="104">
        <v>3.327</v>
      </c>
      <c r="F15" s="24" t="s">
        <v>1156</v>
      </c>
      <c r="G15" s="1" t="s">
        <v>3499</v>
      </c>
      <c r="H15" s="4" t="s">
        <v>3130</v>
      </c>
      <c r="I15" s="110">
        <v>45231</v>
      </c>
    </row>
    <row r="16" spans="1:9">
      <c r="A16" s="66" t="s">
        <v>3498</v>
      </c>
      <c r="B16" s="103">
        <v>45260</v>
      </c>
      <c r="C16" s="13" t="s">
        <v>3192</v>
      </c>
      <c r="D16" s="113" t="s">
        <v>78</v>
      </c>
      <c r="E16" s="104">
        <v>0.64300000000000002</v>
      </c>
      <c r="F16" s="24" t="s">
        <v>1156</v>
      </c>
      <c r="G16" s="1" t="s">
        <v>3499</v>
      </c>
      <c r="H16" s="4" t="s">
        <v>3130</v>
      </c>
      <c r="I16" s="110">
        <v>45231</v>
      </c>
    </row>
    <row r="17" spans="1:9">
      <c r="A17" s="66" t="s">
        <v>3500</v>
      </c>
      <c r="B17" s="103">
        <v>45260</v>
      </c>
      <c r="C17" s="13" t="s">
        <v>3157</v>
      </c>
      <c r="D17" s="113" t="s">
        <v>78</v>
      </c>
      <c r="E17" s="104">
        <v>31.15</v>
      </c>
      <c r="F17" s="24" t="s">
        <v>83</v>
      </c>
      <c r="G17" s="1" t="s">
        <v>3501</v>
      </c>
      <c r="H17" s="4" t="s">
        <v>3130</v>
      </c>
      <c r="I17" s="110">
        <v>45231</v>
      </c>
    </row>
    <row r="18" spans="1:9">
      <c r="A18" s="66" t="s">
        <v>3502</v>
      </c>
      <c r="B18" s="103">
        <v>45260</v>
      </c>
      <c r="C18" s="13" t="s">
        <v>3149</v>
      </c>
      <c r="D18" s="113" t="s">
        <v>78</v>
      </c>
      <c r="E18" s="104">
        <f>2.896+5.589+5.58</f>
        <v>14.065</v>
      </c>
      <c r="F18" s="24" t="s">
        <v>97</v>
      </c>
      <c r="G18" s="1" t="s">
        <v>3503</v>
      </c>
      <c r="H18" s="4" t="s">
        <v>3130</v>
      </c>
      <c r="I18" s="110">
        <v>45231</v>
      </c>
    </row>
    <row r="19" spans="1:9">
      <c r="A19" s="66" t="s">
        <v>3502</v>
      </c>
      <c r="B19" s="103">
        <v>45260</v>
      </c>
      <c r="C19" s="13" t="s">
        <v>3411</v>
      </c>
      <c r="D19" s="113" t="s">
        <v>78</v>
      </c>
      <c r="E19" s="104">
        <v>18.670999999999999</v>
      </c>
      <c r="F19" s="24" t="s">
        <v>97</v>
      </c>
      <c r="G19" s="1" t="s">
        <v>3503</v>
      </c>
      <c r="H19" s="4" t="s">
        <v>3130</v>
      </c>
      <c r="I19" s="110">
        <v>45231</v>
      </c>
    </row>
    <row r="20" spans="1:9">
      <c r="A20" s="66"/>
      <c r="B20" s="103"/>
      <c r="C20" s="11"/>
      <c r="D20" s="113"/>
      <c r="E20" s="58">
        <f>SUM(E8:E19)</f>
        <v>160.90600000000001</v>
      </c>
      <c r="F20" s="24"/>
      <c r="G20" s="1"/>
      <c r="H20" s="4"/>
      <c r="I20" s="110"/>
    </row>
    <row r="21" spans="1:9">
      <c r="A21" s="66" t="s">
        <v>3504</v>
      </c>
      <c r="B21" s="103">
        <v>45261</v>
      </c>
      <c r="C21" s="13" t="s">
        <v>3149</v>
      </c>
      <c r="D21" s="113" t="s">
        <v>78</v>
      </c>
      <c r="E21" s="104">
        <f>2.098+2.364</f>
        <v>4.4619999999999997</v>
      </c>
      <c r="F21" s="24" t="s">
        <v>116</v>
      </c>
      <c r="G21" s="1" t="s">
        <v>3505</v>
      </c>
      <c r="H21" s="4" t="s">
        <v>3130</v>
      </c>
      <c r="I21" s="110">
        <v>45231</v>
      </c>
    </row>
    <row r="22" spans="1:9">
      <c r="A22" s="66" t="s">
        <v>3504</v>
      </c>
      <c r="B22" s="103">
        <v>45261</v>
      </c>
      <c r="C22" s="13" t="s">
        <v>3219</v>
      </c>
      <c r="D22" s="113" t="s">
        <v>78</v>
      </c>
      <c r="E22" s="104">
        <f>4.901+7.533+16.243</f>
        <v>28.677</v>
      </c>
      <c r="F22" s="24" t="s">
        <v>116</v>
      </c>
      <c r="G22" s="1" t="s">
        <v>3505</v>
      </c>
      <c r="H22" s="4" t="s">
        <v>3130</v>
      </c>
      <c r="I22" s="110">
        <v>45231</v>
      </c>
    </row>
    <row r="23" spans="1:9">
      <c r="A23" s="66" t="s">
        <v>3506</v>
      </c>
      <c r="B23" s="103">
        <v>45261</v>
      </c>
      <c r="C23" s="13" t="s">
        <v>2486</v>
      </c>
      <c r="D23" s="113" t="s">
        <v>78</v>
      </c>
      <c r="E23" s="104">
        <v>12.427</v>
      </c>
      <c r="F23" s="24" t="s">
        <v>238</v>
      </c>
      <c r="G23" s="1" t="s">
        <v>3507</v>
      </c>
      <c r="H23" s="1" t="s">
        <v>3256</v>
      </c>
      <c r="I23" s="110">
        <v>45231</v>
      </c>
    </row>
    <row r="24" spans="1:9">
      <c r="A24" s="66" t="s">
        <v>3506</v>
      </c>
      <c r="B24" s="103">
        <v>45261</v>
      </c>
      <c r="C24" s="13" t="s">
        <v>3008</v>
      </c>
      <c r="D24" s="113" t="s">
        <v>78</v>
      </c>
      <c r="E24" s="104">
        <f>0.66+6.918</f>
        <v>7.5780000000000003</v>
      </c>
      <c r="F24" s="24" t="s">
        <v>238</v>
      </c>
      <c r="G24" s="1" t="s">
        <v>3507</v>
      </c>
      <c r="H24" s="1" t="s">
        <v>3256</v>
      </c>
      <c r="I24" s="110">
        <v>45231</v>
      </c>
    </row>
    <row r="25" spans="1:9">
      <c r="A25" s="66" t="s">
        <v>3506</v>
      </c>
      <c r="B25" s="103">
        <v>45261</v>
      </c>
      <c r="C25" s="13" t="s">
        <v>3020</v>
      </c>
      <c r="D25" s="113" t="s">
        <v>78</v>
      </c>
      <c r="E25" s="104">
        <v>4.9770000000000003</v>
      </c>
      <c r="F25" s="24" t="s">
        <v>238</v>
      </c>
      <c r="G25" s="1" t="s">
        <v>3507</v>
      </c>
      <c r="H25" s="1" t="s">
        <v>3256</v>
      </c>
      <c r="I25" s="110">
        <v>45231</v>
      </c>
    </row>
    <row r="26" spans="1:9">
      <c r="A26" s="66" t="s">
        <v>3506</v>
      </c>
      <c r="B26" s="103">
        <v>45261</v>
      </c>
      <c r="C26" s="13" t="s">
        <v>3221</v>
      </c>
      <c r="D26" s="113" t="s">
        <v>78</v>
      </c>
      <c r="E26" s="104">
        <v>0.51900000000000002</v>
      </c>
      <c r="F26" s="24" t="s">
        <v>238</v>
      </c>
      <c r="G26" s="1" t="s">
        <v>3507</v>
      </c>
      <c r="H26" s="1" t="s">
        <v>3256</v>
      </c>
      <c r="I26" s="110">
        <v>45231</v>
      </c>
    </row>
    <row r="27" spans="1:9">
      <c r="A27" s="66" t="s">
        <v>3506</v>
      </c>
      <c r="B27" s="103">
        <v>45261</v>
      </c>
      <c r="C27" s="13" t="s">
        <v>3411</v>
      </c>
      <c r="D27" s="113" t="s">
        <v>78</v>
      </c>
      <c r="E27" s="104">
        <v>6.5309999999999997</v>
      </c>
      <c r="F27" s="24" t="s">
        <v>238</v>
      </c>
      <c r="G27" s="1" t="s">
        <v>3507</v>
      </c>
      <c r="H27" s="1" t="s">
        <v>3256</v>
      </c>
      <c r="I27" s="110">
        <v>45231</v>
      </c>
    </row>
    <row r="28" spans="1:9">
      <c r="A28" s="66" t="s">
        <v>3508</v>
      </c>
      <c r="B28" s="103">
        <v>45261</v>
      </c>
      <c r="C28" s="13" t="s">
        <v>3157</v>
      </c>
      <c r="D28" s="113" t="s">
        <v>78</v>
      </c>
      <c r="E28" s="104">
        <v>33.003999999999998</v>
      </c>
      <c r="F28" s="24" t="s">
        <v>392</v>
      </c>
      <c r="G28" s="1" t="s">
        <v>3509</v>
      </c>
      <c r="H28" s="1" t="s">
        <v>3336</v>
      </c>
      <c r="I28" s="110">
        <v>45231</v>
      </c>
    </row>
    <row r="29" spans="1:9">
      <c r="A29" s="66" t="s">
        <v>3510</v>
      </c>
      <c r="B29" s="103">
        <v>45261</v>
      </c>
      <c r="C29" s="13" t="s">
        <v>2747</v>
      </c>
      <c r="D29" s="113" t="s">
        <v>78</v>
      </c>
      <c r="E29" s="104">
        <v>33.119999999999997</v>
      </c>
      <c r="F29" s="24" t="s">
        <v>1156</v>
      </c>
      <c r="G29" s="1" t="s">
        <v>3511</v>
      </c>
      <c r="H29" s="1" t="s">
        <v>3336</v>
      </c>
      <c r="I29" s="110">
        <v>45231</v>
      </c>
    </row>
    <row r="30" spans="1:9">
      <c r="A30" s="66"/>
      <c r="B30" s="103"/>
      <c r="C30" s="11"/>
      <c r="D30" s="113"/>
      <c r="E30" s="58">
        <f>SUM(E21:E29)</f>
        <v>131.29499999999999</v>
      </c>
      <c r="F30" s="24"/>
      <c r="G30" s="1"/>
      <c r="H30" s="4"/>
      <c r="I30" s="110"/>
    </row>
    <row r="31" spans="1:9">
      <c r="A31" s="66" t="s">
        <v>3514</v>
      </c>
      <c r="B31" s="103">
        <v>45262</v>
      </c>
      <c r="C31" s="13" t="s">
        <v>3411</v>
      </c>
      <c r="D31" s="113" t="s">
        <v>78</v>
      </c>
      <c r="E31" s="52">
        <v>5.8789999999999996</v>
      </c>
      <c r="F31" s="24" t="s">
        <v>116</v>
      </c>
      <c r="G31" s="1" t="s">
        <v>3516</v>
      </c>
      <c r="H31" s="1" t="s">
        <v>3256</v>
      </c>
      <c r="I31" s="110">
        <v>45231</v>
      </c>
    </row>
    <row r="32" spans="1:9">
      <c r="A32" s="66" t="s">
        <v>3514</v>
      </c>
      <c r="B32" s="103">
        <v>45262</v>
      </c>
      <c r="C32" s="13" t="s">
        <v>3410</v>
      </c>
      <c r="D32" s="113" t="s">
        <v>78</v>
      </c>
      <c r="E32" s="52">
        <f>2.138+6.809</f>
        <v>8.9469999999999992</v>
      </c>
      <c r="F32" s="24" t="s">
        <v>116</v>
      </c>
      <c r="G32" s="1" t="s">
        <v>3516</v>
      </c>
      <c r="H32" s="1" t="s">
        <v>3256</v>
      </c>
      <c r="I32" s="110">
        <v>45231</v>
      </c>
    </row>
    <row r="33" spans="1:9">
      <c r="A33" s="66" t="s">
        <v>3514</v>
      </c>
      <c r="B33" s="103">
        <v>45262</v>
      </c>
      <c r="C33" s="13" t="s">
        <v>3515</v>
      </c>
      <c r="D33" s="113" t="s">
        <v>78</v>
      </c>
      <c r="E33" s="52">
        <v>5.7380000000000004</v>
      </c>
      <c r="F33" s="24" t="s">
        <v>116</v>
      </c>
      <c r="G33" s="1" t="s">
        <v>3516</v>
      </c>
      <c r="H33" s="1" t="s">
        <v>3256</v>
      </c>
      <c r="I33" s="110">
        <v>45231</v>
      </c>
    </row>
    <row r="34" spans="1:9">
      <c r="A34" s="66" t="s">
        <v>3517</v>
      </c>
      <c r="B34" s="103">
        <v>45262</v>
      </c>
      <c r="C34" s="13" t="s">
        <v>2957</v>
      </c>
      <c r="D34" s="113" t="s">
        <v>78</v>
      </c>
      <c r="E34" s="52">
        <v>11.6</v>
      </c>
      <c r="F34" s="24" t="s">
        <v>116</v>
      </c>
      <c r="G34" s="1" t="s">
        <v>3518</v>
      </c>
      <c r="H34" s="1" t="s">
        <v>3336</v>
      </c>
      <c r="I34" s="110">
        <v>45231</v>
      </c>
    </row>
    <row r="35" spans="1:9">
      <c r="A35" s="66" t="s">
        <v>3519</v>
      </c>
      <c r="B35" s="103">
        <v>45262</v>
      </c>
      <c r="C35" s="13" t="s">
        <v>3157</v>
      </c>
      <c r="D35" s="113" t="s">
        <v>78</v>
      </c>
      <c r="E35" s="52">
        <f>7.013+24.978</f>
        <v>31.991</v>
      </c>
      <c r="F35" s="24" t="s">
        <v>392</v>
      </c>
      <c r="G35" s="1" t="s">
        <v>3520</v>
      </c>
      <c r="H35" s="1" t="s">
        <v>3336</v>
      </c>
      <c r="I35" s="110">
        <v>45231</v>
      </c>
    </row>
    <row r="36" spans="1:9">
      <c r="A36" s="66" t="s">
        <v>3521</v>
      </c>
      <c r="B36" s="103">
        <v>45262</v>
      </c>
      <c r="C36" s="13" t="s">
        <v>3128</v>
      </c>
      <c r="D36" s="113" t="s">
        <v>78</v>
      </c>
      <c r="E36" s="52">
        <v>32.531999999999996</v>
      </c>
      <c r="F36" s="24" t="s">
        <v>238</v>
      </c>
      <c r="G36" s="1" t="s">
        <v>3522</v>
      </c>
      <c r="H36" s="1" t="s">
        <v>3336</v>
      </c>
      <c r="I36" s="110">
        <v>45231</v>
      </c>
    </row>
    <row r="37" spans="1:9">
      <c r="A37" s="66" t="s">
        <v>3523</v>
      </c>
      <c r="B37" s="103">
        <v>45262</v>
      </c>
      <c r="C37" s="13" t="s">
        <v>3157</v>
      </c>
      <c r="D37" s="113" t="s">
        <v>78</v>
      </c>
      <c r="E37" s="52">
        <v>32.207999999999998</v>
      </c>
      <c r="F37" s="24" t="s">
        <v>1156</v>
      </c>
      <c r="G37" s="1" t="s">
        <v>3524</v>
      </c>
      <c r="H37" s="1" t="s">
        <v>3336</v>
      </c>
      <c r="I37" s="110">
        <v>45231</v>
      </c>
    </row>
    <row r="38" spans="1:9">
      <c r="A38" s="66" t="s">
        <v>3525</v>
      </c>
      <c r="B38" s="103">
        <v>45262</v>
      </c>
      <c r="C38" s="13" t="s">
        <v>3128</v>
      </c>
      <c r="D38" s="113" t="s">
        <v>78</v>
      </c>
      <c r="E38" s="52">
        <v>32.079000000000001</v>
      </c>
      <c r="F38" s="102" t="s">
        <v>97</v>
      </c>
      <c r="G38" s="1" t="s">
        <v>3526</v>
      </c>
      <c r="H38" s="1" t="s">
        <v>3336</v>
      </c>
      <c r="I38" s="110">
        <v>45231</v>
      </c>
    </row>
    <row r="39" spans="1:9">
      <c r="A39" s="66" t="s">
        <v>3527</v>
      </c>
      <c r="B39" s="103">
        <v>45262</v>
      </c>
      <c r="C39" s="13" t="s">
        <v>3020</v>
      </c>
      <c r="D39" s="113" t="s">
        <v>78</v>
      </c>
      <c r="E39" s="52">
        <v>2.5939999999999999</v>
      </c>
      <c r="F39" s="102" t="s">
        <v>1481</v>
      </c>
      <c r="G39" s="1" t="s">
        <v>3528</v>
      </c>
      <c r="H39" s="1" t="s">
        <v>3256</v>
      </c>
      <c r="I39" s="110">
        <v>45231</v>
      </c>
    </row>
    <row r="40" spans="1:9">
      <c r="A40" s="66" t="s">
        <v>3527</v>
      </c>
      <c r="B40" s="103">
        <v>45262</v>
      </c>
      <c r="C40" s="13" t="s">
        <v>3150</v>
      </c>
      <c r="D40" s="113" t="s">
        <v>78</v>
      </c>
      <c r="E40" s="52">
        <v>1.222</v>
      </c>
      <c r="F40" s="102" t="s">
        <v>1481</v>
      </c>
      <c r="G40" s="1" t="s">
        <v>3528</v>
      </c>
      <c r="H40" s="1" t="s">
        <v>3256</v>
      </c>
      <c r="I40" s="110">
        <v>45231</v>
      </c>
    </row>
    <row r="41" spans="1:9">
      <c r="A41" s="66" t="s">
        <v>3527</v>
      </c>
      <c r="B41" s="103">
        <v>45262</v>
      </c>
      <c r="C41" s="13" t="s">
        <v>2957</v>
      </c>
      <c r="D41" s="113" t="s">
        <v>78</v>
      </c>
      <c r="E41" s="52">
        <v>9.9670000000000005</v>
      </c>
      <c r="F41" s="102" t="s">
        <v>1481</v>
      </c>
      <c r="G41" s="1" t="s">
        <v>3528</v>
      </c>
      <c r="H41" s="1" t="s">
        <v>3256</v>
      </c>
      <c r="I41" s="110">
        <v>45231</v>
      </c>
    </row>
    <row r="42" spans="1:9">
      <c r="A42" s="66" t="s">
        <v>3527</v>
      </c>
      <c r="B42" s="103">
        <v>45262</v>
      </c>
      <c r="C42" s="13" t="s">
        <v>3410</v>
      </c>
      <c r="D42" s="113" t="s">
        <v>78</v>
      </c>
      <c r="E42" s="52">
        <v>5.117</v>
      </c>
      <c r="F42" s="102" t="s">
        <v>1481</v>
      </c>
      <c r="G42" s="1" t="s">
        <v>3528</v>
      </c>
      <c r="H42" s="1" t="s">
        <v>3256</v>
      </c>
      <c r="I42" s="110">
        <v>45231</v>
      </c>
    </row>
    <row r="43" spans="1:9">
      <c r="A43" s="66" t="s">
        <v>3527</v>
      </c>
      <c r="B43" s="103">
        <v>45262</v>
      </c>
      <c r="C43" s="13" t="s">
        <v>3411</v>
      </c>
      <c r="D43" s="113" t="s">
        <v>78</v>
      </c>
      <c r="E43" s="52">
        <v>0.64</v>
      </c>
      <c r="F43" s="102" t="s">
        <v>1481</v>
      </c>
      <c r="G43" s="1" t="s">
        <v>3528</v>
      </c>
      <c r="H43" s="1" t="s">
        <v>3256</v>
      </c>
      <c r="I43" s="110">
        <v>45231</v>
      </c>
    </row>
    <row r="44" spans="1:9">
      <c r="A44" s="66" t="s">
        <v>3529</v>
      </c>
      <c r="B44" s="103">
        <v>45262</v>
      </c>
      <c r="C44" s="13" t="s">
        <v>2957</v>
      </c>
      <c r="D44" s="113" t="s">
        <v>78</v>
      </c>
      <c r="E44" s="52">
        <f>7.353+4.571</f>
        <v>11.923999999999999</v>
      </c>
      <c r="F44" s="102" t="s">
        <v>1481</v>
      </c>
      <c r="G44" s="1" t="s">
        <v>3530</v>
      </c>
      <c r="H44" s="1" t="s">
        <v>3336</v>
      </c>
      <c r="I44" s="110">
        <v>45231</v>
      </c>
    </row>
    <row r="45" spans="1:9">
      <c r="A45" s="15"/>
      <c r="B45" s="61"/>
      <c r="C45" s="11"/>
      <c r="D45" s="1"/>
      <c r="E45" s="41">
        <f>SUM(E31:E44)</f>
        <v>192.43799999999999</v>
      </c>
      <c r="F45" s="102"/>
      <c r="G45" s="1"/>
      <c r="H45" s="1"/>
      <c r="I45" s="110"/>
    </row>
    <row r="46" spans="1:9">
      <c r="A46" s="66" t="s">
        <v>3541</v>
      </c>
      <c r="B46" s="103">
        <v>45263</v>
      </c>
      <c r="C46" s="13" t="s">
        <v>2487</v>
      </c>
      <c r="D46" s="113" t="s">
        <v>78</v>
      </c>
      <c r="E46" s="104">
        <v>32.286999999999999</v>
      </c>
      <c r="F46" s="102" t="s">
        <v>238</v>
      </c>
      <c r="G46" s="1" t="s">
        <v>3548</v>
      </c>
      <c r="H46" s="1" t="s">
        <v>3130</v>
      </c>
      <c r="I46" s="110">
        <v>45231</v>
      </c>
    </row>
    <row r="47" spans="1:9">
      <c r="A47" s="66" t="s">
        <v>3542</v>
      </c>
      <c r="B47" s="103">
        <v>45263</v>
      </c>
      <c r="C47" s="13" t="s">
        <v>3128</v>
      </c>
      <c r="D47" s="113" t="s">
        <v>78</v>
      </c>
      <c r="E47" s="104">
        <f>21.783+10.438</f>
        <v>32.221000000000004</v>
      </c>
      <c r="F47" s="102" t="s">
        <v>97</v>
      </c>
      <c r="G47" s="1" t="s">
        <v>3549</v>
      </c>
      <c r="H47" s="1" t="s">
        <v>3336</v>
      </c>
      <c r="I47" s="110">
        <v>45231</v>
      </c>
    </row>
    <row r="48" spans="1:9">
      <c r="A48" s="66" t="s">
        <v>3543</v>
      </c>
      <c r="B48" s="103">
        <v>45263</v>
      </c>
      <c r="C48" s="13" t="s">
        <v>3219</v>
      </c>
      <c r="D48" s="113" t="s">
        <v>78</v>
      </c>
      <c r="E48" s="104">
        <v>31.916</v>
      </c>
      <c r="F48" s="102" t="s">
        <v>116</v>
      </c>
      <c r="G48" s="1" t="s">
        <v>3550</v>
      </c>
      <c r="H48" s="1" t="s">
        <v>3336</v>
      </c>
      <c r="I48" s="110">
        <v>45231</v>
      </c>
    </row>
    <row r="49" spans="1:9">
      <c r="A49" s="66" t="s">
        <v>3544</v>
      </c>
      <c r="B49" s="103">
        <v>45263</v>
      </c>
      <c r="C49" s="13" t="s">
        <v>3128</v>
      </c>
      <c r="D49" s="113" t="s">
        <v>78</v>
      </c>
      <c r="E49" s="104">
        <f>13.049+6.361</f>
        <v>19.41</v>
      </c>
      <c r="F49" s="102" t="s">
        <v>294</v>
      </c>
      <c r="G49" s="1" t="s">
        <v>3551</v>
      </c>
      <c r="H49" s="1" t="s">
        <v>3336</v>
      </c>
      <c r="I49" s="110">
        <v>45231</v>
      </c>
    </row>
    <row r="50" spans="1:9">
      <c r="A50" s="66" t="s">
        <v>3544</v>
      </c>
      <c r="B50" s="103">
        <v>45263</v>
      </c>
      <c r="C50" s="13" t="s">
        <v>2747</v>
      </c>
      <c r="D50" s="113" t="s">
        <v>78</v>
      </c>
      <c r="E50" s="104">
        <v>12.862</v>
      </c>
      <c r="F50" s="102" t="s">
        <v>294</v>
      </c>
      <c r="G50" s="1" t="s">
        <v>3551</v>
      </c>
      <c r="H50" s="1" t="s">
        <v>3336</v>
      </c>
      <c r="I50" s="110">
        <v>45231</v>
      </c>
    </row>
    <row r="51" spans="1:9">
      <c r="A51" s="66" t="s">
        <v>3545</v>
      </c>
      <c r="B51" s="103">
        <v>45263</v>
      </c>
      <c r="C51" s="13" t="s">
        <v>3128</v>
      </c>
      <c r="D51" s="113" t="s">
        <v>78</v>
      </c>
      <c r="E51" s="104">
        <v>33.255000000000003</v>
      </c>
      <c r="F51" s="102" t="s">
        <v>86</v>
      </c>
      <c r="G51" s="1" t="s">
        <v>3552</v>
      </c>
      <c r="H51" s="1" t="s">
        <v>3336</v>
      </c>
      <c r="I51" s="110">
        <v>45231</v>
      </c>
    </row>
    <row r="52" spans="1:9">
      <c r="A52" s="66" t="s">
        <v>3546</v>
      </c>
      <c r="B52" s="103">
        <v>45263</v>
      </c>
      <c r="C52" s="13" t="s">
        <v>3053</v>
      </c>
      <c r="D52" s="113" t="s">
        <v>78</v>
      </c>
      <c r="E52" s="104">
        <v>31.416</v>
      </c>
      <c r="F52" s="102" t="s">
        <v>1393</v>
      </c>
      <c r="G52" s="1" t="s">
        <v>3553</v>
      </c>
      <c r="H52" s="1" t="s">
        <v>3336</v>
      </c>
      <c r="I52" s="110">
        <v>45231</v>
      </c>
    </row>
    <row r="53" spans="1:9">
      <c r="A53" s="66" t="s">
        <v>3547</v>
      </c>
      <c r="B53" s="103">
        <v>45263</v>
      </c>
      <c r="C53" s="13" t="s">
        <v>3219</v>
      </c>
      <c r="D53" s="113" t="s">
        <v>78</v>
      </c>
      <c r="E53" s="104">
        <v>13.221</v>
      </c>
      <c r="F53" s="102" t="s">
        <v>238</v>
      </c>
      <c r="G53" s="1" t="s">
        <v>3554</v>
      </c>
      <c r="H53" s="1" t="s">
        <v>3336</v>
      </c>
      <c r="I53" s="110">
        <v>45231</v>
      </c>
    </row>
    <row r="54" spans="1:9">
      <c r="A54" s="66" t="s">
        <v>3547</v>
      </c>
      <c r="B54" s="103">
        <v>45263</v>
      </c>
      <c r="C54" s="13" t="s">
        <v>2957</v>
      </c>
      <c r="D54" s="113" t="s">
        <v>78</v>
      </c>
      <c r="E54" s="104">
        <f>14.407+4.048</f>
        <v>18.454999999999998</v>
      </c>
      <c r="F54" s="102" t="s">
        <v>238</v>
      </c>
      <c r="G54" s="1" t="s">
        <v>3554</v>
      </c>
      <c r="H54" s="1" t="s">
        <v>3336</v>
      </c>
      <c r="I54" s="110">
        <v>45231</v>
      </c>
    </row>
    <row r="55" spans="1:9">
      <c r="A55" s="15"/>
      <c r="B55" s="61"/>
      <c r="C55" s="11"/>
      <c r="D55" s="1"/>
      <c r="E55" s="41">
        <f>SUM(E46:E54)</f>
        <v>225.04300000000001</v>
      </c>
      <c r="F55" s="102"/>
      <c r="G55" s="1"/>
      <c r="H55" s="1"/>
      <c r="I55" s="110"/>
    </row>
    <row r="56" spans="1:9">
      <c r="A56" s="66" t="s">
        <v>3555</v>
      </c>
      <c r="B56" s="103">
        <v>45264</v>
      </c>
      <c r="C56" s="13" t="s">
        <v>3157</v>
      </c>
      <c r="D56" s="113" t="s">
        <v>78</v>
      </c>
      <c r="E56" s="104">
        <f>1.466+23.57+6.98</f>
        <v>32.016000000000005</v>
      </c>
      <c r="F56" s="102" t="s">
        <v>116</v>
      </c>
      <c r="G56" s="1" t="s">
        <v>3556</v>
      </c>
      <c r="H56" s="1" t="s">
        <v>3336</v>
      </c>
      <c r="I56" s="110">
        <v>45231</v>
      </c>
    </row>
    <row r="57" spans="1:9">
      <c r="A57" s="66" t="s">
        <v>3557</v>
      </c>
      <c r="B57" s="103">
        <v>45264</v>
      </c>
      <c r="C57" s="13" t="s">
        <v>3157</v>
      </c>
      <c r="D57" s="113" t="s">
        <v>78</v>
      </c>
      <c r="E57" s="104">
        <f>3.393+26.409</f>
        <v>29.802</v>
      </c>
      <c r="F57" s="102" t="s">
        <v>3558</v>
      </c>
      <c r="G57" s="1" t="s">
        <v>3559</v>
      </c>
      <c r="H57" s="1" t="s">
        <v>3336</v>
      </c>
      <c r="I57" s="110">
        <v>45231</v>
      </c>
    </row>
    <row r="58" spans="1:9">
      <c r="A58" s="66" t="s">
        <v>3560</v>
      </c>
      <c r="B58" s="103">
        <v>45264</v>
      </c>
      <c r="C58" s="13" t="s">
        <v>3411</v>
      </c>
      <c r="D58" s="113" t="s">
        <v>78</v>
      </c>
      <c r="E58" s="104">
        <v>2.282</v>
      </c>
      <c r="F58" s="102" t="s">
        <v>3558</v>
      </c>
      <c r="G58" s="1" t="s">
        <v>3561</v>
      </c>
      <c r="H58" s="1" t="s">
        <v>3336</v>
      </c>
      <c r="I58" s="110">
        <v>45231</v>
      </c>
    </row>
    <row r="59" spans="1:9">
      <c r="A59" s="66" t="s">
        <v>3562</v>
      </c>
      <c r="B59" s="103">
        <v>45264</v>
      </c>
      <c r="C59" s="13" t="s">
        <v>2840</v>
      </c>
      <c r="D59" s="113" t="s">
        <v>78</v>
      </c>
      <c r="E59" s="104">
        <v>1.9790000000000001</v>
      </c>
      <c r="F59" s="102" t="s">
        <v>97</v>
      </c>
      <c r="G59" s="1" t="s">
        <v>3563</v>
      </c>
      <c r="H59" s="1" t="s">
        <v>3256</v>
      </c>
      <c r="I59" s="110">
        <v>45231</v>
      </c>
    </row>
    <row r="60" spans="1:9">
      <c r="A60" s="66" t="s">
        <v>3562</v>
      </c>
      <c r="B60" s="103">
        <v>45264</v>
      </c>
      <c r="C60" s="13" t="s">
        <v>3128</v>
      </c>
      <c r="D60" s="113" t="s">
        <v>78</v>
      </c>
      <c r="E60" s="104">
        <f>0.435+2.114</f>
        <v>2.5489999999999999</v>
      </c>
      <c r="F60" s="102" t="s">
        <v>97</v>
      </c>
      <c r="G60" s="1" t="s">
        <v>3563</v>
      </c>
      <c r="H60" s="1" t="s">
        <v>3256</v>
      </c>
      <c r="I60" s="110">
        <v>45231</v>
      </c>
    </row>
    <row r="61" spans="1:9">
      <c r="A61" s="66" t="s">
        <v>3562</v>
      </c>
      <c r="B61" s="103">
        <v>45264</v>
      </c>
      <c r="C61" s="13" t="s">
        <v>2486</v>
      </c>
      <c r="D61" s="113" t="s">
        <v>78</v>
      </c>
      <c r="E61" s="104">
        <v>1.9690000000000001</v>
      </c>
      <c r="F61" s="102" t="s">
        <v>97</v>
      </c>
      <c r="G61" s="1" t="s">
        <v>3563</v>
      </c>
      <c r="H61" s="1" t="s">
        <v>3256</v>
      </c>
      <c r="I61" s="110">
        <v>45231</v>
      </c>
    </row>
    <row r="62" spans="1:9">
      <c r="A62" s="66" t="s">
        <v>3562</v>
      </c>
      <c r="B62" s="103">
        <v>45264</v>
      </c>
      <c r="C62" s="13" t="s">
        <v>3150</v>
      </c>
      <c r="D62" s="113" t="s">
        <v>78</v>
      </c>
      <c r="E62" s="104">
        <v>1.391</v>
      </c>
      <c r="F62" s="102" t="s">
        <v>97</v>
      </c>
      <c r="G62" s="1" t="s">
        <v>3563</v>
      </c>
      <c r="H62" s="1" t="s">
        <v>3256</v>
      </c>
      <c r="I62" s="110">
        <v>45231</v>
      </c>
    </row>
    <row r="63" spans="1:9">
      <c r="A63" s="66" t="s">
        <v>3562</v>
      </c>
      <c r="B63" s="103">
        <v>45264</v>
      </c>
      <c r="C63" s="13" t="s">
        <v>2746</v>
      </c>
      <c r="D63" s="113" t="s">
        <v>78</v>
      </c>
      <c r="E63" s="104">
        <v>1.7250000000000001</v>
      </c>
      <c r="F63" s="102" t="s">
        <v>97</v>
      </c>
      <c r="G63" s="1" t="s">
        <v>3563</v>
      </c>
      <c r="H63" s="1" t="s">
        <v>3256</v>
      </c>
      <c r="I63" s="110">
        <v>45231</v>
      </c>
    </row>
    <row r="64" spans="1:9">
      <c r="A64" s="66" t="s">
        <v>3562</v>
      </c>
      <c r="B64" s="103">
        <v>45264</v>
      </c>
      <c r="C64" s="13" t="s">
        <v>3149</v>
      </c>
      <c r="D64" s="113" t="s">
        <v>78</v>
      </c>
      <c r="E64" s="104">
        <v>0.71699999999999997</v>
      </c>
      <c r="F64" s="102" t="s">
        <v>97</v>
      </c>
      <c r="G64" s="1" t="s">
        <v>3563</v>
      </c>
      <c r="H64" s="1" t="s">
        <v>3256</v>
      </c>
      <c r="I64" s="110">
        <v>45231</v>
      </c>
    </row>
    <row r="65" spans="1:9">
      <c r="A65" s="66" t="s">
        <v>3562</v>
      </c>
      <c r="B65" s="103">
        <v>45264</v>
      </c>
      <c r="C65" s="13" t="s">
        <v>3411</v>
      </c>
      <c r="D65" s="113" t="s">
        <v>78</v>
      </c>
      <c r="E65" s="104">
        <v>7.8559999999999999</v>
      </c>
      <c r="F65" s="102" t="s">
        <v>97</v>
      </c>
      <c r="G65" s="1" t="s">
        <v>3563</v>
      </c>
      <c r="H65" s="1" t="s">
        <v>3256</v>
      </c>
      <c r="I65" s="110">
        <v>45231</v>
      </c>
    </row>
    <row r="66" spans="1:9">
      <c r="A66" s="66" t="s">
        <v>3562</v>
      </c>
      <c r="B66" s="103">
        <v>45264</v>
      </c>
      <c r="C66" s="13" t="s">
        <v>3410</v>
      </c>
      <c r="D66" s="113" t="s">
        <v>78</v>
      </c>
      <c r="E66" s="104">
        <v>5.3470000000000004</v>
      </c>
      <c r="F66" s="102" t="s">
        <v>97</v>
      </c>
      <c r="G66" s="1" t="s">
        <v>3563</v>
      </c>
      <c r="H66" s="1" t="s">
        <v>3256</v>
      </c>
      <c r="I66" s="110">
        <v>45231</v>
      </c>
    </row>
    <row r="67" spans="1:9">
      <c r="A67" s="66" t="s">
        <v>3562</v>
      </c>
      <c r="B67" s="103">
        <v>45264</v>
      </c>
      <c r="C67" s="13" t="s">
        <v>3008</v>
      </c>
      <c r="D67" s="113" t="s">
        <v>78</v>
      </c>
      <c r="E67" s="104">
        <v>1.093</v>
      </c>
      <c r="F67" s="102" t="s">
        <v>97</v>
      </c>
      <c r="G67" s="1" t="s">
        <v>3563</v>
      </c>
      <c r="H67" s="1" t="s">
        <v>3256</v>
      </c>
      <c r="I67" s="110">
        <v>45231</v>
      </c>
    </row>
    <row r="68" spans="1:9">
      <c r="A68" s="66" t="s">
        <v>3562</v>
      </c>
      <c r="B68" s="103">
        <v>45264</v>
      </c>
      <c r="C68" s="13" t="s">
        <v>3056</v>
      </c>
      <c r="D68" s="113" t="s">
        <v>78</v>
      </c>
      <c r="E68" s="104">
        <v>0.56200000000000006</v>
      </c>
      <c r="F68" s="102" t="s">
        <v>97</v>
      </c>
      <c r="G68" s="1" t="s">
        <v>3563</v>
      </c>
      <c r="H68" s="1" t="s">
        <v>3256</v>
      </c>
      <c r="I68" s="110">
        <v>45231</v>
      </c>
    </row>
    <row r="69" spans="1:9">
      <c r="A69" s="66" t="s">
        <v>3562</v>
      </c>
      <c r="B69" s="103">
        <v>45264</v>
      </c>
      <c r="C69" s="13" t="s">
        <v>2960</v>
      </c>
      <c r="D69" s="113" t="s">
        <v>78</v>
      </c>
      <c r="E69" s="143">
        <v>0.499</v>
      </c>
      <c r="F69" s="102" t="s">
        <v>97</v>
      </c>
      <c r="G69" s="1" t="s">
        <v>3563</v>
      </c>
      <c r="H69" s="1" t="s">
        <v>3256</v>
      </c>
      <c r="I69" s="110">
        <v>45231</v>
      </c>
    </row>
    <row r="70" spans="1:9">
      <c r="A70" s="66" t="s">
        <v>3564</v>
      </c>
      <c r="B70" s="103">
        <v>45264</v>
      </c>
      <c r="C70" s="13" t="s">
        <v>3186</v>
      </c>
      <c r="D70" s="113" t="s">
        <v>78</v>
      </c>
      <c r="E70" s="104">
        <f>4.298+1.633</f>
        <v>5.931</v>
      </c>
      <c r="F70" s="102" t="s">
        <v>97</v>
      </c>
      <c r="G70" s="1" t="s">
        <v>3565</v>
      </c>
      <c r="H70" s="1" t="s">
        <v>3336</v>
      </c>
      <c r="I70" s="110">
        <v>45231</v>
      </c>
    </row>
    <row r="71" spans="1:9">
      <c r="A71" s="66" t="s">
        <v>3566</v>
      </c>
      <c r="B71" s="103">
        <v>45264</v>
      </c>
      <c r="C71" s="13" t="s">
        <v>3157</v>
      </c>
      <c r="D71" s="113" t="s">
        <v>78</v>
      </c>
      <c r="E71" s="104">
        <v>32.991999999999997</v>
      </c>
      <c r="F71" s="102" t="s">
        <v>238</v>
      </c>
      <c r="G71" s="1" t="s">
        <v>3567</v>
      </c>
      <c r="H71" s="1" t="s">
        <v>3336</v>
      </c>
      <c r="I71" s="110">
        <v>45231</v>
      </c>
    </row>
    <row r="72" spans="1:9">
      <c r="A72" s="66" t="s">
        <v>3568</v>
      </c>
      <c r="B72" s="103">
        <v>45264</v>
      </c>
      <c r="C72" s="13" t="s">
        <v>2840</v>
      </c>
      <c r="D72" s="113" t="s">
        <v>78</v>
      </c>
      <c r="E72" s="104">
        <v>15.9</v>
      </c>
      <c r="F72" s="102" t="s">
        <v>1971</v>
      </c>
      <c r="G72" s="1" t="s">
        <v>3569</v>
      </c>
      <c r="H72" s="1" t="s">
        <v>3336</v>
      </c>
      <c r="I72" s="110">
        <v>45231</v>
      </c>
    </row>
    <row r="73" spans="1:9">
      <c r="A73" s="66" t="s">
        <v>3568</v>
      </c>
      <c r="B73" s="103">
        <v>45264</v>
      </c>
      <c r="C73" s="13" t="s">
        <v>3128</v>
      </c>
      <c r="D73" s="113" t="s">
        <v>78</v>
      </c>
      <c r="E73" s="104">
        <f>4.482+3.572</f>
        <v>8.0540000000000003</v>
      </c>
      <c r="F73" s="102" t="s">
        <v>1971</v>
      </c>
      <c r="G73" s="1" t="s">
        <v>3569</v>
      </c>
      <c r="H73" s="1" t="s">
        <v>3336</v>
      </c>
      <c r="I73" s="110">
        <v>45231</v>
      </c>
    </row>
    <row r="74" spans="1:9">
      <c r="A74" s="66" t="s">
        <v>3568</v>
      </c>
      <c r="B74" s="103">
        <v>45264</v>
      </c>
      <c r="C74" s="13" t="s">
        <v>2960</v>
      </c>
      <c r="D74" s="113" t="s">
        <v>78</v>
      </c>
      <c r="E74" s="104">
        <v>8.4359999999999999</v>
      </c>
      <c r="F74" s="102" t="s">
        <v>1971</v>
      </c>
      <c r="G74" s="1" t="s">
        <v>3569</v>
      </c>
      <c r="H74" s="1" t="s">
        <v>3336</v>
      </c>
      <c r="I74" s="110">
        <v>45231</v>
      </c>
    </row>
    <row r="75" spans="1:9">
      <c r="A75" s="66" t="s">
        <v>3570</v>
      </c>
      <c r="B75" s="103">
        <v>45264</v>
      </c>
      <c r="C75" s="13" t="s">
        <v>2957</v>
      </c>
      <c r="D75" s="113" t="s">
        <v>78</v>
      </c>
      <c r="E75" s="104">
        <f>15.62+5.836</f>
        <v>21.456</v>
      </c>
      <c r="F75" s="102" t="s">
        <v>294</v>
      </c>
      <c r="G75" s="1" t="s">
        <v>3571</v>
      </c>
      <c r="H75" s="1" t="s">
        <v>3336</v>
      </c>
      <c r="I75" s="110">
        <v>45231</v>
      </c>
    </row>
    <row r="76" spans="1:9">
      <c r="A76" s="66" t="s">
        <v>3570</v>
      </c>
      <c r="B76" s="103">
        <v>45264</v>
      </c>
      <c r="C76" s="13" t="s">
        <v>3219</v>
      </c>
      <c r="D76" s="113" t="s">
        <v>78</v>
      </c>
      <c r="E76" s="104">
        <v>10.212999999999999</v>
      </c>
      <c r="F76" s="102" t="s">
        <v>294</v>
      </c>
      <c r="G76" s="1" t="s">
        <v>3571</v>
      </c>
      <c r="H76" s="1" t="s">
        <v>3336</v>
      </c>
      <c r="I76" s="110">
        <v>45231</v>
      </c>
    </row>
    <row r="77" spans="1:9">
      <c r="A77" s="66" t="s">
        <v>3572</v>
      </c>
      <c r="B77" s="103">
        <v>45264</v>
      </c>
      <c r="C77" s="13" t="s">
        <v>3157</v>
      </c>
      <c r="D77" s="113" t="s">
        <v>78</v>
      </c>
      <c r="E77" s="104">
        <f>14.992+17.964</f>
        <v>32.956000000000003</v>
      </c>
      <c r="F77" s="102" t="s">
        <v>116</v>
      </c>
      <c r="G77" s="1" t="s">
        <v>3573</v>
      </c>
      <c r="H77" s="1" t="s">
        <v>3336</v>
      </c>
      <c r="I77" s="110">
        <v>45231</v>
      </c>
    </row>
    <row r="78" spans="1:9">
      <c r="A78" s="15"/>
      <c r="B78" s="61"/>
      <c r="C78" s="13"/>
      <c r="D78" s="1"/>
      <c r="E78" s="41">
        <f>SUM(E56:E77)</f>
        <v>225.72499999999997</v>
      </c>
      <c r="F78" s="102"/>
      <c r="G78" s="1"/>
      <c r="H78" s="1"/>
      <c r="I78" s="110"/>
    </row>
    <row r="79" spans="1:9">
      <c r="A79" s="66" t="s">
        <v>3576</v>
      </c>
      <c r="B79" s="103">
        <v>45265</v>
      </c>
      <c r="C79" s="13" t="s">
        <v>2840</v>
      </c>
      <c r="D79" s="113" t="s">
        <v>78</v>
      </c>
      <c r="E79" s="104">
        <v>32.241999999999997</v>
      </c>
      <c r="F79" s="102" t="s">
        <v>1393</v>
      </c>
      <c r="G79" s="1" t="s">
        <v>3577</v>
      </c>
      <c r="H79" s="1" t="s">
        <v>3336</v>
      </c>
      <c r="I79" s="110">
        <v>45231</v>
      </c>
    </row>
    <row r="80" spans="1:9">
      <c r="A80" s="66" t="s">
        <v>3578</v>
      </c>
      <c r="B80" s="103">
        <v>45265</v>
      </c>
      <c r="C80" s="13" t="s">
        <v>3186</v>
      </c>
      <c r="D80" s="113" t="s">
        <v>78</v>
      </c>
      <c r="E80" s="104">
        <v>32.704000000000001</v>
      </c>
      <c r="F80" s="24" t="s">
        <v>97</v>
      </c>
      <c r="G80" s="1" t="s">
        <v>3579</v>
      </c>
      <c r="H80" s="1" t="s">
        <v>3336</v>
      </c>
      <c r="I80" s="110">
        <v>45231</v>
      </c>
    </row>
    <row r="81" spans="1:9">
      <c r="A81" s="66" t="s">
        <v>3580</v>
      </c>
      <c r="B81" s="103">
        <v>45265</v>
      </c>
      <c r="C81" s="13" t="s">
        <v>2747</v>
      </c>
      <c r="D81" s="113" t="s">
        <v>78</v>
      </c>
      <c r="E81" s="104">
        <f>5.329+11.986+1.35</f>
        <v>18.665000000000003</v>
      </c>
      <c r="F81" s="102" t="s">
        <v>86</v>
      </c>
      <c r="G81" s="1" t="s">
        <v>3581</v>
      </c>
      <c r="H81" s="1" t="s">
        <v>3336</v>
      </c>
      <c r="I81" s="110">
        <v>45231</v>
      </c>
    </row>
    <row r="82" spans="1:9">
      <c r="A82" s="66" t="s">
        <v>3580</v>
      </c>
      <c r="B82" s="103">
        <v>45265</v>
      </c>
      <c r="C82" s="13" t="s">
        <v>2840</v>
      </c>
      <c r="D82" s="113" t="s">
        <v>78</v>
      </c>
      <c r="E82" s="104">
        <v>10.949</v>
      </c>
      <c r="F82" s="102" t="s">
        <v>86</v>
      </c>
      <c r="G82" s="1" t="s">
        <v>3581</v>
      </c>
      <c r="H82" s="1" t="s">
        <v>3336</v>
      </c>
      <c r="I82" s="110">
        <v>45231</v>
      </c>
    </row>
    <row r="83" spans="1:9">
      <c r="A83" s="66" t="s">
        <v>3580</v>
      </c>
      <c r="B83" s="103">
        <v>45265</v>
      </c>
      <c r="C83" s="13" t="s">
        <v>3157</v>
      </c>
      <c r="D83" s="113" t="s">
        <v>78</v>
      </c>
      <c r="E83" s="104">
        <v>3.431</v>
      </c>
      <c r="F83" s="102" t="s">
        <v>86</v>
      </c>
      <c r="G83" s="1" t="s">
        <v>3581</v>
      </c>
      <c r="H83" s="1" t="s">
        <v>3336</v>
      </c>
      <c r="I83" s="110">
        <v>45231</v>
      </c>
    </row>
    <row r="84" spans="1:9">
      <c r="A84" s="66" t="s">
        <v>3582</v>
      </c>
      <c r="B84" s="103">
        <v>45265</v>
      </c>
      <c r="C84" s="13" t="s">
        <v>2957</v>
      </c>
      <c r="D84" s="113" t="s">
        <v>78</v>
      </c>
      <c r="E84" s="104">
        <v>5.8</v>
      </c>
      <c r="F84" s="102" t="s">
        <v>116</v>
      </c>
      <c r="G84" s="1" t="s">
        <v>3583</v>
      </c>
      <c r="H84" s="1" t="s">
        <v>3336</v>
      </c>
      <c r="I84" s="110">
        <v>45231</v>
      </c>
    </row>
    <row r="85" spans="1:9">
      <c r="A85" s="66" t="s">
        <v>3582</v>
      </c>
      <c r="B85" s="103">
        <v>45265</v>
      </c>
      <c r="C85" s="13" t="s">
        <v>3219</v>
      </c>
      <c r="D85" s="113" t="s">
        <v>78</v>
      </c>
      <c r="E85" s="104">
        <v>20.425999999999998</v>
      </c>
      <c r="F85" s="102" t="s">
        <v>116</v>
      </c>
      <c r="G85" s="1" t="s">
        <v>3583</v>
      </c>
      <c r="H85" s="1" t="s">
        <v>3336</v>
      </c>
      <c r="I85" s="110">
        <v>45231</v>
      </c>
    </row>
    <row r="86" spans="1:9">
      <c r="A86" s="66" t="s">
        <v>3582</v>
      </c>
      <c r="B86" s="103">
        <v>45265</v>
      </c>
      <c r="C86" s="13" t="s">
        <v>2747</v>
      </c>
      <c r="D86" s="113" t="s">
        <v>78</v>
      </c>
      <c r="E86" s="104">
        <v>5.1449999999999996</v>
      </c>
      <c r="F86" s="102" t="s">
        <v>116</v>
      </c>
      <c r="G86" s="1" t="s">
        <v>3583</v>
      </c>
      <c r="H86" s="1" t="s">
        <v>3336</v>
      </c>
      <c r="I86" s="110">
        <v>45231</v>
      </c>
    </row>
    <row r="87" spans="1:9">
      <c r="A87" s="66" t="s">
        <v>3584</v>
      </c>
      <c r="B87" s="103">
        <v>45265</v>
      </c>
      <c r="C87" s="13" t="s">
        <v>2840</v>
      </c>
      <c r="D87" s="113" t="s">
        <v>78</v>
      </c>
      <c r="E87" s="104">
        <v>1.4710000000000001</v>
      </c>
      <c r="F87" s="102" t="s">
        <v>851</v>
      </c>
      <c r="G87" s="1" t="s">
        <v>3585</v>
      </c>
      <c r="H87" s="1" t="s">
        <v>3256</v>
      </c>
      <c r="I87" s="110">
        <v>45227</v>
      </c>
    </row>
    <row r="88" spans="1:9">
      <c r="A88" s="66" t="s">
        <v>3584</v>
      </c>
      <c r="B88" s="103">
        <v>45265</v>
      </c>
      <c r="C88" s="13" t="s">
        <v>3128</v>
      </c>
      <c r="D88" s="113" t="s">
        <v>78</v>
      </c>
      <c r="E88" s="104">
        <v>1.4790000000000001</v>
      </c>
      <c r="F88" s="102" t="s">
        <v>851</v>
      </c>
      <c r="G88" s="1" t="s">
        <v>3585</v>
      </c>
      <c r="H88" s="1" t="s">
        <v>3256</v>
      </c>
      <c r="I88" s="110">
        <v>45227</v>
      </c>
    </row>
    <row r="89" spans="1:9">
      <c r="A89" s="66" t="s">
        <v>3584</v>
      </c>
      <c r="B89" s="103">
        <v>45265</v>
      </c>
      <c r="C89" s="13" t="s">
        <v>2486</v>
      </c>
      <c r="D89" s="113" t="s">
        <v>78</v>
      </c>
      <c r="E89" s="104">
        <v>3.2370000000000001</v>
      </c>
      <c r="F89" s="102" t="s">
        <v>851</v>
      </c>
      <c r="G89" s="1" t="s">
        <v>3585</v>
      </c>
      <c r="H89" s="1" t="s">
        <v>3256</v>
      </c>
      <c r="I89" s="110">
        <v>45227</v>
      </c>
    </row>
    <row r="90" spans="1:9">
      <c r="A90" s="66" t="s">
        <v>3586</v>
      </c>
      <c r="B90" s="103">
        <v>45265</v>
      </c>
      <c r="C90" s="13" t="s">
        <v>3210</v>
      </c>
      <c r="D90" s="113" t="s">
        <v>78</v>
      </c>
      <c r="E90" s="104">
        <v>10.224</v>
      </c>
      <c r="F90" s="102" t="s">
        <v>851</v>
      </c>
      <c r="G90" s="1" t="s">
        <v>3585</v>
      </c>
      <c r="H90" s="1" t="s">
        <v>3336</v>
      </c>
      <c r="I90" s="110">
        <v>45231</v>
      </c>
    </row>
    <row r="91" spans="1:9">
      <c r="A91" s="66" t="s">
        <v>3586</v>
      </c>
      <c r="B91" s="103">
        <v>45265</v>
      </c>
      <c r="C91" s="13" t="s">
        <v>3009</v>
      </c>
      <c r="D91" s="113" t="s">
        <v>78</v>
      </c>
      <c r="E91" s="104">
        <v>10.935</v>
      </c>
      <c r="F91" s="102" t="s">
        <v>851</v>
      </c>
      <c r="G91" s="1" t="s">
        <v>3585</v>
      </c>
      <c r="H91" s="1" t="s">
        <v>3336</v>
      </c>
      <c r="I91" s="110">
        <v>45231</v>
      </c>
    </row>
    <row r="92" spans="1:9">
      <c r="A92" s="66" t="s">
        <v>3587</v>
      </c>
      <c r="B92" s="103">
        <v>45265</v>
      </c>
      <c r="C92" s="13" t="s">
        <v>2487</v>
      </c>
      <c r="D92" s="113" t="s">
        <v>78</v>
      </c>
      <c r="E92" s="104">
        <v>4.6749999999999998</v>
      </c>
      <c r="F92" s="102" t="s">
        <v>851</v>
      </c>
      <c r="G92" s="1" t="s">
        <v>3585</v>
      </c>
      <c r="H92" s="1" t="s">
        <v>3130</v>
      </c>
      <c r="I92" s="110">
        <v>45231</v>
      </c>
    </row>
    <row r="93" spans="1:9">
      <c r="A93" s="66" t="s">
        <v>3588</v>
      </c>
      <c r="B93" s="103">
        <v>45265</v>
      </c>
      <c r="C93" s="13" t="s">
        <v>3186</v>
      </c>
      <c r="D93" s="113" t="s">
        <v>78</v>
      </c>
      <c r="E93" s="104">
        <v>31.638000000000002</v>
      </c>
      <c r="F93" s="102" t="s">
        <v>97</v>
      </c>
      <c r="G93" s="1" t="s">
        <v>3589</v>
      </c>
      <c r="H93" s="1" t="s">
        <v>3336</v>
      </c>
      <c r="I93" s="110">
        <v>45231</v>
      </c>
    </row>
    <row r="94" spans="1:9">
      <c r="A94" s="66" t="s">
        <v>3590</v>
      </c>
      <c r="B94" s="103">
        <v>45265</v>
      </c>
      <c r="C94" s="13" t="s">
        <v>2957</v>
      </c>
      <c r="D94" s="113" t="s">
        <v>78</v>
      </c>
      <c r="E94" s="104">
        <f>6.03+22.717</f>
        <v>28.747</v>
      </c>
      <c r="F94" s="102" t="s">
        <v>1393</v>
      </c>
      <c r="G94" s="1" t="s">
        <v>3591</v>
      </c>
      <c r="H94" s="1" t="s">
        <v>3336</v>
      </c>
      <c r="I94" s="110">
        <v>45231</v>
      </c>
    </row>
    <row r="95" spans="1:9">
      <c r="A95" s="66" t="s">
        <v>3590</v>
      </c>
      <c r="B95" s="103">
        <v>45265</v>
      </c>
      <c r="C95" s="13" t="s">
        <v>3219</v>
      </c>
      <c r="D95" s="113" t="s">
        <v>78</v>
      </c>
      <c r="E95" s="104">
        <v>2.5529999999999999</v>
      </c>
      <c r="F95" s="102" t="s">
        <v>1393</v>
      </c>
      <c r="G95" s="1" t="s">
        <v>3591</v>
      </c>
      <c r="H95" s="1" t="s">
        <v>3336</v>
      </c>
      <c r="I95" s="110">
        <v>45231</v>
      </c>
    </row>
    <row r="96" spans="1:9">
      <c r="A96" s="15"/>
      <c r="B96" s="61"/>
      <c r="C96" s="11"/>
      <c r="D96" s="1"/>
      <c r="E96" s="41">
        <f>SUM(E79:E95)</f>
        <v>224.32100000000003</v>
      </c>
      <c r="F96" s="102"/>
      <c r="G96" s="1"/>
      <c r="H96" s="1"/>
      <c r="I96" s="110"/>
    </row>
    <row r="97" spans="1:9">
      <c r="A97" s="66" t="s">
        <v>3592</v>
      </c>
      <c r="B97" s="103">
        <v>45266</v>
      </c>
      <c r="C97" s="13" t="s">
        <v>2486</v>
      </c>
      <c r="D97" s="113" t="s">
        <v>78</v>
      </c>
      <c r="E97" s="104">
        <f>7.63+5.817+11.45</f>
        <v>24.896999999999998</v>
      </c>
      <c r="F97" s="102" t="s">
        <v>116</v>
      </c>
      <c r="G97" s="1" t="s">
        <v>3593</v>
      </c>
      <c r="H97" s="1" t="s">
        <v>3336</v>
      </c>
      <c r="I97" s="110">
        <v>45231</v>
      </c>
    </row>
    <row r="98" spans="1:9">
      <c r="A98" s="66" t="s">
        <v>3592</v>
      </c>
      <c r="B98" s="103">
        <v>45266</v>
      </c>
      <c r="C98" s="13" t="s">
        <v>3008</v>
      </c>
      <c r="D98" s="113" t="s">
        <v>78</v>
      </c>
      <c r="E98" s="104">
        <v>7.3550000000000004</v>
      </c>
      <c r="F98" s="102" t="s">
        <v>116</v>
      </c>
      <c r="G98" s="1" t="s">
        <v>3593</v>
      </c>
      <c r="H98" s="1" t="s">
        <v>3336</v>
      </c>
      <c r="I98" s="110">
        <v>45231</v>
      </c>
    </row>
    <row r="99" spans="1:9">
      <c r="A99" s="66" t="s">
        <v>3594</v>
      </c>
      <c r="B99" s="103">
        <v>45266</v>
      </c>
      <c r="C99" s="13" t="s">
        <v>3186</v>
      </c>
      <c r="D99" s="113" t="s">
        <v>78</v>
      </c>
      <c r="E99" s="104">
        <v>31.233000000000001</v>
      </c>
      <c r="F99" s="102" t="s">
        <v>97</v>
      </c>
      <c r="G99" s="1" t="s">
        <v>3595</v>
      </c>
      <c r="H99" s="1" t="s">
        <v>3336</v>
      </c>
      <c r="I99" s="110">
        <v>45231</v>
      </c>
    </row>
    <row r="100" spans="1:9">
      <c r="A100" s="66" t="s">
        <v>3601</v>
      </c>
      <c r="B100" s="103">
        <v>45266</v>
      </c>
      <c r="C100" s="13" t="s">
        <v>2957</v>
      </c>
      <c r="D100" s="113" t="s">
        <v>78</v>
      </c>
      <c r="E100" s="104">
        <f>15.842+16.332</f>
        <v>32.173999999999999</v>
      </c>
      <c r="F100" s="102" t="s">
        <v>851</v>
      </c>
      <c r="G100" s="1" t="s">
        <v>3602</v>
      </c>
      <c r="H100" s="1" t="s">
        <v>3336</v>
      </c>
      <c r="I100" s="110">
        <v>45231</v>
      </c>
    </row>
    <row r="101" spans="1:9">
      <c r="A101" s="66" t="s">
        <v>3603</v>
      </c>
      <c r="B101" s="103">
        <v>45266</v>
      </c>
      <c r="C101" s="13" t="s">
        <v>3008</v>
      </c>
      <c r="D101" s="113" t="s">
        <v>78</v>
      </c>
      <c r="E101" s="104">
        <f>11.388+10.619</f>
        <v>22.006999999999998</v>
      </c>
      <c r="F101" s="102" t="s">
        <v>294</v>
      </c>
      <c r="G101" s="1" t="s">
        <v>3604</v>
      </c>
      <c r="H101" s="1" t="s">
        <v>3336</v>
      </c>
      <c r="I101" s="110">
        <v>45231</v>
      </c>
    </row>
    <row r="102" spans="1:9">
      <c r="A102" s="66" t="s">
        <v>3603</v>
      </c>
      <c r="B102" s="103">
        <v>45266</v>
      </c>
      <c r="C102" s="13" t="s">
        <v>3053</v>
      </c>
      <c r="D102" s="113" t="s">
        <v>78</v>
      </c>
      <c r="E102" s="104">
        <v>10.308</v>
      </c>
      <c r="F102" s="102" t="s">
        <v>294</v>
      </c>
      <c r="G102" s="1" t="s">
        <v>3604</v>
      </c>
      <c r="H102" s="1" t="s">
        <v>3336</v>
      </c>
      <c r="I102" s="110">
        <v>45231</v>
      </c>
    </row>
    <row r="103" spans="1:9">
      <c r="A103" s="66" t="s">
        <v>3605</v>
      </c>
      <c r="B103" s="103">
        <v>45266</v>
      </c>
      <c r="C103" s="13" t="s">
        <v>3203</v>
      </c>
      <c r="D103" s="113" t="s">
        <v>78</v>
      </c>
      <c r="E103" s="104">
        <v>10.734</v>
      </c>
      <c r="F103" s="102" t="s">
        <v>267</v>
      </c>
      <c r="G103" s="1" t="s">
        <v>3606</v>
      </c>
      <c r="H103" s="1" t="s">
        <v>3336</v>
      </c>
      <c r="I103" s="110">
        <v>45231</v>
      </c>
    </row>
    <row r="104" spans="1:9">
      <c r="A104" s="66" t="s">
        <v>3605</v>
      </c>
      <c r="B104" s="103">
        <v>45266</v>
      </c>
      <c r="C104" s="13" t="s">
        <v>3210</v>
      </c>
      <c r="D104" s="113" t="s">
        <v>78</v>
      </c>
      <c r="E104" s="104">
        <f>6.455+8.498</f>
        <v>14.952999999999999</v>
      </c>
      <c r="F104" s="102" t="s">
        <v>267</v>
      </c>
      <c r="G104" s="1" t="s">
        <v>3606</v>
      </c>
      <c r="H104" s="1" t="s">
        <v>3336</v>
      </c>
      <c r="I104" s="110">
        <v>45231</v>
      </c>
    </row>
    <row r="105" spans="1:9">
      <c r="A105" s="66" t="s">
        <v>3605</v>
      </c>
      <c r="B105" s="103">
        <v>45266</v>
      </c>
      <c r="C105" s="13" t="s">
        <v>3180</v>
      </c>
      <c r="D105" s="113" t="s">
        <v>78</v>
      </c>
      <c r="E105" s="104">
        <v>5.4329999999999998</v>
      </c>
      <c r="F105" s="102" t="s">
        <v>267</v>
      </c>
      <c r="G105" s="1" t="s">
        <v>3606</v>
      </c>
      <c r="H105" s="1" t="s">
        <v>3336</v>
      </c>
      <c r="I105" s="110">
        <v>45231</v>
      </c>
    </row>
    <row r="106" spans="1:9">
      <c r="A106" s="66" t="s">
        <v>3607</v>
      </c>
      <c r="B106" s="103">
        <v>45266</v>
      </c>
      <c r="C106" s="13" t="s">
        <v>3186</v>
      </c>
      <c r="D106" s="113" t="s">
        <v>78</v>
      </c>
      <c r="E106" s="104">
        <v>5.8</v>
      </c>
      <c r="F106" s="102" t="s">
        <v>1208</v>
      </c>
      <c r="G106" s="1" t="s">
        <v>3608</v>
      </c>
      <c r="H106" s="1" t="s">
        <v>3336</v>
      </c>
      <c r="I106" s="110">
        <v>45231</v>
      </c>
    </row>
    <row r="107" spans="1:9">
      <c r="A107" s="66" t="s">
        <v>3607</v>
      </c>
      <c r="B107" s="103">
        <v>45266</v>
      </c>
      <c r="C107" s="13" t="s">
        <v>3008</v>
      </c>
      <c r="D107" s="113" t="s">
        <v>78</v>
      </c>
      <c r="E107" s="104">
        <f>11.337+6.985</f>
        <v>18.321999999999999</v>
      </c>
      <c r="F107" s="102" t="s">
        <v>1208</v>
      </c>
      <c r="G107" s="1" t="s">
        <v>3608</v>
      </c>
      <c r="H107" s="1" t="s">
        <v>3336</v>
      </c>
      <c r="I107" s="110">
        <v>45231</v>
      </c>
    </row>
    <row r="108" spans="1:9">
      <c r="A108" s="66" t="s">
        <v>3607</v>
      </c>
      <c r="B108" s="103">
        <v>45266</v>
      </c>
      <c r="C108" s="13" t="s">
        <v>2840</v>
      </c>
      <c r="D108" s="113" t="s">
        <v>78</v>
      </c>
      <c r="E108" s="104">
        <v>3.6059999999999999</v>
      </c>
      <c r="F108" s="102" t="s">
        <v>1208</v>
      </c>
      <c r="G108" s="1" t="s">
        <v>3608</v>
      </c>
      <c r="H108" s="1" t="s">
        <v>3336</v>
      </c>
      <c r="I108" s="110">
        <v>45231</v>
      </c>
    </row>
    <row r="109" spans="1:9">
      <c r="A109" s="66" t="s">
        <v>3607</v>
      </c>
      <c r="B109" s="103">
        <v>45266</v>
      </c>
      <c r="C109" s="13" t="s">
        <v>3157</v>
      </c>
      <c r="D109" s="113" t="s">
        <v>78</v>
      </c>
      <c r="E109" s="104">
        <v>3.4590000000000001</v>
      </c>
      <c r="F109" s="102" t="s">
        <v>1208</v>
      </c>
      <c r="G109" s="1" t="s">
        <v>3608</v>
      </c>
      <c r="H109" s="1" t="s">
        <v>3336</v>
      </c>
      <c r="I109" s="110">
        <v>45231</v>
      </c>
    </row>
    <row r="110" spans="1:9">
      <c r="A110" s="15"/>
      <c r="B110" s="61"/>
      <c r="C110" s="11"/>
      <c r="D110" s="1"/>
      <c r="E110" s="41">
        <f>SUM(E97:E109)</f>
        <v>190.28100000000001</v>
      </c>
      <c r="F110" s="102"/>
      <c r="G110" s="1"/>
      <c r="H110" s="1"/>
      <c r="I110" s="110"/>
    </row>
    <row r="111" spans="1:9">
      <c r="A111" s="66" t="s">
        <v>3609</v>
      </c>
      <c r="B111" s="103">
        <v>45267</v>
      </c>
      <c r="C111" s="13" t="s">
        <v>2486</v>
      </c>
      <c r="D111" s="113" t="s">
        <v>78</v>
      </c>
      <c r="E111" s="104">
        <v>32.030999999999999</v>
      </c>
      <c r="F111" s="102" t="s">
        <v>116</v>
      </c>
      <c r="G111" s="4" t="s">
        <v>3610</v>
      </c>
      <c r="H111" s="4" t="s">
        <v>3336</v>
      </c>
      <c r="I111" s="110">
        <v>45231</v>
      </c>
    </row>
    <row r="112" spans="1:9">
      <c r="A112" s="66" t="s">
        <v>3611</v>
      </c>
      <c r="B112" s="103">
        <v>45267</v>
      </c>
      <c r="C112" s="13" t="s">
        <v>2957</v>
      </c>
      <c r="D112" s="113" t="s">
        <v>78</v>
      </c>
      <c r="E112" s="104">
        <f>15.625+0.062</f>
        <v>15.686999999999999</v>
      </c>
      <c r="F112" s="102" t="s">
        <v>97</v>
      </c>
      <c r="G112" s="4" t="s">
        <v>3612</v>
      </c>
      <c r="H112" s="4" t="s">
        <v>3336</v>
      </c>
      <c r="I112" s="110">
        <v>45231</v>
      </c>
    </row>
    <row r="113" spans="1:9">
      <c r="A113" s="66" t="s">
        <v>3611</v>
      </c>
      <c r="B113" s="103">
        <v>45267</v>
      </c>
      <c r="C113" s="13" t="s">
        <v>3186</v>
      </c>
      <c r="D113" s="113" t="s">
        <v>78</v>
      </c>
      <c r="E113" s="104">
        <f>3.98+10.534</f>
        <v>14.514000000000001</v>
      </c>
      <c r="F113" s="102" t="s">
        <v>97</v>
      </c>
      <c r="G113" s="4" t="s">
        <v>3612</v>
      </c>
      <c r="H113" s="4" t="s">
        <v>3336</v>
      </c>
      <c r="I113" s="110">
        <v>45231</v>
      </c>
    </row>
    <row r="114" spans="1:9">
      <c r="A114" s="66" t="s">
        <v>3611</v>
      </c>
      <c r="B114" s="103">
        <v>45267</v>
      </c>
      <c r="C114" s="13" t="s">
        <v>3053</v>
      </c>
      <c r="D114" s="113" t="s">
        <v>78</v>
      </c>
      <c r="E114" s="104">
        <v>2.4540000000000002</v>
      </c>
      <c r="F114" s="102" t="s">
        <v>97</v>
      </c>
      <c r="G114" s="4" t="s">
        <v>3612</v>
      </c>
      <c r="H114" s="4" t="s">
        <v>3336</v>
      </c>
      <c r="I114" s="110">
        <v>45231</v>
      </c>
    </row>
    <row r="115" spans="1:9">
      <c r="A115" s="66" t="s">
        <v>3613</v>
      </c>
      <c r="B115" s="103">
        <v>45267</v>
      </c>
      <c r="C115" s="13" t="s">
        <v>2960</v>
      </c>
      <c r="D115" s="113" t="s">
        <v>78</v>
      </c>
      <c r="E115" s="104">
        <v>33.21</v>
      </c>
      <c r="F115" s="102" t="s">
        <v>851</v>
      </c>
      <c r="G115" s="4" t="s">
        <v>3614</v>
      </c>
      <c r="H115" s="4" t="s">
        <v>3336</v>
      </c>
      <c r="I115" s="110">
        <v>45231</v>
      </c>
    </row>
    <row r="116" spans="1:9">
      <c r="A116" s="66" t="s">
        <v>3615</v>
      </c>
      <c r="B116" s="103">
        <v>45267</v>
      </c>
      <c r="C116" s="13" t="s">
        <v>3115</v>
      </c>
      <c r="D116" s="113" t="s">
        <v>78</v>
      </c>
      <c r="E116" s="104">
        <f>0.284+8.08+6.627</f>
        <v>14.991</v>
      </c>
      <c r="F116" s="102" t="s">
        <v>86</v>
      </c>
      <c r="G116" s="4" t="s">
        <v>3616</v>
      </c>
      <c r="H116" s="4" t="s">
        <v>3336</v>
      </c>
      <c r="I116" s="110">
        <v>45231</v>
      </c>
    </row>
    <row r="117" spans="1:9">
      <c r="A117" s="66" t="s">
        <v>3615</v>
      </c>
      <c r="B117" s="103">
        <v>45267</v>
      </c>
      <c r="C117" s="13" t="s">
        <v>3009</v>
      </c>
      <c r="D117" s="113" t="s">
        <v>78</v>
      </c>
      <c r="E117" s="104">
        <f>9.795+7.218</f>
        <v>17.012999999999998</v>
      </c>
      <c r="F117" s="102" t="s">
        <v>86</v>
      </c>
      <c r="G117" s="4" t="s">
        <v>3616</v>
      </c>
      <c r="H117" s="4" t="s">
        <v>3336</v>
      </c>
      <c r="I117" s="110">
        <v>45231</v>
      </c>
    </row>
    <row r="118" spans="1:9">
      <c r="A118" s="66" t="s">
        <v>3617</v>
      </c>
      <c r="B118" s="103">
        <v>45267</v>
      </c>
      <c r="C118" s="13" t="s">
        <v>3221</v>
      </c>
      <c r="D118" s="113" t="s">
        <v>78</v>
      </c>
      <c r="E118" s="104">
        <f>3.316+27.02+2.779</f>
        <v>33.114999999999995</v>
      </c>
      <c r="F118" s="102" t="s">
        <v>116</v>
      </c>
      <c r="G118" s="4" t="s">
        <v>3618</v>
      </c>
      <c r="H118" s="4" t="s">
        <v>3336</v>
      </c>
      <c r="I118" s="110">
        <v>45231</v>
      </c>
    </row>
    <row r="119" spans="1:9">
      <c r="A119" s="66" t="s">
        <v>3619</v>
      </c>
      <c r="B119" s="103">
        <v>45267</v>
      </c>
      <c r="C119" s="13" t="s">
        <v>2843</v>
      </c>
      <c r="D119" s="113" t="s">
        <v>78</v>
      </c>
      <c r="E119" s="104">
        <v>7.7409999999999997</v>
      </c>
      <c r="F119" s="102" t="s">
        <v>392</v>
      </c>
      <c r="G119" s="4" t="s">
        <v>3620</v>
      </c>
      <c r="H119" s="4" t="s">
        <v>3336</v>
      </c>
      <c r="I119" s="110">
        <v>45231</v>
      </c>
    </row>
    <row r="120" spans="1:9">
      <c r="A120" s="66" t="s">
        <v>3619</v>
      </c>
      <c r="B120" s="103">
        <v>45267</v>
      </c>
      <c r="C120" s="13" t="s">
        <v>2960</v>
      </c>
      <c r="D120" s="113" t="s">
        <v>78</v>
      </c>
      <c r="E120" s="104">
        <f>4.228+10.921</f>
        <v>15.148999999999999</v>
      </c>
      <c r="F120" s="102" t="s">
        <v>392</v>
      </c>
      <c r="G120" s="4" t="s">
        <v>3620</v>
      </c>
      <c r="H120" s="4" t="s">
        <v>3336</v>
      </c>
      <c r="I120" s="110">
        <v>45231</v>
      </c>
    </row>
    <row r="121" spans="1:9">
      <c r="A121" s="66" t="s">
        <v>3619</v>
      </c>
      <c r="B121" s="103">
        <v>45267</v>
      </c>
      <c r="C121" s="13" t="s">
        <v>3219</v>
      </c>
      <c r="D121" s="113" t="s">
        <v>78</v>
      </c>
      <c r="E121" s="104">
        <v>9.5969999999999995</v>
      </c>
      <c r="F121" s="102" t="s">
        <v>392</v>
      </c>
      <c r="G121" s="4" t="s">
        <v>3620</v>
      </c>
      <c r="H121" s="4" t="s">
        <v>3336</v>
      </c>
      <c r="I121" s="110">
        <v>45231</v>
      </c>
    </row>
    <row r="122" spans="1:9">
      <c r="A122" s="66"/>
      <c r="B122" s="103"/>
      <c r="C122" s="11"/>
      <c r="D122" s="113"/>
      <c r="E122" s="58">
        <f>SUM(E111:E121)</f>
        <v>195.50199999999998</v>
      </c>
      <c r="F122" s="102"/>
      <c r="G122" s="1"/>
      <c r="H122" s="1"/>
      <c r="I122" s="110"/>
    </row>
    <row r="123" spans="1:9">
      <c r="A123" s="66" t="s">
        <v>3621</v>
      </c>
      <c r="B123" s="103">
        <v>45268</v>
      </c>
      <c r="C123" s="13" t="s">
        <v>2960</v>
      </c>
      <c r="D123" s="113" t="s">
        <v>78</v>
      </c>
      <c r="E123" s="104">
        <f>2.215+19.712</f>
        <v>21.927</v>
      </c>
      <c r="F123" s="102" t="s">
        <v>97</v>
      </c>
      <c r="G123" s="4" t="s">
        <v>3622</v>
      </c>
      <c r="H123" s="4" t="s">
        <v>3336</v>
      </c>
      <c r="I123" s="110">
        <v>45231</v>
      </c>
    </row>
    <row r="124" spans="1:9">
      <c r="A124" s="66" t="s">
        <v>3621</v>
      </c>
      <c r="B124" s="103">
        <v>45268</v>
      </c>
      <c r="C124" s="13" t="s">
        <v>3180</v>
      </c>
      <c r="D124" s="113" t="s">
        <v>78</v>
      </c>
      <c r="E124" s="104">
        <v>7.26</v>
      </c>
      <c r="F124" s="102" t="s">
        <v>97</v>
      </c>
      <c r="G124" s="4" t="s">
        <v>3622</v>
      </c>
      <c r="H124" s="4" t="s">
        <v>3336</v>
      </c>
      <c r="I124" s="110">
        <v>45231</v>
      </c>
    </row>
    <row r="125" spans="1:9">
      <c r="A125" s="66" t="s">
        <v>3621</v>
      </c>
      <c r="B125" s="103">
        <v>45268</v>
      </c>
      <c r="C125" s="13" t="s">
        <v>3009</v>
      </c>
      <c r="D125" s="113" t="s">
        <v>78</v>
      </c>
      <c r="E125" s="104">
        <v>4.0979999999999999</v>
      </c>
      <c r="F125" s="102" t="s">
        <v>97</v>
      </c>
      <c r="G125" s="4" t="s">
        <v>3622</v>
      </c>
      <c r="H125" s="4" t="s">
        <v>3336</v>
      </c>
      <c r="I125" s="110">
        <v>45231</v>
      </c>
    </row>
    <row r="126" spans="1:9">
      <c r="A126" s="66" t="s">
        <v>3623</v>
      </c>
      <c r="B126" s="103">
        <v>45268</v>
      </c>
      <c r="C126" s="13" t="s">
        <v>2486</v>
      </c>
      <c r="D126" s="113" t="s">
        <v>78</v>
      </c>
      <c r="E126" s="104">
        <f>0.192+4.987</f>
        <v>5.1790000000000003</v>
      </c>
      <c r="F126" s="102" t="s">
        <v>267</v>
      </c>
      <c r="G126" s="4" t="s">
        <v>3624</v>
      </c>
      <c r="H126" s="4" t="s">
        <v>3336</v>
      </c>
      <c r="I126" s="110">
        <v>45231</v>
      </c>
    </row>
    <row r="127" spans="1:9">
      <c r="A127" s="66" t="s">
        <v>3623</v>
      </c>
      <c r="B127" s="103">
        <v>45268</v>
      </c>
      <c r="C127" s="13" t="s">
        <v>3008</v>
      </c>
      <c r="D127" s="113" t="s">
        <v>78</v>
      </c>
      <c r="E127" s="104">
        <v>3.056</v>
      </c>
      <c r="F127" s="102" t="s">
        <v>267</v>
      </c>
      <c r="G127" s="4" t="s">
        <v>3624</v>
      </c>
      <c r="H127" s="4" t="s">
        <v>3336</v>
      </c>
      <c r="I127" s="110">
        <v>45231</v>
      </c>
    </row>
    <row r="128" spans="1:9">
      <c r="A128" s="66" t="s">
        <v>3623</v>
      </c>
      <c r="B128" s="103">
        <v>45268</v>
      </c>
      <c r="C128" s="13" t="s">
        <v>2960</v>
      </c>
      <c r="D128" s="113" t="s">
        <v>78</v>
      </c>
      <c r="E128" s="104">
        <v>5.9260000000000002</v>
      </c>
      <c r="F128" s="102" t="s">
        <v>267</v>
      </c>
      <c r="G128" s="4" t="s">
        <v>3624</v>
      </c>
      <c r="H128" s="4" t="s">
        <v>3336</v>
      </c>
      <c r="I128" s="110">
        <v>45231</v>
      </c>
    </row>
    <row r="129" spans="1:9">
      <c r="A129" s="66" t="s">
        <v>3623</v>
      </c>
      <c r="B129" s="103">
        <v>45268</v>
      </c>
      <c r="C129" s="13" t="s">
        <v>3221</v>
      </c>
      <c r="D129" s="113" t="s">
        <v>78</v>
      </c>
      <c r="E129" s="104">
        <v>14.795999999999999</v>
      </c>
      <c r="F129" s="102" t="s">
        <v>267</v>
      </c>
      <c r="G129" s="4" t="s">
        <v>3624</v>
      </c>
      <c r="H129" s="4" t="s">
        <v>3336</v>
      </c>
      <c r="I129" s="110">
        <v>45231</v>
      </c>
    </row>
    <row r="130" spans="1:9">
      <c r="A130" s="66" t="s">
        <v>3623</v>
      </c>
      <c r="B130" s="103">
        <v>45268</v>
      </c>
      <c r="C130" s="13" t="s">
        <v>3180</v>
      </c>
      <c r="D130" s="113" t="s">
        <v>78</v>
      </c>
      <c r="E130" s="104">
        <v>3.835</v>
      </c>
      <c r="F130" s="102" t="s">
        <v>267</v>
      </c>
      <c r="G130" s="4" t="s">
        <v>3624</v>
      </c>
      <c r="H130" s="4" t="s">
        <v>3336</v>
      </c>
      <c r="I130" s="110">
        <v>45231</v>
      </c>
    </row>
    <row r="131" spans="1:9">
      <c r="A131" s="66" t="s">
        <v>3640</v>
      </c>
      <c r="B131" s="103">
        <v>45268</v>
      </c>
      <c r="C131" s="13" t="s">
        <v>3069</v>
      </c>
      <c r="D131" s="113" t="s">
        <v>78</v>
      </c>
      <c r="E131" s="104">
        <f>4.918+26.52</f>
        <v>31.437999999999999</v>
      </c>
      <c r="F131" s="102" t="s">
        <v>86</v>
      </c>
      <c r="G131" s="4" t="s">
        <v>3641</v>
      </c>
      <c r="H131" s="4" t="s">
        <v>3256</v>
      </c>
      <c r="I131" s="110">
        <v>45227</v>
      </c>
    </row>
    <row r="132" spans="1:9">
      <c r="A132" s="66" t="s">
        <v>3648</v>
      </c>
      <c r="B132" s="103">
        <v>45268</v>
      </c>
      <c r="C132" s="13" t="s">
        <v>3157</v>
      </c>
      <c r="D132" s="113" t="s">
        <v>78</v>
      </c>
      <c r="E132" s="104">
        <v>8.4909999999999997</v>
      </c>
      <c r="F132" s="102" t="s">
        <v>97</v>
      </c>
      <c r="G132" s="4" t="s">
        <v>3649</v>
      </c>
      <c r="H132" s="4" t="s">
        <v>3336</v>
      </c>
      <c r="I132" s="110">
        <v>45231</v>
      </c>
    </row>
    <row r="133" spans="1:9">
      <c r="A133" s="66" t="s">
        <v>3648</v>
      </c>
      <c r="B133" s="103">
        <v>45268</v>
      </c>
      <c r="C133" s="13" t="s">
        <v>3219</v>
      </c>
      <c r="D133" s="113" t="s">
        <v>78</v>
      </c>
      <c r="E133" s="104">
        <v>23.741</v>
      </c>
      <c r="F133" s="102" t="s">
        <v>97</v>
      </c>
      <c r="G133" s="4" t="s">
        <v>3649</v>
      </c>
      <c r="H133" s="4" t="s">
        <v>3336</v>
      </c>
      <c r="I133" s="110">
        <v>45231</v>
      </c>
    </row>
    <row r="134" spans="1:9">
      <c r="A134" s="66"/>
      <c r="B134" s="103"/>
      <c r="C134" s="11"/>
      <c r="D134" s="113"/>
      <c r="E134" s="58">
        <f>SUM(E123:E133)</f>
        <v>129.74700000000001</v>
      </c>
      <c r="F134" s="102"/>
      <c r="G134" s="1"/>
      <c r="H134" s="1"/>
      <c r="I134" s="110"/>
    </row>
    <row r="135" spans="1:9">
      <c r="A135" s="66" t="s">
        <v>3650</v>
      </c>
      <c r="B135" s="103">
        <v>45269</v>
      </c>
      <c r="C135" s="13" t="s">
        <v>3069</v>
      </c>
      <c r="D135" s="113" t="s">
        <v>78</v>
      </c>
      <c r="E135" s="104">
        <v>32.966999999999999</v>
      </c>
      <c r="F135" s="102" t="s">
        <v>97</v>
      </c>
      <c r="G135" s="4" t="s">
        <v>3651</v>
      </c>
      <c r="H135" s="4" t="s">
        <v>3256</v>
      </c>
      <c r="I135" s="110">
        <v>45227</v>
      </c>
    </row>
    <row r="136" spans="1:9">
      <c r="A136" s="66" t="s">
        <v>3652</v>
      </c>
      <c r="B136" s="103">
        <v>45269</v>
      </c>
      <c r="C136" s="13" t="s">
        <v>2736</v>
      </c>
      <c r="D136" s="113" t="s">
        <v>78</v>
      </c>
      <c r="E136" s="104">
        <v>29.535</v>
      </c>
      <c r="F136" s="102" t="s">
        <v>267</v>
      </c>
      <c r="G136" s="4" t="s">
        <v>3653</v>
      </c>
      <c r="H136" s="4" t="s">
        <v>3256</v>
      </c>
      <c r="I136" s="110">
        <v>45227</v>
      </c>
    </row>
    <row r="137" spans="1:9">
      <c r="A137" s="66" t="s">
        <v>3652</v>
      </c>
      <c r="B137" s="103">
        <v>45269</v>
      </c>
      <c r="C137" s="13" t="s">
        <v>3069</v>
      </c>
      <c r="D137" s="113" t="s">
        <v>78</v>
      </c>
      <c r="E137" s="104">
        <v>3.1190000000000002</v>
      </c>
      <c r="F137" s="102" t="s">
        <v>267</v>
      </c>
      <c r="G137" s="4" t="s">
        <v>3653</v>
      </c>
      <c r="H137" s="4" t="s">
        <v>3256</v>
      </c>
      <c r="I137" s="110">
        <v>45227</v>
      </c>
    </row>
    <row r="138" spans="1:9">
      <c r="A138" s="66" t="s">
        <v>3654</v>
      </c>
      <c r="B138" s="103">
        <v>45269</v>
      </c>
      <c r="C138" s="13" t="s">
        <v>2490</v>
      </c>
      <c r="D138" s="113" t="s">
        <v>78</v>
      </c>
      <c r="E138" s="104">
        <f>3.703+4.919+2.119+11.028</f>
        <v>21.768999999999998</v>
      </c>
      <c r="F138" s="102" t="s">
        <v>66</v>
      </c>
      <c r="G138" s="4" t="s">
        <v>3655</v>
      </c>
      <c r="H138" s="4" t="s">
        <v>3256</v>
      </c>
      <c r="I138" s="110">
        <v>45227</v>
      </c>
    </row>
    <row r="139" spans="1:9">
      <c r="A139" s="66" t="s">
        <v>3654</v>
      </c>
      <c r="B139" s="103">
        <v>45269</v>
      </c>
      <c r="C139" s="13" t="s">
        <v>3069</v>
      </c>
      <c r="D139" s="113" t="s">
        <v>78</v>
      </c>
      <c r="E139" s="104">
        <v>11.257999999999999</v>
      </c>
      <c r="F139" s="102" t="s">
        <v>66</v>
      </c>
      <c r="G139" s="4" t="s">
        <v>3655</v>
      </c>
      <c r="H139" s="4" t="s">
        <v>3256</v>
      </c>
      <c r="I139" s="110">
        <v>45227</v>
      </c>
    </row>
    <row r="140" spans="1:9">
      <c r="A140" s="66" t="s">
        <v>3658</v>
      </c>
      <c r="B140" s="103">
        <v>45269</v>
      </c>
      <c r="C140" s="13" t="s">
        <v>2736</v>
      </c>
      <c r="D140" s="113" t="s">
        <v>78</v>
      </c>
      <c r="E140" s="104">
        <f>4.741+22.614+1.271</f>
        <v>28.626000000000001</v>
      </c>
      <c r="F140" s="102" t="s">
        <v>116</v>
      </c>
      <c r="G140" s="4" t="s">
        <v>3659</v>
      </c>
      <c r="H140" s="4" t="s">
        <v>3256</v>
      </c>
      <c r="I140" s="110">
        <v>45227</v>
      </c>
    </row>
    <row r="141" spans="1:9">
      <c r="A141" s="66" t="s">
        <v>3658</v>
      </c>
      <c r="B141" s="103">
        <v>45269</v>
      </c>
      <c r="C141" s="13" t="s">
        <v>2490</v>
      </c>
      <c r="D141" s="113" t="s">
        <v>78</v>
      </c>
      <c r="E141" s="104">
        <v>3.161</v>
      </c>
      <c r="F141" s="102" t="s">
        <v>116</v>
      </c>
      <c r="G141" s="4" t="s">
        <v>3659</v>
      </c>
      <c r="H141" s="4" t="s">
        <v>3256</v>
      </c>
      <c r="I141" s="110">
        <v>45227</v>
      </c>
    </row>
    <row r="142" spans="1:9">
      <c r="A142" s="66" t="s">
        <v>3658</v>
      </c>
      <c r="B142" s="103">
        <v>45269</v>
      </c>
      <c r="C142" s="13" t="s">
        <v>2840</v>
      </c>
      <c r="D142" s="113" t="s">
        <v>78</v>
      </c>
      <c r="E142" s="104">
        <v>0.621</v>
      </c>
      <c r="F142" s="102" t="s">
        <v>116</v>
      </c>
      <c r="G142" s="4" t="s">
        <v>3659</v>
      </c>
      <c r="H142" s="4" t="s">
        <v>3256</v>
      </c>
      <c r="I142" s="110">
        <v>45227</v>
      </c>
    </row>
    <row r="143" spans="1:9">
      <c r="A143" s="66" t="s">
        <v>3666</v>
      </c>
      <c r="B143" s="103">
        <v>45269</v>
      </c>
      <c r="C143" s="13" t="s">
        <v>2957</v>
      </c>
      <c r="D143" s="113" t="s">
        <v>78</v>
      </c>
      <c r="E143" s="104">
        <v>15.332000000000001</v>
      </c>
      <c r="F143" s="102" t="s">
        <v>97</v>
      </c>
      <c r="G143" s="4" t="s">
        <v>3667</v>
      </c>
      <c r="H143" s="4" t="s">
        <v>3336</v>
      </c>
      <c r="I143" s="110">
        <v>45231</v>
      </c>
    </row>
    <row r="144" spans="1:9">
      <c r="A144" s="66" t="s">
        <v>3666</v>
      </c>
      <c r="B144" s="103">
        <v>45269</v>
      </c>
      <c r="C144" s="13" t="s">
        <v>2490</v>
      </c>
      <c r="D144" s="113" t="s">
        <v>78</v>
      </c>
      <c r="E144" s="104">
        <v>17.047999999999998</v>
      </c>
      <c r="F144" s="102" t="s">
        <v>97</v>
      </c>
      <c r="G144" s="4" t="s">
        <v>3667</v>
      </c>
      <c r="H144" s="4" t="s">
        <v>3336</v>
      </c>
      <c r="I144" s="110">
        <v>45231</v>
      </c>
    </row>
    <row r="145" spans="1:9">
      <c r="A145" s="66"/>
      <c r="B145" s="103"/>
      <c r="C145" s="13"/>
      <c r="D145" s="113"/>
      <c r="E145" s="58">
        <f>SUM(E135:E144)</f>
        <v>163.43599999999998</v>
      </c>
      <c r="F145" s="102"/>
      <c r="G145" s="4"/>
      <c r="H145" s="4"/>
      <c r="I145" s="110"/>
    </row>
    <row r="146" spans="1:9">
      <c r="A146" s="66" t="s">
        <v>3668</v>
      </c>
      <c r="B146" s="103">
        <v>45270</v>
      </c>
      <c r="C146" s="13" t="s">
        <v>2490</v>
      </c>
      <c r="D146" s="113" t="s">
        <v>78</v>
      </c>
      <c r="E146" s="104">
        <f>5.281+9.695+1.068</f>
        <v>16.044</v>
      </c>
      <c r="F146" s="102" t="s">
        <v>66</v>
      </c>
      <c r="G146" s="4" t="s">
        <v>3669</v>
      </c>
      <c r="H146" s="4" t="s">
        <v>3256</v>
      </c>
      <c r="I146" s="110">
        <v>45227</v>
      </c>
    </row>
    <row r="147" spans="1:9">
      <c r="A147" s="66" t="s">
        <v>3668</v>
      </c>
      <c r="B147" s="103">
        <v>45270</v>
      </c>
      <c r="C147" s="13" t="s">
        <v>2487</v>
      </c>
      <c r="D147" s="113" t="s">
        <v>78</v>
      </c>
      <c r="E147" s="104">
        <v>6.1109999999999998</v>
      </c>
      <c r="F147" s="102" t="s">
        <v>66</v>
      </c>
      <c r="G147" s="4" t="s">
        <v>3669</v>
      </c>
      <c r="H147" s="4" t="s">
        <v>3256</v>
      </c>
      <c r="I147" s="110">
        <v>45227</v>
      </c>
    </row>
    <row r="148" spans="1:9">
      <c r="A148" s="66" t="s">
        <v>3668</v>
      </c>
      <c r="B148" s="103">
        <v>45270</v>
      </c>
      <c r="C148" s="13" t="s">
        <v>2739</v>
      </c>
      <c r="D148" s="113" t="s">
        <v>78</v>
      </c>
      <c r="E148" s="104">
        <f>7.569+0.918</f>
        <v>8.4870000000000001</v>
      </c>
      <c r="F148" s="102" t="s">
        <v>66</v>
      </c>
      <c r="G148" s="4" t="s">
        <v>3669</v>
      </c>
      <c r="H148" s="4" t="s">
        <v>3256</v>
      </c>
      <c r="I148" s="110">
        <v>45227</v>
      </c>
    </row>
    <row r="149" spans="1:9">
      <c r="A149" s="66" t="s">
        <v>3668</v>
      </c>
      <c r="B149" s="103">
        <v>45270</v>
      </c>
      <c r="C149" s="13" t="s">
        <v>3180</v>
      </c>
      <c r="D149" s="113" t="s">
        <v>78</v>
      </c>
      <c r="E149" s="104">
        <v>1.052</v>
      </c>
      <c r="F149" s="102" t="s">
        <v>66</v>
      </c>
      <c r="G149" s="4" t="s">
        <v>3669</v>
      </c>
      <c r="H149" s="4" t="s">
        <v>3256</v>
      </c>
      <c r="I149" s="110">
        <v>45227</v>
      </c>
    </row>
    <row r="150" spans="1:9">
      <c r="A150" s="66" t="s">
        <v>3668</v>
      </c>
      <c r="B150" s="103">
        <v>45270</v>
      </c>
      <c r="C150" s="13" t="s">
        <v>3009</v>
      </c>
      <c r="D150" s="113" t="s">
        <v>78</v>
      </c>
      <c r="E150" s="104">
        <v>0.36799999999999999</v>
      </c>
      <c r="F150" s="102" t="s">
        <v>66</v>
      </c>
      <c r="G150" s="4" t="s">
        <v>3669</v>
      </c>
      <c r="H150" s="4" t="s">
        <v>3256</v>
      </c>
      <c r="I150" s="110">
        <v>45227</v>
      </c>
    </row>
    <row r="151" spans="1:9">
      <c r="A151" s="66" t="s">
        <v>3670</v>
      </c>
      <c r="B151" s="103">
        <v>45270</v>
      </c>
      <c r="C151" s="13" t="s">
        <v>3325</v>
      </c>
      <c r="D151" s="113" t="s">
        <v>78</v>
      </c>
      <c r="E151" s="104">
        <f>4.214+16.237+1.835</f>
        <v>22.286000000000001</v>
      </c>
      <c r="F151" s="102" t="s">
        <v>86</v>
      </c>
      <c r="G151" s="4" t="s">
        <v>3671</v>
      </c>
      <c r="H151" s="4" t="s">
        <v>3256</v>
      </c>
      <c r="I151" s="110">
        <v>45227</v>
      </c>
    </row>
    <row r="152" spans="1:9">
      <c r="A152" s="66" t="s">
        <v>3670</v>
      </c>
      <c r="B152" s="103">
        <v>45270</v>
      </c>
      <c r="C152" s="13" t="s">
        <v>2846</v>
      </c>
      <c r="D152" s="113" t="s">
        <v>78</v>
      </c>
      <c r="E152" s="104">
        <v>3.714</v>
      </c>
      <c r="F152" s="102" t="s">
        <v>86</v>
      </c>
      <c r="G152" s="4" t="s">
        <v>3671</v>
      </c>
      <c r="H152" s="4" t="s">
        <v>3256</v>
      </c>
      <c r="I152" s="110">
        <v>45227</v>
      </c>
    </row>
    <row r="153" spans="1:9">
      <c r="A153" s="66" t="s">
        <v>3670</v>
      </c>
      <c r="B153" s="103">
        <v>45270</v>
      </c>
      <c r="C153" s="13" t="s">
        <v>2488</v>
      </c>
      <c r="D153" s="113" t="s">
        <v>78</v>
      </c>
      <c r="E153" s="104">
        <v>5.306</v>
      </c>
      <c r="F153" s="102" t="s">
        <v>86</v>
      </c>
      <c r="G153" s="4" t="s">
        <v>3671</v>
      </c>
      <c r="H153" s="4" t="s">
        <v>3256</v>
      </c>
      <c r="I153" s="110">
        <v>45227</v>
      </c>
    </row>
    <row r="154" spans="1:9">
      <c r="A154" s="66" t="s">
        <v>3674</v>
      </c>
      <c r="B154" s="103">
        <v>45270</v>
      </c>
      <c r="C154" s="13" t="s">
        <v>3053</v>
      </c>
      <c r="D154" s="113" t="s">
        <v>78</v>
      </c>
      <c r="E154" s="104">
        <v>2.9449999999999998</v>
      </c>
      <c r="F154" s="102" t="s">
        <v>267</v>
      </c>
      <c r="G154" s="4" t="s">
        <v>3675</v>
      </c>
      <c r="H154" s="4" t="s">
        <v>3336</v>
      </c>
      <c r="I154" s="110">
        <v>45231</v>
      </c>
    </row>
    <row r="155" spans="1:9">
      <c r="A155" s="66" t="s">
        <v>3674</v>
      </c>
      <c r="B155" s="103">
        <v>45270</v>
      </c>
      <c r="C155" s="13" t="s">
        <v>3219</v>
      </c>
      <c r="D155" s="113" t="s">
        <v>78</v>
      </c>
      <c r="E155" s="104">
        <f>2.548+8.432+3.382</f>
        <v>14.362</v>
      </c>
      <c r="F155" s="102" t="s">
        <v>267</v>
      </c>
      <c r="G155" s="4" t="s">
        <v>3675</v>
      </c>
      <c r="H155" s="4" t="s">
        <v>3336</v>
      </c>
      <c r="I155" s="110">
        <v>45231</v>
      </c>
    </row>
    <row r="156" spans="1:9">
      <c r="A156" s="66" t="s">
        <v>3674</v>
      </c>
      <c r="B156" s="103">
        <v>45270</v>
      </c>
      <c r="C156" s="13" t="s">
        <v>2957</v>
      </c>
      <c r="D156" s="113" t="s">
        <v>78</v>
      </c>
      <c r="E156" s="104">
        <v>5.9109999999999996</v>
      </c>
      <c r="F156" s="102" t="s">
        <v>267</v>
      </c>
      <c r="G156" s="4" t="s">
        <v>3675</v>
      </c>
      <c r="H156" s="4" t="s">
        <v>3336</v>
      </c>
      <c r="I156" s="110">
        <v>45231</v>
      </c>
    </row>
    <row r="157" spans="1:9">
      <c r="A157" s="66" t="s">
        <v>3674</v>
      </c>
      <c r="B157" s="103">
        <v>45270</v>
      </c>
      <c r="C157" s="13" t="s">
        <v>2490</v>
      </c>
      <c r="D157" s="113" t="s">
        <v>78</v>
      </c>
      <c r="E157" s="104">
        <v>2.7890000000000001</v>
      </c>
      <c r="F157" s="102" t="s">
        <v>267</v>
      </c>
      <c r="G157" s="4" t="s">
        <v>3675</v>
      </c>
      <c r="H157" s="4" t="s">
        <v>3336</v>
      </c>
      <c r="I157" s="110">
        <v>45231</v>
      </c>
    </row>
    <row r="158" spans="1:9">
      <c r="A158" s="66" t="s">
        <v>3674</v>
      </c>
      <c r="B158" s="103">
        <v>45270</v>
      </c>
      <c r="C158" s="13" t="s">
        <v>3157</v>
      </c>
      <c r="D158" s="113" t="s">
        <v>78</v>
      </c>
      <c r="E158" s="104">
        <f>0.559+6.124</f>
        <v>6.6829999999999998</v>
      </c>
      <c r="F158" s="102" t="s">
        <v>267</v>
      </c>
      <c r="G158" s="4" t="s">
        <v>3675</v>
      </c>
      <c r="H158" s="4" t="s">
        <v>3336</v>
      </c>
      <c r="I158" s="110">
        <v>45231</v>
      </c>
    </row>
    <row r="159" spans="1:9">
      <c r="A159" s="66" t="s">
        <v>3679</v>
      </c>
      <c r="B159" s="103">
        <v>45270</v>
      </c>
      <c r="C159" s="13" t="s">
        <v>3219</v>
      </c>
      <c r="D159" s="113" t="s">
        <v>2706</v>
      </c>
      <c r="E159" s="104">
        <v>0.63200000000000001</v>
      </c>
      <c r="F159" s="102" t="s">
        <v>3058</v>
      </c>
      <c r="G159" s="4" t="s">
        <v>3680</v>
      </c>
      <c r="H159" s="4" t="s">
        <v>2994</v>
      </c>
      <c r="I159" s="110">
        <v>45229</v>
      </c>
    </row>
    <row r="160" spans="1:9">
      <c r="A160" s="66" t="s">
        <v>3679</v>
      </c>
      <c r="B160" s="103">
        <v>45270</v>
      </c>
      <c r="C160" s="13" t="s">
        <v>2957</v>
      </c>
      <c r="D160" s="113" t="s">
        <v>2706</v>
      </c>
      <c r="E160" s="104">
        <v>0.40500000000000003</v>
      </c>
      <c r="F160" s="102" t="s">
        <v>3058</v>
      </c>
      <c r="G160" s="4" t="s">
        <v>3680</v>
      </c>
      <c r="H160" s="4" t="s">
        <v>2994</v>
      </c>
      <c r="I160" s="110">
        <v>45229</v>
      </c>
    </row>
    <row r="161" spans="1:9">
      <c r="A161" s="66" t="s">
        <v>3682</v>
      </c>
      <c r="B161" s="103">
        <v>45270</v>
      </c>
      <c r="C161" s="13" t="s">
        <v>3210</v>
      </c>
      <c r="D161" s="113" t="s">
        <v>2706</v>
      </c>
      <c r="E161" s="104">
        <v>2.5830000000000002</v>
      </c>
      <c r="F161" s="102" t="s">
        <v>3058</v>
      </c>
      <c r="G161" s="4" t="s">
        <v>3680</v>
      </c>
      <c r="H161" s="4" t="s">
        <v>3340</v>
      </c>
      <c r="I161" s="110">
        <v>45218</v>
      </c>
    </row>
    <row r="162" spans="1:9">
      <c r="A162" s="66" t="s">
        <v>3682</v>
      </c>
      <c r="B162" s="103">
        <v>45270</v>
      </c>
      <c r="C162" s="13" t="s">
        <v>3008</v>
      </c>
      <c r="D162" s="113" t="s">
        <v>2706</v>
      </c>
      <c r="E162" s="104">
        <v>2.7669999999999999</v>
      </c>
      <c r="F162" s="102" t="s">
        <v>3058</v>
      </c>
      <c r="G162" s="4" t="s">
        <v>3680</v>
      </c>
      <c r="H162" s="4" t="s">
        <v>3340</v>
      </c>
      <c r="I162" s="110">
        <v>45218</v>
      </c>
    </row>
    <row r="163" spans="1:9">
      <c r="A163" s="66" t="s">
        <v>3682</v>
      </c>
      <c r="B163" s="103">
        <v>45270</v>
      </c>
      <c r="C163" s="13" t="s">
        <v>3098</v>
      </c>
      <c r="D163" s="113" t="s">
        <v>2706</v>
      </c>
      <c r="E163" s="104">
        <v>0.90200000000000002</v>
      </c>
      <c r="F163" s="102" t="s">
        <v>3058</v>
      </c>
      <c r="G163" s="4" t="s">
        <v>3680</v>
      </c>
      <c r="H163" s="4" t="s">
        <v>3340</v>
      </c>
      <c r="I163" s="110">
        <v>45218</v>
      </c>
    </row>
    <row r="164" spans="1:9">
      <c r="A164" s="66" t="s">
        <v>3682</v>
      </c>
      <c r="B164" s="103">
        <v>45270</v>
      </c>
      <c r="C164" s="13" t="s">
        <v>2840</v>
      </c>
      <c r="D164" s="113" t="s">
        <v>2706</v>
      </c>
      <c r="E164" s="104">
        <v>0.55000000000000004</v>
      </c>
      <c r="F164" s="102" t="s">
        <v>3058</v>
      </c>
      <c r="G164" s="4" t="s">
        <v>3680</v>
      </c>
      <c r="H164" s="4" t="s">
        <v>3340</v>
      </c>
      <c r="I164" s="110">
        <v>45218</v>
      </c>
    </row>
    <row r="165" spans="1:9">
      <c r="A165" s="66" t="s">
        <v>3682</v>
      </c>
      <c r="B165" s="103">
        <v>45270</v>
      </c>
      <c r="C165" s="13" t="s">
        <v>3128</v>
      </c>
      <c r="D165" s="113" t="s">
        <v>2706</v>
      </c>
      <c r="E165" s="104">
        <v>2.246</v>
      </c>
      <c r="F165" s="102" t="s">
        <v>3058</v>
      </c>
      <c r="G165" s="4" t="s">
        <v>3680</v>
      </c>
      <c r="H165" s="4" t="s">
        <v>3340</v>
      </c>
      <c r="I165" s="110">
        <v>45218</v>
      </c>
    </row>
    <row r="166" spans="1:9">
      <c r="A166" s="66" t="s">
        <v>3682</v>
      </c>
      <c r="B166" s="103">
        <v>45270</v>
      </c>
      <c r="C166" s="13" t="s">
        <v>2741</v>
      </c>
      <c r="D166" s="113" t="s">
        <v>2706</v>
      </c>
      <c r="E166" s="104">
        <v>1.508</v>
      </c>
      <c r="F166" s="102" t="s">
        <v>3058</v>
      </c>
      <c r="G166" s="4" t="s">
        <v>3680</v>
      </c>
      <c r="H166" s="4" t="s">
        <v>3340</v>
      </c>
      <c r="I166" s="110">
        <v>45218</v>
      </c>
    </row>
    <row r="167" spans="1:9">
      <c r="A167" s="66" t="s">
        <v>3682</v>
      </c>
      <c r="B167" s="103">
        <v>45270</v>
      </c>
      <c r="C167" s="13" t="s">
        <v>2488</v>
      </c>
      <c r="D167" s="113" t="s">
        <v>2706</v>
      </c>
      <c r="E167" s="104">
        <v>0.70299999999999996</v>
      </c>
      <c r="F167" s="102" t="s">
        <v>3058</v>
      </c>
      <c r="G167" s="4" t="s">
        <v>3680</v>
      </c>
      <c r="H167" s="4" t="s">
        <v>3340</v>
      </c>
      <c r="I167" s="110">
        <v>45218</v>
      </c>
    </row>
    <row r="168" spans="1:9">
      <c r="A168" s="66" t="s">
        <v>3682</v>
      </c>
      <c r="B168" s="103">
        <v>45270</v>
      </c>
      <c r="C168" s="13" t="s">
        <v>3681</v>
      </c>
      <c r="D168" s="113" t="s">
        <v>2706</v>
      </c>
      <c r="E168" s="104">
        <v>0.90700000000000003</v>
      </c>
      <c r="F168" s="102" t="s">
        <v>3058</v>
      </c>
      <c r="G168" s="4" t="s">
        <v>3680</v>
      </c>
      <c r="H168" s="4" t="s">
        <v>3340</v>
      </c>
      <c r="I168" s="110">
        <v>45218</v>
      </c>
    </row>
    <row r="169" spans="1:9">
      <c r="A169" s="66" t="s">
        <v>3682</v>
      </c>
      <c r="B169" s="103">
        <v>45270</v>
      </c>
      <c r="C169" s="13" t="s">
        <v>3020</v>
      </c>
      <c r="D169" s="113" t="s">
        <v>2706</v>
      </c>
      <c r="E169" s="104">
        <v>0.502</v>
      </c>
      <c r="F169" s="102" t="s">
        <v>3058</v>
      </c>
      <c r="G169" s="4" t="s">
        <v>3680</v>
      </c>
      <c r="H169" s="4" t="s">
        <v>3340</v>
      </c>
      <c r="I169" s="110">
        <v>45218</v>
      </c>
    </row>
    <row r="170" spans="1:9">
      <c r="A170" s="66" t="s">
        <v>3682</v>
      </c>
      <c r="B170" s="103">
        <v>45270</v>
      </c>
      <c r="C170" s="13" t="s">
        <v>3069</v>
      </c>
      <c r="D170" s="113" t="s">
        <v>2706</v>
      </c>
      <c r="E170" s="104">
        <v>0.74299999999999999</v>
      </c>
      <c r="F170" s="102" t="s">
        <v>3058</v>
      </c>
      <c r="G170" s="4" t="s">
        <v>3680</v>
      </c>
      <c r="H170" s="4" t="s">
        <v>3340</v>
      </c>
      <c r="I170" s="110">
        <v>45218</v>
      </c>
    </row>
    <row r="171" spans="1:9">
      <c r="A171" s="66" t="s">
        <v>3682</v>
      </c>
      <c r="B171" s="103">
        <v>45270</v>
      </c>
      <c r="C171" s="13" t="s">
        <v>2843</v>
      </c>
      <c r="D171" s="113" t="s">
        <v>2706</v>
      </c>
      <c r="E171" s="143">
        <v>1.175</v>
      </c>
      <c r="F171" s="102" t="s">
        <v>3058</v>
      </c>
      <c r="G171" s="4" t="s">
        <v>3680</v>
      </c>
      <c r="H171" s="4" t="s">
        <v>3340</v>
      </c>
      <c r="I171" s="110">
        <v>45218</v>
      </c>
    </row>
    <row r="172" spans="1:9">
      <c r="A172" s="66" t="s">
        <v>3683</v>
      </c>
      <c r="B172" s="103">
        <v>45270</v>
      </c>
      <c r="C172" s="13" t="s">
        <v>3069</v>
      </c>
      <c r="D172" s="113" t="s">
        <v>2706</v>
      </c>
      <c r="E172" s="104">
        <v>1.2809999999999999</v>
      </c>
      <c r="F172" s="102" t="s">
        <v>3058</v>
      </c>
      <c r="G172" s="4" t="s">
        <v>3680</v>
      </c>
      <c r="H172" s="4" t="s">
        <v>3072</v>
      </c>
      <c r="I172" s="110">
        <v>45220</v>
      </c>
    </row>
    <row r="173" spans="1:9">
      <c r="A173" s="66" t="s">
        <v>3683</v>
      </c>
      <c r="B173" s="103">
        <v>45270</v>
      </c>
      <c r="C173" s="13" t="s">
        <v>3184</v>
      </c>
      <c r="D173" s="113" t="s">
        <v>2706</v>
      </c>
      <c r="E173" s="104">
        <v>1.5449999999999999</v>
      </c>
      <c r="F173" s="102" t="s">
        <v>3058</v>
      </c>
      <c r="G173" s="4" t="s">
        <v>3680</v>
      </c>
      <c r="H173" s="4" t="s">
        <v>3072</v>
      </c>
      <c r="I173" s="110">
        <v>45220</v>
      </c>
    </row>
    <row r="174" spans="1:9">
      <c r="A174" s="66" t="s">
        <v>3684</v>
      </c>
      <c r="B174" s="103">
        <v>45270</v>
      </c>
      <c r="C174" s="13" t="s">
        <v>3020</v>
      </c>
      <c r="D174" s="113" t="s">
        <v>2706</v>
      </c>
      <c r="E174" s="104">
        <v>1.1950000000000001</v>
      </c>
      <c r="F174" s="102" t="s">
        <v>3058</v>
      </c>
      <c r="G174" s="4" t="s">
        <v>3680</v>
      </c>
      <c r="H174" s="4" t="s">
        <v>3685</v>
      </c>
      <c r="I174" s="110">
        <v>45252</v>
      </c>
    </row>
    <row r="175" spans="1:9">
      <c r="A175" s="66" t="s">
        <v>3684</v>
      </c>
      <c r="B175" s="103">
        <v>45270</v>
      </c>
      <c r="C175" s="13" t="s">
        <v>3007</v>
      </c>
      <c r="D175" s="113" t="s">
        <v>2706</v>
      </c>
      <c r="E175" s="104">
        <v>0.70399999999999996</v>
      </c>
      <c r="F175" s="102" t="s">
        <v>3058</v>
      </c>
      <c r="G175" s="4" t="s">
        <v>3680</v>
      </c>
      <c r="H175" s="4" t="s">
        <v>3685</v>
      </c>
      <c r="I175" s="110">
        <v>45252</v>
      </c>
    </row>
    <row r="176" spans="1:9">
      <c r="A176" s="66" t="s">
        <v>3684</v>
      </c>
      <c r="B176" s="103">
        <v>45270</v>
      </c>
      <c r="C176" s="13" t="s">
        <v>2960</v>
      </c>
      <c r="D176" s="113" t="s">
        <v>2706</v>
      </c>
      <c r="E176" s="104">
        <v>0.14299999999999999</v>
      </c>
      <c r="F176" s="102" t="s">
        <v>3058</v>
      </c>
      <c r="G176" s="4" t="s">
        <v>3680</v>
      </c>
      <c r="H176" s="4" t="s">
        <v>3685</v>
      </c>
      <c r="I176" s="110">
        <v>45252</v>
      </c>
    </row>
    <row r="177" spans="1:9">
      <c r="A177" s="66" t="s">
        <v>3684</v>
      </c>
      <c r="B177" s="103">
        <v>45270</v>
      </c>
      <c r="C177" s="13" t="s">
        <v>3009</v>
      </c>
      <c r="D177" s="113" t="s">
        <v>2706</v>
      </c>
      <c r="E177" s="104">
        <v>0.161</v>
      </c>
      <c r="F177" s="102" t="s">
        <v>3058</v>
      </c>
      <c r="G177" s="4" t="s">
        <v>3680</v>
      </c>
      <c r="H177" s="4" t="s">
        <v>3685</v>
      </c>
      <c r="I177" s="110">
        <v>45252</v>
      </c>
    </row>
    <row r="178" spans="1:9">
      <c r="A178" s="66" t="s">
        <v>3688</v>
      </c>
      <c r="B178" s="103">
        <v>45270</v>
      </c>
      <c r="C178" s="13" t="s">
        <v>3128</v>
      </c>
      <c r="D178" s="113" t="s">
        <v>78</v>
      </c>
      <c r="E178" s="104">
        <v>3.5609999999999999</v>
      </c>
      <c r="F178" s="102" t="s">
        <v>97</v>
      </c>
      <c r="G178" s="4" t="s">
        <v>3689</v>
      </c>
      <c r="H178" s="4" t="s">
        <v>3336</v>
      </c>
      <c r="I178" s="110">
        <v>45231</v>
      </c>
    </row>
    <row r="179" spans="1:9">
      <c r="A179" s="66" t="s">
        <v>3688</v>
      </c>
      <c r="B179" s="103">
        <v>45270</v>
      </c>
      <c r="C179" s="13" t="s">
        <v>2490</v>
      </c>
      <c r="D179" s="113" t="s">
        <v>78</v>
      </c>
      <c r="E179" s="104">
        <v>14.077</v>
      </c>
      <c r="F179" s="102" t="s">
        <v>97</v>
      </c>
      <c r="G179" s="4" t="s">
        <v>3689</v>
      </c>
      <c r="H179" s="4" t="s">
        <v>3336</v>
      </c>
      <c r="I179" s="110">
        <v>45231</v>
      </c>
    </row>
    <row r="180" spans="1:9">
      <c r="A180" s="66" t="s">
        <v>3688</v>
      </c>
      <c r="B180" s="103">
        <v>45270</v>
      </c>
      <c r="C180" s="13" t="s">
        <v>3157</v>
      </c>
      <c r="D180" s="113" t="s">
        <v>78</v>
      </c>
      <c r="E180" s="104">
        <v>3.0739999999999998</v>
      </c>
      <c r="F180" s="102" t="s">
        <v>97</v>
      </c>
      <c r="G180" s="4" t="s">
        <v>3689</v>
      </c>
      <c r="H180" s="4" t="s">
        <v>3336</v>
      </c>
      <c r="I180" s="110">
        <v>45231</v>
      </c>
    </row>
    <row r="181" spans="1:9">
      <c r="A181" s="66" t="s">
        <v>3688</v>
      </c>
      <c r="B181" s="103">
        <v>45270</v>
      </c>
      <c r="C181" s="13" t="s">
        <v>2843</v>
      </c>
      <c r="D181" s="113" t="s">
        <v>78</v>
      </c>
      <c r="E181" s="104">
        <v>1.756</v>
      </c>
      <c r="F181" s="102" t="s">
        <v>97</v>
      </c>
      <c r="G181" s="4" t="s">
        <v>3689</v>
      </c>
      <c r="H181" s="4" t="s">
        <v>3336</v>
      </c>
      <c r="I181" s="110">
        <v>45231</v>
      </c>
    </row>
    <row r="182" spans="1:9">
      <c r="A182" s="66" t="s">
        <v>3688</v>
      </c>
      <c r="B182" s="103">
        <v>45270</v>
      </c>
      <c r="C182" s="13" t="s">
        <v>3220</v>
      </c>
      <c r="D182" s="113" t="s">
        <v>78</v>
      </c>
      <c r="E182" s="104">
        <v>1.647</v>
      </c>
      <c r="F182" s="102" t="s">
        <v>97</v>
      </c>
      <c r="G182" s="4" t="s">
        <v>3689</v>
      </c>
      <c r="H182" s="4" t="s">
        <v>3336</v>
      </c>
      <c r="I182" s="110">
        <v>45231</v>
      </c>
    </row>
    <row r="183" spans="1:9">
      <c r="A183" s="140" t="s">
        <v>3688</v>
      </c>
      <c r="B183" s="127">
        <v>45270</v>
      </c>
      <c r="C183" s="134" t="s">
        <v>3203</v>
      </c>
      <c r="D183" s="128" t="s">
        <v>78</v>
      </c>
      <c r="E183" s="138">
        <f>0.799+5.947</f>
        <v>6.7460000000000004</v>
      </c>
      <c r="F183" s="121" t="s">
        <v>97</v>
      </c>
      <c r="G183" s="126" t="s">
        <v>3689</v>
      </c>
      <c r="H183" s="126" t="s">
        <v>3336</v>
      </c>
      <c r="I183" s="110">
        <v>45231</v>
      </c>
    </row>
    <row r="184" spans="1:9">
      <c r="A184" s="66"/>
      <c r="B184" s="103"/>
      <c r="C184" s="11"/>
      <c r="D184" s="113"/>
      <c r="E184" s="58">
        <f>SUM(E146:E183)</f>
        <v>147.57099999999997</v>
      </c>
      <c r="F184" s="102"/>
      <c r="G184" s="1"/>
      <c r="H184" s="1"/>
      <c r="I184" s="110"/>
    </row>
    <row r="185" spans="1:9">
      <c r="A185" s="66" t="s">
        <v>3700</v>
      </c>
      <c r="B185" s="103">
        <v>45271</v>
      </c>
      <c r="C185" s="13" t="s">
        <v>3325</v>
      </c>
      <c r="D185" s="113" t="s">
        <v>78</v>
      </c>
      <c r="E185" s="104">
        <v>1.54</v>
      </c>
      <c r="F185" s="102" t="s">
        <v>3701</v>
      </c>
      <c r="G185" s="1" t="s">
        <v>3702</v>
      </c>
      <c r="H185" s="4" t="s">
        <v>3256</v>
      </c>
      <c r="I185" s="110">
        <v>45227</v>
      </c>
    </row>
    <row r="186" spans="1:9">
      <c r="A186" s="66" t="s">
        <v>3700</v>
      </c>
      <c r="B186" s="103">
        <v>45271</v>
      </c>
      <c r="C186" s="13" t="s">
        <v>3069</v>
      </c>
      <c r="D186" s="113" t="s">
        <v>78</v>
      </c>
      <c r="E186" s="104">
        <v>3.823</v>
      </c>
      <c r="F186" s="102" t="s">
        <v>3701</v>
      </c>
      <c r="G186" s="1" t="s">
        <v>3702</v>
      </c>
      <c r="H186" s="4" t="s">
        <v>3256</v>
      </c>
      <c r="I186" s="110">
        <v>45227</v>
      </c>
    </row>
    <row r="187" spans="1:9">
      <c r="A187" s="66" t="s">
        <v>3700</v>
      </c>
      <c r="B187" s="103">
        <v>45271</v>
      </c>
      <c r="C187" s="13" t="s">
        <v>2490</v>
      </c>
      <c r="D187" s="113" t="s">
        <v>78</v>
      </c>
      <c r="E187" s="104">
        <v>4.657</v>
      </c>
      <c r="F187" s="102" t="s">
        <v>3701</v>
      </c>
      <c r="G187" s="1" t="s">
        <v>3702</v>
      </c>
      <c r="H187" s="4" t="s">
        <v>3256</v>
      </c>
      <c r="I187" s="110">
        <v>45227</v>
      </c>
    </row>
    <row r="188" spans="1:9">
      <c r="A188" s="66" t="s">
        <v>3700</v>
      </c>
      <c r="B188" s="103">
        <v>45271</v>
      </c>
      <c r="C188" s="13" t="s">
        <v>3220</v>
      </c>
      <c r="D188" s="113" t="s">
        <v>78</v>
      </c>
      <c r="E188" s="104">
        <v>1.857</v>
      </c>
      <c r="F188" s="102" t="s">
        <v>3701</v>
      </c>
      <c r="G188" s="1" t="s">
        <v>3702</v>
      </c>
      <c r="H188" s="4" t="s">
        <v>3256</v>
      </c>
      <c r="I188" s="110">
        <v>45227</v>
      </c>
    </row>
    <row r="189" spans="1:9">
      <c r="A189" s="66" t="s">
        <v>3703</v>
      </c>
      <c r="B189" s="103">
        <v>45271</v>
      </c>
      <c r="C189" s="13" t="s">
        <v>3220</v>
      </c>
      <c r="D189" s="113" t="s">
        <v>78</v>
      </c>
      <c r="E189" s="104">
        <v>4.63</v>
      </c>
      <c r="F189" s="102" t="s">
        <v>3701</v>
      </c>
      <c r="G189" s="1" t="s">
        <v>3704</v>
      </c>
      <c r="H189" s="4" t="s">
        <v>3336</v>
      </c>
      <c r="I189" s="110">
        <v>45231</v>
      </c>
    </row>
    <row r="190" spans="1:9">
      <c r="A190" s="66" t="s">
        <v>3703</v>
      </c>
      <c r="B190" s="103">
        <v>45271</v>
      </c>
      <c r="C190" s="13" t="s">
        <v>3157</v>
      </c>
      <c r="D190" s="113" t="s">
        <v>78</v>
      </c>
      <c r="E190" s="104">
        <f>0.436+1.654</f>
        <v>2.09</v>
      </c>
      <c r="F190" s="102" t="s">
        <v>3701</v>
      </c>
      <c r="G190" s="1" t="s">
        <v>3704</v>
      </c>
      <c r="H190" s="4" t="s">
        <v>3336</v>
      </c>
      <c r="I190" s="110">
        <v>45231</v>
      </c>
    </row>
    <row r="191" spans="1:9">
      <c r="A191" s="66" t="s">
        <v>3703</v>
      </c>
      <c r="B191" s="103">
        <v>45271</v>
      </c>
      <c r="C191" s="13" t="s">
        <v>3128</v>
      </c>
      <c r="D191" s="113" t="s">
        <v>78</v>
      </c>
      <c r="E191" s="104">
        <v>2.5569999999999999</v>
      </c>
      <c r="F191" s="102" t="s">
        <v>3701</v>
      </c>
      <c r="G191" s="1" t="s">
        <v>3704</v>
      </c>
      <c r="H191" s="4" t="s">
        <v>3336</v>
      </c>
      <c r="I191" s="110">
        <v>45231</v>
      </c>
    </row>
    <row r="192" spans="1:9">
      <c r="A192" s="66" t="s">
        <v>3703</v>
      </c>
      <c r="B192" s="103">
        <v>45271</v>
      </c>
      <c r="C192" s="13" t="s">
        <v>2843</v>
      </c>
      <c r="D192" s="113" t="s">
        <v>78</v>
      </c>
      <c r="E192" s="104">
        <v>1.022</v>
      </c>
      <c r="F192" s="102" t="s">
        <v>3701</v>
      </c>
      <c r="G192" s="1" t="s">
        <v>3704</v>
      </c>
      <c r="H192" s="4" t="s">
        <v>3336</v>
      </c>
      <c r="I192" s="110">
        <v>45231</v>
      </c>
    </row>
    <row r="193" spans="1:9">
      <c r="A193" s="66" t="s">
        <v>3703</v>
      </c>
      <c r="B193" s="103">
        <v>45271</v>
      </c>
      <c r="C193" s="13" t="s">
        <v>3115</v>
      </c>
      <c r="D193" s="113" t="s">
        <v>78</v>
      </c>
      <c r="E193" s="104">
        <v>2.1389999999999998</v>
      </c>
      <c r="F193" s="102" t="s">
        <v>3701</v>
      </c>
      <c r="G193" s="1" t="s">
        <v>3704</v>
      </c>
      <c r="H193" s="4" t="s">
        <v>3336</v>
      </c>
      <c r="I193" s="110">
        <v>45231</v>
      </c>
    </row>
    <row r="194" spans="1:9">
      <c r="A194" s="66" t="s">
        <v>3703</v>
      </c>
      <c r="B194" s="103">
        <v>45271</v>
      </c>
      <c r="C194" s="13" t="s">
        <v>3210</v>
      </c>
      <c r="D194" s="113" t="s">
        <v>78</v>
      </c>
      <c r="E194" s="104">
        <v>1.873</v>
      </c>
      <c r="F194" s="102" t="s">
        <v>3701</v>
      </c>
      <c r="G194" s="1" t="s">
        <v>3704</v>
      </c>
      <c r="H194" s="4" t="s">
        <v>3336</v>
      </c>
      <c r="I194" s="110">
        <v>45231</v>
      </c>
    </row>
    <row r="195" spans="1:9">
      <c r="A195" s="66" t="s">
        <v>3703</v>
      </c>
      <c r="B195" s="103">
        <v>45271</v>
      </c>
      <c r="C195" s="13" t="s">
        <v>3009</v>
      </c>
      <c r="D195" s="113" t="s">
        <v>78</v>
      </c>
      <c r="E195" s="104">
        <v>1.0409999999999999</v>
      </c>
      <c r="F195" s="102" t="s">
        <v>3701</v>
      </c>
      <c r="G195" s="1" t="s">
        <v>3704</v>
      </c>
      <c r="H195" s="4" t="s">
        <v>3336</v>
      </c>
      <c r="I195" s="110">
        <v>45231</v>
      </c>
    </row>
    <row r="196" spans="1:9">
      <c r="A196" s="66" t="s">
        <v>3703</v>
      </c>
      <c r="B196" s="103">
        <v>45271</v>
      </c>
      <c r="C196" s="13" t="s">
        <v>3186</v>
      </c>
      <c r="D196" s="113" t="s">
        <v>78</v>
      </c>
      <c r="E196" s="104">
        <v>2.6890000000000001</v>
      </c>
      <c r="F196" s="102" t="s">
        <v>3701</v>
      </c>
      <c r="G196" s="1" t="s">
        <v>3704</v>
      </c>
      <c r="H196" s="4" t="s">
        <v>3336</v>
      </c>
      <c r="I196" s="110">
        <v>45231</v>
      </c>
    </row>
    <row r="197" spans="1:9">
      <c r="A197" s="66"/>
      <c r="B197" s="103"/>
      <c r="C197" s="11"/>
      <c r="D197" s="113"/>
      <c r="E197" s="58">
        <f>SUM(E185:E196)</f>
        <v>29.917999999999996</v>
      </c>
      <c r="F197" s="102"/>
      <c r="G197" s="1"/>
      <c r="H197" s="1"/>
      <c r="I197" s="110"/>
    </row>
    <row r="198" spans="1:9">
      <c r="A198" s="66" t="s">
        <v>3707</v>
      </c>
      <c r="B198" s="103">
        <v>45272</v>
      </c>
      <c r="C198" s="13" t="s">
        <v>3053</v>
      </c>
      <c r="D198" s="113" t="s">
        <v>78</v>
      </c>
      <c r="E198" s="104">
        <v>3.3420000000000001</v>
      </c>
      <c r="F198" s="102" t="s">
        <v>392</v>
      </c>
      <c r="G198" s="1" t="s">
        <v>3708</v>
      </c>
      <c r="H198" s="4" t="s">
        <v>3336</v>
      </c>
      <c r="I198" s="110">
        <v>45231</v>
      </c>
    </row>
    <row r="199" spans="1:9">
      <c r="A199" s="66" t="s">
        <v>3707</v>
      </c>
      <c r="B199" s="103">
        <v>45272</v>
      </c>
      <c r="C199" s="13" t="s">
        <v>3190</v>
      </c>
      <c r="D199" s="113" t="s">
        <v>78</v>
      </c>
      <c r="E199" s="104">
        <v>1.278</v>
      </c>
      <c r="F199" s="102" t="s">
        <v>392</v>
      </c>
      <c r="G199" s="1" t="s">
        <v>3708</v>
      </c>
      <c r="H199" s="4" t="s">
        <v>3336</v>
      </c>
      <c r="I199" s="110">
        <v>45231</v>
      </c>
    </row>
    <row r="200" spans="1:9">
      <c r="A200" s="66" t="s">
        <v>3707</v>
      </c>
      <c r="B200" s="103">
        <v>45272</v>
      </c>
      <c r="C200" s="13" t="s">
        <v>3157</v>
      </c>
      <c r="D200" s="113" t="s">
        <v>78</v>
      </c>
      <c r="E200" s="104">
        <v>1.75</v>
      </c>
      <c r="F200" s="102" t="s">
        <v>392</v>
      </c>
      <c r="G200" s="1" t="s">
        <v>3708</v>
      </c>
      <c r="H200" s="4" t="s">
        <v>3336</v>
      </c>
      <c r="I200" s="110">
        <v>45231</v>
      </c>
    </row>
    <row r="201" spans="1:9">
      <c r="A201" s="66" t="s">
        <v>3707</v>
      </c>
      <c r="B201" s="103">
        <v>45272</v>
      </c>
      <c r="C201" s="13" t="s">
        <v>3115</v>
      </c>
      <c r="D201" s="113" t="s">
        <v>78</v>
      </c>
      <c r="E201" s="104">
        <v>3.093</v>
      </c>
      <c r="F201" s="102" t="s">
        <v>392</v>
      </c>
      <c r="G201" s="1" t="s">
        <v>3708</v>
      </c>
      <c r="H201" s="4" t="s">
        <v>3336</v>
      </c>
      <c r="I201" s="110">
        <v>45231</v>
      </c>
    </row>
    <row r="202" spans="1:9">
      <c r="A202" s="66" t="s">
        <v>3707</v>
      </c>
      <c r="B202" s="103">
        <v>45272</v>
      </c>
      <c r="C202" s="13" t="s">
        <v>2488</v>
      </c>
      <c r="D202" s="113" t="s">
        <v>78</v>
      </c>
      <c r="E202" s="104">
        <f>3.178+14.16</f>
        <v>17.338000000000001</v>
      </c>
      <c r="F202" s="102" t="s">
        <v>392</v>
      </c>
      <c r="G202" s="1" t="s">
        <v>3708</v>
      </c>
      <c r="H202" s="4" t="s">
        <v>3336</v>
      </c>
      <c r="I202" s="110">
        <v>45231</v>
      </c>
    </row>
    <row r="203" spans="1:9">
      <c r="A203" s="66" t="s">
        <v>3707</v>
      </c>
      <c r="B203" s="103">
        <v>45272</v>
      </c>
      <c r="C203" s="13" t="s">
        <v>3186</v>
      </c>
      <c r="D203" s="113" t="s">
        <v>78</v>
      </c>
      <c r="E203" s="104">
        <v>3.27</v>
      </c>
      <c r="F203" s="102" t="s">
        <v>392</v>
      </c>
      <c r="G203" s="1" t="s">
        <v>3708</v>
      </c>
      <c r="H203" s="4" t="s">
        <v>3336</v>
      </c>
      <c r="I203" s="110">
        <v>45231</v>
      </c>
    </row>
    <row r="204" spans="1:9">
      <c r="A204" s="66" t="s">
        <v>3709</v>
      </c>
      <c r="B204" s="103">
        <v>45272</v>
      </c>
      <c r="C204" s="13" t="s">
        <v>2487</v>
      </c>
      <c r="D204" s="113" t="s">
        <v>78</v>
      </c>
      <c r="E204" s="104">
        <v>0.17199999999999999</v>
      </c>
      <c r="F204" s="102" t="s">
        <v>392</v>
      </c>
      <c r="G204" s="1" t="s">
        <v>3710</v>
      </c>
      <c r="H204" s="4" t="s">
        <v>3256</v>
      </c>
      <c r="I204" s="110">
        <v>45227</v>
      </c>
    </row>
    <row r="205" spans="1:9">
      <c r="A205" s="66" t="s">
        <v>3709</v>
      </c>
      <c r="B205" s="103">
        <v>45272</v>
      </c>
      <c r="C205" s="13" t="s">
        <v>3069</v>
      </c>
      <c r="D205" s="113" t="s">
        <v>78</v>
      </c>
      <c r="E205" s="104">
        <v>0.44900000000000001</v>
      </c>
      <c r="F205" s="102" t="s">
        <v>392</v>
      </c>
      <c r="G205" s="1" t="s">
        <v>3710</v>
      </c>
      <c r="H205" s="4" t="s">
        <v>3256</v>
      </c>
      <c r="I205" s="110">
        <v>45227</v>
      </c>
    </row>
    <row r="206" spans="1:9">
      <c r="A206" s="66" t="s">
        <v>3709</v>
      </c>
      <c r="B206" s="103">
        <v>45272</v>
      </c>
      <c r="C206" s="13" t="s">
        <v>2736</v>
      </c>
      <c r="D206" s="113" t="s">
        <v>78</v>
      </c>
      <c r="E206" s="104">
        <v>0.625</v>
      </c>
      <c r="F206" s="102" t="s">
        <v>392</v>
      </c>
      <c r="G206" s="1" t="s">
        <v>3710</v>
      </c>
      <c r="H206" s="4" t="s">
        <v>3256</v>
      </c>
      <c r="I206" s="110">
        <v>45227</v>
      </c>
    </row>
    <row r="207" spans="1:9">
      <c r="A207" s="66" t="s">
        <v>3709</v>
      </c>
      <c r="B207" s="103">
        <v>45272</v>
      </c>
      <c r="C207" s="13" t="s">
        <v>2490</v>
      </c>
      <c r="D207" s="113" t="s">
        <v>78</v>
      </c>
      <c r="E207" s="104">
        <v>1.27</v>
      </c>
      <c r="F207" s="102" t="s">
        <v>392</v>
      </c>
      <c r="G207" s="1" t="s">
        <v>3710</v>
      </c>
      <c r="H207" s="4" t="s">
        <v>3256</v>
      </c>
      <c r="I207" s="110">
        <v>45227</v>
      </c>
    </row>
    <row r="208" spans="1:9">
      <c r="A208" s="66" t="s">
        <v>3711</v>
      </c>
      <c r="B208" s="103">
        <v>45272</v>
      </c>
      <c r="C208" s="13" t="s">
        <v>2488</v>
      </c>
      <c r="D208" s="113" t="s">
        <v>78</v>
      </c>
      <c r="E208" s="104">
        <v>31.545999999999999</v>
      </c>
      <c r="F208" s="102" t="s">
        <v>1539</v>
      </c>
      <c r="G208" s="1" t="s">
        <v>3712</v>
      </c>
      <c r="H208" s="4" t="s">
        <v>3336</v>
      </c>
      <c r="I208" s="110">
        <v>45231</v>
      </c>
    </row>
    <row r="209" spans="1:9">
      <c r="A209" s="66"/>
      <c r="B209" s="103"/>
      <c r="C209" s="13"/>
      <c r="D209" s="113"/>
      <c r="E209" s="58">
        <f>SUM(E198:E208)</f>
        <v>64.13300000000001</v>
      </c>
      <c r="F209" s="102"/>
      <c r="G209" s="1"/>
      <c r="H209" s="1"/>
      <c r="I209" s="110"/>
    </row>
    <row r="210" spans="1:9">
      <c r="A210" s="66" t="s">
        <v>3723</v>
      </c>
      <c r="B210" s="103">
        <v>45273</v>
      </c>
      <c r="C210" s="13" t="s">
        <v>2488</v>
      </c>
      <c r="D210" s="113" t="s">
        <v>78</v>
      </c>
      <c r="E210" s="104">
        <v>32.012</v>
      </c>
      <c r="F210" s="102" t="s">
        <v>294</v>
      </c>
      <c r="G210" s="1" t="s">
        <v>3724</v>
      </c>
      <c r="H210" s="4" t="s">
        <v>3336</v>
      </c>
      <c r="I210" s="110">
        <v>45231</v>
      </c>
    </row>
    <row r="211" spans="1:9">
      <c r="A211" s="66" t="s">
        <v>3729</v>
      </c>
      <c r="B211" s="103">
        <v>45273</v>
      </c>
      <c r="C211" s="13" t="s">
        <v>2488</v>
      </c>
      <c r="D211" s="113" t="s">
        <v>78</v>
      </c>
      <c r="E211" s="104">
        <v>32.401000000000003</v>
      </c>
      <c r="F211" s="24" t="s">
        <v>851</v>
      </c>
      <c r="G211" s="1" t="s">
        <v>3730</v>
      </c>
      <c r="H211" s="4" t="s">
        <v>3336</v>
      </c>
      <c r="I211" s="110">
        <v>45231</v>
      </c>
    </row>
    <row r="212" spans="1:9">
      <c r="A212" s="66" t="s">
        <v>3732</v>
      </c>
      <c r="B212" s="103">
        <v>45273</v>
      </c>
      <c r="C212" s="13" t="s">
        <v>2488</v>
      </c>
      <c r="D212" s="113" t="s">
        <v>78</v>
      </c>
      <c r="E212" s="104">
        <v>8.5150000000000006</v>
      </c>
      <c r="F212" s="102" t="s">
        <v>267</v>
      </c>
      <c r="G212" s="1" t="s">
        <v>3731</v>
      </c>
      <c r="H212" s="4" t="s">
        <v>3336</v>
      </c>
      <c r="I212" s="110">
        <v>45231</v>
      </c>
    </row>
    <row r="213" spans="1:9">
      <c r="A213" s="66" t="s">
        <v>3732</v>
      </c>
      <c r="B213" s="103">
        <v>45273</v>
      </c>
      <c r="C213" s="13" t="s">
        <v>2487</v>
      </c>
      <c r="D213" s="113" t="s">
        <v>78</v>
      </c>
      <c r="E213" s="104">
        <v>18.591000000000001</v>
      </c>
      <c r="F213" s="102" t="s">
        <v>267</v>
      </c>
      <c r="G213" s="1" t="s">
        <v>3731</v>
      </c>
      <c r="H213" s="4" t="s">
        <v>3336</v>
      </c>
      <c r="I213" s="110">
        <v>45231</v>
      </c>
    </row>
    <row r="214" spans="1:9">
      <c r="A214" s="66" t="s">
        <v>3732</v>
      </c>
      <c r="B214" s="103">
        <v>45273</v>
      </c>
      <c r="C214" s="13" t="s">
        <v>3191</v>
      </c>
      <c r="D214" s="113" t="s">
        <v>78</v>
      </c>
      <c r="E214" s="104">
        <v>4.5149999999999997</v>
      </c>
      <c r="F214" s="102" t="s">
        <v>267</v>
      </c>
      <c r="G214" s="1" t="s">
        <v>3731</v>
      </c>
      <c r="H214" s="4" t="s">
        <v>3336</v>
      </c>
      <c r="I214" s="110">
        <v>45231</v>
      </c>
    </row>
    <row r="215" spans="1:9">
      <c r="A215" s="66" t="s">
        <v>3733</v>
      </c>
      <c r="B215" s="103">
        <v>45273</v>
      </c>
      <c r="C215" s="13" t="s">
        <v>2488</v>
      </c>
      <c r="D215" s="113" t="s">
        <v>78</v>
      </c>
      <c r="E215" s="104">
        <v>16.742000000000001</v>
      </c>
      <c r="F215" s="24" t="s">
        <v>97</v>
      </c>
      <c r="G215" s="1" t="s">
        <v>3734</v>
      </c>
      <c r="H215" s="4" t="s">
        <v>3336</v>
      </c>
      <c r="I215" s="110">
        <v>45231</v>
      </c>
    </row>
    <row r="216" spans="1:9">
      <c r="A216" s="66" t="s">
        <v>3733</v>
      </c>
      <c r="B216" s="103">
        <v>45273</v>
      </c>
      <c r="C216" s="13" t="s">
        <v>2487</v>
      </c>
      <c r="D216" s="113" t="s">
        <v>78</v>
      </c>
      <c r="E216" s="104">
        <v>14.666</v>
      </c>
      <c r="F216" s="24" t="s">
        <v>97</v>
      </c>
      <c r="G216" s="1" t="s">
        <v>3734</v>
      </c>
      <c r="H216" s="4" t="s">
        <v>3336</v>
      </c>
      <c r="I216" s="110">
        <v>45231</v>
      </c>
    </row>
    <row r="217" spans="1:9">
      <c r="A217" s="66"/>
      <c r="B217" s="103"/>
      <c r="C217" s="13"/>
      <c r="D217" s="113"/>
      <c r="E217" s="58">
        <f>SUM(E210:E216)</f>
        <v>127.44200000000001</v>
      </c>
      <c r="F217" s="102"/>
      <c r="G217" s="1"/>
      <c r="H217" s="1"/>
      <c r="I217" s="110"/>
    </row>
    <row r="218" spans="1:9">
      <c r="A218" s="66" t="s">
        <v>3741</v>
      </c>
      <c r="B218" s="103">
        <v>45274</v>
      </c>
      <c r="C218" s="13" t="s">
        <v>2487</v>
      </c>
      <c r="D218" s="13" t="s">
        <v>11</v>
      </c>
      <c r="E218" s="104">
        <v>8.6489999999999991</v>
      </c>
      <c r="F218" s="102" t="s">
        <v>548</v>
      </c>
      <c r="G218" s="1" t="s">
        <v>3736</v>
      </c>
      <c r="H218" s="1" t="s">
        <v>2745</v>
      </c>
      <c r="I218" s="110">
        <v>45176</v>
      </c>
    </row>
    <row r="219" spans="1:9">
      <c r="A219" s="66" t="s">
        <v>3741</v>
      </c>
      <c r="B219" s="103">
        <v>45274</v>
      </c>
      <c r="C219" s="13" t="s">
        <v>2489</v>
      </c>
      <c r="D219" s="13" t="s">
        <v>11</v>
      </c>
      <c r="E219" s="104">
        <v>16.704000000000001</v>
      </c>
      <c r="F219" s="102" t="s">
        <v>548</v>
      </c>
      <c r="G219" s="1" t="s">
        <v>3736</v>
      </c>
      <c r="H219" s="1" t="s">
        <v>2745</v>
      </c>
      <c r="I219" s="110">
        <v>45176</v>
      </c>
    </row>
    <row r="220" spans="1:9">
      <c r="A220" s="66" t="s">
        <v>3748</v>
      </c>
      <c r="B220" s="103">
        <v>45274</v>
      </c>
      <c r="C220" s="13" t="s">
        <v>3157</v>
      </c>
      <c r="D220" s="113" t="s">
        <v>78</v>
      </c>
      <c r="E220" s="104">
        <v>7.4420000000000002</v>
      </c>
      <c r="F220" s="102" t="s">
        <v>851</v>
      </c>
      <c r="G220" s="4" t="s">
        <v>3747</v>
      </c>
      <c r="H220" s="4" t="s">
        <v>3336</v>
      </c>
      <c r="I220" s="110">
        <v>45231</v>
      </c>
    </row>
    <row r="221" spans="1:9">
      <c r="A221" s="66" t="s">
        <v>3748</v>
      </c>
      <c r="B221" s="103">
        <v>45274</v>
      </c>
      <c r="C221" s="13" t="s">
        <v>3191</v>
      </c>
      <c r="D221" s="113" t="s">
        <v>78</v>
      </c>
      <c r="E221" s="104">
        <v>2.504</v>
      </c>
      <c r="F221" s="102" t="s">
        <v>851</v>
      </c>
      <c r="G221" s="4" t="s">
        <v>3747</v>
      </c>
      <c r="H221" s="4" t="s">
        <v>3336</v>
      </c>
      <c r="I221" s="110">
        <v>45231</v>
      </c>
    </row>
    <row r="222" spans="1:9">
      <c r="A222" s="66" t="s">
        <v>3748</v>
      </c>
      <c r="B222" s="103">
        <v>45274</v>
      </c>
      <c r="C222" s="13" t="s">
        <v>2487</v>
      </c>
      <c r="D222" s="113" t="s">
        <v>78</v>
      </c>
      <c r="E222" s="104">
        <v>4.9580000000000002</v>
      </c>
      <c r="F222" s="102" t="s">
        <v>851</v>
      </c>
      <c r="G222" s="4" t="s">
        <v>3747</v>
      </c>
      <c r="H222" s="4" t="s">
        <v>3336</v>
      </c>
      <c r="I222" s="110">
        <v>45231</v>
      </c>
    </row>
    <row r="223" spans="1:9">
      <c r="A223" s="66" t="s">
        <v>3748</v>
      </c>
      <c r="B223" s="103">
        <v>45274</v>
      </c>
      <c r="C223" s="13" t="s">
        <v>2488</v>
      </c>
      <c r="D223" s="113" t="s">
        <v>78</v>
      </c>
      <c r="E223" s="104">
        <v>6.6230000000000002</v>
      </c>
      <c r="F223" s="102" t="s">
        <v>851</v>
      </c>
      <c r="G223" s="4" t="s">
        <v>3747</v>
      </c>
      <c r="H223" s="4" t="s">
        <v>3336</v>
      </c>
      <c r="I223" s="110">
        <v>45231</v>
      </c>
    </row>
    <row r="224" spans="1:9">
      <c r="A224" s="66" t="s">
        <v>3748</v>
      </c>
      <c r="B224" s="103">
        <v>45274</v>
      </c>
      <c r="C224" s="13" t="s">
        <v>2489</v>
      </c>
      <c r="D224" s="113" t="s">
        <v>78</v>
      </c>
      <c r="E224" s="104">
        <v>4.1720000000000006</v>
      </c>
      <c r="F224" s="102" t="s">
        <v>851</v>
      </c>
      <c r="G224" s="4" t="s">
        <v>3747</v>
      </c>
      <c r="H224" s="4" t="s">
        <v>3336</v>
      </c>
      <c r="I224" s="110">
        <v>45231</v>
      </c>
    </row>
    <row r="225" spans="1:9">
      <c r="A225" s="66" t="s">
        <v>3748</v>
      </c>
      <c r="B225" s="103">
        <v>45274</v>
      </c>
      <c r="C225" s="13" t="s">
        <v>3128</v>
      </c>
      <c r="D225" s="113" t="s">
        <v>78</v>
      </c>
      <c r="E225" s="104">
        <v>5.4080000000000004</v>
      </c>
      <c r="F225" s="102" t="s">
        <v>851</v>
      </c>
      <c r="G225" s="4" t="s">
        <v>3747</v>
      </c>
      <c r="H225" s="4" t="s">
        <v>3336</v>
      </c>
      <c r="I225" s="110">
        <v>45231</v>
      </c>
    </row>
    <row r="226" spans="1:9" s="147" customFormat="1">
      <c r="A226" s="66"/>
      <c r="B226" s="103"/>
      <c r="C226" s="13"/>
      <c r="D226" s="113"/>
      <c r="E226" s="58">
        <f>SUM(E218:E225)</f>
        <v>56.459999999999994</v>
      </c>
      <c r="F226" s="102"/>
      <c r="G226" s="4"/>
      <c r="H226" s="4"/>
      <c r="I226" s="110"/>
    </row>
    <row r="227" spans="1:9" s="147" customFormat="1">
      <c r="A227" s="66" t="s">
        <v>3749</v>
      </c>
      <c r="B227" s="103">
        <v>45275</v>
      </c>
      <c r="C227" s="13" t="s">
        <v>2957</v>
      </c>
      <c r="D227" s="13" t="s">
        <v>11</v>
      </c>
      <c r="E227" s="104">
        <f>6.32+6.32+3.628</f>
        <v>16.268000000000001</v>
      </c>
      <c r="F227" s="102" t="s">
        <v>3750</v>
      </c>
      <c r="G227" s="4" t="s">
        <v>3751</v>
      </c>
      <c r="H227" s="4" t="s">
        <v>3752</v>
      </c>
      <c r="I227" s="110">
        <v>45272</v>
      </c>
    </row>
    <row r="228" spans="1:9" s="147" customFormat="1">
      <c r="A228" s="66" t="s">
        <v>3753</v>
      </c>
      <c r="B228" s="103">
        <v>45275</v>
      </c>
      <c r="C228" s="13" t="s">
        <v>2489</v>
      </c>
      <c r="D228" s="13" t="s">
        <v>11</v>
      </c>
      <c r="E228" s="104">
        <v>5.8719999999999999</v>
      </c>
      <c r="F228" s="102" t="s">
        <v>3750</v>
      </c>
      <c r="G228" s="4" t="s">
        <v>3754</v>
      </c>
      <c r="H228" s="4" t="s">
        <v>2745</v>
      </c>
      <c r="I228" s="110">
        <v>45176</v>
      </c>
    </row>
    <row r="229" spans="1:9" s="147" customFormat="1">
      <c r="A229" s="66" t="s">
        <v>3753</v>
      </c>
      <c r="B229" s="103">
        <v>45275</v>
      </c>
      <c r="C229" s="13" t="s">
        <v>2740</v>
      </c>
      <c r="D229" s="13" t="s">
        <v>11</v>
      </c>
      <c r="E229" s="104">
        <v>2.83</v>
      </c>
      <c r="F229" s="102" t="s">
        <v>3750</v>
      </c>
      <c r="G229" s="4" t="s">
        <v>3754</v>
      </c>
      <c r="H229" s="4" t="s">
        <v>2745</v>
      </c>
      <c r="I229" s="110">
        <v>45176</v>
      </c>
    </row>
    <row r="230" spans="1:9" s="147" customFormat="1">
      <c r="A230" s="66" t="s">
        <v>3755</v>
      </c>
      <c r="B230" s="103">
        <v>45275</v>
      </c>
      <c r="C230" s="13" t="s">
        <v>2957</v>
      </c>
      <c r="D230" s="113" t="s">
        <v>78</v>
      </c>
      <c r="E230" s="104">
        <f>0.102+5.856</f>
        <v>5.9580000000000002</v>
      </c>
      <c r="F230" s="102" t="s">
        <v>1393</v>
      </c>
      <c r="G230" s="4" t="s">
        <v>3756</v>
      </c>
      <c r="H230" s="4" t="s">
        <v>3336</v>
      </c>
      <c r="I230" s="110">
        <v>45231</v>
      </c>
    </row>
    <row r="231" spans="1:9" s="147" customFormat="1">
      <c r="A231" s="66" t="s">
        <v>3755</v>
      </c>
      <c r="B231" s="103">
        <v>45275</v>
      </c>
      <c r="C231" s="13" t="s">
        <v>3219</v>
      </c>
      <c r="D231" s="113" t="s">
        <v>78</v>
      </c>
      <c r="E231" s="104">
        <v>7.0759999999999996</v>
      </c>
      <c r="F231" s="102" t="s">
        <v>1393</v>
      </c>
      <c r="G231" s="4" t="s">
        <v>3756</v>
      </c>
      <c r="H231" s="4" t="s">
        <v>3336</v>
      </c>
      <c r="I231" s="110">
        <v>45231</v>
      </c>
    </row>
    <row r="232" spans="1:9" s="147" customFormat="1">
      <c r="A232" s="66" t="s">
        <v>3755</v>
      </c>
      <c r="B232" s="103">
        <v>45275</v>
      </c>
      <c r="C232" s="13" t="s">
        <v>2486</v>
      </c>
      <c r="D232" s="113" t="s">
        <v>78</v>
      </c>
      <c r="E232" s="104">
        <v>2.9380000000000002</v>
      </c>
      <c r="F232" s="102" t="s">
        <v>1393</v>
      </c>
      <c r="G232" s="4" t="s">
        <v>3756</v>
      </c>
      <c r="H232" s="4" t="s">
        <v>3336</v>
      </c>
      <c r="I232" s="110">
        <v>45231</v>
      </c>
    </row>
    <row r="233" spans="1:9" s="147" customFormat="1">
      <c r="A233" s="66" t="s">
        <v>3755</v>
      </c>
      <c r="B233" s="103">
        <v>45275</v>
      </c>
      <c r="C233" s="13" t="s">
        <v>3191</v>
      </c>
      <c r="D233" s="113" t="s">
        <v>78</v>
      </c>
      <c r="E233" s="104">
        <f>2.039+3.274</f>
        <v>5.3130000000000006</v>
      </c>
      <c r="F233" s="102" t="s">
        <v>1393</v>
      </c>
      <c r="G233" s="4" t="s">
        <v>3756</v>
      </c>
      <c r="H233" s="4" t="s">
        <v>3336</v>
      </c>
      <c r="I233" s="110">
        <v>45231</v>
      </c>
    </row>
    <row r="234" spans="1:9" s="147" customFormat="1">
      <c r="A234" s="66" t="s">
        <v>3755</v>
      </c>
      <c r="B234" s="103">
        <v>45275</v>
      </c>
      <c r="C234" s="13" t="s">
        <v>3157</v>
      </c>
      <c r="D234" s="113" t="s">
        <v>78</v>
      </c>
      <c r="E234" s="104">
        <v>3.3849999999999998</v>
      </c>
      <c r="F234" s="102" t="s">
        <v>1393</v>
      </c>
      <c r="G234" s="4" t="s">
        <v>3756</v>
      </c>
      <c r="H234" s="4" t="s">
        <v>3336</v>
      </c>
      <c r="I234" s="110">
        <v>45231</v>
      </c>
    </row>
    <row r="235" spans="1:9" s="147" customFormat="1">
      <c r="A235" s="66" t="s">
        <v>3755</v>
      </c>
      <c r="B235" s="103">
        <v>45275</v>
      </c>
      <c r="C235" s="13" t="s">
        <v>3180</v>
      </c>
      <c r="D235" s="113" t="s">
        <v>78</v>
      </c>
      <c r="E235" s="104">
        <v>1.238</v>
      </c>
      <c r="F235" s="102" t="s">
        <v>1393</v>
      </c>
      <c r="G235" s="4" t="s">
        <v>3756</v>
      </c>
      <c r="H235" s="4" t="s">
        <v>3336</v>
      </c>
      <c r="I235" s="110">
        <v>45231</v>
      </c>
    </row>
    <row r="236" spans="1:9" s="147" customFormat="1">
      <c r="A236" s="66" t="s">
        <v>3755</v>
      </c>
      <c r="B236" s="103">
        <v>45275</v>
      </c>
      <c r="C236" s="13" t="s">
        <v>2489</v>
      </c>
      <c r="D236" s="113" t="s">
        <v>78</v>
      </c>
      <c r="E236" s="104">
        <v>6.3209999999999997</v>
      </c>
      <c r="F236" s="102" t="s">
        <v>1393</v>
      </c>
      <c r="G236" s="4" t="s">
        <v>3756</v>
      </c>
      <c r="H236" s="4" t="s">
        <v>3336</v>
      </c>
      <c r="I236" s="110">
        <v>45231</v>
      </c>
    </row>
    <row r="237" spans="1:9" s="147" customFormat="1">
      <c r="A237" s="66"/>
      <c r="B237" s="103"/>
      <c r="C237" s="13"/>
      <c r="D237" s="113"/>
      <c r="E237" s="58">
        <f>SUM(E227:E236)</f>
        <v>57.198999999999998</v>
      </c>
      <c r="F237" s="102"/>
      <c r="G237" s="4"/>
      <c r="H237" s="4"/>
      <c r="I237" s="110"/>
    </row>
    <row r="238" spans="1:9" s="147" customFormat="1">
      <c r="A238" s="66" t="s">
        <v>3772</v>
      </c>
      <c r="B238" s="103">
        <v>45277</v>
      </c>
      <c r="C238" s="13" t="s">
        <v>2488</v>
      </c>
      <c r="D238" s="113" t="s">
        <v>78</v>
      </c>
      <c r="E238" s="104">
        <f>1.969+3.863+2.527+0.404</f>
        <v>8.7629999999999999</v>
      </c>
      <c r="F238" s="102" t="s">
        <v>267</v>
      </c>
      <c r="G238" s="4" t="s">
        <v>3773</v>
      </c>
      <c r="H238" s="4" t="s">
        <v>3336</v>
      </c>
      <c r="I238" s="110">
        <v>45231</v>
      </c>
    </row>
    <row r="239" spans="1:9" s="147" customFormat="1">
      <c r="A239" s="66" t="s">
        <v>3772</v>
      </c>
      <c r="B239" s="103">
        <v>45277</v>
      </c>
      <c r="C239" s="13" t="s">
        <v>2957</v>
      </c>
      <c r="D239" s="113" t="s">
        <v>78</v>
      </c>
      <c r="E239" s="104">
        <v>2.1179999999999999</v>
      </c>
      <c r="F239" s="102" t="s">
        <v>267</v>
      </c>
      <c r="G239" s="4" t="s">
        <v>3773</v>
      </c>
      <c r="H239" s="4" t="s">
        <v>3336</v>
      </c>
      <c r="I239" s="110">
        <v>45231</v>
      </c>
    </row>
    <row r="240" spans="1:9" s="147" customFormat="1">
      <c r="A240" s="66" t="s">
        <v>3772</v>
      </c>
      <c r="B240" s="103">
        <v>45277</v>
      </c>
      <c r="C240" s="13" t="s">
        <v>2487</v>
      </c>
      <c r="D240" s="113" t="s">
        <v>78</v>
      </c>
      <c r="E240" s="104">
        <f>1.692+0.174</f>
        <v>1.8659999999999999</v>
      </c>
      <c r="F240" s="102" t="s">
        <v>267</v>
      </c>
      <c r="G240" s="4" t="s">
        <v>3773</v>
      </c>
      <c r="H240" s="4" t="s">
        <v>3336</v>
      </c>
      <c r="I240" s="110">
        <v>45231</v>
      </c>
    </row>
    <row r="241" spans="1:9" s="147" customFormat="1">
      <c r="A241" s="66" t="s">
        <v>3772</v>
      </c>
      <c r="B241" s="103">
        <v>45277</v>
      </c>
      <c r="C241" s="13" t="s">
        <v>3191</v>
      </c>
      <c r="D241" s="113" t="s">
        <v>78</v>
      </c>
      <c r="E241" s="104">
        <v>1.5740000000000001</v>
      </c>
      <c r="F241" s="102" t="s">
        <v>267</v>
      </c>
      <c r="G241" s="4" t="s">
        <v>3773</v>
      </c>
      <c r="H241" s="4" t="s">
        <v>3336</v>
      </c>
      <c r="I241" s="110">
        <v>45231</v>
      </c>
    </row>
    <row r="242" spans="1:9" s="147" customFormat="1">
      <c r="A242" s="66" t="s">
        <v>3772</v>
      </c>
      <c r="B242" s="103">
        <v>45277</v>
      </c>
      <c r="C242" s="13" t="s">
        <v>2489</v>
      </c>
      <c r="D242" s="113" t="s">
        <v>78</v>
      </c>
      <c r="E242" s="104">
        <f>0.398+1.372</f>
        <v>1.77</v>
      </c>
      <c r="F242" s="102" t="s">
        <v>267</v>
      </c>
      <c r="G242" s="4" t="s">
        <v>3773</v>
      </c>
      <c r="H242" s="4" t="s">
        <v>3336</v>
      </c>
      <c r="I242" s="110">
        <v>45231</v>
      </c>
    </row>
    <row r="243" spans="1:9" s="147" customFormat="1">
      <c r="A243" s="66" t="s">
        <v>3772</v>
      </c>
      <c r="B243" s="103">
        <v>45277</v>
      </c>
      <c r="C243" s="13" t="s">
        <v>2490</v>
      </c>
      <c r="D243" s="113" t="s">
        <v>78</v>
      </c>
      <c r="E243" s="104">
        <v>4.0019999999999998</v>
      </c>
      <c r="F243" s="102" t="s">
        <v>267</v>
      </c>
      <c r="G243" s="4" t="s">
        <v>3773</v>
      </c>
      <c r="H243" s="4" t="s">
        <v>3336</v>
      </c>
      <c r="I243" s="110">
        <v>45231</v>
      </c>
    </row>
    <row r="244" spans="1:9" s="147" customFormat="1">
      <c r="A244" s="66" t="s">
        <v>3772</v>
      </c>
      <c r="B244" s="103">
        <v>45277</v>
      </c>
      <c r="C244" s="13" t="s">
        <v>3008</v>
      </c>
      <c r="D244" s="113" t="s">
        <v>78</v>
      </c>
      <c r="E244" s="104">
        <v>4.2629999999999999</v>
      </c>
      <c r="F244" s="102" t="s">
        <v>267</v>
      </c>
      <c r="G244" s="4" t="s">
        <v>3773</v>
      </c>
      <c r="H244" s="4" t="s">
        <v>3336</v>
      </c>
      <c r="I244" s="110">
        <v>45231</v>
      </c>
    </row>
    <row r="245" spans="1:9" s="147" customFormat="1">
      <c r="A245" s="66" t="s">
        <v>3772</v>
      </c>
      <c r="B245" s="103">
        <v>45277</v>
      </c>
      <c r="C245" s="13" t="s">
        <v>2840</v>
      </c>
      <c r="D245" s="113" t="s">
        <v>78</v>
      </c>
      <c r="E245" s="104">
        <v>3.01</v>
      </c>
      <c r="F245" s="102" t="s">
        <v>267</v>
      </c>
      <c r="G245" s="4" t="s">
        <v>3773</v>
      </c>
      <c r="H245" s="4" t="s">
        <v>3336</v>
      </c>
      <c r="I245" s="110">
        <v>45231</v>
      </c>
    </row>
    <row r="246" spans="1:9" s="147" customFormat="1">
      <c r="A246" s="66" t="s">
        <v>3772</v>
      </c>
      <c r="B246" s="103">
        <v>45277</v>
      </c>
      <c r="C246" s="13" t="s">
        <v>3203</v>
      </c>
      <c r="D246" s="113" t="s">
        <v>78</v>
      </c>
      <c r="E246" s="104">
        <v>1.395</v>
      </c>
      <c r="F246" s="102" t="s">
        <v>267</v>
      </c>
      <c r="G246" s="4" t="s">
        <v>3773</v>
      </c>
      <c r="H246" s="4" t="s">
        <v>3336</v>
      </c>
      <c r="I246" s="110">
        <v>45231</v>
      </c>
    </row>
    <row r="247" spans="1:9" s="147" customFormat="1">
      <c r="A247" s="66" t="s">
        <v>3772</v>
      </c>
      <c r="B247" s="103">
        <v>45277</v>
      </c>
      <c r="C247" s="13" t="s">
        <v>3221</v>
      </c>
      <c r="D247" s="113" t="s">
        <v>78</v>
      </c>
      <c r="E247" s="104">
        <v>0.41399999999999998</v>
      </c>
      <c r="F247" s="102" t="s">
        <v>267</v>
      </c>
      <c r="G247" s="4" t="s">
        <v>3773</v>
      </c>
      <c r="H247" s="4" t="s">
        <v>3336</v>
      </c>
      <c r="I247" s="110">
        <v>45231</v>
      </c>
    </row>
    <row r="248" spans="1:9" s="147" customFormat="1">
      <c r="A248" s="66" t="s">
        <v>3772</v>
      </c>
      <c r="B248" s="103">
        <v>45277</v>
      </c>
      <c r="C248" s="13" t="s">
        <v>3009</v>
      </c>
      <c r="D248" s="113" t="s">
        <v>78</v>
      </c>
      <c r="E248" s="143">
        <v>0.65</v>
      </c>
      <c r="F248" s="102" t="s">
        <v>267</v>
      </c>
      <c r="G248" s="4" t="s">
        <v>3773</v>
      </c>
      <c r="H248" s="4" t="s">
        <v>3336</v>
      </c>
      <c r="I248" s="110">
        <v>45231</v>
      </c>
    </row>
    <row r="249" spans="1:9" s="147" customFormat="1">
      <c r="A249" s="66" t="s">
        <v>3772</v>
      </c>
      <c r="B249" s="103">
        <v>45277</v>
      </c>
      <c r="C249" s="13" t="s">
        <v>2960</v>
      </c>
      <c r="D249" s="113" t="s">
        <v>78</v>
      </c>
      <c r="E249" s="143">
        <v>2.028</v>
      </c>
      <c r="F249" s="102" t="s">
        <v>267</v>
      </c>
      <c r="G249" s="4" t="s">
        <v>3773</v>
      </c>
      <c r="H249" s="4" t="s">
        <v>3336</v>
      </c>
      <c r="I249" s="110">
        <v>45231</v>
      </c>
    </row>
    <row r="250" spans="1:9" s="147" customFormat="1">
      <c r="A250" s="66"/>
      <c r="B250" s="103"/>
      <c r="C250" s="13"/>
      <c r="D250" s="113"/>
      <c r="E250" s="58">
        <f>SUM(E238:E249)</f>
        <v>31.852999999999998</v>
      </c>
      <c r="F250" s="102"/>
      <c r="G250" s="4"/>
      <c r="H250" s="4"/>
      <c r="I250" s="110"/>
    </row>
    <row r="251" spans="1:9">
      <c r="A251" s="66" t="s">
        <v>3786</v>
      </c>
      <c r="B251" s="103">
        <v>45278</v>
      </c>
      <c r="C251" s="13" t="s">
        <v>3219</v>
      </c>
      <c r="D251" s="113" t="s">
        <v>78</v>
      </c>
      <c r="E251" s="104">
        <v>5.8019999999999996</v>
      </c>
      <c r="F251" s="102" t="s">
        <v>851</v>
      </c>
      <c r="G251" s="1" t="s">
        <v>3787</v>
      </c>
      <c r="H251" s="4" t="s">
        <v>3336</v>
      </c>
      <c r="I251" s="110">
        <v>45231</v>
      </c>
    </row>
    <row r="252" spans="1:9" s="147" customFormat="1">
      <c r="A252" s="66" t="s">
        <v>3786</v>
      </c>
      <c r="B252" s="103">
        <v>45278</v>
      </c>
      <c r="C252" s="13" t="s">
        <v>2957</v>
      </c>
      <c r="D252" s="113" t="s">
        <v>78</v>
      </c>
      <c r="E252" s="104">
        <v>1.927</v>
      </c>
      <c r="F252" s="102" t="s">
        <v>851</v>
      </c>
      <c r="G252" s="1" t="s">
        <v>3787</v>
      </c>
      <c r="H252" s="4" t="s">
        <v>3336</v>
      </c>
      <c r="I252" s="110">
        <v>45231</v>
      </c>
    </row>
    <row r="253" spans="1:9" s="147" customFormat="1">
      <c r="A253" s="66" t="s">
        <v>3786</v>
      </c>
      <c r="B253" s="103">
        <v>45278</v>
      </c>
      <c r="C253" s="13" t="s">
        <v>2488</v>
      </c>
      <c r="D253" s="113" t="s">
        <v>78</v>
      </c>
      <c r="E253" s="104">
        <v>7.3890000000000002</v>
      </c>
      <c r="F253" s="102" t="s">
        <v>851</v>
      </c>
      <c r="G253" s="1" t="s">
        <v>3787</v>
      </c>
      <c r="H253" s="4" t="s">
        <v>3336</v>
      </c>
      <c r="I253" s="110">
        <v>45231</v>
      </c>
    </row>
    <row r="254" spans="1:9" s="147" customFormat="1">
      <c r="A254" s="66" t="s">
        <v>3786</v>
      </c>
      <c r="B254" s="103">
        <v>45278</v>
      </c>
      <c r="C254" s="13" t="s">
        <v>3009</v>
      </c>
      <c r="D254" s="113" t="s">
        <v>78</v>
      </c>
      <c r="E254" s="104">
        <f>1.46+0.791</f>
        <v>2.2509999999999999</v>
      </c>
      <c r="F254" s="102" t="s">
        <v>851</v>
      </c>
      <c r="G254" s="1" t="s">
        <v>3787</v>
      </c>
      <c r="H254" s="4" t="s">
        <v>3336</v>
      </c>
      <c r="I254" s="110">
        <v>45231</v>
      </c>
    </row>
    <row r="255" spans="1:9" s="147" customFormat="1">
      <c r="A255" s="66" t="s">
        <v>3788</v>
      </c>
      <c r="B255" s="103">
        <v>45278</v>
      </c>
      <c r="C255" s="13" t="s">
        <v>2843</v>
      </c>
      <c r="D255" s="113" t="s">
        <v>78</v>
      </c>
      <c r="E255" s="104">
        <v>9.7409999999999997</v>
      </c>
      <c r="F255" s="102" t="s">
        <v>851</v>
      </c>
      <c r="G255" s="1" t="s">
        <v>3789</v>
      </c>
      <c r="H255" s="1" t="s">
        <v>3790</v>
      </c>
      <c r="I255" s="110">
        <v>45252</v>
      </c>
    </row>
    <row r="256" spans="1:9" s="147" customFormat="1">
      <c r="A256" s="66" t="s">
        <v>3788</v>
      </c>
      <c r="B256" s="103">
        <v>45278</v>
      </c>
      <c r="C256" s="13" t="s">
        <v>3186</v>
      </c>
      <c r="D256" s="113" t="s">
        <v>78</v>
      </c>
      <c r="E256" s="104">
        <v>3.7730000000000001</v>
      </c>
      <c r="F256" s="102" t="s">
        <v>851</v>
      </c>
      <c r="G256" s="1" t="s">
        <v>3789</v>
      </c>
      <c r="H256" s="1" t="s">
        <v>3790</v>
      </c>
      <c r="I256" s="110">
        <v>45252</v>
      </c>
    </row>
    <row r="257" spans="1:9" s="147" customFormat="1">
      <c r="A257" s="66"/>
      <c r="B257" s="103"/>
      <c r="C257" s="11"/>
      <c r="D257" s="113"/>
      <c r="E257" s="58">
        <f>SUM(E251:E256)</f>
        <v>30.882999999999999</v>
      </c>
      <c r="F257" s="102"/>
      <c r="G257" s="1"/>
      <c r="H257" s="1"/>
      <c r="I257" s="110"/>
    </row>
    <row r="258" spans="1:9" s="147" customFormat="1">
      <c r="A258" s="66" t="s">
        <v>3799</v>
      </c>
      <c r="B258" s="103">
        <v>45279</v>
      </c>
      <c r="C258" s="13" t="s">
        <v>3009</v>
      </c>
      <c r="D258" s="113" t="s">
        <v>78</v>
      </c>
      <c r="E258" s="104">
        <v>1.1479999999999999</v>
      </c>
      <c r="F258" s="102" t="s">
        <v>97</v>
      </c>
      <c r="G258" s="4" t="s">
        <v>3800</v>
      </c>
      <c r="H258" s="4" t="s">
        <v>3801</v>
      </c>
      <c r="I258" s="110">
        <v>45231</v>
      </c>
    </row>
    <row r="259" spans="1:9" s="147" customFormat="1">
      <c r="A259" s="66" t="s">
        <v>3799</v>
      </c>
      <c r="B259" s="103">
        <v>45279</v>
      </c>
      <c r="C259" s="13" t="s">
        <v>3220</v>
      </c>
      <c r="D259" s="113" t="s">
        <v>78</v>
      </c>
      <c r="E259" s="104">
        <v>1.1080000000000001</v>
      </c>
      <c r="F259" s="102" t="s">
        <v>97</v>
      </c>
      <c r="G259" s="4" t="s">
        <v>3800</v>
      </c>
      <c r="H259" s="4" t="s">
        <v>3801</v>
      </c>
      <c r="I259" s="110">
        <v>45231</v>
      </c>
    </row>
    <row r="260" spans="1:9" s="147" customFormat="1">
      <c r="A260" s="66" t="s">
        <v>3802</v>
      </c>
      <c r="B260" s="103">
        <v>45279</v>
      </c>
      <c r="C260" s="13" t="s">
        <v>2840</v>
      </c>
      <c r="D260" s="113" t="s">
        <v>78</v>
      </c>
      <c r="E260" s="104">
        <v>1.889</v>
      </c>
      <c r="F260" s="102" t="s">
        <v>97</v>
      </c>
      <c r="G260" s="4" t="s">
        <v>3803</v>
      </c>
      <c r="H260" s="4" t="s">
        <v>3790</v>
      </c>
      <c r="I260" s="110">
        <v>45252</v>
      </c>
    </row>
    <row r="261" spans="1:9" s="147" customFormat="1">
      <c r="A261" s="66" t="s">
        <v>3802</v>
      </c>
      <c r="B261" s="103">
        <v>45279</v>
      </c>
      <c r="C261" s="13" t="s">
        <v>3128</v>
      </c>
      <c r="D261" s="113" t="s">
        <v>78</v>
      </c>
      <c r="E261" s="104">
        <v>3.274</v>
      </c>
      <c r="F261" s="102" t="s">
        <v>97</v>
      </c>
      <c r="G261" s="4" t="s">
        <v>3803</v>
      </c>
      <c r="H261" s="4" t="s">
        <v>3790</v>
      </c>
      <c r="I261" s="110">
        <v>45252</v>
      </c>
    </row>
    <row r="262" spans="1:9" s="147" customFormat="1">
      <c r="A262" s="66" t="s">
        <v>3802</v>
      </c>
      <c r="B262" s="103">
        <v>45279</v>
      </c>
      <c r="C262" s="13" t="s">
        <v>3257</v>
      </c>
      <c r="D262" s="113" t="s">
        <v>78</v>
      </c>
      <c r="E262" s="104">
        <f>2.539+0.983</f>
        <v>3.5220000000000002</v>
      </c>
      <c r="F262" s="102" t="s">
        <v>97</v>
      </c>
      <c r="G262" s="4" t="s">
        <v>3803</v>
      </c>
      <c r="H262" s="4" t="s">
        <v>3790</v>
      </c>
      <c r="I262" s="110">
        <v>45252</v>
      </c>
    </row>
    <row r="263" spans="1:9" s="147" customFormat="1">
      <c r="A263" s="66" t="s">
        <v>3802</v>
      </c>
      <c r="B263" s="103">
        <v>45279</v>
      </c>
      <c r="C263" s="13" t="s">
        <v>2489</v>
      </c>
      <c r="D263" s="113" t="s">
        <v>78</v>
      </c>
      <c r="E263" s="104">
        <v>3.3140000000000001</v>
      </c>
      <c r="F263" s="102" t="s">
        <v>97</v>
      </c>
      <c r="G263" s="4" t="s">
        <v>3803</v>
      </c>
      <c r="H263" s="4" t="s">
        <v>3790</v>
      </c>
      <c r="I263" s="110">
        <v>45252</v>
      </c>
    </row>
    <row r="264" spans="1:9" s="147" customFormat="1">
      <c r="A264" s="66" t="s">
        <v>3802</v>
      </c>
      <c r="B264" s="103">
        <v>45279</v>
      </c>
      <c r="C264" s="13" t="s">
        <v>2739</v>
      </c>
      <c r="D264" s="113" t="s">
        <v>78</v>
      </c>
      <c r="E264" s="104">
        <v>5.37</v>
      </c>
      <c r="F264" s="102" t="s">
        <v>97</v>
      </c>
      <c r="G264" s="4" t="s">
        <v>3803</v>
      </c>
      <c r="H264" s="4" t="s">
        <v>3790</v>
      </c>
      <c r="I264" s="110">
        <v>45252</v>
      </c>
    </row>
    <row r="265" spans="1:9" s="147" customFormat="1">
      <c r="A265" s="66" t="s">
        <v>3802</v>
      </c>
      <c r="B265" s="103">
        <v>45279</v>
      </c>
      <c r="C265" s="13" t="s">
        <v>3053</v>
      </c>
      <c r="D265" s="113" t="s">
        <v>78</v>
      </c>
      <c r="E265" s="104">
        <v>3.3980000000000001</v>
      </c>
      <c r="F265" s="102" t="s">
        <v>97</v>
      </c>
      <c r="G265" s="4" t="s">
        <v>3803</v>
      </c>
      <c r="H265" s="4" t="s">
        <v>3790</v>
      </c>
      <c r="I265" s="110">
        <v>45252</v>
      </c>
    </row>
    <row r="266" spans="1:9" s="147" customFormat="1">
      <c r="A266" s="66" t="s">
        <v>3802</v>
      </c>
      <c r="B266" s="103">
        <v>45279</v>
      </c>
      <c r="C266" s="13" t="s">
        <v>2487</v>
      </c>
      <c r="D266" s="113" t="s">
        <v>78</v>
      </c>
      <c r="E266" s="104">
        <v>0.81899999999999995</v>
      </c>
      <c r="F266" s="102" t="s">
        <v>97</v>
      </c>
      <c r="G266" s="4" t="s">
        <v>3803</v>
      </c>
      <c r="H266" s="4" t="s">
        <v>3790</v>
      </c>
      <c r="I266" s="110">
        <v>45252</v>
      </c>
    </row>
    <row r="267" spans="1:9" s="147" customFormat="1">
      <c r="A267" s="66" t="s">
        <v>3802</v>
      </c>
      <c r="B267" s="103">
        <v>45279</v>
      </c>
      <c r="C267" s="13" t="s">
        <v>2488</v>
      </c>
      <c r="D267" s="113" t="s">
        <v>78</v>
      </c>
      <c r="E267" s="104">
        <f>1.562+0.078</f>
        <v>1.6400000000000001</v>
      </c>
      <c r="F267" s="102" t="s">
        <v>97</v>
      </c>
      <c r="G267" s="4" t="s">
        <v>3803</v>
      </c>
      <c r="H267" s="4" t="s">
        <v>3790</v>
      </c>
      <c r="I267" s="110">
        <v>45252</v>
      </c>
    </row>
    <row r="268" spans="1:9" s="147" customFormat="1">
      <c r="A268" s="66" t="s">
        <v>3804</v>
      </c>
      <c r="B268" s="103">
        <v>45279</v>
      </c>
      <c r="C268" s="13" t="s">
        <v>2957</v>
      </c>
      <c r="D268" s="113" t="s">
        <v>78</v>
      </c>
      <c r="E268" s="104">
        <v>6.4219999999999997</v>
      </c>
      <c r="F268" s="102" t="s">
        <v>97</v>
      </c>
      <c r="G268" s="4" t="s">
        <v>3805</v>
      </c>
      <c r="H268" s="4" t="s">
        <v>3336</v>
      </c>
      <c r="I268" s="110">
        <v>45231</v>
      </c>
    </row>
    <row r="269" spans="1:9" s="147" customFormat="1">
      <c r="A269" s="66" t="s">
        <v>3806</v>
      </c>
      <c r="B269" s="103">
        <v>45279</v>
      </c>
      <c r="C269" s="13" t="s">
        <v>3128</v>
      </c>
      <c r="D269" s="113" t="s">
        <v>78</v>
      </c>
      <c r="E269" s="104">
        <v>0.36399999999999999</v>
      </c>
      <c r="F269" s="102" t="s">
        <v>97</v>
      </c>
      <c r="G269" s="4" t="s">
        <v>3805</v>
      </c>
      <c r="H269" s="4" t="s">
        <v>3256</v>
      </c>
      <c r="I269" s="110">
        <v>45227</v>
      </c>
    </row>
    <row r="270" spans="1:9" s="147" customFormat="1">
      <c r="A270" s="66"/>
      <c r="B270" s="103"/>
      <c r="C270" s="11"/>
      <c r="D270" s="113"/>
      <c r="E270" s="58">
        <f>SUM(E258:E269)</f>
        <v>32.268000000000001</v>
      </c>
      <c r="F270" s="102"/>
      <c r="G270" s="1"/>
      <c r="H270" s="1"/>
      <c r="I270" s="110"/>
    </row>
    <row r="271" spans="1:9" s="147" customFormat="1">
      <c r="A271" s="66" t="s">
        <v>3813</v>
      </c>
      <c r="B271" s="103">
        <v>45282</v>
      </c>
      <c r="C271" s="13" t="s">
        <v>3053</v>
      </c>
      <c r="D271" s="113" t="s">
        <v>78</v>
      </c>
      <c r="E271" s="52">
        <v>2.181</v>
      </c>
      <c r="F271" s="102" t="s">
        <v>267</v>
      </c>
      <c r="G271" s="1" t="s">
        <v>3814</v>
      </c>
      <c r="H271" s="1" t="s">
        <v>3801</v>
      </c>
      <c r="I271" s="110">
        <v>45231</v>
      </c>
    </row>
    <row r="272" spans="1:9" s="147" customFormat="1">
      <c r="A272" s="66" t="s">
        <v>3813</v>
      </c>
      <c r="B272" s="103">
        <v>45282</v>
      </c>
      <c r="C272" s="13" t="s">
        <v>2739</v>
      </c>
      <c r="D272" s="113" t="s">
        <v>78</v>
      </c>
      <c r="E272" s="52">
        <f>2.033+0.684</f>
        <v>2.7170000000000001</v>
      </c>
      <c r="F272" s="102" t="s">
        <v>267</v>
      </c>
      <c r="G272" s="1" t="s">
        <v>3814</v>
      </c>
      <c r="H272" s="1" t="s">
        <v>3801</v>
      </c>
      <c r="I272" s="110">
        <v>45231</v>
      </c>
    </row>
    <row r="273" spans="1:9" s="147" customFormat="1">
      <c r="A273" s="66" t="s">
        <v>3813</v>
      </c>
      <c r="B273" s="103">
        <v>45282</v>
      </c>
      <c r="C273" s="13" t="s">
        <v>3009</v>
      </c>
      <c r="D273" s="113" t="s">
        <v>78</v>
      </c>
      <c r="E273" s="52">
        <v>1.1080000000000001</v>
      </c>
      <c r="F273" s="102" t="s">
        <v>267</v>
      </c>
      <c r="G273" s="1" t="s">
        <v>3814</v>
      </c>
      <c r="H273" s="1" t="s">
        <v>3801</v>
      </c>
      <c r="I273" s="110">
        <v>45231</v>
      </c>
    </row>
    <row r="274" spans="1:9" s="147" customFormat="1">
      <c r="A274" s="66" t="s">
        <v>3813</v>
      </c>
      <c r="B274" s="103">
        <v>45282</v>
      </c>
      <c r="C274" s="13" t="s">
        <v>3220</v>
      </c>
      <c r="D274" s="113" t="s">
        <v>78</v>
      </c>
      <c r="E274" s="52">
        <v>1.3160000000000001</v>
      </c>
      <c r="F274" s="102" t="s">
        <v>267</v>
      </c>
      <c r="G274" s="1" t="s">
        <v>3814</v>
      </c>
      <c r="H274" s="1" t="s">
        <v>3801</v>
      </c>
      <c r="I274" s="110">
        <v>45231</v>
      </c>
    </row>
    <row r="275" spans="1:9" s="147" customFormat="1">
      <c r="A275" s="66" t="s">
        <v>3813</v>
      </c>
      <c r="B275" s="103">
        <v>45282</v>
      </c>
      <c r="C275" s="13" t="s">
        <v>3812</v>
      </c>
      <c r="D275" s="113" t="s">
        <v>78</v>
      </c>
      <c r="E275" s="52">
        <v>0.436</v>
      </c>
      <c r="F275" s="102" t="s">
        <v>267</v>
      </c>
      <c r="G275" s="1" t="s">
        <v>3814</v>
      </c>
      <c r="H275" s="1" t="s">
        <v>3801</v>
      </c>
      <c r="I275" s="110">
        <v>45231</v>
      </c>
    </row>
    <row r="276" spans="1:9" s="147" customFormat="1">
      <c r="A276" s="66" t="s">
        <v>3813</v>
      </c>
      <c r="B276" s="103">
        <v>45282</v>
      </c>
      <c r="C276" s="13" t="s">
        <v>3222</v>
      </c>
      <c r="D276" s="113" t="s">
        <v>78</v>
      </c>
      <c r="E276" s="52">
        <v>0.222</v>
      </c>
      <c r="F276" s="102" t="s">
        <v>267</v>
      </c>
      <c r="G276" s="1" t="s">
        <v>3814</v>
      </c>
      <c r="H276" s="1" t="s">
        <v>3801</v>
      </c>
      <c r="I276" s="110">
        <v>45231</v>
      </c>
    </row>
    <row r="277" spans="1:9" s="147" customFormat="1">
      <c r="A277" s="66" t="s">
        <v>3816</v>
      </c>
      <c r="B277" s="103">
        <v>45282</v>
      </c>
      <c r="C277" s="13" t="s">
        <v>3186</v>
      </c>
      <c r="D277" s="113" t="s">
        <v>78</v>
      </c>
      <c r="E277" s="52">
        <f>0.448+0.091</f>
        <v>0.53900000000000003</v>
      </c>
      <c r="F277" s="102" t="s">
        <v>267</v>
      </c>
      <c r="G277" s="24" t="s">
        <v>3817</v>
      </c>
      <c r="H277" s="4" t="s">
        <v>3790</v>
      </c>
      <c r="I277" s="110">
        <v>45252</v>
      </c>
    </row>
    <row r="278" spans="1:9" s="147" customFormat="1">
      <c r="A278" s="66" t="s">
        <v>3816</v>
      </c>
      <c r="B278" s="103">
        <v>45282</v>
      </c>
      <c r="C278" s="13" t="s">
        <v>3184</v>
      </c>
      <c r="D278" s="113" t="s">
        <v>78</v>
      </c>
      <c r="E278" s="52">
        <v>0.78800000000000003</v>
      </c>
      <c r="F278" s="102" t="s">
        <v>267</v>
      </c>
      <c r="G278" s="24" t="s">
        <v>3817</v>
      </c>
      <c r="H278" s="4" t="s">
        <v>3790</v>
      </c>
      <c r="I278" s="110">
        <v>45252</v>
      </c>
    </row>
    <row r="279" spans="1:9" s="147" customFormat="1">
      <c r="A279" s="66" t="s">
        <v>3816</v>
      </c>
      <c r="B279" s="103">
        <v>45282</v>
      </c>
      <c r="C279" s="13" t="s">
        <v>2840</v>
      </c>
      <c r="D279" s="113" t="s">
        <v>78</v>
      </c>
      <c r="E279" s="52">
        <v>1.149</v>
      </c>
      <c r="F279" s="102" t="s">
        <v>267</v>
      </c>
      <c r="G279" s="24" t="s">
        <v>3817</v>
      </c>
      <c r="H279" s="4" t="s">
        <v>3790</v>
      </c>
      <c r="I279" s="110">
        <v>45252</v>
      </c>
    </row>
    <row r="280" spans="1:9" s="147" customFormat="1">
      <c r="A280" s="66" t="s">
        <v>3816</v>
      </c>
      <c r="B280" s="103">
        <v>45282</v>
      </c>
      <c r="C280" s="13" t="s">
        <v>3815</v>
      </c>
      <c r="D280" s="113" t="s">
        <v>78</v>
      </c>
      <c r="E280" s="52">
        <f>0.079+0.07+1.918</f>
        <v>2.0670000000000002</v>
      </c>
      <c r="F280" s="102" t="s">
        <v>267</v>
      </c>
      <c r="G280" s="24" t="s">
        <v>3817</v>
      </c>
      <c r="H280" s="4" t="s">
        <v>3790</v>
      </c>
      <c r="I280" s="110">
        <v>45252</v>
      </c>
    </row>
    <row r="281" spans="1:9" s="147" customFormat="1">
      <c r="A281" s="66" t="s">
        <v>3816</v>
      </c>
      <c r="B281" s="103">
        <v>45282</v>
      </c>
      <c r="C281" s="13" t="s">
        <v>3045</v>
      </c>
      <c r="D281" s="113" t="s">
        <v>78</v>
      </c>
      <c r="E281" s="52">
        <f>0.051+2.53</f>
        <v>2.581</v>
      </c>
      <c r="F281" s="102" t="s">
        <v>267</v>
      </c>
      <c r="G281" s="24" t="s">
        <v>3817</v>
      </c>
      <c r="H281" s="4" t="s">
        <v>3790</v>
      </c>
      <c r="I281" s="110">
        <v>45252</v>
      </c>
    </row>
    <row r="282" spans="1:9" s="147" customFormat="1">
      <c r="A282" s="66" t="s">
        <v>3816</v>
      </c>
      <c r="B282" s="103">
        <v>45282</v>
      </c>
      <c r="C282" s="13" t="s">
        <v>3115</v>
      </c>
      <c r="D282" s="113" t="s">
        <v>78</v>
      </c>
      <c r="E282" s="52">
        <f>0.765+0.151</f>
        <v>0.91600000000000004</v>
      </c>
      <c r="F282" s="102" t="s">
        <v>267</v>
      </c>
      <c r="G282" s="24" t="s">
        <v>3817</v>
      </c>
      <c r="H282" s="4" t="s">
        <v>3790</v>
      </c>
      <c r="I282" s="110">
        <v>45252</v>
      </c>
    </row>
    <row r="283" spans="1:9" s="147" customFormat="1">
      <c r="A283" s="66" t="s">
        <v>3816</v>
      </c>
      <c r="B283" s="103">
        <v>45282</v>
      </c>
      <c r="C283" s="13" t="s">
        <v>2489</v>
      </c>
      <c r="D283" s="113" t="s">
        <v>78</v>
      </c>
      <c r="E283" s="52">
        <f>0.057+0.834</f>
        <v>0.89100000000000001</v>
      </c>
      <c r="F283" s="102" t="s">
        <v>267</v>
      </c>
      <c r="G283" s="24" t="s">
        <v>3817</v>
      </c>
      <c r="H283" s="4" t="s">
        <v>3790</v>
      </c>
      <c r="I283" s="110">
        <v>45252</v>
      </c>
    </row>
    <row r="284" spans="1:9" s="147" customFormat="1">
      <c r="A284" s="66" t="s">
        <v>3816</v>
      </c>
      <c r="B284" s="103">
        <v>45282</v>
      </c>
      <c r="C284" s="13" t="s">
        <v>3053</v>
      </c>
      <c r="D284" s="113" t="s">
        <v>78</v>
      </c>
      <c r="E284" s="52">
        <f>1.043+2.107+0.32</f>
        <v>3.47</v>
      </c>
      <c r="F284" s="102" t="s">
        <v>267</v>
      </c>
      <c r="G284" s="24" t="s">
        <v>3817</v>
      </c>
      <c r="H284" s="4" t="s">
        <v>3790</v>
      </c>
      <c r="I284" s="110">
        <v>45252</v>
      </c>
    </row>
    <row r="285" spans="1:9" s="147" customFormat="1">
      <c r="A285" s="66" t="s">
        <v>3816</v>
      </c>
      <c r="B285" s="103">
        <v>45282</v>
      </c>
      <c r="C285" s="13" t="s">
        <v>2741</v>
      </c>
      <c r="D285" s="113" t="s">
        <v>78</v>
      </c>
      <c r="E285" s="52">
        <f>1.451+0.417</f>
        <v>1.8680000000000001</v>
      </c>
      <c r="F285" s="102" t="s">
        <v>267</v>
      </c>
      <c r="G285" s="24" t="s">
        <v>3817</v>
      </c>
      <c r="H285" s="4" t="s">
        <v>3790</v>
      </c>
      <c r="I285" s="110">
        <v>45252</v>
      </c>
    </row>
    <row r="286" spans="1:9" s="147" customFormat="1">
      <c r="A286" s="66" t="s">
        <v>3816</v>
      </c>
      <c r="B286" s="103">
        <v>45282</v>
      </c>
      <c r="C286" s="13" t="s">
        <v>3150</v>
      </c>
      <c r="D286" s="113" t="s">
        <v>78</v>
      </c>
      <c r="E286" s="52">
        <v>1.7370000000000001</v>
      </c>
      <c r="F286" s="102" t="s">
        <v>267</v>
      </c>
      <c r="G286" s="24" t="s">
        <v>3817</v>
      </c>
      <c r="H286" s="4" t="s">
        <v>3790</v>
      </c>
      <c r="I286" s="110">
        <v>45252</v>
      </c>
    </row>
    <row r="287" spans="1:9" s="147" customFormat="1">
      <c r="A287" s="66" t="s">
        <v>3816</v>
      </c>
      <c r="B287" s="103">
        <v>45282</v>
      </c>
      <c r="C287" s="13" t="s">
        <v>2747</v>
      </c>
      <c r="D287" s="113" t="s">
        <v>78</v>
      </c>
      <c r="E287" s="149">
        <v>1.3540000000000001</v>
      </c>
      <c r="F287" s="102" t="s">
        <v>267</v>
      </c>
      <c r="G287" s="24" t="s">
        <v>3817</v>
      </c>
      <c r="H287" s="4" t="s">
        <v>3790</v>
      </c>
      <c r="I287" s="110">
        <v>45252</v>
      </c>
    </row>
    <row r="288" spans="1:9" s="147" customFormat="1">
      <c r="A288" s="66" t="s">
        <v>3816</v>
      </c>
      <c r="B288" s="103">
        <v>45282</v>
      </c>
      <c r="C288" s="13" t="s">
        <v>3149</v>
      </c>
      <c r="D288" s="113" t="s">
        <v>78</v>
      </c>
      <c r="E288" s="149">
        <f>1.235+2.23</f>
        <v>3.4649999999999999</v>
      </c>
      <c r="F288" s="102" t="s">
        <v>267</v>
      </c>
      <c r="G288" s="24" t="s">
        <v>3817</v>
      </c>
      <c r="H288" s="4" t="s">
        <v>3790</v>
      </c>
      <c r="I288" s="110">
        <v>45252</v>
      </c>
    </row>
    <row r="289" spans="1:9" s="147" customFormat="1">
      <c r="A289" s="66" t="s">
        <v>3816</v>
      </c>
      <c r="B289" s="103">
        <v>45282</v>
      </c>
      <c r="C289" s="13" t="s">
        <v>3411</v>
      </c>
      <c r="D289" s="113" t="s">
        <v>78</v>
      </c>
      <c r="E289" s="149">
        <v>1.107</v>
      </c>
      <c r="F289" s="102" t="s">
        <v>267</v>
      </c>
      <c r="G289" s="24" t="s">
        <v>3817</v>
      </c>
      <c r="H289" s="4" t="s">
        <v>3790</v>
      </c>
      <c r="I289" s="110">
        <v>45252</v>
      </c>
    </row>
    <row r="290" spans="1:9" s="147" customFormat="1">
      <c r="A290" s="66" t="s">
        <v>3816</v>
      </c>
      <c r="B290" s="103">
        <v>45282</v>
      </c>
      <c r="C290" s="13" t="s">
        <v>2843</v>
      </c>
      <c r="D290" s="113" t="s">
        <v>78</v>
      </c>
      <c r="E290" s="149">
        <f>0.597+0.666</f>
        <v>1.2629999999999999</v>
      </c>
      <c r="F290" s="102" t="s">
        <v>267</v>
      </c>
      <c r="G290" s="24" t="s">
        <v>3817</v>
      </c>
      <c r="H290" s="4" t="s">
        <v>3790</v>
      </c>
      <c r="I290" s="110">
        <v>45252</v>
      </c>
    </row>
    <row r="291" spans="1:9" s="147" customFormat="1">
      <c r="A291" s="66" t="s">
        <v>3816</v>
      </c>
      <c r="B291" s="103">
        <v>45282</v>
      </c>
      <c r="C291" s="13" t="s">
        <v>2736</v>
      </c>
      <c r="D291" s="113" t="s">
        <v>78</v>
      </c>
      <c r="E291" s="149">
        <v>0.29599999999999999</v>
      </c>
      <c r="F291" s="102" t="s">
        <v>267</v>
      </c>
      <c r="G291" s="24" t="s">
        <v>3817</v>
      </c>
      <c r="H291" s="4" t="s">
        <v>3790</v>
      </c>
      <c r="I291" s="110">
        <v>45252</v>
      </c>
    </row>
    <row r="292" spans="1:9" s="147" customFormat="1">
      <c r="A292" s="66" t="s">
        <v>3816</v>
      </c>
      <c r="B292" s="103">
        <v>45282</v>
      </c>
      <c r="C292" s="13" t="s">
        <v>3069</v>
      </c>
      <c r="D292" s="113" t="s">
        <v>78</v>
      </c>
      <c r="E292" s="149">
        <v>1.0369999999999999</v>
      </c>
      <c r="F292" s="102" t="s">
        <v>267</v>
      </c>
      <c r="G292" s="24" t="s">
        <v>3817</v>
      </c>
      <c r="H292" s="4" t="s">
        <v>3790</v>
      </c>
      <c r="I292" s="110">
        <v>45252</v>
      </c>
    </row>
    <row r="293" spans="1:9" s="147" customFormat="1">
      <c r="A293" s="66" t="s">
        <v>3818</v>
      </c>
      <c r="B293" s="103">
        <v>45282</v>
      </c>
      <c r="C293" s="13" t="s">
        <v>3128</v>
      </c>
      <c r="D293" s="113" t="s">
        <v>78</v>
      </c>
      <c r="E293" s="52">
        <v>0.38600000000000001</v>
      </c>
      <c r="F293" s="102" t="s">
        <v>267</v>
      </c>
      <c r="G293" s="1" t="s">
        <v>3819</v>
      </c>
      <c r="H293" s="4" t="s">
        <v>3256</v>
      </c>
      <c r="I293" s="110">
        <v>45227</v>
      </c>
    </row>
    <row r="294" spans="1:9" s="147" customFormat="1">
      <c r="A294" s="66"/>
      <c r="B294" s="103"/>
      <c r="C294" s="11"/>
      <c r="D294" s="113"/>
      <c r="E294" s="58">
        <f>SUM(E271:E293)</f>
        <v>32.893999999999998</v>
      </c>
      <c r="F294" s="24"/>
      <c r="G294" s="1"/>
      <c r="H294" s="1"/>
      <c r="I294" s="110"/>
    </row>
    <row r="295" spans="1:9" s="147" customFormat="1">
      <c r="A295" s="66" t="s">
        <v>3820</v>
      </c>
      <c r="B295" s="103">
        <v>45283</v>
      </c>
      <c r="C295" s="13" t="s">
        <v>3053</v>
      </c>
      <c r="D295" s="13" t="s">
        <v>11</v>
      </c>
      <c r="E295" s="104">
        <v>24.681999999999999</v>
      </c>
      <c r="F295" s="102" t="s">
        <v>3822</v>
      </c>
      <c r="G295" s="1" t="s">
        <v>3821</v>
      </c>
      <c r="H295" s="1" t="s">
        <v>3823</v>
      </c>
      <c r="I295" s="110">
        <v>45283</v>
      </c>
    </row>
    <row r="296" spans="1:9" s="147" customFormat="1">
      <c r="A296" s="66" t="s">
        <v>3820</v>
      </c>
      <c r="B296" s="103">
        <v>45283</v>
      </c>
      <c r="C296" s="13" t="s">
        <v>3053</v>
      </c>
      <c r="D296" s="13" t="s">
        <v>11</v>
      </c>
      <c r="E296" s="104">
        <v>24.978999999999999</v>
      </c>
      <c r="F296" s="102" t="s">
        <v>3822</v>
      </c>
      <c r="G296" s="1" t="s">
        <v>3821</v>
      </c>
      <c r="H296" s="1" t="s">
        <v>3823</v>
      </c>
      <c r="I296" s="110">
        <v>45283</v>
      </c>
    </row>
    <row r="297" spans="1:9" s="147" customFormat="1">
      <c r="A297" s="66" t="s">
        <v>3824</v>
      </c>
      <c r="B297" s="103">
        <v>45283</v>
      </c>
      <c r="C297" s="13" t="s">
        <v>3053</v>
      </c>
      <c r="D297" s="13" t="s">
        <v>11</v>
      </c>
      <c r="E297" s="104">
        <v>24.978999999999999</v>
      </c>
      <c r="F297" s="102" t="s">
        <v>3825</v>
      </c>
      <c r="G297" s="1" t="s">
        <v>3826</v>
      </c>
      <c r="H297" s="1" t="s">
        <v>3823</v>
      </c>
      <c r="I297" s="110">
        <v>45283</v>
      </c>
    </row>
    <row r="298" spans="1:9" s="147" customFormat="1">
      <c r="A298" s="66" t="s">
        <v>3824</v>
      </c>
      <c r="B298" s="103">
        <v>45283</v>
      </c>
      <c r="C298" s="13" t="s">
        <v>3053</v>
      </c>
      <c r="D298" s="13" t="s">
        <v>11</v>
      </c>
      <c r="E298" s="104">
        <v>24.978999999999999</v>
      </c>
      <c r="F298" s="102" t="s">
        <v>3825</v>
      </c>
      <c r="G298" s="1" t="s">
        <v>3826</v>
      </c>
      <c r="H298" s="1" t="s">
        <v>3823</v>
      </c>
      <c r="I298" s="110">
        <v>45283</v>
      </c>
    </row>
    <row r="299" spans="1:9" s="147" customFormat="1">
      <c r="A299" s="66"/>
      <c r="B299" s="103"/>
      <c r="C299" s="11"/>
      <c r="D299" s="113"/>
      <c r="E299" s="58">
        <f>SUM(E295:E298)</f>
        <v>99.619</v>
      </c>
      <c r="F299" s="102"/>
      <c r="G299" s="1"/>
      <c r="H299" s="1"/>
      <c r="I299" s="110"/>
    </row>
    <row r="300" spans="1:9" s="147" customFormat="1">
      <c r="A300" s="66" t="s">
        <v>3827</v>
      </c>
      <c r="B300" s="103">
        <v>45284</v>
      </c>
      <c r="C300" s="13" t="s">
        <v>2739</v>
      </c>
      <c r="D300" s="13" t="s">
        <v>11</v>
      </c>
      <c r="E300" s="104">
        <v>24.616</v>
      </c>
      <c r="F300" s="102" t="s">
        <v>3828</v>
      </c>
      <c r="G300" s="1" t="s">
        <v>3829</v>
      </c>
      <c r="H300" s="1" t="s">
        <v>3823</v>
      </c>
      <c r="I300" s="110">
        <v>45283</v>
      </c>
    </row>
    <row r="301" spans="1:9" s="147" customFormat="1">
      <c r="A301" s="66" t="s">
        <v>3830</v>
      </c>
      <c r="B301" s="103">
        <v>45284</v>
      </c>
      <c r="C301" s="13" t="s">
        <v>2739</v>
      </c>
      <c r="D301" s="13" t="s">
        <v>11</v>
      </c>
      <c r="E301" s="104">
        <v>25.056999999999999</v>
      </c>
      <c r="F301" s="102" t="s">
        <v>3831</v>
      </c>
      <c r="G301" s="1" t="s">
        <v>3832</v>
      </c>
      <c r="H301" s="1" t="s">
        <v>3823</v>
      </c>
      <c r="I301" s="110">
        <v>45283</v>
      </c>
    </row>
    <row r="302" spans="1:9" s="147" customFormat="1">
      <c r="A302" s="66" t="s">
        <v>3834</v>
      </c>
      <c r="B302" s="103">
        <v>45284</v>
      </c>
      <c r="C302" s="13" t="s">
        <v>2739</v>
      </c>
      <c r="D302" s="13" t="s">
        <v>11</v>
      </c>
      <c r="E302" s="104">
        <v>2.4180000000000001</v>
      </c>
      <c r="F302" s="102" t="s">
        <v>3835</v>
      </c>
      <c r="G302" s="1" t="s">
        <v>3836</v>
      </c>
      <c r="H302" s="1" t="s">
        <v>3823</v>
      </c>
      <c r="I302" s="110">
        <v>45283</v>
      </c>
    </row>
    <row r="303" spans="1:9" s="147" customFormat="1">
      <c r="A303" s="66" t="s">
        <v>3834</v>
      </c>
      <c r="B303" s="103">
        <v>45284</v>
      </c>
      <c r="C303" s="13" t="s">
        <v>3833</v>
      </c>
      <c r="D303" s="13" t="s">
        <v>11</v>
      </c>
      <c r="E303" s="104">
        <v>3.88</v>
      </c>
      <c r="F303" s="102" t="s">
        <v>3835</v>
      </c>
      <c r="G303" s="1" t="s">
        <v>3836</v>
      </c>
      <c r="H303" s="1" t="s">
        <v>3823</v>
      </c>
      <c r="I303" s="110">
        <v>45283</v>
      </c>
    </row>
    <row r="304" spans="1:9" s="147" customFormat="1">
      <c r="A304" s="66" t="s">
        <v>3834</v>
      </c>
      <c r="B304" s="103">
        <v>45284</v>
      </c>
      <c r="C304" s="13" t="s">
        <v>2489</v>
      </c>
      <c r="D304" s="13" t="s">
        <v>11</v>
      </c>
      <c r="E304" s="104">
        <v>5.2919999999999998</v>
      </c>
      <c r="F304" s="102" t="s">
        <v>3835</v>
      </c>
      <c r="G304" s="1" t="s">
        <v>3836</v>
      </c>
      <c r="H304" s="1" t="s">
        <v>3823</v>
      </c>
      <c r="I304" s="110">
        <v>45283</v>
      </c>
    </row>
    <row r="305" spans="1:9" s="147" customFormat="1">
      <c r="A305" s="66" t="s">
        <v>3837</v>
      </c>
      <c r="B305" s="103">
        <v>45284</v>
      </c>
      <c r="C305" s="13" t="s">
        <v>2747</v>
      </c>
      <c r="D305" s="13" t="s">
        <v>11</v>
      </c>
      <c r="E305" s="104">
        <v>1.4430000000000001</v>
      </c>
      <c r="F305" s="102" t="s">
        <v>3835</v>
      </c>
      <c r="G305" s="1" t="s">
        <v>3836</v>
      </c>
      <c r="H305" s="1" t="s">
        <v>3752</v>
      </c>
      <c r="I305" s="110">
        <v>45283</v>
      </c>
    </row>
    <row r="306" spans="1:9" s="147" customFormat="1">
      <c r="A306" s="66" t="s">
        <v>3837</v>
      </c>
      <c r="B306" s="103">
        <v>45284</v>
      </c>
      <c r="C306" s="13" t="s">
        <v>2957</v>
      </c>
      <c r="D306" s="13" t="s">
        <v>11</v>
      </c>
      <c r="E306" s="104">
        <v>11.48</v>
      </c>
      <c r="F306" s="102" t="s">
        <v>3835</v>
      </c>
      <c r="G306" s="1" t="s">
        <v>3836</v>
      </c>
      <c r="H306" s="1" t="s">
        <v>3752</v>
      </c>
      <c r="I306" s="110">
        <v>45283</v>
      </c>
    </row>
    <row r="307" spans="1:9" s="147" customFormat="1">
      <c r="A307" s="66" t="s">
        <v>3838</v>
      </c>
      <c r="B307" s="103">
        <v>45284</v>
      </c>
      <c r="C307" s="13" t="s">
        <v>3053</v>
      </c>
      <c r="D307" s="13" t="s">
        <v>11</v>
      </c>
      <c r="E307" s="104">
        <v>24.681000000000001</v>
      </c>
      <c r="F307" s="102" t="s">
        <v>3839</v>
      </c>
      <c r="G307" s="1" t="s">
        <v>3840</v>
      </c>
      <c r="H307" s="1" t="s">
        <v>3823</v>
      </c>
      <c r="I307" s="110">
        <v>45283</v>
      </c>
    </row>
    <row r="308" spans="1:9" s="147" customFormat="1">
      <c r="A308" s="66" t="s">
        <v>3838</v>
      </c>
      <c r="B308" s="103">
        <v>45284</v>
      </c>
      <c r="C308" s="13" t="s">
        <v>3053</v>
      </c>
      <c r="D308" s="13" t="s">
        <v>11</v>
      </c>
      <c r="E308" s="104">
        <v>24.68</v>
      </c>
      <c r="F308" s="102" t="s">
        <v>3839</v>
      </c>
      <c r="G308" s="1" t="s">
        <v>3840</v>
      </c>
      <c r="H308" s="1" t="s">
        <v>3823</v>
      </c>
      <c r="I308" s="110">
        <v>45283</v>
      </c>
    </row>
    <row r="309" spans="1:9" s="147" customFormat="1">
      <c r="A309" s="140"/>
      <c r="B309" s="103"/>
      <c r="C309" s="13"/>
      <c r="D309" s="113"/>
      <c r="E309" s="58">
        <f>SUM(E300:E308)</f>
        <v>123.547</v>
      </c>
      <c r="F309" s="102"/>
      <c r="G309" s="1"/>
      <c r="H309" s="1"/>
      <c r="I309" s="110"/>
    </row>
    <row r="310" spans="1:9" s="147" customFormat="1">
      <c r="A310" s="66" t="s">
        <v>3841</v>
      </c>
      <c r="B310" s="103">
        <v>45285</v>
      </c>
      <c r="C310" s="13" t="s">
        <v>2489</v>
      </c>
      <c r="D310" s="13" t="s">
        <v>11</v>
      </c>
      <c r="E310" s="104">
        <v>9.26</v>
      </c>
      <c r="F310" s="102" t="s">
        <v>3842</v>
      </c>
      <c r="G310" s="1" t="s">
        <v>3843</v>
      </c>
      <c r="H310" s="1" t="s">
        <v>3823</v>
      </c>
      <c r="I310" s="110">
        <v>45283</v>
      </c>
    </row>
    <row r="311" spans="1:9" s="147" customFormat="1">
      <c r="A311" s="66" t="s">
        <v>3841</v>
      </c>
      <c r="B311" s="103">
        <v>45285</v>
      </c>
      <c r="C311" s="13" t="s">
        <v>3833</v>
      </c>
      <c r="D311" s="13" t="s">
        <v>11</v>
      </c>
      <c r="E311" s="104">
        <f>10.413+1.225</f>
        <v>11.638</v>
      </c>
      <c r="F311" s="102" t="s">
        <v>3842</v>
      </c>
      <c r="G311" s="1" t="s">
        <v>3843</v>
      </c>
      <c r="H311" s="1" t="s">
        <v>3823</v>
      </c>
      <c r="I311" s="110">
        <v>45283</v>
      </c>
    </row>
    <row r="312" spans="1:9" s="147" customFormat="1">
      <c r="A312" s="66" t="s">
        <v>3844</v>
      </c>
      <c r="B312" s="103">
        <v>45285</v>
      </c>
      <c r="C312" s="13" t="s">
        <v>2739</v>
      </c>
      <c r="D312" s="13" t="s">
        <v>11</v>
      </c>
      <c r="E312" s="104">
        <v>1.5049999999999999</v>
      </c>
      <c r="F312" s="102" t="s">
        <v>3842</v>
      </c>
      <c r="G312" s="1" t="s">
        <v>3845</v>
      </c>
      <c r="H312" s="1" t="s">
        <v>3846</v>
      </c>
      <c r="I312" s="110">
        <v>45283</v>
      </c>
    </row>
    <row r="313" spans="1:9" s="147" customFormat="1">
      <c r="A313" s="66" t="s">
        <v>3844</v>
      </c>
      <c r="B313" s="103">
        <v>45285</v>
      </c>
      <c r="C313" s="13" t="s">
        <v>2741</v>
      </c>
      <c r="D313" s="13" t="s">
        <v>11</v>
      </c>
      <c r="E313" s="104">
        <v>1.675</v>
      </c>
      <c r="F313" s="102" t="s">
        <v>3842</v>
      </c>
      <c r="G313" s="1" t="s">
        <v>3845</v>
      </c>
      <c r="H313" s="1" t="s">
        <v>3846</v>
      </c>
      <c r="I313" s="110">
        <v>45283</v>
      </c>
    </row>
    <row r="314" spans="1:9" s="147" customFormat="1">
      <c r="A314" s="66" t="s">
        <v>3847</v>
      </c>
      <c r="B314" s="103">
        <v>45285</v>
      </c>
      <c r="C314" s="13" t="s">
        <v>3053</v>
      </c>
      <c r="D314" s="13" t="s">
        <v>11</v>
      </c>
      <c r="E314" s="104">
        <v>16.949000000000002</v>
      </c>
      <c r="F314" s="102" t="s">
        <v>3848</v>
      </c>
      <c r="G314" s="1" t="s">
        <v>3849</v>
      </c>
      <c r="H314" s="1" t="s">
        <v>3823</v>
      </c>
      <c r="I314" s="110">
        <v>45283</v>
      </c>
    </row>
    <row r="315" spans="1:9" s="147" customFormat="1">
      <c r="A315" s="66" t="s">
        <v>3847</v>
      </c>
      <c r="B315" s="103">
        <v>45285</v>
      </c>
      <c r="C315" s="13" t="s">
        <v>2489</v>
      </c>
      <c r="D315" s="13" t="s">
        <v>11</v>
      </c>
      <c r="E315" s="104">
        <f>7.865+0.47</f>
        <v>8.3350000000000009</v>
      </c>
      <c r="F315" s="102" t="s">
        <v>3848</v>
      </c>
      <c r="G315" s="1" t="s">
        <v>3849</v>
      </c>
      <c r="H315" s="1" t="s">
        <v>3823</v>
      </c>
      <c r="I315" s="110">
        <v>45283</v>
      </c>
    </row>
    <row r="316" spans="1:9" s="147" customFormat="1">
      <c r="A316" s="66" t="s">
        <v>3847</v>
      </c>
      <c r="B316" s="103">
        <v>45285</v>
      </c>
      <c r="C316" s="13" t="s">
        <v>2489</v>
      </c>
      <c r="D316" s="13" t="s">
        <v>11</v>
      </c>
      <c r="E316" s="104">
        <v>24.635000000000002</v>
      </c>
      <c r="F316" s="102" t="s">
        <v>3848</v>
      </c>
      <c r="G316" s="1" t="s">
        <v>3849</v>
      </c>
      <c r="H316" s="1" t="s">
        <v>3823</v>
      </c>
      <c r="I316" s="110">
        <v>45283</v>
      </c>
    </row>
    <row r="317" spans="1:9" s="147" customFormat="1">
      <c r="A317" s="66"/>
      <c r="B317" s="103"/>
      <c r="C317" s="11"/>
      <c r="D317" s="113"/>
      <c r="E317" s="58">
        <f>SUM(E310:E316)</f>
        <v>73.997</v>
      </c>
      <c r="F317" s="102"/>
      <c r="G317" s="1"/>
      <c r="H317" s="1"/>
      <c r="I317" s="110"/>
    </row>
    <row r="318" spans="1:9" s="147" customFormat="1">
      <c r="A318" s="66" t="s">
        <v>3877</v>
      </c>
      <c r="B318" s="103">
        <v>45287</v>
      </c>
      <c r="C318" s="13" t="s">
        <v>3325</v>
      </c>
      <c r="D318" s="13" t="s">
        <v>11</v>
      </c>
      <c r="E318" s="104">
        <f>4.031+7.062</f>
        <v>11.093</v>
      </c>
      <c r="F318" s="102" t="s">
        <v>3878</v>
      </c>
      <c r="G318" s="1" t="s">
        <v>3879</v>
      </c>
      <c r="H318" s="4" t="s">
        <v>2745</v>
      </c>
      <c r="I318" s="110">
        <v>45176</v>
      </c>
    </row>
    <row r="319" spans="1:9" s="147" customFormat="1">
      <c r="A319" s="66" t="s">
        <v>3877</v>
      </c>
      <c r="B319" s="103">
        <v>45287</v>
      </c>
      <c r="C319" s="13" t="s">
        <v>2739</v>
      </c>
      <c r="D319" s="13" t="s">
        <v>11</v>
      </c>
      <c r="E319" s="104">
        <v>1.538</v>
      </c>
      <c r="F319" s="102" t="s">
        <v>3878</v>
      </c>
      <c r="G319" s="1" t="s">
        <v>3879</v>
      </c>
      <c r="H319" s="4" t="s">
        <v>2745</v>
      </c>
      <c r="I319" s="110">
        <v>45176</v>
      </c>
    </row>
    <row r="320" spans="1:9" s="147" customFormat="1">
      <c r="A320" s="66" t="s">
        <v>3880</v>
      </c>
      <c r="B320" s="103">
        <v>45287</v>
      </c>
      <c r="C320" s="13" t="s">
        <v>2489</v>
      </c>
      <c r="D320" s="13" t="s">
        <v>11</v>
      </c>
      <c r="E320" s="104">
        <v>11.853</v>
      </c>
      <c r="F320" s="102" t="s">
        <v>3878</v>
      </c>
      <c r="G320" s="1" t="s">
        <v>3881</v>
      </c>
      <c r="H320" s="1" t="s">
        <v>3823</v>
      </c>
      <c r="I320" s="110">
        <v>45283</v>
      </c>
    </row>
    <row r="321" spans="1:12" s="147" customFormat="1">
      <c r="A321" s="66"/>
      <c r="B321" s="103"/>
      <c r="C321" s="11"/>
      <c r="D321" s="113"/>
      <c r="E321" s="58">
        <f>SUM(E318:E320)</f>
        <v>24.484000000000002</v>
      </c>
      <c r="F321" s="102"/>
      <c r="G321" s="1"/>
      <c r="H321" s="1"/>
      <c r="I321" s="110"/>
    </row>
    <row r="322" spans="1:12" s="147" customFormat="1">
      <c r="A322" s="66" t="s">
        <v>3904</v>
      </c>
      <c r="B322" s="103">
        <v>45289</v>
      </c>
      <c r="C322" s="13" t="s">
        <v>2486</v>
      </c>
      <c r="D322" s="113" t="s">
        <v>78</v>
      </c>
      <c r="E322" s="104">
        <v>2.3199999999999998</v>
      </c>
      <c r="F322" s="102" t="s">
        <v>294</v>
      </c>
      <c r="G322" s="1" t="s">
        <v>3905</v>
      </c>
      <c r="H322" s="4" t="s">
        <v>3790</v>
      </c>
      <c r="I322" s="110">
        <v>45252</v>
      </c>
    </row>
    <row r="323" spans="1:12" s="147" customFormat="1">
      <c r="A323" s="66" t="s">
        <v>3904</v>
      </c>
      <c r="B323" s="103">
        <v>45289</v>
      </c>
      <c r="C323" s="13" t="s">
        <v>3008</v>
      </c>
      <c r="D323" s="113" t="s">
        <v>78</v>
      </c>
      <c r="E323" s="104">
        <f>6.416+6.427</f>
        <v>12.843</v>
      </c>
      <c r="F323" s="102" t="s">
        <v>294</v>
      </c>
      <c r="G323" s="1" t="s">
        <v>3905</v>
      </c>
      <c r="H323" s="4" t="s">
        <v>3790</v>
      </c>
      <c r="I323" s="110">
        <v>45252</v>
      </c>
    </row>
    <row r="324" spans="1:12" s="147" customFormat="1">
      <c r="A324" s="66" t="s">
        <v>3907</v>
      </c>
      <c r="B324" s="103">
        <v>45289</v>
      </c>
      <c r="C324" s="13" t="s">
        <v>3157</v>
      </c>
      <c r="D324" s="113" t="s">
        <v>78</v>
      </c>
      <c r="E324" s="104">
        <v>15.038</v>
      </c>
      <c r="F324" s="102" t="s">
        <v>294</v>
      </c>
      <c r="G324" s="1" t="s">
        <v>3908</v>
      </c>
      <c r="H324" s="1" t="s">
        <v>3048</v>
      </c>
      <c r="I324" s="110">
        <v>45141</v>
      </c>
    </row>
    <row r="325" spans="1:12" s="147" customFormat="1">
      <c r="A325" s="66" t="s">
        <v>3909</v>
      </c>
      <c r="B325" s="103">
        <v>45289</v>
      </c>
      <c r="C325" s="13" t="s">
        <v>3410</v>
      </c>
      <c r="D325" s="113" t="s">
        <v>78</v>
      </c>
      <c r="E325" s="104">
        <v>0.50700000000000001</v>
      </c>
      <c r="F325" s="102" t="s">
        <v>294</v>
      </c>
      <c r="G325" s="1" t="s">
        <v>3908</v>
      </c>
      <c r="H325" s="1" t="s">
        <v>3256</v>
      </c>
      <c r="I325" s="110">
        <v>45219</v>
      </c>
    </row>
    <row r="326" spans="1:12" s="147" customFormat="1">
      <c r="A326" s="66" t="s">
        <v>3910</v>
      </c>
      <c r="B326" s="103">
        <v>45289</v>
      </c>
      <c r="C326" s="13" t="s">
        <v>2843</v>
      </c>
      <c r="D326" s="113" t="s">
        <v>78</v>
      </c>
      <c r="E326" s="104">
        <v>0.01</v>
      </c>
      <c r="F326" s="102" t="s">
        <v>294</v>
      </c>
      <c r="G326" s="1" t="s">
        <v>3908</v>
      </c>
      <c r="H326" s="1" t="s">
        <v>2484</v>
      </c>
      <c r="I326" s="110">
        <v>45150</v>
      </c>
    </row>
    <row r="327" spans="1:12" s="147" customFormat="1">
      <c r="A327" s="66" t="s">
        <v>3910</v>
      </c>
      <c r="B327" s="103">
        <v>45289</v>
      </c>
      <c r="C327" s="13" t="s">
        <v>2736</v>
      </c>
      <c r="D327" s="113" t="s">
        <v>78</v>
      </c>
      <c r="E327" s="104">
        <v>8.9999999999999993E-3</v>
      </c>
      <c r="F327" s="102" t="s">
        <v>294</v>
      </c>
      <c r="G327" s="1" t="s">
        <v>3908</v>
      </c>
      <c r="H327" s="1" t="s">
        <v>2484</v>
      </c>
      <c r="I327" s="110">
        <v>45150</v>
      </c>
    </row>
    <row r="328" spans="1:12" s="147" customFormat="1">
      <c r="A328" s="66" t="s">
        <v>3910</v>
      </c>
      <c r="B328" s="103">
        <v>45289</v>
      </c>
      <c r="C328" s="13" t="s">
        <v>2490</v>
      </c>
      <c r="D328" s="113" t="s">
        <v>78</v>
      </c>
      <c r="E328" s="104">
        <v>1.0999999999999999E-2</v>
      </c>
      <c r="F328" s="102" t="s">
        <v>294</v>
      </c>
      <c r="G328" s="1" t="s">
        <v>3908</v>
      </c>
      <c r="H328" s="1" t="s">
        <v>2484</v>
      </c>
      <c r="I328" s="110">
        <v>45150</v>
      </c>
    </row>
    <row r="329" spans="1:12" s="147" customFormat="1">
      <c r="A329" s="66"/>
      <c r="B329" s="103"/>
      <c r="C329" s="11"/>
      <c r="D329" s="113"/>
      <c r="E329" s="58">
        <f>SUM(E322:E328)</f>
        <v>30.738000000000003</v>
      </c>
      <c r="F329" s="102"/>
      <c r="G329" s="1"/>
      <c r="H329" s="1"/>
      <c r="I329" s="110"/>
    </row>
    <row r="330" spans="1:12" s="147" customFormat="1">
      <c r="A330" s="140"/>
      <c r="B330" s="127"/>
      <c r="C330" s="11"/>
      <c r="D330" s="113"/>
      <c r="E330" s="58"/>
      <c r="F330" s="102"/>
      <c r="G330" s="1"/>
      <c r="H330" s="1"/>
      <c r="I330" s="110"/>
    </row>
    <row r="331" spans="1:12" s="147" customFormat="1">
      <c r="A331" s="140"/>
      <c r="B331" s="127"/>
      <c r="C331" s="11"/>
      <c r="D331" s="113"/>
      <c r="E331" s="58"/>
      <c r="F331" s="102"/>
      <c r="G331" s="1"/>
      <c r="H331" s="1"/>
      <c r="I331" s="110"/>
    </row>
    <row r="332" spans="1:12" s="147" customFormat="1">
      <c r="A332" s="140"/>
      <c r="B332" s="127"/>
      <c r="C332" s="11"/>
      <c r="D332" s="113"/>
      <c r="E332" s="58"/>
      <c r="F332" s="102"/>
      <c r="G332" s="1"/>
      <c r="H332" s="1"/>
      <c r="I332" s="110"/>
    </row>
    <row r="333" spans="1:12" s="147" customFormat="1">
      <c r="A333" s="140"/>
      <c r="B333" s="127"/>
      <c r="C333" s="11"/>
      <c r="D333" s="113"/>
      <c r="E333" s="144"/>
      <c r="F333" s="102"/>
      <c r="G333" s="1"/>
      <c r="H333" s="1"/>
      <c r="I333" s="110"/>
    </row>
    <row r="334" spans="1:12">
      <c r="A334" s="117"/>
      <c r="B334" s="118"/>
      <c r="C334" s="6"/>
      <c r="D334" s="1"/>
      <c r="E334" s="54"/>
      <c r="F334" s="102"/>
      <c r="G334" s="1"/>
      <c r="H334" s="1"/>
      <c r="I334" s="109"/>
      <c r="J334" t="s">
        <v>2275</v>
      </c>
      <c r="K334" t="s">
        <v>2864</v>
      </c>
      <c r="L334" t="s">
        <v>2779</v>
      </c>
    </row>
    <row r="335" spans="1:12">
      <c r="A335" s="1"/>
      <c r="B335" s="16"/>
      <c r="C335" s="1"/>
      <c r="D335" s="2" t="s">
        <v>3512</v>
      </c>
      <c r="E335" s="20">
        <f>SUM(E21:E334)/2</f>
        <v>2640.7940000000012</v>
      </c>
      <c r="F335" s="102"/>
      <c r="G335" s="1"/>
      <c r="H335" s="1"/>
      <c r="I335" s="109"/>
      <c r="J335">
        <f>+'KEC JBP DISPATCHED DEC'!E320</f>
        <v>1851.7280000000017</v>
      </c>
      <c r="K335" s="97"/>
      <c r="L335" s="97">
        <f>+'KEC JAIPUR TRADING DEC'!E12</f>
        <v>4.6229999999999993</v>
      </c>
    </row>
    <row r="336" spans="1:12">
      <c r="A336" s="1"/>
      <c r="B336" s="16"/>
      <c r="C336" s="1"/>
      <c r="D336" s="1"/>
      <c r="E336" s="54"/>
      <c r="F336" s="24"/>
      <c r="G336" s="1"/>
      <c r="H336" s="1"/>
      <c r="I336" s="109"/>
    </row>
    <row r="337" spans="1:11">
      <c r="A337" s="1"/>
      <c r="B337" s="3"/>
      <c r="C337" s="1"/>
      <c r="D337" s="2" t="s">
        <v>3513</v>
      </c>
      <c r="E337" s="20">
        <v>225.745</v>
      </c>
      <c r="F337" s="24"/>
      <c r="G337" s="1"/>
      <c r="H337" s="1"/>
      <c r="I337" s="109"/>
      <c r="K337" s="97">
        <f>+J335+K335+L335+E335</f>
        <v>4497.1450000000032</v>
      </c>
    </row>
    <row r="338" spans="1:11">
      <c r="A338" s="1"/>
      <c r="B338" s="3"/>
      <c r="C338" s="1"/>
      <c r="D338" s="1"/>
      <c r="E338" s="55"/>
      <c r="F338" s="24"/>
      <c r="G338" s="1"/>
      <c r="H338" s="1"/>
      <c r="I338" s="109"/>
    </row>
    <row r="339" spans="1:11">
      <c r="A339" s="1"/>
      <c r="B339" s="3"/>
      <c r="C339" s="1"/>
      <c r="D339" s="2"/>
      <c r="E339" s="20">
        <f>+E337+E335</f>
        <v>2866.5390000000011</v>
      </c>
      <c r="F339" s="24"/>
      <c r="G339" s="1"/>
      <c r="H339" s="1"/>
      <c r="I339" s="109"/>
      <c r="K339" s="23">
        <f>+K338+K337</f>
        <v>4497.1450000000032</v>
      </c>
    </row>
    <row r="340" spans="1:11">
      <c r="A340" s="1"/>
      <c r="B340" s="3"/>
      <c r="C340" s="1"/>
      <c r="D340" s="2"/>
      <c r="E340" s="54"/>
      <c r="F340" s="24"/>
      <c r="G340" s="1"/>
      <c r="H340" s="1"/>
      <c r="I340" s="109"/>
    </row>
    <row r="341" spans="1:11">
      <c r="A341" s="1"/>
      <c r="B341" s="3"/>
      <c r="C341" s="1"/>
      <c r="D341" s="1"/>
      <c r="E341" s="2"/>
      <c r="F341" s="24"/>
      <c r="G341" s="1"/>
      <c r="H341" s="1"/>
      <c r="I341" s="109"/>
    </row>
    <row r="342" spans="1:11">
      <c r="A342" s="1"/>
      <c r="B342" s="3"/>
      <c r="C342" s="1"/>
      <c r="D342" s="1"/>
      <c r="E342" s="2"/>
      <c r="F342" s="24"/>
      <c r="G342" s="1"/>
      <c r="H342" s="1"/>
      <c r="I342" s="109"/>
    </row>
    <row r="343" spans="1:11">
      <c r="A343" s="1"/>
      <c r="B343" s="3"/>
      <c r="C343" s="1"/>
      <c r="D343" s="1"/>
      <c r="E343" s="2"/>
      <c r="F343" s="24"/>
      <c r="G343" s="1"/>
      <c r="H343" s="1"/>
      <c r="I343" s="109"/>
    </row>
    <row r="344" spans="1:11">
      <c r="A344" s="1"/>
      <c r="B344" s="3"/>
      <c r="C344" s="1"/>
      <c r="D344" s="1"/>
      <c r="E344" s="2"/>
      <c r="F344" s="24"/>
      <c r="G344" s="1"/>
      <c r="H344" s="1"/>
      <c r="I344" s="109"/>
    </row>
    <row r="345" spans="1:11">
      <c r="A345" s="1"/>
      <c r="B345" s="3"/>
      <c r="C345" s="1"/>
      <c r="D345" s="1"/>
      <c r="E345" s="2"/>
      <c r="F345" s="24"/>
      <c r="G345" s="1"/>
      <c r="H345" s="1"/>
      <c r="I345" s="109"/>
    </row>
    <row r="346" spans="1:11">
      <c r="A346" s="1"/>
      <c r="B346" s="1"/>
      <c r="C346" s="1"/>
      <c r="D346" s="1"/>
      <c r="E346" s="2"/>
      <c r="F346" s="24"/>
      <c r="G346" s="1"/>
      <c r="H346" s="1"/>
      <c r="I346" s="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334"/>
  <sheetViews>
    <sheetView topLeftCell="A303" workbookViewId="0">
      <selection activeCell="D316" sqref="D316"/>
    </sheetView>
  </sheetViews>
  <sheetFormatPr defaultRowHeight="15"/>
  <cols>
    <col min="1" max="1" width="18.28515625" customWidth="1"/>
    <col min="2" max="2" width="10.28515625" bestFit="1" customWidth="1"/>
    <col min="3" max="3" width="25.85546875" customWidth="1"/>
    <col min="4" max="4" width="37.7109375" bestFit="1" customWidth="1"/>
    <col min="5" max="5" width="12" customWidth="1"/>
    <col min="6" max="6" width="15" style="31" customWidth="1"/>
    <col min="7" max="7" width="18.42578125" customWidth="1"/>
    <col min="8" max="8" width="16.5703125" customWidth="1"/>
    <col min="9" max="9" width="12.7109375" bestFit="1" customWidth="1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66" t="s">
        <v>3355</v>
      </c>
      <c r="B2" s="103">
        <v>45251</v>
      </c>
      <c r="C2" s="6" t="s">
        <v>1507</v>
      </c>
      <c r="D2" s="13" t="s">
        <v>716</v>
      </c>
      <c r="E2" s="48">
        <v>12.398</v>
      </c>
      <c r="F2" s="24" t="s">
        <v>2010</v>
      </c>
      <c r="G2" s="1" t="s">
        <v>3356</v>
      </c>
      <c r="H2" s="1" t="s">
        <v>3249</v>
      </c>
      <c r="I2" s="110">
        <v>45222</v>
      </c>
    </row>
    <row r="3" spans="1:9">
      <c r="A3" s="66" t="s">
        <v>3355</v>
      </c>
      <c r="B3" s="103">
        <v>45251</v>
      </c>
      <c r="C3" s="6" t="s">
        <v>2500</v>
      </c>
      <c r="D3" s="13" t="s">
        <v>716</v>
      </c>
      <c r="E3" s="48">
        <v>3.306</v>
      </c>
      <c r="F3" s="24" t="s">
        <v>2010</v>
      </c>
      <c r="G3" s="1" t="s">
        <v>3356</v>
      </c>
      <c r="H3" s="1" t="s">
        <v>3249</v>
      </c>
      <c r="I3" s="110">
        <v>45222</v>
      </c>
    </row>
    <row r="4" spans="1:9">
      <c r="A4" s="66" t="s">
        <v>3357</v>
      </c>
      <c r="B4" s="103">
        <v>45251</v>
      </c>
      <c r="C4" s="13" t="s">
        <v>1341</v>
      </c>
      <c r="D4" s="13" t="s">
        <v>716</v>
      </c>
      <c r="E4" s="52">
        <f>0.067+4.44</f>
        <v>4.5070000000000006</v>
      </c>
      <c r="F4" s="24" t="s">
        <v>2010</v>
      </c>
      <c r="G4" s="1" t="s">
        <v>3358</v>
      </c>
      <c r="H4" s="1" t="s">
        <v>3268</v>
      </c>
      <c r="I4" s="110">
        <v>45227</v>
      </c>
    </row>
    <row r="5" spans="1:9">
      <c r="A5" s="66" t="s">
        <v>3357</v>
      </c>
      <c r="B5" s="103">
        <v>45251</v>
      </c>
      <c r="C5" s="13" t="s">
        <v>1256</v>
      </c>
      <c r="D5" s="13" t="s">
        <v>716</v>
      </c>
      <c r="E5" s="52">
        <v>1.9850000000000001</v>
      </c>
      <c r="F5" s="24" t="s">
        <v>2010</v>
      </c>
      <c r="G5" s="1" t="s">
        <v>3358</v>
      </c>
      <c r="H5" s="1" t="s">
        <v>3268</v>
      </c>
      <c r="I5" s="110">
        <v>45227</v>
      </c>
    </row>
    <row r="6" spans="1:9">
      <c r="A6" s="66" t="s">
        <v>3359</v>
      </c>
      <c r="B6" s="103">
        <v>45251</v>
      </c>
      <c r="C6" s="13" t="s">
        <v>1255</v>
      </c>
      <c r="D6" s="13" t="s">
        <v>716</v>
      </c>
      <c r="E6" s="52">
        <v>1.4159999999999999</v>
      </c>
      <c r="F6" s="24" t="s">
        <v>2010</v>
      </c>
      <c r="G6" s="1" t="s">
        <v>3360</v>
      </c>
      <c r="H6" s="1" t="s">
        <v>3030</v>
      </c>
      <c r="I6" s="110">
        <v>45227</v>
      </c>
    </row>
    <row r="7" spans="1:9">
      <c r="A7" s="66" t="s">
        <v>3361</v>
      </c>
      <c r="B7" s="103">
        <v>45251</v>
      </c>
      <c r="C7" s="13" t="s">
        <v>1355</v>
      </c>
      <c r="D7" s="13" t="s">
        <v>716</v>
      </c>
      <c r="E7" s="52">
        <v>8.2899999999999991</v>
      </c>
      <c r="F7" s="24" t="s">
        <v>2010</v>
      </c>
      <c r="G7" s="1" t="s">
        <v>3360</v>
      </c>
      <c r="H7" s="1" t="s">
        <v>3170</v>
      </c>
      <c r="I7" s="110">
        <v>45227</v>
      </c>
    </row>
    <row r="8" spans="1:9">
      <c r="A8" s="66" t="s">
        <v>3372</v>
      </c>
      <c r="B8" s="103">
        <v>45251</v>
      </c>
      <c r="C8" s="13" t="s">
        <v>1387</v>
      </c>
      <c r="D8" s="13" t="s">
        <v>716</v>
      </c>
      <c r="E8" s="104">
        <v>11.477</v>
      </c>
      <c r="F8" s="102" t="s">
        <v>906</v>
      </c>
      <c r="G8" s="4" t="s">
        <v>3370</v>
      </c>
      <c r="H8" s="4" t="s">
        <v>3170</v>
      </c>
      <c r="I8" s="110">
        <v>45227</v>
      </c>
    </row>
    <row r="9" spans="1:9">
      <c r="A9" s="66" t="s">
        <v>3372</v>
      </c>
      <c r="B9" s="103">
        <v>45251</v>
      </c>
      <c r="C9" s="13" t="s">
        <v>1355</v>
      </c>
      <c r="D9" s="13" t="s">
        <v>716</v>
      </c>
      <c r="E9" s="104">
        <v>8.0630000000000006</v>
      </c>
      <c r="F9" s="102" t="s">
        <v>906</v>
      </c>
      <c r="G9" s="4" t="s">
        <v>3370</v>
      </c>
      <c r="H9" s="4" t="s">
        <v>3170</v>
      </c>
      <c r="I9" s="110">
        <v>45227</v>
      </c>
    </row>
    <row r="10" spans="1:9">
      <c r="A10" s="66" t="s">
        <v>3372</v>
      </c>
      <c r="B10" s="103">
        <v>45251</v>
      </c>
      <c r="C10" s="13" t="s">
        <v>3287</v>
      </c>
      <c r="D10" s="13" t="s">
        <v>716</v>
      </c>
      <c r="E10" s="104">
        <v>2.0640000000000001</v>
      </c>
      <c r="F10" s="102" t="s">
        <v>906</v>
      </c>
      <c r="G10" s="4" t="s">
        <v>3370</v>
      </c>
      <c r="H10" s="4" t="s">
        <v>3170</v>
      </c>
      <c r="I10" s="110">
        <v>45227</v>
      </c>
    </row>
    <row r="11" spans="1:9">
      <c r="A11" s="1"/>
      <c r="B11" s="3"/>
      <c r="C11" s="11"/>
      <c r="D11" s="1"/>
      <c r="E11" s="54">
        <f>SUM(E2:E10)</f>
        <v>53.506000000000007</v>
      </c>
      <c r="F11" s="24"/>
      <c r="G11" s="1"/>
      <c r="H11" s="1"/>
      <c r="I11" s="3"/>
    </row>
    <row r="12" spans="1:9">
      <c r="A12" s="66" t="s">
        <v>3383</v>
      </c>
      <c r="B12" s="103">
        <v>45252</v>
      </c>
      <c r="C12" s="13" t="s">
        <v>1705</v>
      </c>
      <c r="D12" s="13" t="s">
        <v>716</v>
      </c>
      <c r="E12" s="104">
        <v>21.559000000000001</v>
      </c>
      <c r="F12" s="24" t="s">
        <v>973</v>
      </c>
      <c r="G12" s="1" t="s">
        <v>3381</v>
      </c>
      <c r="H12" s="4" t="s">
        <v>3030</v>
      </c>
      <c r="I12" s="110">
        <v>45227</v>
      </c>
    </row>
    <row r="13" spans="1:9">
      <c r="A13" s="66" t="s">
        <v>3384</v>
      </c>
      <c r="B13" s="103">
        <v>45252</v>
      </c>
      <c r="C13" s="13" t="s">
        <v>1705</v>
      </c>
      <c r="D13" s="13" t="s">
        <v>716</v>
      </c>
      <c r="E13" s="52">
        <v>11.342000000000001</v>
      </c>
      <c r="F13" s="24" t="s">
        <v>973</v>
      </c>
      <c r="G13" s="1" t="s">
        <v>3381</v>
      </c>
      <c r="H13" s="1" t="s">
        <v>3170</v>
      </c>
      <c r="I13" s="110">
        <v>45227</v>
      </c>
    </row>
    <row r="14" spans="1:9">
      <c r="A14" s="1"/>
      <c r="B14" s="3"/>
      <c r="C14" s="11"/>
      <c r="D14" s="1"/>
      <c r="E14" s="54">
        <f>SUM(E12:E13)</f>
        <v>32.901000000000003</v>
      </c>
      <c r="F14" s="24"/>
      <c r="G14" s="1"/>
      <c r="H14" s="1"/>
      <c r="I14" s="3"/>
    </row>
    <row r="15" spans="1:9">
      <c r="A15" s="66" t="s">
        <v>3388</v>
      </c>
      <c r="B15" s="103">
        <v>45253</v>
      </c>
      <c r="C15" s="13" t="s">
        <v>1705</v>
      </c>
      <c r="D15" s="13" t="s">
        <v>716</v>
      </c>
      <c r="E15" s="104">
        <v>9.2669999999999995</v>
      </c>
      <c r="F15" s="24" t="s">
        <v>573</v>
      </c>
      <c r="G15" s="1" t="s">
        <v>3389</v>
      </c>
      <c r="H15" s="1" t="s">
        <v>3170</v>
      </c>
      <c r="I15" s="110">
        <v>45227</v>
      </c>
    </row>
    <row r="16" spans="1:9">
      <c r="A16" s="66" t="s">
        <v>3388</v>
      </c>
      <c r="B16" s="103">
        <v>45253</v>
      </c>
      <c r="C16" s="13" t="s">
        <v>1791</v>
      </c>
      <c r="D16" s="13" t="s">
        <v>716</v>
      </c>
      <c r="E16" s="104">
        <v>3.6280000000000001</v>
      </c>
      <c r="F16" s="24" t="s">
        <v>573</v>
      </c>
      <c r="G16" s="1" t="s">
        <v>3389</v>
      </c>
      <c r="H16" s="1" t="s">
        <v>3170</v>
      </c>
      <c r="I16" s="110">
        <v>45227</v>
      </c>
    </row>
    <row r="17" spans="1:9">
      <c r="A17" s="66" t="s">
        <v>3390</v>
      </c>
      <c r="B17" s="103">
        <v>45253</v>
      </c>
      <c r="C17" s="13" t="s">
        <v>2273</v>
      </c>
      <c r="D17" s="13" t="s">
        <v>716</v>
      </c>
      <c r="E17" s="104">
        <f>0.679+1.96+0.93</f>
        <v>3.5690000000000004</v>
      </c>
      <c r="F17" s="24" t="s">
        <v>573</v>
      </c>
      <c r="G17" s="1" t="s">
        <v>3391</v>
      </c>
      <c r="H17" s="4" t="s">
        <v>3268</v>
      </c>
      <c r="I17" s="110">
        <v>45227</v>
      </c>
    </row>
    <row r="18" spans="1:9">
      <c r="A18" s="66" t="s">
        <v>3392</v>
      </c>
      <c r="B18" s="103">
        <v>45253</v>
      </c>
      <c r="C18" s="13" t="s">
        <v>2273</v>
      </c>
      <c r="D18" s="13" t="s">
        <v>716</v>
      </c>
      <c r="E18" s="104">
        <v>0.19500000000000001</v>
      </c>
      <c r="F18" s="24" t="s">
        <v>573</v>
      </c>
      <c r="G18" s="1" t="s">
        <v>3393</v>
      </c>
      <c r="H18" s="1" t="s">
        <v>3271</v>
      </c>
      <c r="I18" s="110">
        <v>45227</v>
      </c>
    </row>
    <row r="19" spans="1:9">
      <c r="A19" s="66" t="s">
        <v>3394</v>
      </c>
      <c r="B19" s="103">
        <v>45253</v>
      </c>
      <c r="C19" s="13" t="s">
        <v>1791</v>
      </c>
      <c r="D19" s="13" t="s">
        <v>716</v>
      </c>
      <c r="E19" s="104">
        <f>4.544+6.71</f>
        <v>11.254</v>
      </c>
      <c r="F19" s="24" t="s">
        <v>573</v>
      </c>
      <c r="G19" s="1" t="s">
        <v>3395</v>
      </c>
      <c r="H19" s="4" t="s">
        <v>3030</v>
      </c>
      <c r="I19" s="110">
        <v>45227</v>
      </c>
    </row>
    <row r="20" spans="1:9">
      <c r="A20" s="66" t="s">
        <v>3394</v>
      </c>
      <c r="B20" s="103">
        <v>45253</v>
      </c>
      <c r="C20" s="13" t="s">
        <v>1705</v>
      </c>
      <c r="D20" s="13" t="s">
        <v>716</v>
      </c>
      <c r="E20" s="104">
        <v>0.70299999999999996</v>
      </c>
      <c r="F20" s="24" t="s">
        <v>573</v>
      </c>
      <c r="G20" s="1" t="s">
        <v>3395</v>
      </c>
      <c r="H20" s="4" t="s">
        <v>3030</v>
      </c>
      <c r="I20" s="110">
        <v>45227</v>
      </c>
    </row>
    <row r="21" spans="1:9">
      <c r="A21" s="66" t="s">
        <v>3394</v>
      </c>
      <c r="B21" s="103">
        <v>45253</v>
      </c>
      <c r="C21" s="13" t="s">
        <v>1801</v>
      </c>
      <c r="D21" s="13" t="s">
        <v>716</v>
      </c>
      <c r="E21" s="104">
        <v>1.1850000000000001</v>
      </c>
      <c r="F21" s="24" t="s">
        <v>573</v>
      </c>
      <c r="G21" s="1" t="s">
        <v>3395</v>
      </c>
      <c r="H21" s="4" t="s">
        <v>3030</v>
      </c>
      <c r="I21" s="110">
        <v>45227</v>
      </c>
    </row>
    <row r="22" spans="1:9">
      <c r="A22" s="66" t="s">
        <v>3394</v>
      </c>
      <c r="B22" s="103">
        <v>45253</v>
      </c>
      <c r="C22" s="13" t="s">
        <v>1350</v>
      </c>
      <c r="D22" s="13" t="s">
        <v>716</v>
      </c>
      <c r="E22" s="104">
        <v>2.2519999999999998</v>
      </c>
      <c r="F22" s="24" t="s">
        <v>573</v>
      </c>
      <c r="G22" s="1" t="s">
        <v>3395</v>
      </c>
      <c r="H22" s="4" t="s">
        <v>3030</v>
      </c>
      <c r="I22" s="110">
        <v>45227</v>
      </c>
    </row>
    <row r="23" spans="1:9">
      <c r="A23" s="66" t="s">
        <v>3400</v>
      </c>
      <c r="B23" s="103">
        <v>45253</v>
      </c>
      <c r="C23" s="13" t="s">
        <v>1791</v>
      </c>
      <c r="D23" s="13" t="s">
        <v>716</v>
      </c>
      <c r="E23" s="104">
        <v>15.93</v>
      </c>
      <c r="F23" s="24" t="s">
        <v>3090</v>
      </c>
      <c r="G23" s="1" t="s">
        <v>3401</v>
      </c>
      <c r="H23" s="4" t="s">
        <v>3030</v>
      </c>
      <c r="I23" s="110">
        <v>45227</v>
      </c>
    </row>
    <row r="24" spans="1:9">
      <c r="A24" s="66" t="s">
        <v>3402</v>
      </c>
      <c r="B24" s="103">
        <v>45253</v>
      </c>
      <c r="C24" s="13" t="s">
        <v>1791</v>
      </c>
      <c r="D24" s="13" t="s">
        <v>716</v>
      </c>
      <c r="E24" s="104">
        <v>13.651</v>
      </c>
      <c r="F24" s="24" t="s">
        <v>3090</v>
      </c>
      <c r="G24" s="1" t="s">
        <v>3401</v>
      </c>
      <c r="H24" s="1" t="s">
        <v>3170</v>
      </c>
      <c r="I24" s="110">
        <v>45227</v>
      </c>
    </row>
    <row r="25" spans="1:9">
      <c r="A25" s="66" t="s">
        <v>3403</v>
      </c>
      <c r="B25" s="103">
        <v>45253</v>
      </c>
      <c r="C25" s="13" t="s">
        <v>1470</v>
      </c>
      <c r="D25" s="13" t="s">
        <v>716</v>
      </c>
      <c r="E25" s="104">
        <v>1.5049999999999999</v>
      </c>
      <c r="F25" s="24" t="s">
        <v>3090</v>
      </c>
      <c r="G25" s="1" t="s">
        <v>3401</v>
      </c>
      <c r="H25" s="4" t="s">
        <v>3268</v>
      </c>
      <c r="I25" s="110">
        <v>45227</v>
      </c>
    </row>
    <row r="26" spans="1:9">
      <c r="A26" s="66" t="s">
        <v>3404</v>
      </c>
      <c r="B26" s="103">
        <v>45253</v>
      </c>
      <c r="C26" s="13" t="s">
        <v>1470</v>
      </c>
      <c r="D26" s="13" t="s">
        <v>716</v>
      </c>
      <c r="E26" s="104">
        <v>0.86</v>
      </c>
      <c r="F26" s="24" t="s">
        <v>3090</v>
      </c>
      <c r="G26" s="1" t="s">
        <v>3401</v>
      </c>
      <c r="H26" s="1" t="s">
        <v>3271</v>
      </c>
      <c r="I26" s="110">
        <v>45227</v>
      </c>
    </row>
    <row r="27" spans="1:9">
      <c r="A27" s="66"/>
      <c r="B27" s="103"/>
      <c r="C27" s="11"/>
      <c r="D27" s="13"/>
      <c r="E27" s="58">
        <f>SUM(E15:E26)</f>
        <v>63.999000000000002</v>
      </c>
      <c r="F27" s="24"/>
      <c r="G27" s="1"/>
      <c r="H27" s="1"/>
      <c r="I27" s="110"/>
    </row>
    <row r="28" spans="1:9">
      <c r="A28" s="66" t="s">
        <v>3414</v>
      </c>
      <c r="B28" s="103">
        <v>45254</v>
      </c>
      <c r="C28" s="13" t="s">
        <v>1366</v>
      </c>
      <c r="D28" s="13" t="s">
        <v>716</v>
      </c>
      <c r="E28" s="104">
        <v>4.55</v>
      </c>
      <c r="F28" s="102" t="s">
        <v>3172</v>
      </c>
      <c r="G28" s="4" t="s">
        <v>3415</v>
      </c>
      <c r="H28" s="4" t="s">
        <v>3249</v>
      </c>
      <c r="I28" s="110">
        <v>45222</v>
      </c>
    </row>
    <row r="29" spans="1:9">
      <c r="A29" s="66" t="s">
        <v>3414</v>
      </c>
      <c r="B29" s="103">
        <v>45254</v>
      </c>
      <c r="C29" s="13" t="s">
        <v>1500</v>
      </c>
      <c r="D29" s="13" t="s">
        <v>716</v>
      </c>
      <c r="E29" s="104">
        <f>0.424+3.124</f>
        <v>3.548</v>
      </c>
      <c r="F29" s="102" t="s">
        <v>3172</v>
      </c>
      <c r="G29" s="4" t="s">
        <v>3415</v>
      </c>
      <c r="H29" s="4" t="s">
        <v>3249</v>
      </c>
      <c r="I29" s="110">
        <v>45222</v>
      </c>
    </row>
    <row r="30" spans="1:9">
      <c r="A30" s="66" t="s">
        <v>3414</v>
      </c>
      <c r="B30" s="103">
        <v>45254</v>
      </c>
      <c r="C30" s="13" t="s">
        <v>1408</v>
      </c>
      <c r="D30" s="13" t="s">
        <v>716</v>
      </c>
      <c r="E30" s="104">
        <v>0.48</v>
      </c>
      <c r="F30" s="102" t="s">
        <v>3172</v>
      </c>
      <c r="G30" s="4" t="s">
        <v>3415</v>
      </c>
      <c r="H30" s="4" t="s">
        <v>3249</v>
      </c>
      <c r="I30" s="110">
        <v>45222</v>
      </c>
    </row>
    <row r="31" spans="1:9">
      <c r="A31" s="66" t="s">
        <v>3416</v>
      </c>
      <c r="B31" s="103">
        <v>45254</v>
      </c>
      <c r="C31" s="13" t="s">
        <v>1500</v>
      </c>
      <c r="D31" s="13" t="s">
        <v>716</v>
      </c>
      <c r="E31" s="104">
        <f>0.676+0.285</f>
        <v>0.96100000000000008</v>
      </c>
      <c r="F31" s="102" t="s">
        <v>3172</v>
      </c>
      <c r="G31" s="4" t="s">
        <v>3417</v>
      </c>
      <c r="H31" s="4" t="s">
        <v>3271</v>
      </c>
      <c r="I31" s="110">
        <v>45227</v>
      </c>
    </row>
    <row r="32" spans="1:9">
      <c r="A32" s="66" t="s">
        <v>3416</v>
      </c>
      <c r="B32" s="103">
        <v>45254</v>
      </c>
      <c r="C32" s="13" t="s">
        <v>1459</v>
      </c>
      <c r="D32" s="13" t="s">
        <v>716</v>
      </c>
      <c r="E32" s="104">
        <v>0.98699999999999999</v>
      </c>
      <c r="F32" s="102" t="s">
        <v>3172</v>
      </c>
      <c r="G32" s="4" t="s">
        <v>3417</v>
      </c>
      <c r="H32" s="4" t="s">
        <v>3271</v>
      </c>
      <c r="I32" s="110">
        <v>45227</v>
      </c>
    </row>
    <row r="33" spans="1:9">
      <c r="A33" s="66" t="s">
        <v>3416</v>
      </c>
      <c r="B33" s="103">
        <v>45254</v>
      </c>
      <c r="C33" s="13" t="s">
        <v>1350</v>
      </c>
      <c r="D33" s="13" t="s">
        <v>716</v>
      </c>
      <c r="E33" s="104">
        <v>2.38</v>
      </c>
      <c r="F33" s="102" t="s">
        <v>3172</v>
      </c>
      <c r="G33" s="4" t="s">
        <v>3417</v>
      </c>
      <c r="H33" s="4" t="s">
        <v>3271</v>
      </c>
      <c r="I33" s="110">
        <v>45227</v>
      </c>
    </row>
    <row r="34" spans="1:9">
      <c r="A34" s="66" t="s">
        <v>3418</v>
      </c>
      <c r="B34" s="103">
        <v>45254</v>
      </c>
      <c r="C34" s="13" t="s">
        <v>1500</v>
      </c>
      <c r="D34" s="13" t="s">
        <v>716</v>
      </c>
      <c r="E34" s="104">
        <f>0.339+4.909+2.966</f>
        <v>8.2140000000000004</v>
      </c>
      <c r="F34" s="102" t="s">
        <v>3172</v>
      </c>
      <c r="G34" s="4" t="s">
        <v>3419</v>
      </c>
      <c r="H34" s="4" t="s">
        <v>3170</v>
      </c>
      <c r="I34" s="110">
        <v>45227</v>
      </c>
    </row>
    <row r="35" spans="1:9">
      <c r="A35" s="66" t="s">
        <v>3418</v>
      </c>
      <c r="B35" s="103">
        <v>45254</v>
      </c>
      <c r="C35" s="13" t="s">
        <v>3287</v>
      </c>
      <c r="D35" s="13" t="s">
        <v>716</v>
      </c>
      <c r="E35" s="104">
        <v>5.2309999999999999</v>
      </c>
      <c r="F35" s="102" t="s">
        <v>3172</v>
      </c>
      <c r="G35" s="4" t="s">
        <v>3419</v>
      </c>
      <c r="H35" s="4" t="s">
        <v>3170</v>
      </c>
      <c r="I35" s="110">
        <v>45227</v>
      </c>
    </row>
    <row r="36" spans="1:9">
      <c r="A36" s="66" t="s">
        <v>3420</v>
      </c>
      <c r="B36" s="103">
        <v>45254</v>
      </c>
      <c r="C36" s="13" t="s">
        <v>1370</v>
      </c>
      <c r="D36" s="13" t="s">
        <v>716</v>
      </c>
      <c r="E36" s="104">
        <v>0.58199999999999996</v>
      </c>
      <c r="F36" s="102" t="s">
        <v>3172</v>
      </c>
      <c r="G36" s="4" t="s">
        <v>3419</v>
      </c>
      <c r="H36" s="4" t="s">
        <v>3268</v>
      </c>
      <c r="I36" s="110">
        <v>45227</v>
      </c>
    </row>
    <row r="37" spans="1:9">
      <c r="A37" s="66" t="s">
        <v>3420</v>
      </c>
      <c r="B37" s="103">
        <v>45254</v>
      </c>
      <c r="C37" s="13" t="s">
        <v>1459</v>
      </c>
      <c r="D37" s="13" t="s">
        <v>716</v>
      </c>
      <c r="E37" s="104">
        <v>1.3520000000000001</v>
      </c>
      <c r="F37" s="102" t="s">
        <v>3172</v>
      </c>
      <c r="G37" s="4" t="s">
        <v>3419</v>
      </c>
      <c r="H37" s="4" t="s">
        <v>3268</v>
      </c>
      <c r="I37" s="110">
        <v>45227</v>
      </c>
    </row>
    <row r="38" spans="1:9">
      <c r="A38" s="66" t="s">
        <v>3420</v>
      </c>
      <c r="B38" s="103">
        <v>45254</v>
      </c>
      <c r="C38" s="13" t="s">
        <v>1350</v>
      </c>
      <c r="D38" s="13" t="s">
        <v>716</v>
      </c>
      <c r="E38" s="104">
        <v>3.5529999999999999</v>
      </c>
      <c r="F38" s="102" t="s">
        <v>3172</v>
      </c>
      <c r="G38" s="4" t="s">
        <v>3419</v>
      </c>
      <c r="H38" s="4" t="s">
        <v>3268</v>
      </c>
      <c r="I38" s="110">
        <v>45227</v>
      </c>
    </row>
    <row r="39" spans="1:9">
      <c r="A39" s="66" t="s">
        <v>3421</v>
      </c>
      <c r="B39" s="103">
        <v>45254</v>
      </c>
      <c r="C39" s="13" t="s">
        <v>1350</v>
      </c>
      <c r="D39" s="13" t="s">
        <v>716</v>
      </c>
      <c r="E39" s="104">
        <v>1.115</v>
      </c>
      <c r="F39" s="102" t="s">
        <v>3172</v>
      </c>
      <c r="G39" s="4" t="s">
        <v>3422</v>
      </c>
      <c r="H39" s="4" t="s">
        <v>3246</v>
      </c>
      <c r="I39" s="110">
        <v>45215</v>
      </c>
    </row>
    <row r="40" spans="1:9">
      <c r="A40" s="66" t="s">
        <v>3427</v>
      </c>
      <c r="B40" s="103">
        <v>45254</v>
      </c>
      <c r="C40" s="134" t="s">
        <v>1227</v>
      </c>
      <c r="D40" s="13" t="s">
        <v>716</v>
      </c>
      <c r="E40" s="138">
        <v>32.615000000000002</v>
      </c>
      <c r="F40" s="24" t="s">
        <v>1309</v>
      </c>
      <c r="G40" s="1" t="s">
        <v>3428</v>
      </c>
      <c r="H40" s="4" t="s">
        <v>3170</v>
      </c>
      <c r="I40" s="110">
        <v>45227</v>
      </c>
    </row>
    <row r="41" spans="1:9">
      <c r="A41" s="66"/>
      <c r="B41" s="103"/>
      <c r="C41" s="13"/>
      <c r="D41" s="113"/>
      <c r="E41" s="58">
        <f>SUM(E28:E40)</f>
        <v>65.568000000000012</v>
      </c>
      <c r="F41" s="102"/>
      <c r="G41" s="4"/>
      <c r="H41" s="4"/>
      <c r="I41" s="110"/>
    </row>
    <row r="42" spans="1:9">
      <c r="A42" s="66" t="s">
        <v>3429</v>
      </c>
      <c r="B42" s="103">
        <v>45255</v>
      </c>
      <c r="C42" s="13" t="s">
        <v>1227</v>
      </c>
      <c r="D42" s="13" t="s">
        <v>716</v>
      </c>
      <c r="E42" s="104">
        <v>14.868</v>
      </c>
      <c r="F42" s="102" t="s">
        <v>1127</v>
      </c>
      <c r="G42" s="1" t="s">
        <v>3431</v>
      </c>
      <c r="H42" s="4" t="s">
        <v>3170</v>
      </c>
      <c r="I42" s="110">
        <v>45227</v>
      </c>
    </row>
    <row r="43" spans="1:9">
      <c r="A43" s="66" t="s">
        <v>3430</v>
      </c>
      <c r="B43" s="103">
        <v>45255</v>
      </c>
      <c r="C43" s="13" t="s">
        <v>1705</v>
      </c>
      <c r="D43" s="13" t="s">
        <v>716</v>
      </c>
      <c r="E43" s="104">
        <f>1.521+0.647</f>
        <v>2.1680000000000001</v>
      </c>
      <c r="F43" s="102" t="s">
        <v>1127</v>
      </c>
      <c r="G43" s="1" t="s">
        <v>3432</v>
      </c>
      <c r="H43" s="1" t="s">
        <v>3030</v>
      </c>
      <c r="I43" s="110">
        <v>45227</v>
      </c>
    </row>
    <row r="44" spans="1:9">
      <c r="A44" s="66" t="s">
        <v>3438</v>
      </c>
      <c r="B44" s="103">
        <v>45255</v>
      </c>
      <c r="C44" s="13" t="s">
        <v>1355</v>
      </c>
      <c r="D44" s="13" t="s">
        <v>716</v>
      </c>
      <c r="E44" s="104">
        <v>7.7709999999999999</v>
      </c>
      <c r="F44" s="102" t="s">
        <v>3439</v>
      </c>
      <c r="G44" s="1" t="s">
        <v>3440</v>
      </c>
      <c r="H44" s="1" t="s">
        <v>3030</v>
      </c>
      <c r="I44" s="110">
        <v>45227</v>
      </c>
    </row>
    <row r="45" spans="1:9">
      <c r="A45" s="66" t="s">
        <v>3438</v>
      </c>
      <c r="B45" s="103">
        <v>45255</v>
      </c>
      <c r="C45" s="13" t="s">
        <v>1791</v>
      </c>
      <c r="D45" s="13" t="s">
        <v>716</v>
      </c>
      <c r="E45" s="104">
        <v>3.4750000000000001</v>
      </c>
      <c r="F45" s="102" t="s">
        <v>3439</v>
      </c>
      <c r="G45" s="1" t="s">
        <v>3440</v>
      </c>
      <c r="H45" s="1" t="s">
        <v>3030</v>
      </c>
      <c r="I45" s="110">
        <v>45227</v>
      </c>
    </row>
    <row r="46" spans="1:9">
      <c r="A46" s="66" t="s">
        <v>3438</v>
      </c>
      <c r="B46" s="103">
        <v>45255</v>
      </c>
      <c r="C46" s="13" t="s">
        <v>1756</v>
      </c>
      <c r="D46" s="13" t="s">
        <v>716</v>
      </c>
      <c r="E46" s="104">
        <v>3.452</v>
      </c>
      <c r="F46" s="102" t="s">
        <v>3439</v>
      </c>
      <c r="G46" s="1" t="s">
        <v>3440</v>
      </c>
      <c r="H46" s="1" t="s">
        <v>3030</v>
      </c>
      <c r="I46" s="110">
        <v>45227</v>
      </c>
    </row>
    <row r="47" spans="1:9">
      <c r="A47" s="66" t="s">
        <v>3438</v>
      </c>
      <c r="B47" s="103">
        <v>45255</v>
      </c>
      <c r="C47" s="13" t="s">
        <v>1753</v>
      </c>
      <c r="D47" s="13" t="s">
        <v>716</v>
      </c>
      <c r="E47" s="104">
        <v>0.19900000000000001</v>
      </c>
      <c r="F47" s="102" t="s">
        <v>3439</v>
      </c>
      <c r="G47" s="1" t="s">
        <v>3440</v>
      </c>
      <c r="H47" s="1" t="s">
        <v>3030</v>
      </c>
      <c r="I47" s="110">
        <v>45227</v>
      </c>
    </row>
    <row r="48" spans="1:9">
      <c r="A48" s="66" t="s">
        <v>3438</v>
      </c>
      <c r="B48" s="103">
        <v>45255</v>
      </c>
      <c r="C48" s="13" t="s">
        <v>1478</v>
      </c>
      <c r="D48" s="13" t="s">
        <v>716</v>
      </c>
      <c r="E48" s="104">
        <v>1.454</v>
      </c>
      <c r="F48" s="102" t="s">
        <v>3439</v>
      </c>
      <c r="G48" s="1" t="s">
        <v>3440</v>
      </c>
      <c r="H48" s="1" t="s">
        <v>3030</v>
      </c>
      <c r="I48" s="110">
        <v>45227</v>
      </c>
    </row>
    <row r="49" spans="1:9">
      <c r="A49" s="66" t="s">
        <v>3441</v>
      </c>
      <c r="B49" s="103">
        <v>45255</v>
      </c>
      <c r="C49" s="13" t="s">
        <v>1227</v>
      </c>
      <c r="D49" s="13" t="s">
        <v>716</v>
      </c>
      <c r="E49" s="104">
        <v>3.54</v>
      </c>
      <c r="F49" s="102" t="s">
        <v>3439</v>
      </c>
      <c r="G49" s="1" t="s">
        <v>3440</v>
      </c>
      <c r="H49" s="1" t="s">
        <v>3170</v>
      </c>
      <c r="I49" s="110">
        <v>45227</v>
      </c>
    </row>
    <row r="50" spans="1:9">
      <c r="A50" s="66" t="s">
        <v>3442</v>
      </c>
      <c r="B50" s="103">
        <v>45255</v>
      </c>
      <c r="C50" s="13" t="s">
        <v>1478</v>
      </c>
      <c r="D50" s="13" t="s">
        <v>716</v>
      </c>
      <c r="E50" s="104">
        <v>1.8360000000000001</v>
      </c>
      <c r="F50" s="102" t="s">
        <v>3439</v>
      </c>
      <c r="G50" s="1" t="s">
        <v>3440</v>
      </c>
      <c r="H50" s="1" t="s">
        <v>3110</v>
      </c>
      <c r="I50" s="110">
        <v>45227</v>
      </c>
    </row>
    <row r="51" spans="1:9">
      <c r="A51" s="66" t="s">
        <v>3443</v>
      </c>
      <c r="B51" s="103">
        <v>45255</v>
      </c>
      <c r="C51" s="13" t="s">
        <v>1341</v>
      </c>
      <c r="D51" s="13" t="s">
        <v>716</v>
      </c>
      <c r="E51" s="104">
        <v>1.333</v>
      </c>
      <c r="F51" s="102" t="s">
        <v>3439</v>
      </c>
      <c r="G51" s="1" t="s">
        <v>3440</v>
      </c>
      <c r="H51" s="4" t="s">
        <v>3246</v>
      </c>
      <c r="I51" s="110">
        <v>45215</v>
      </c>
    </row>
    <row r="52" spans="1:9">
      <c r="A52" s="66" t="s">
        <v>3443</v>
      </c>
      <c r="B52" s="103">
        <v>45255</v>
      </c>
      <c r="C52" s="13" t="s">
        <v>1251</v>
      </c>
      <c r="D52" s="13" t="s">
        <v>716</v>
      </c>
      <c r="E52" s="104">
        <v>1.6439999999999999</v>
      </c>
      <c r="F52" s="102" t="s">
        <v>3439</v>
      </c>
      <c r="G52" s="1" t="s">
        <v>3440</v>
      </c>
      <c r="H52" s="4" t="s">
        <v>3246</v>
      </c>
      <c r="I52" s="110">
        <v>45215</v>
      </c>
    </row>
    <row r="53" spans="1:9">
      <c r="A53" s="66" t="s">
        <v>3444</v>
      </c>
      <c r="B53" s="103">
        <v>45255</v>
      </c>
      <c r="C53" s="13" t="s">
        <v>1342</v>
      </c>
      <c r="D53" s="13" t="s">
        <v>716</v>
      </c>
      <c r="E53" s="104">
        <v>1.8029999999999999</v>
      </c>
      <c r="F53" s="102" t="s">
        <v>3439</v>
      </c>
      <c r="G53" s="1" t="s">
        <v>3440</v>
      </c>
      <c r="H53" s="1" t="s">
        <v>3268</v>
      </c>
      <c r="I53" s="110">
        <v>45227</v>
      </c>
    </row>
    <row r="54" spans="1:9">
      <c r="A54" s="66" t="s">
        <v>3444</v>
      </c>
      <c r="B54" s="103">
        <v>45255</v>
      </c>
      <c r="C54" s="13" t="s">
        <v>1256</v>
      </c>
      <c r="D54" s="13" t="s">
        <v>716</v>
      </c>
      <c r="E54" s="104">
        <v>1.37</v>
      </c>
      <c r="F54" s="102" t="s">
        <v>3439</v>
      </c>
      <c r="G54" s="1" t="s">
        <v>3440</v>
      </c>
      <c r="H54" s="1" t="s">
        <v>3268</v>
      </c>
      <c r="I54" s="110">
        <v>45227</v>
      </c>
    </row>
    <row r="55" spans="1:9">
      <c r="A55" s="66" t="s">
        <v>3444</v>
      </c>
      <c r="B55" s="103">
        <v>45255</v>
      </c>
      <c r="C55" s="13" t="s">
        <v>1251</v>
      </c>
      <c r="D55" s="13" t="s">
        <v>716</v>
      </c>
      <c r="E55" s="104">
        <v>1.839</v>
      </c>
      <c r="F55" s="102" t="s">
        <v>3439</v>
      </c>
      <c r="G55" s="1" t="s">
        <v>3440</v>
      </c>
      <c r="H55" s="1" t="s">
        <v>3268</v>
      </c>
      <c r="I55" s="110">
        <v>45227</v>
      </c>
    </row>
    <row r="56" spans="1:9">
      <c r="A56" s="66" t="s">
        <v>3445</v>
      </c>
      <c r="B56" s="103">
        <v>45255</v>
      </c>
      <c r="C56" s="13" t="s">
        <v>1256</v>
      </c>
      <c r="D56" s="13" t="s">
        <v>716</v>
      </c>
      <c r="E56" s="104">
        <v>0.20100000000000001</v>
      </c>
      <c r="F56" s="102" t="s">
        <v>3439</v>
      </c>
      <c r="G56" s="1" t="s">
        <v>3440</v>
      </c>
      <c r="H56" s="4" t="s">
        <v>3249</v>
      </c>
      <c r="I56" s="110">
        <v>45222</v>
      </c>
    </row>
    <row r="57" spans="1:9">
      <c r="A57" s="66" t="s">
        <v>3446</v>
      </c>
      <c r="B57" s="103">
        <v>45255</v>
      </c>
      <c r="C57" s="13" t="s">
        <v>1342</v>
      </c>
      <c r="D57" s="13" t="s">
        <v>716</v>
      </c>
      <c r="E57" s="104">
        <v>1.2809999999999999</v>
      </c>
      <c r="F57" s="102" t="s">
        <v>3439</v>
      </c>
      <c r="G57" s="1" t="s">
        <v>3440</v>
      </c>
      <c r="H57" s="1" t="s">
        <v>3271</v>
      </c>
      <c r="I57" s="110">
        <v>45227</v>
      </c>
    </row>
    <row r="58" spans="1:9">
      <c r="A58" s="66" t="s">
        <v>3446</v>
      </c>
      <c r="B58" s="103">
        <v>45255</v>
      </c>
      <c r="C58" s="13" t="s">
        <v>1251</v>
      </c>
      <c r="D58" s="13" t="s">
        <v>716</v>
      </c>
      <c r="E58" s="104">
        <v>1.2669999999999999</v>
      </c>
      <c r="F58" s="102" t="s">
        <v>3439</v>
      </c>
      <c r="G58" s="1" t="s">
        <v>3440</v>
      </c>
      <c r="H58" s="1" t="s">
        <v>3271</v>
      </c>
      <c r="I58" s="110">
        <v>45227</v>
      </c>
    </row>
    <row r="59" spans="1:9">
      <c r="A59" s="1"/>
      <c r="B59" s="3"/>
      <c r="C59" s="13"/>
      <c r="D59" s="1"/>
      <c r="E59" s="54">
        <f>SUM(E42:E58)</f>
        <v>49.500999999999991</v>
      </c>
      <c r="F59" s="24"/>
      <c r="G59" s="1"/>
      <c r="H59" s="1"/>
      <c r="I59" s="3"/>
    </row>
    <row r="60" spans="1:9">
      <c r="A60" s="66" t="s">
        <v>3456</v>
      </c>
      <c r="B60" s="103">
        <v>45257</v>
      </c>
      <c r="C60" s="13" t="s">
        <v>1227</v>
      </c>
      <c r="D60" s="13" t="s">
        <v>716</v>
      </c>
      <c r="E60" s="104">
        <f>5.783+4.519+21.464</f>
        <v>31.765999999999998</v>
      </c>
      <c r="F60" s="24" t="s">
        <v>2200</v>
      </c>
      <c r="G60" s="1" t="s">
        <v>3457</v>
      </c>
      <c r="H60" s="1" t="s">
        <v>3170</v>
      </c>
      <c r="I60" s="110">
        <v>45227</v>
      </c>
    </row>
    <row r="61" spans="1:9">
      <c r="A61" s="66" t="s">
        <v>3458</v>
      </c>
      <c r="B61" s="103">
        <v>45257</v>
      </c>
      <c r="C61" s="13" t="s">
        <v>2978</v>
      </c>
      <c r="D61" s="13" t="s">
        <v>716</v>
      </c>
      <c r="E61" s="139">
        <v>0.19600000000000001</v>
      </c>
      <c r="F61" s="24" t="s">
        <v>2200</v>
      </c>
      <c r="G61" s="1" t="s">
        <v>3459</v>
      </c>
      <c r="H61" s="1" t="s">
        <v>3143</v>
      </c>
      <c r="I61" s="110">
        <v>45227</v>
      </c>
    </row>
    <row r="62" spans="1:9">
      <c r="A62" s="66" t="s">
        <v>3466</v>
      </c>
      <c r="B62" s="103">
        <v>45257</v>
      </c>
      <c r="C62" s="13" t="s">
        <v>1355</v>
      </c>
      <c r="D62" s="13" t="s">
        <v>716</v>
      </c>
      <c r="E62" s="104">
        <v>3.5529999999999999</v>
      </c>
      <c r="F62" s="24" t="s">
        <v>3172</v>
      </c>
      <c r="G62" s="1" t="s">
        <v>3467</v>
      </c>
      <c r="H62" s="1" t="s">
        <v>3170</v>
      </c>
      <c r="I62" s="110">
        <v>45227</v>
      </c>
    </row>
    <row r="63" spans="1:9">
      <c r="A63" s="66" t="s">
        <v>3466</v>
      </c>
      <c r="B63" s="103">
        <v>45257</v>
      </c>
      <c r="C63" s="13" t="s">
        <v>1227</v>
      </c>
      <c r="D63" s="13" t="s">
        <v>716</v>
      </c>
      <c r="E63" s="104">
        <v>2.8679999999999999</v>
      </c>
      <c r="F63" s="24" t="s">
        <v>3172</v>
      </c>
      <c r="G63" s="1" t="s">
        <v>3467</v>
      </c>
      <c r="H63" s="1" t="s">
        <v>3170</v>
      </c>
      <c r="I63" s="110">
        <v>45227</v>
      </c>
    </row>
    <row r="64" spans="1:9">
      <c r="A64" s="66" t="s">
        <v>3466</v>
      </c>
      <c r="B64" s="103">
        <v>45257</v>
      </c>
      <c r="C64" s="13" t="s">
        <v>1226</v>
      </c>
      <c r="D64" s="13" t="s">
        <v>716</v>
      </c>
      <c r="E64" s="104">
        <v>11.276</v>
      </c>
      <c r="F64" s="24" t="s">
        <v>3172</v>
      </c>
      <c r="G64" s="1" t="s">
        <v>3467</v>
      </c>
      <c r="H64" s="1" t="s">
        <v>3170</v>
      </c>
      <c r="I64" s="110">
        <v>45227</v>
      </c>
    </row>
    <row r="65" spans="1:9">
      <c r="A65" s="66" t="s">
        <v>3468</v>
      </c>
      <c r="B65" s="103">
        <v>45257</v>
      </c>
      <c r="C65" s="13" t="s">
        <v>1823</v>
      </c>
      <c r="D65" s="13" t="s">
        <v>716</v>
      </c>
      <c r="E65" s="104">
        <v>12.837999999999999</v>
      </c>
      <c r="F65" s="24" t="s">
        <v>3172</v>
      </c>
      <c r="G65" s="1" t="s">
        <v>3467</v>
      </c>
      <c r="H65" s="1" t="s">
        <v>3268</v>
      </c>
      <c r="I65" s="110">
        <v>45227</v>
      </c>
    </row>
    <row r="66" spans="1:9">
      <c r="A66" s="66" t="s">
        <v>3469</v>
      </c>
      <c r="B66" s="103">
        <v>45257</v>
      </c>
      <c r="C66" s="13" t="s">
        <v>1823</v>
      </c>
      <c r="D66" s="13" t="s">
        <v>716</v>
      </c>
      <c r="E66" s="104">
        <v>2.246</v>
      </c>
      <c r="F66" s="24" t="s">
        <v>3172</v>
      </c>
      <c r="G66" s="1" t="s">
        <v>3467</v>
      </c>
      <c r="H66" s="1" t="s">
        <v>3271</v>
      </c>
      <c r="I66" s="110">
        <v>45227</v>
      </c>
    </row>
    <row r="67" spans="1:9">
      <c r="A67" s="1"/>
      <c r="B67" s="3"/>
      <c r="C67" s="11"/>
      <c r="D67" s="1"/>
      <c r="E67" s="54">
        <f>SUM(E60:E66)</f>
        <v>64.743000000000009</v>
      </c>
      <c r="F67" s="24"/>
      <c r="G67" s="1"/>
      <c r="H67" s="1"/>
      <c r="I67" s="3"/>
    </row>
    <row r="68" spans="1:9">
      <c r="A68" s="66" t="s">
        <v>3531</v>
      </c>
      <c r="B68" s="103">
        <v>45262</v>
      </c>
      <c r="C68" s="13" t="s">
        <v>1341</v>
      </c>
      <c r="D68" s="13" t="s">
        <v>716</v>
      </c>
      <c r="E68" s="52">
        <v>0.94899999999999995</v>
      </c>
      <c r="F68" s="24" t="s">
        <v>2708</v>
      </c>
      <c r="G68" s="1" t="s">
        <v>3532</v>
      </c>
      <c r="H68" s="4" t="s">
        <v>3246</v>
      </c>
      <c r="I68" s="110">
        <v>45215</v>
      </c>
    </row>
    <row r="69" spans="1:9">
      <c r="A69" s="66" t="s">
        <v>3531</v>
      </c>
      <c r="B69" s="103">
        <v>45262</v>
      </c>
      <c r="C69" s="13" t="s">
        <v>1342</v>
      </c>
      <c r="D69" s="13" t="s">
        <v>716</v>
      </c>
      <c r="E69" s="52">
        <v>2.645</v>
      </c>
      <c r="F69" s="24" t="s">
        <v>2708</v>
      </c>
      <c r="G69" s="1" t="s">
        <v>3532</v>
      </c>
      <c r="H69" s="4" t="s">
        <v>3246</v>
      </c>
      <c r="I69" s="110">
        <v>45215</v>
      </c>
    </row>
    <row r="70" spans="1:9">
      <c r="A70" s="66" t="s">
        <v>3533</v>
      </c>
      <c r="B70" s="103">
        <v>45262</v>
      </c>
      <c r="C70" s="13" t="s">
        <v>1245</v>
      </c>
      <c r="D70" s="13" t="s">
        <v>716</v>
      </c>
      <c r="E70" s="52">
        <f>0.083+4.501</f>
        <v>4.5840000000000005</v>
      </c>
      <c r="F70" s="24" t="s">
        <v>2708</v>
      </c>
      <c r="G70" s="1" t="s">
        <v>3534</v>
      </c>
      <c r="H70" s="4" t="s">
        <v>3249</v>
      </c>
      <c r="I70" s="110">
        <v>45222</v>
      </c>
    </row>
    <row r="71" spans="1:9">
      <c r="A71" s="66" t="s">
        <v>3533</v>
      </c>
      <c r="B71" s="103">
        <v>45262</v>
      </c>
      <c r="C71" s="13" t="s">
        <v>1226</v>
      </c>
      <c r="D71" s="13" t="s">
        <v>716</v>
      </c>
      <c r="E71" s="52">
        <v>0.52300000000000002</v>
      </c>
      <c r="F71" s="24" t="s">
        <v>2708</v>
      </c>
      <c r="G71" s="1" t="s">
        <v>3534</v>
      </c>
      <c r="H71" s="4" t="s">
        <v>3249</v>
      </c>
      <c r="I71" s="110">
        <v>45222</v>
      </c>
    </row>
    <row r="72" spans="1:9">
      <c r="A72" s="66" t="s">
        <v>3533</v>
      </c>
      <c r="B72" s="103">
        <v>45262</v>
      </c>
      <c r="C72" s="13" t="s">
        <v>1507</v>
      </c>
      <c r="D72" s="13" t="s">
        <v>716</v>
      </c>
      <c r="E72" s="52">
        <f>1.166+0.913</f>
        <v>2.0789999999999997</v>
      </c>
      <c r="F72" s="24" t="s">
        <v>2708</v>
      </c>
      <c r="G72" s="1" t="s">
        <v>3534</v>
      </c>
      <c r="H72" s="4" t="s">
        <v>3249</v>
      </c>
      <c r="I72" s="110">
        <v>45222</v>
      </c>
    </row>
    <row r="73" spans="1:9">
      <c r="A73" s="66" t="s">
        <v>3533</v>
      </c>
      <c r="B73" s="103">
        <v>45262</v>
      </c>
      <c r="C73" s="13" t="s">
        <v>1365</v>
      </c>
      <c r="D73" s="13" t="s">
        <v>716</v>
      </c>
      <c r="E73" s="52">
        <v>1.214</v>
      </c>
      <c r="F73" s="24" t="s">
        <v>2708</v>
      </c>
      <c r="G73" s="1" t="s">
        <v>3534</v>
      </c>
      <c r="H73" s="4" t="s">
        <v>3249</v>
      </c>
      <c r="I73" s="110">
        <v>45222</v>
      </c>
    </row>
    <row r="74" spans="1:9">
      <c r="A74" s="66" t="s">
        <v>3535</v>
      </c>
      <c r="B74" s="103">
        <v>45262</v>
      </c>
      <c r="C74" s="13" t="s">
        <v>1756</v>
      </c>
      <c r="D74" s="13" t="s">
        <v>716</v>
      </c>
      <c r="E74" s="52">
        <v>3.044</v>
      </c>
      <c r="F74" s="24" t="s">
        <v>2708</v>
      </c>
      <c r="G74" s="1" t="s">
        <v>3536</v>
      </c>
      <c r="H74" s="1" t="s">
        <v>3268</v>
      </c>
      <c r="I74" s="110">
        <v>45227</v>
      </c>
    </row>
    <row r="75" spans="1:9">
      <c r="A75" s="66" t="s">
        <v>3535</v>
      </c>
      <c r="B75" s="103">
        <v>45262</v>
      </c>
      <c r="C75" s="13" t="s">
        <v>1738</v>
      </c>
      <c r="D75" s="13" t="s">
        <v>716</v>
      </c>
      <c r="E75" s="52">
        <v>2.3450000000000002</v>
      </c>
      <c r="F75" s="24" t="s">
        <v>2708</v>
      </c>
      <c r="G75" s="1" t="s">
        <v>3536</v>
      </c>
      <c r="H75" s="1" t="s">
        <v>3268</v>
      </c>
      <c r="I75" s="110">
        <v>45227</v>
      </c>
    </row>
    <row r="76" spans="1:9">
      <c r="A76" s="66" t="s">
        <v>3535</v>
      </c>
      <c r="B76" s="103">
        <v>45262</v>
      </c>
      <c r="C76" s="13" t="s">
        <v>1365</v>
      </c>
      <c r="D76" s="13" t="s">
        <v>716</v>
      </c>
      <c r="E76" s="52">
        <v>0.98499999999999999</v>
      </c>
      <c r="F76" s="24" t="s">
        <v>2708</v>
      </c>
      <c r="G76" s="1" t="s">
        <v>3536</v>
      </c>
      <c r="H76" s="1" t="s">
        <v>3268</v>
      </c>
      <c r="I76" s="110">
        <v>45227</v>
      </c>
    </row>
    <row r="77" spans="1:9">
      <c r="A77" s="66" t="s">
        <v>3535</v>
      </c>
      <c r="B77" s="103">
        <v>45262</v>
      </c>
      <c r="C77" s="13" t="s">
        <v>1341</v>
      </c>
      <c r="D77" s="13" t="s">
        <v>716</v>
      </c>
      <c r="E77" s="52">
        <v>0.59699999999999998</v>
      </c>
      <c r="F77" s="24" t="s">
        <v>2708</v>
      </c>
      <c r="G77" s="1" t="s">
        <v>3536</v>
      </c>
      <c r="H77" s="1" t="s">
        <v>3268</v>
      </c>
      <c r="I77" s="110">
        <v>45227</v>
      </c>
    </row>
    <row r="78" spans="1:9">
      <c r="A78" s="66" t="s">
        <v>3535</v>
      </c>
      <c r="B78" s="103">
        <v>45262</v>
      </c>
      <c r="C78" s="13" t="s">
        <v>1640</v>
      </c>
      <c r="D78" s="13" t="s">
        <v>716</v>
      </c>
      <c r="E78" s="52">
        <v>1.29</v>
      </c>
      <c r="F78" s="24" t="s">
        <v>2708</v>
      </c>
      <c r="G78" s="1" t="s">
        <v>3536</v>
      </c>
      <c r="H78" s="1" t="s">
        <v>3268</v>
      </c>
      <c r="I78" s="110">
        <v>45227</v>
      </c>
    </row>
    <row r="79" spans="1:9">
      <c r="A79" s="66" t="s">
        <v>3537</v>
      </c>
      <c r="B79" s="103">
        <v>45262</v>
      </c>
      <c r="C79" s="13" t="s">
        <v>1756</v>
      </c>
      <c r="D79" s="13" t="s">
        <v>716</v>
      </c>
      <c r="E79" s="52">
        <v>0.95599999999999996</v>
      </c>
      <c r="F79" s="24" t="s">
        <v>2708</v>
      </c>
      <c r="G79" s="1" t="s">
        <v>3536</v>
      </c>
      <c r="H79" s="1" t="s">
        <v>3271</v>
      </c>
      <c r="I79" s="110">
        <v>45227</v>
      </c>
    </row>
    <row r="80" spans="1:9">
      <c r="A80" s="66" t="s">
        <v>3537</v>
      </c>
      <c r="B80" s="103">
        <v>45262</v>
      </c>
      <c r="C80" s="13" t="s">
        <v>1738</v>
      </c>
      <c r="D80" s="13" t="s">
        <v>716</v>
      </c>
      <c r="E80" s="52">
        <v>8.6999999999999994E-2</v>
      </c>
      <c r="F80" s="24" t="s">
        <v>2708</v>
      </c>
      <c r="G80" s="1" t="s">
        <v>3536</v>
      </c>
      <c r="H80" s="1" t="s">
        <v>3271</v>
      </c>
      <c r="I80" s="110">
        <v>45227</v>
      </c>
    </row>
    <row r="81" spans="1:9">
      <c r="A81" s="66" t="s">
        <v>3537</v>
      </c>
      <c r="B81" s="103">
        <v>45262</v>
      </c>
      <c r="C81" s="13" t="s">
        <v>1365</v>
      </c>
      <c r="D81" s="13" t="s">
        <v>716</v>
      </c>
      <c r="E81" s="52">
        <v>0.79200000000000004</v>
      </c>
      <c r="F81" s="24" t="s">
        <v>2708</v>
      </c>
      <c r="G81" s="1" t="s">
        <v>3536</v>
      </c>
      <c r="H81" s="1" t="s">
        <v>3271</v>
      </c>
      <c r="I81" s="110">
        <v>45227</v>
      </c>
    </row>
    <row r="82" spans="1:9">
      <c r="A82" s="66" t="s">
        <v>3537</v>
      </c>
      <c r="B82" s="103">
        <v>45262</v>
      </c>
      <c r="C82" s="13" t="s">
        <v>1341</v>
      </c>
      <c r="D82" s="13" t="s">
        <v>716</v>
      </c>
      <c r="E82" s="52">
        <v>0.874</v>
      </c>
      <c r="F82" s="24" t="s">
        <v>2708</v>
      </c>
      <c r="G82" s="1" t="s">
        <v>3536</v>
      </c>
      <c r="H82" s="1" t="s">
        <v>3271</v>
      </c>
      <c r="I82" s="110">
        <v>45227</v>
      </c>
    </row>
    <row r="83" spans="1:9">
      <c r="A83" s="66" t="s">
        <v>3537</v>
      </c>
      <c r="B83" s="103">
        <v>45262</v>
      </c>
      <c r="C83" s="13" t="s">
        <v>1342</v>
      </c>
      <c r="D83" s="13" t="s">
        <v>716</v>
      </c>
      <c r="E83" s="52">
        <v>0.25800000000000001</v>
      </c>
      <c r="F83" s="24" t="s">
        <v>2708</v>
      </c>
      <c r="G83" s="1" t="s">
        <v>3536</v>
      </c>
      <c r="H83" s="1" t="s">
        <v>3271</v>
      </c>
      <c r="I83" s="110">
        <v>45227</v>
      </c>
    </row>
    <row r="84" spans="1:9">
      <c r="A84" s="66" t="s">
        <v>3537</v>
      </c>
      <c r="B84" s="103">
        <v>45262</v>
      </c>
      <c r="C84" s="13" t="s">
        <v>1640</v>
      </c>
      <c r="D84" s="13" t="s">
        <v>716</v>
      </c>
      <c r="E84" s="52">
        <v>0.28100000000000003</v>
      </c>
      <c r="F84" s="24" t="s">
        <v>2708</v>
      </c>
      <c r="G84" s="1" t="s">
        <v>3536</v>
      </c>
      <c r="H84" s="1" t="s">
        <v>3271</v>
      </c>
      <c r="I84" s="110">
        <v>45227</v>
      </c>
    </row>
    <row r="85" spans="1:9">
      <c r="A85" s="66" t="s">
        <v>3537</v>
      </c>
      <c r="B85" s="103">
        <v>45262</v>
      </c>
      <c r="C85" s="13" t="s">
        <v>1256</v>
      </c>
      <c r="D85" s="13" t="s">
        <v>716</v>
      </c>
      <c r="E85" s="52">
        <v>0.161</v>
      </c>
      <c r="F85" s="24" t="s">
        <v>2708</v>
      </c>
      <c r="G85" s="1" t="s">
        <v>3536</v>
      </c>
      <c r="H85" s="1" t="s">
        <v>3271</v>
      </c>
      <c r="I85" s="110">
        <v>45227</v>
      </c>
    </row>
    <row r="86" spans="1:9">
      <c r="A86" s="66" t="s">
        <v>3538</v>
      </c>
      <c r="B86" s="103">
        <v>45262</v>
      </c>
      <c r="C86" s="13" t="s">
        <v>1500</v>
      </c>
      <c r="D86" s="13" t="s">
        <v>716</v>
      </c>
      <c r="E86" s="104">
        <v>2.8660000000000001</v>
      </c>
      <c r="F86" s="24" t="s">
        <v>2708</v>
      </c>
      <c r="G86" s="1" t="s">
        <v>3536</v>
      </c>
      <c r="H86" s="1" t="s">
        <v>3170</v>
      </c>
      <c r="I86" s="110">
        <v>45227</v>
      </c>
    </row>
    <row r="87" spans="1:9">
      <c r="A87" s="66" t="s">
        <v>3538</v>
      </c>
      <c r="B87" s="103">
        <v>45262</v>
      </c>
      <c r="C87" s="13" t="s">
        <v>2721</v>
      </c>
      <c r="D87" s="13" t="s">
        <v>716</v>
      </c>
      <c r="E87" s="104">
        <v>1.425</v>
      </c>
      <c r="F87" s="24" t="s">
        <v>2708</v>
      </c>
      <c r="G87" s="1" t="s">
        <v>3536</v>
      </c>
      <c r="H87" s="1" t="s">
        <v>3170</v>
      </c>
      <c r="I87" s="110">
        <v>45227</v>
      </c>
    </row>
    <row r="88" spans="1:9">
      <c r="A88" s="66" t="s">
        <v>3538</v>
      </c>
      <c r="B88" s="103">
        <v>45262</v>
      </c>
      <c r="C88" s="13" t="s">
        <v>1387</v>
      </c>
      <c r="D88" s="13" t="s">
        <v>716</v>
      </c>
      <c r="E88" s="104">
        <v>4.3090000000000002</v>
      </c>
      <c r="F88" s="24" t="s">
        <v>2708</v>
      </c>
      <c r="G88" s="1" t="s">
        <v>3536</v>
      </c>
      <c r="H88" s="1" t="s">
        <v>3170</v>
      </c>
      <c r="I88" s="110">
        <v>45227</v>
      </c>
    </row>
    <row r="89" spans="1:9">
      <c r="A89" s="66" t="s">
        <v>3539</v>
      </c>
      <c r="B89" s="103">
        <v>45262</v>
      </c>
      <c r="C89" s="13" t="s">
        <v>2978</v>
      </c>
      <c r="D89" s="13" t="s">
        <v>716</v>
      </c>
      <c r="E89" s="104">
        <v>0.39200000000000002</v>
      </c>
      <c r="F89" s="24" t="s">
        <v>2708</v>
      </c>
      <c r="G89" s="1" t="s">
        <v>3536</v>
      </c>
      <c r="H89" s="1" t="s">
        <v>3540</v>
      </c>
      <c r="I89" s="110">
        <v>45252</v>
      </c>
    </row>
    <row r="90" spans="1:9">
      <c r="A90" s="1"/>
      <c r="B90" s="3"/>
      <c r="C90" s="11"/>
      <c r="D90" s="1"/>
      <c r="E90" s="54">
        <f>SUM(E68:E89)</f>
        <v>32.656000000000006</v>
      </c>
      <c r="F90" s="24"/>
      <c r="G90" s="1"/>
      <c r="H90" s="1"/>
      <c r="I90" s="3"/>
    </row>
    <row r="91" spans="1:9">
      <c r="A91" s="66" t="s">
        <v>3574</v>
      </c>
      <c r="B91" s="103">
        <v>45264</v>
      </c>
      <c r="C91" s="13" t="s">
        <v>1756</v>
      </c>
      <c r="D91" s="13" t="s">
        <v>716</v>
      </c>
      <c r="E91" s="104">
        <f>6.283+8.934</f>
        <v>15.216999999999999</v>
      </c>
      <c r="F91" s="24" t="s">
        <v>717</v>
      </c>
      <c r="G91" s="1" t="s">
        <v>3575</v>
      </c>
      <c r="H91" s="1" t="s">
        <v>3170</v>
      </c>
      <c r="I91" s="110">
        <v>45227</v>
      </c>
    </row>
    <row r="92" spans="1:9">
      <c r="A92" s="66" t="s">
        <v>3574</v>
      </c>
      <c r="B92" s="103">
        <v>45264</v>
      </c>
      <c r="C92" s="13" t="s">
        <v>1459</v>
      </c>
      <c r="D92" s="13" t="s">
        <v>716</v>
      </c>
      <c r="E92" s="104">
        <f>16.403+2.025</f>
        <v>18.427999999999997</v>
      </c>
      <c r="F92" s="24" t="s">
        <v>717</v>
      </c>
      <c r="G92" s="1" t="s">
        <v>3575</v>
      </c>
      <c r="H92" s="1" t="s">
        <v>3170</v>
      </c>
      <c r="I92" s="110">
        <v>45227</v>
      </c>
    </row>
    <row r="93" spans="1:9">
      <c r="A93" s="66" t="s">
        <v>3574</v>
      </c>
      <c r="B93" s="103">
        <v>45264</v>
      </c>
      <c r="C93" s="13" t="s">
        <v>1350</v>
      </c>
      <c r="D93" s="13" t="s">
        <v>716</v>
      </c>
      <c r="E93" s="104">
        <v>6.0069999999999997</v>
      </c>
      <c r="F93" s="24" t="s">
        <v>717</v>
      </c>
      <c r="G93" s="1" t="s">
        <v>3575</v>
      </c>
      <c r="H93" s="1" t="s">
        <v>3170</v>
      </c>
      <c r="I93" s="110">
        <v>45227</v>
      </c>
    </row>
    <row r="94" spans="1:9">
      <c r="A94" s="1"/>
      <c r="B94" s="3"/>
      <c r="C94" s="11"/>
      <c r="D94" s="1"/>
      <c r="E94" s="54">
        <f>SUM(E91:E93)</f>
        <v>39.651999999999994</v>
      </c>
      <c r="F94" s="24"/>
      <c r="G94" s="1"/>
      <c r="H94" s="1"/>
      <c r="I94" s="3"/>
    </row>
    <row r="95" spans="1:9">
      <c r="A95" s="66" t="s">
        <v>3596</v>
      </c>
      <c r="B95" s="103">
        <v>45266</v>
      </c>
      <c r="C95" s="13" t="s">
        <v>1801</v>
      </c>
      <c r="D95" s="13" t="s">
        <v>716</v>
      </c>
      <c r="E95" s="104">
        <v>12.385999999999999</v>
      </c>
      <c r="F95" s="24" t="s">
        <v>573</v>
      </c>
      <c r="G95" s="1" t="s">
        <v>3597</v>
      </c>
      <c r="H95" s="1" t="s">
        <v>3170</v>
      </c>
      <c r="I95" s="110">
        <v>45227</v>
      </c>
    </row>
    <row r="96" spans="1:9">
      <c r="A96" s="66" t="s">
        <v>3596</v>
      </c>
      <c r="B96" s="103">
        <v>45266</v>
      </c>
      <c r="C96" s="13" t="s">
        <v>1756</v>
      </c>
      <c r="D96" s="13" t="s">
        <v>716</v>
      </c>
      <c r="E96" s="104">
        <f>4.937+15.027</f>
        <v>19.963999999999999</v>
      </c>
      <c r="F96" s="24" t="s">
        <v>573</v>
      </c>
      <c r="G96" s="1" t="s">
        <v>3597</v>
      </c>
      <c r="H96" s="1" t="s">
        <v>3170</v>
      </c>
      <c r="I96" s="110">
        <v>45227</v>
      </c>
    </row>
    <row r="97" spans="1:9">
      <c r="A97" s="66" t="s">
        <v>3598</v>
      </c>
      <c r="B97" s="103">
        <v>45266</v>
      </c>
      <c r="C97" s="13" t="s">
        <v>1801</v>
      </c>
      <c r="D97" s="13" t="s">
        <v>716</v>
      </c>
      <c r="E97" s="104">
        <f>10.328+7.658</f>
        <v>17.986000000000001</v>
      </c>
      <c r="F97" s="24" t="s">
        <v>3599</v>
      </c>
      <c r="G97" s="1" t="s">
        <v>3600</v>
      </c>
      <c r="H97" s="1" t="s">
        <v>3170</v>
      </c>
      <c r="I97" s="110">
        <v>45227</v>
      </c>
    </row>
    <row r="98" spans="1:9">
      <c r="A98" s="66" t="s">
        <v>3598</v>
      </c>
      <c r="B98" s="103">
        <v>45266</v>
      </c>
      <c r="C98" s="13" t="s">
        <v>1756</v>
      </c>
      <c r="D98" s="13" t="s">
        <v>716</v>
      </c>
      <c r="E98" s="104">
        <v>15.005000000000001</v>
      </c>
      <c r="F98" s="24" t="s">
        <v>3599</v>
      </c>
      <c r="G98" s="1" t="s">
        <v>3600</v>
      </c>
      <c r="H98" s="1" t="s">
        <v>3170</v>
      </c>
      <c r="I98" s="110">
        <v>45227</v>
      </c>
    </row>
    <row r="99" spans="1:9">
      <c r="A99" s="1"/>
      <c r="B99" s="3"/>
      <c r="C99" s="11"/>
      <c r="D99" s="1"/>
      <c r="E99" s="54">
        <f>SUM(E95:E98)</f>
        <v>65.340999999999994</v>
      </c>
      <c r="F99" s="24"/>
      <c r="G99" s="1"/>
      <c r="H99" s="1"/>
      <c r="I99" s="3"/>
    </row>
    <row r="100" spans="1:9">
      <c r="A100" s="66" t="s">
        <v>3625</v>
      </c>
      <c r="B100" s="103">
        <v>45268</v>
      </c>
      <c r="C100" s="13" t="s">
        <v>1756</v>
      </c>
      <c r="D100" s="13" t="s">
        <v>716</v>
      </c>
      <c r="E100" s="104">
        <f>16.308+22.746</f>
        <v>39.054000000000002</v>
      </c>
      <c r="F100" s="102" t="s">
        <v>3626</v>
      </c>
      <c r="G100" s="4" t="s">
        <v>3627</v>
      </c>
      <c r="H100" s="4" t="s">
        <v>3170</v>
      </c>
      <c r="I100" s="110">
        <v>45227</v>
      </c>
    </row>
    <row r="101" spans="1:9">
      <c r="A101" s="66" t="s">
        <v>3628</v>
      </c>
      <c r="B101" s="103">
        <v>45268</v>
      </c>
      <c r="C101" s="13" t="s">
        <v>1756</v>
      </c>
      <c r="D101" s="13" t="s">
        <v>716</v>
      </c>
      <c r="E101" s="104">
        <f>2.609+2.312</f>
        <v>4.9209999999999994</v>
      </c>
      <c r="F101" s="102" t="s">
        <v>2970</v>
      </c>
      <c r="G101" s="4" t="s">
        <v>3629</v>
      </c>
      <c r="H101" s="4" t="s">
        <v>3170</v>
      </c>
      <c r="I101" s="110">
        <v>45227</v>
      </c>
    </row>
    <row r="102" spans="1:9">
      <c r="A102" s="66" t="s">
        <v>3628</v>
      </c>
      <c r="B102" s="103">
        <v>45268</v>
      </c>
      <c r="C102" s="13" t="s">
        <v>1801</v>
      </c>
      <c r="D102" s="13" t="s">
        <v>716</v>
      </c>
      <c r="E102" s="104">
        <v>22.52</v>
      </c>
      <c r="F102" s="102" t="s">
        <v>2970</v>
      </c>
      <c r="G102" s="4" t="s">
        <v>3629</v>
      </c>
      <c r="H102" s="4" t="s">
        <v>3170</v>
      </c>
      <c r="I102" s="110">
        <v>45227</v>
      </c>
    </row>
    <row r="103" spans="1:9">
      <c r="A103" s="66" t="s">
        <v>3630</v>
      </c>
      <c r="B103" s="103">
        <v>45268</v>
      </c>
      <c r="C103" s="13" t="s">
        <v>1350</v>
      </c>
      <c r="D103" s="13" t="s">
        <v>716</v>
      </c>
      <c r="E103" s="104">
        <v>1.157</v>
      </c>
      <c r="F103" s="102" t="s">
        <v>2970</v>
      </c>
      <c r="G103" s="4" t="s">
        <v>3632</v>
      </c>
      <c r="H103" s="4" t="s">
        <v>3246</v>
      </c>
      <c r="I103" s="110">
        <v>45215</v>
      </c>
    </row>
    <row r="104" spans="1:9">
      <c r="A104" s="66" t="s">
        <v>3631</v>
      </c>
      <c r="B104" s="103">
        <v>45268</v>
      </c>
      <c r="C104" s="13" t="s">
        <v>1507</v>
      </c>
      <c r="D104" s="13" t="s">
        <v>716</v>
      </c>
      <c r="E104" s="104">
        <v>0.52900000000000003</v>
      </c>
      <c r="F104" s="102" t="s">
        <v>2970</v>
      </c>
      <c r="G104" s="4" t="s">
        <v>3632</v>
      </c>
      <c r="H104" s="4" t="s">
        <v>3249</v>
      </c>
      <c r="I104" s="110">
        <v>45222</v>
      </c>
    </row>
    <row r="105" spans="1:9">
      <c r="A105" s="66" t="s">
        <v>3633</v>
      </c>
      <c r="B105" s="103">
        <v>45268</v>
      </c>
      <c r="C105" s="13" t="s">
        <v>1317</v>
      </c>
      <c r="D105" s="13" t="s">
        <v>716</v>
      </c>
      <c r="E105" s="104">
        <v>0.09</v>
      </c>
      <c r="F105" s="102" t="s">
        <v>2970</v>
      </c>
      <c r="G105" s="4" t="s">
        <v>3634</v>
      </c>
      <c r="H105" s="4" t="s">
        <v>3268</v>
      </c>
      <c r="I105" s="110">
        <v>45227</v>
      </c>
    </row>
    <row r="106" spans="1:9">
      <c r="A106" s="66" t="s">
        <v>3633</v>
      </c>
      <c r="B106" s="103">
        <v>45268</v>
      </c>
      <c r="C106" s="13" t="s">
        <v>1341</v>
      </c>
      <c r="D106" s="13" t="s">
        <v>716</v>
      </c>
      <c r="E106" s="104">
        <v>0.77800000000000002</v>
      </c>
      <c r="F106" s="102" t="s">
        <v>2970</v>
      </c>
      <c r="G106" s="4" t="s">
        <v>3634</v>
      </c>
      <c r="H106" s="4" t="s">
        <v>3268</v>
      </c>
      <c r="I106" s="110">
        <v>45227</v>
      </c>
    </row>
    <row r="107" spans="1:9">
      <c r="A107" s="66" t="s">
        <v>3633</v>
      </c>
      <c r="B107" s="103">
        <v>45268</v>
      </c>
      <c r="C107" s="13" t="s">
        <v>1640</v>
      </c>
      <c r="D107" s="13" t="s">
        <v>716</v>
      </c>
      <c r="E107" s="104">
        <v>0.40400000000000003</v>
      </c>
      <c r="F107" s="102" t="s">
        <v>2970</v>
      </c>
      <c r="G107" s="4" t="s">
        <v>3634</v>
      </c>
      <c r="H107" s="4" t="s">
        <v>3268</v>
      </c>
      <c r="I107" s="110">
        <v>45227</v>
      </c>
    </row>
    <row r="108" spans="1:9">
      <c r="A108" s="66" t="s">
        <v>3633</v>
      </c>
      <c r="B108" s="103">
        <v>45268</v>
      </c>
      <c r="C108" s="13" t="s">
        <v>1768</v>
      </c>
      <c r="D108" s="13" t="s">
        <v>716</v>
      </c>
      <c r="E108" s="104">
        <v>0.49399999999999999</v>
      </c>
      <c r="F108" s="102" t="s">
        <v>2970</v>
      </c>
      <c r="G108" s="4" t="s">
        <v>3634</v>
      </c>
      <c r="H108" s="4" t="s">
        <v>3268</v>
      </c>
      <c r="I108" s="110">
        <v>45227</v>
      </c>
    </row>
    <row r="109" spans="1:9">
      <c r="A109" s="66" t="s">
        <v>3633</v>
      </c>
      <c r="B109" s="103">
        <v>45268</v>
      </c>
      <c r="C109" s="13" t="s">
        <v>1352</v>
      </c>
      <c r="D109" s="13" t="s">
        <v>716</v>
      </c>
      <c r="E109" s="104">
        <v>0.33100000000000002</v>
      </c>
      <c r="F109" s="102" t="s">
        <v>2970</v>
      </c>
      <c r="G109" s="4" t="s">
        <v>3634</v>
      </c>
      <c r="H109" s="4" t="s">
        <v>3268</v>
      </c>
      <c r="I109" s="110">
        <v>45227</v>
      </c>
    </row>
    <row r="110" spans="1:9">
      <c r="A110" s="66" t="s">
        <v>3633</v>
      </c>
      <c r="B110" s="103">
        <v>45268</v>
      </c>
      <c r="C110" s="13" t="s">
        <v>1823</v>
      </c>
      <c r="D110" s="13" t="s">
        <v>716</v>
      </c>
      <c r="E110" s="104">
        <f>0.567+0.639</f>
        <v>1.206</v>
      </c>
      <c r="F110" s="102" t="s">
        <v>2970</v>
      </c>
      <c r="G110" s="4" t="s">
        <v>3634</v>
      </c>
      <c r="H110" s="4" t="s">
        <v>3268</v>
      </c>
      <c r="I110" s="110">
        <v>45227</v>
      </c>
    </row>
    <row r="111" spans="1:9">
      <c r="A111" s="66" t="s">
        <v>3635</v>
      </c>
      <c r="B111" s="103">
        <v>45268</v>
      </c>
      <c r="C111" s="13" t="s">
        <v>1823</v>
      </c>
      <c r="D111" s="13" t="s">
        <v>716</v>
      </c>
      <c r="E111" s="104">
        <v>0.53300000000000003</v>
      </c>
      <c r="F111" s="102" t="s">
        <v>2970</v>
      </c>
      <c r="G111" s="4" t="s">
        <v>3636</v>
      </c>
      <c r="H111" s="4" t="s">
        <v>3271</v>
      </c>
      <c r="I111" s="110">
        <v>45227</v>
      </c>
    </row>
    <row r="112" spans="1:9">
      <c r="A112" s="66" t="s">
        <v>3637</v>
      </c>
      <c r="B112" s="103">
        <v>45268</v>
      </c>
      <c r="C112" s="13" t="s">
        <v>1756</v>
      </c>
      <c r="D112" s="13" t="s">
        <v>716</v>
      </c>
      <c r="E112" s="104">
        <v>24.073</v>
      </c>
      <c r="F112" s="102" t="s">
        <v>3639</v>
      </c>
      <c r="G112" s="4" t="s">
        <v>3638</v>
      </c>
      <c r="H112" s="4" t="s">
        <v>3271</v>
      </c>
      <c r="I112" s="110">
        <v>45227</v>
      </c>
    </row>
    <row r="113" spans="1:9">
      <c r="A113" s="66" t="s">
        <v>3637</v>
      </c>
      <c r="B113" s="103">
        <v>45268</v>
      </c>
      <c r="C113" s="13" t="s">
        <v>1801</v>
      </c>
      <c r="D113" s="13" t="s">
        <v>716</v>
      </c>
      <c r="E113" s="104">
        <v>8.6639999999999997</v>
      </c>
      <c r="F113" s="102" t="s">
        <v>3639</v>
      </c>
      <c r="G113" s="4" t="s">
        <v>3638</v>
      </c>
      <c r="H113" s="4" t="s">
        <v>3271</v>
      </c>
      <c r="I113" s="110">
        <v>45227</v>
      </c>
    </row>
    <row r="114" spans="1:9">
      <c r="A114" s="66" t="s">
        <v>3642</v>
      </c>
      <c r="B114" s="103">
        <v>45268</v>
      </c>
      <c r="C114" s="13" t="s">
        <v>1738</v>
      </c>
      <c r="D114" s="13" t="s">
        <v>716</v>
      </c>
      <c r="E114" s="104">
        <f>16.673+0.125</f>
        <v>16.797999999999998</v>
      </c>
      <c r="F114" s="102" t="s">
        <v>559</v>
      </c>
      <c r="G114" s="4" t="s">
        <v>3643</v>
      </c>
      <c r="H114" s="4" t="s">
        <v>3170</v>
      </c>
      <c r="I114" s="110">
        <v>45227</v>
      </c>
    </row>
    <row r="115" spans="1:9">
      <c r="A115" s="66" t="s">
        <v>3642</v>
      </c>
      <c r="B115" s="103">
        <v>45268</v>
      </c>
      <c r="C115" s="13" t="s">
        <v>1756</v>
      </c>
      <c r="D115" s="13" t="s">
        <v>716</v>
      </c>
      <c r="E115" s="104">
        <v>5.5739999999999998</v>
      </c>
      <c r="F115" s="102" t="s">
        <v>559</v>
      </c>
      <c r="G115" s="4" t="s">
        <v>3643</v>
      </c>
      <c r="H115" s="4" t="s">
        <v>3170</v>
      </c>
      <c r="I115" s="110">
        <v>45227</v>
      </c>
    </row>
    <row r="116" spans="1:9">
      <c r="A116" s="66" t="s">
        <v>3644</v>
      </c>
      <c r="B116" s="103">
        <v>45268</v>
      </c>
      <c r="C116" s="13" t="s">
        <v>1271</v>
      </c>
      <c r="D116" s="13" t="s">
        <v>716</v>
      </c>
      <c r="E116" s="104">
        <v>3.992</v>
      </c>
      <c r="F116" s="102" t="s">
        <v>559</v>
      </c>
      <c r="G116" s="4" t="s">
        <v>3645</v>
      </c>
      <c r="H116" s="4" t="s">
        <v>3268</v>
      </c>
      <c r="I116" s="110">
        <v>45227</v>
      </c>
    </row>
    <row r="117" spans="1:9">
      <c r="A117" s="66" t="s">
        <v>3644</v>
      </c>
      <c r="B117" s="103">
        <v>45268</v>
      </c>
      <c r="C117" s="13" t="s">
        <v>1478</v>
      </c>
      <c r="D117" s="13" t="s">
        <v>716</v>
      </c>
      <c r="E117" s="104">
        <v>4.6900000000000004</v>
      </c>
      <c r="F117" s="102" t="s">
        <v>559</v>
      </c>
      <c r="G117" s="4" t="s">
        <v>3645</v>
      </c>
      <c r="H117" s="4" t="s">
        <v>3268</v>
      </c>
      <c r="I117" s="110">
        <v>45227</v>
      </c>
    </row>
    <row r="118" spans="1:9">
      <c r="A118" s="66" t="s">
        <v>3646</v>
      </c>
      <c r="B118" s="103">
        <v>45268</v>
      </c>
      <c r="C118" s="13" t="s">
        <v>1271</v>
      </c>
      <c r="D118" s="13" t="s">
        <v>716</v>
      </c>
      <c r="E118" s="104">
        <v>0.218</v>
      </c>
      <c r="F118" s="102" t="s">
        <v>559</v>
      </c>
      <c r="G118" s="4" t="s">
        <v>3645</v>
      </c>
      <c r="H118" s="4" t="s">
        <v>3271</v>
      </c>
      <c r="I118" s="110">
        <v>45227</v>
      </c>
    </row>
    <row r="119" spans="1:9">
      <c r="A119" s="66" t="s">
        <v>3646</v>
      </c>
      <c r="B119" s="103">
        <v>45268</v>
      </c>
      <c r="C119" s="13" t="s">
        <v>1478</v>
      </c>
      <c r="D119" s="13" t="s">
        <v>716</v>
      </c>
      <c r="E119" s="104">
        <v>0.316</v>
      </c>
      <c r="F119" s="102" t="s">
        <v>559</v>
      </c>
      <c r="G119" s="4" t="s">
        <v>3645</v>
      </c>
      <c r="H119" s="4" t="s">
        <v>3271</v>
      </c>
      <c r="I119" s="110">
        <v>45227</v>
      </c>
    </row>
    <row r="120" spans="1:9">
      <c r="A120" s="66" t="s">
        <v>3647</v>
      </c>
      <c r="B120" s="103">
        <v>45268</v>
      </c>
      <c r="C120" s="13" t="s">
        <v>1367</v>
      </c>
      <c r="D120" s="13" t="s">
        <v>716</v>
      </c>
      <c r="E120" s="104">
        <v>0.98399999999999999</v>
      </c>
      <c r="F120" s="102" t="s">
        <v>559</v>
      </c>
      <c r="G120" s="4" t="s">
        <v>3645</v>
      </c>
      <c r="H120" s="4" t="s">
        <v>3249</v>
      </c>
      <c r="I120" s="110">
        <v>45222</v>
      </c>
    </row>
    <row r="121" spans="1:9">
      <c r="A121" s="1"/>
      <c r="B121" s="3"/>
      <c r="C121" s="11"/>
      <c r="D121" s="1"/>
      <c r="E121" s="54">
        <f>SUM(E100:E120)</f>
        <v>137.32599999999999</v>
      </c>
      <c r="F121" s="24"/>
      <c r="G121" s="1"/>
      <c r="H121" s="1"/>
      <c r="I121" s="3"/>
    </row>
    <row r="122" spans="1:9">
      <c r="A122" s="66" t="s">
        <v>3656</v>
      </c>
      <c r="B122" s="103">
        <v>45269</v>
      </c>
      <c r="C122" s="13" t="s">
        <v>1801</v>
      </c>
      <c r="D122" s="13" t="s">
        <v>716</v>
      </c>
      <c r="E122" s="104">
        <f>9.419+5.926</f>
        <v>15.345000000000001</v>
      </c>
      <c r="F122" s="102" t="s">
        <v>2655</v>
      </c>
      <c r="G122" s="4" t="s">
        <v>3657</v>
      </c>
      <c r="H122" s="4" t="s">
        <v>3170</v>
      </c>
      <c r="I122" s="110">
        <v>45227</v>
      </c>
    </row>
    <row r="123" spans="1:9">
      <c r="A123" s="66" t="s">
        <v>3656</v>
      </c>
      <c r="B123" s="103">
        <v>45269</v>
      </c>
      <c r="C123" s="13" t="s">
        <v>1738</v>
      </c>
      <c r="D123" s="13" t="s">
        <v>716</v>
      </c>
      <c r="E123" s="104">
        <v>16.952000000000002</v>
      </c>
      <c r="F123" s="102" t="s">
        <v>2655</v>
      </c>
      <c r="G123" s="4" t="s">
        <v>3657</v>
      </c>
      <c r="H123" s="4" t="s">
        <v>3170</v>
      </c>
      <c r="I123" s="110">
        <v>45227</v>
      </c>
    </row>
    <row r="124" spans="1:9">
      <c r="A124" s="66" t="s">
        <v>3660</v>
      </c>
      <c r="B124" s="103">
        <v>45269</v>
      </c>
      <c r="C124" s="13" t="s">
        <v>1387</v>
      </c>
      <c r="D124" s="13" t="s">
        <v>716</v>
      </c>
      <c r="E124" s="104">
        <v>3.0760000000000001</v>
      </c>
      <c r="F124" s="102" t="s">
        <v>1899</v>
      </c>
      <c r="G124" s="4" t="s">
        <v>3661</v>
      </c>
      <c r="H124" s="4" t="s">
        <v>3662</v>
      </c>
      <c r="I124" s="110">
        <v>45252</v>
      </c>
    </row>
    <row r="125" spans="1:9">
      <c r="A125" s="66" t="s">
        <v>3660</v>
      </c>
      <c r="B125" s="103">
        <v>45269</v>
      </c>
      <c r="C125" s="13" t="s">
        <v>1321</v>
      </c>
      <c r="D125" s="13" t="s">
        <v>716</v>
      </c>
      <c r="E125" s="104">
        <v>2.3519999999999999</v>
      </c>
      <c r="F125" s="102" t="s">
        <v>1899</v>
      </c>
      <c r="G125" s="4" t="s">
        <v>3661</v>
      </c>
      <c r="H125" s="4" t="s">
        <v>3662</v>
      </c>
      <c r="I125" s="110">
        <v>45252</v>
      </c>
    </row>
    <row r="126" spans="1:9">
      <c r="A126" s="66" t="s">
        <v>3664</v>
      </c>
      <c r="B126" s="103">
        <v>45269</v>
      </c>
      <c r="C126" s="13" t="s">
        <v>1294</v>
      </c>
      <c r="D126" s="13" t="s">
        <v>716</v>
      </c>
      <c r="E126" s="104">
        <v>0.36699999999999999</v>
      </c>
      <c r="F126" s="102" t="s">
        <v>1899</v>
      </c>
      <c r="G126" s="4" t="s">
        <v>3661</v>
      </c>
      <c r="H126" s="4" t="s">
        <v>3268</v>
      </c>
      <c r="I126" s="110">
        <v>45227</v>
      </c>
    </row>
    <row r="127" spans="1:9">
      <c r="A127" s="66" t="s">
        <v>3664</v>
      </c>
      <c r="B127" s="103">
        <v>45269</v>
      </c>
      <c r="C127" s="13" t="s">
        <v>1387</v>
      </c>
      <c r="D127" s="13" t="s">
        <v>716</v>
      </c>
      <c r="E127" s="104">
        <v>1.42</v>
      </c>
      <c r="F127" s="102" t="s">
        <v>1899</v>
      </c>
      <c r="G127" s="4" t="s">
        <v>3661</v>
      </c>
      <c r="H127" s="4" t="s">
        <v>3268</v>
      </c>
      <c r="I127" s="110">
        <v>45227</v>
      </c>
    </row>
    <row r="128" spans="1:9">
      <c r="A128" s="66" t="s">
        <v>3664</v>
      </c>
      <c r="B128" s="103">
        <v>45269</v>
      </c>
      <c r="C128" s="13" t="s">
        <v>1334</v>
      </c>
      <c r="D128" s="13" t="s">
        <v>716</v>
      </c>
      <c r="E128" s="104">
        <v>8.2309999999999999</v>
      </c>
      <c r="F128" s="102" t="s">
        <v>1899</v>
      </c>
      <c r="G128" s="4" t="s">
        <v>3661</v>
      </c>
      <c r="H128" s="4" t="s">
        <v>3268</v>
      </c>
      <c r="I128" s="110">
        <v>45227</v>
      </c>
    </row>
    <row r="129" spans="1:9">
      <c r="A129" s="66" t="s">
        <v>3664</v>
      </c>
      <c r="B129" s="103">
        <v>45269</v>
      </c>
      <c r="C129" s="13" t="s">
        <v>1695</v>
      </c>
      <c r="D129" s="13" t="s">
        <v>716</v>
      </c>
      <c r="E129" s="104">
        <v>0.13800000000000001</v>
      </c>
      <c r="F129" s="102" t="s">
        <v>1899</v>
      </c>
      <c r="G129" s="4" t="s">
        <v>3661</v>
      </c>
      <c r="H129" s="4" t="s">
        <v>3268</v>
      </c>
      <c r="I129" s="110">
        <v>45227</v>
      </c>
    </row>
    <row r="130" spans="1:9">
      <c r="A130" s="66" t="s">
        <v>3664</v>
      </c>
      <c r="B130" s="103">
        <v>45269</v>
      </c>
      <c r="C130" s="13" t="s">
        <v>1673</v>
      </c>
      <c r="D130" s="13" t="s">
        <v>716</v>
      </c>
      <c r="E130" s="104">
        <v>4.26</v>
      </c>
      <c r="F130" s="102" t="s">
        <v>1899</v>
      </c>
      <c r="G130" s="4" t="s">
        <v>3661</v>
      </c>
      <c r="H130" s="4" t="s">
        <v>3268</v>
      </c>
      <c r="I130" s="110">
        <v>45227</v>
      </c>
    </row>
    <row r="131" spans="1:9">
      <c r="A131" s="66" t="s">
        <v>3664</v>
      </c>
      <c r="B131" s="103">
        <v>45269</v>
      </c>
      <c r="C131" s="13" t="s">
        <v>3663</v>
      </c>
      <c r="D131" s="13" t="s">
        <v>716</v>
      </c>
      <c r="E131" s="104">
        <v>1.454</v>
      </c>
      <c r="F131" s="102" t="s">
        <v>1899</v>
      </c>
      <c r="G131" s="4" t="s">
        <v>3661</v>
      </c>
      <c r="H131" s="4" t="s">
        <v>3268</v>
      </c>
      <c r="I131" s="110">
        <v>45227</v>
      </c>
    </row>
    <row r="132" spans="1:9">
      <c r="A132" s="66" t="s">
        <v>3664</v>
      </c>
      <c r="B132" s="103">
        <v>45269</v>
      </c>
      <c r="C132" s="13" t="s">
        <v>1761</v>
      </c>
      <c r="D132" s="13" t="s">
        <v>716</v>
      </c>
      <c r="E132" s="104">
        <v>5.5570000000000004</v>
      </c>
      <c r="F132" s="102" t="s">
        <v>1899</v>
      </c>
      <c r="G132" s="4" t="s">
        <v>3661</v>
      </c>
      <c r="H132" s="4" t="s">
        <v>3268</v>
      </c>
      <c r="I132" s="110">
        <v>45227</v>
      </c>
    </row>
    <row r="133" spans="1:9">
      <c r="A133" s="66" t="s">
        <v>3665</v>
      </c>
      <c r="B133" s="103">
        <v>45269</v>
      </c>
      <c r="C133" s="13" t="s">
        <v>1387</v>
      </c>
      <c r="D133" s="13" t="s">
        <v>716</v>
      </c>
      <c r="E133" s="104">
        <v>0.99399999999999999</v>
      </c>
      <c r="F133" s="102" t="s">
        <v>1899</v>
      </c>
      <c r="G133" s="4" t="s">
        <v>3661</v>
      </c>
      <c r="H133" s="4" t="s">
        <v>3271</v>
      </c>
      <c r="I133" s="110">
        <v>45227</v>
      </c>
    </row>
    <row r="134" spans="1:9">
      <c r="A134" s="66" t="s">
        <v>3665</v>
      </c>
      <c r="B134" s="103">
        <v>45269</v>
      </c>
      <c r="C134" s="13" t="s">
        <v>1294</v>
      </c>
      <c r="D134" s="13" t="s">
        <v>716</v>
      </c>
      <c r="E134" s="104">
        <v>0.09</v>
      </c>
      <c r="F134" s="102" t="s">
        <v>1899</v>
      </c>
      <c r="G134" s="4" t="s">
        <v>3661</v>
      </c>
      <c r="H134" s="4" t="s">
        <v>3271</v>
      </c>
      <c r="I134" s="110">
        <v>45227</v>
      </c>
    </row>
    <row r="135" spans="1:9">
      <c r="A135" s="66" t="s">
        <v>3665</v>
      </c>
      <c r="B135" s="103">
        <v>45269</v>
      </c>
      <c r="C135" s="13" t="s">
        <v>1334</v>
      </c>
      <c r="D135" s="13" t="s">
        <v>716</v>
      </c>
      <c r="E135" s="104">
        <v>1.923</v>
      </c>
      <c r="F135" s="102" t="s">
        <v>1899</v>
      </c>
      <c r="G135" s="4" t="s">
        <v>3661</v>
      </c>
      <c r="H135" s="4" t="s">
        <v>3271</v>
      </c>
      <c r="I135" s="110">
        <v>45227</v>
      </c>
    </row>
    <row r="136" spans="1:9">
      <c r="A136" s="66" t="s">
        <v>3665</v>
      </c>
      <c r="B136" s="103">
        <v>45269</v>
      </c>
      <c r="C136" s="13" t="s">
        <v>1695</v>
      </c>
      <c r="D136" s="13" t="s">
        <v>716</v>
      </c>
      <c r="E136" s="104">
        <v>0.13800000000000001</v>
      </c>
      <c r="F136" s="102" t="s">
        <v>1899</v>
      </c>
      <c r="G136" s="4" t="s">
        <v>3661</v>
      </c>
      <c r="H136" s="4" t="s">
        <v>3271</v>
      </c>
      <c r="I136" s="110">
        <v>45227</v>
      </c>
    </row>
    <row r="137" spans="1:9">
      <c r="A137" s="66" t="s">
        <v>3665</v>
      </c>
      <c r="B137" s="103">
        <v>45269</v>
      </c>
      <c r="C137" s="13" t="s">
        <v>1761</v>
      </c>
      <c r="D137" s="13" t="s">
        <v>716</v>
      </c>
      <c r="E137" s="104">
        <v>2.0609999999999999</v>
      </c>
      <c r="F137" s="102" t="s">
        <v>1899</v>
      </c>
      <c r="G137" s="4" t="s">
        <v>3661</v>
      </c>
      <c r="H137" s="4" t="s">
        <v>3271</v>
      </c>
      <c r="I137" s="110">
        <v>45227</v>
      </c>
    </row>
    <row r="138" spans="1:9">
      <c r="A138" s="1"/>
      <c r="B138" s="3"/>
      <c r="C138" s="11"/>
      <c r="D138" s="1"/>
      <c r="E138" s="54">
        <f>SUM(E122:E137)</f>
        <v>64.358000000000004</v>
      </c>
      <c r="F138" s="24"/>
      <c r="G138" s="1"/>
      <c r="H138" s="1"/>
      <c r="I138" s="3"/>
    </row>
    <row r="139" spans="1:9">
      <c r="A139" s="66" t="s">
        <v>3672</v>
      </c>
      <c r="B139" s="103">
        <v>45270</v>
      </c>
      <c r="C139" s="13" t="s">
        <v>1705</v>
      </c>
      <c r="D139" s="13" t="s">
        <v>716</v>
      </c>
      <c r="E139" s="104">
        <v>32.314</v>
      </c>
      <c r="F139" s="102" t="s">
        <v>2875</v>
      </c>
      <c r="G139" s="4" t="s">
        <v>3673</v>
      </c>
      <c r="H139" s="4" t="s">
        <v>3170</v>
      </c>
      <c r="I139" s="110">
        <v>45227</v>
      </c>
    </row>
    <row r="140" spans="1:9">
      <c r="A140" s="66" t="s">
        <v>3676</v>
      </c>
      <c r="B140" s="103">
        <v>45270</v>
      </c>
      <c r="C140" s="13" t="s">
        <v>1705</v>
      </c>
      <c r="D140" s="13" t="s">
        <v>716</v>
      </c>
      <c r="E140" s="104">
        <v>2.1230000000000002</v>
      </c>
      <c r="F140" s="102" t="s">
        <v>3172</v>
      </c>
      <c r="G140" s="4" t="s">
        <v>3677</v>
      </c>
      <c r="H140" s="4" t="s">
        <v>3268</v>
      </c>
      <c r="I140" s="110">
        <v>45227</v>
      </c>
    </row>
    <row r="141" spans="1:9">
      <c r="A141" s="66" t="s">
        <v>3678</v>
      </c>
      <c r="B141" s="103">
        <v>45270</v>
      </c>
      <c r="C141" s="13" t="s">
        <v>1791</v>
      </c>
      <c r="D141" s="13" t="s">
        <v>716</v>
      </c>
      <c r="E141" s="104">
        <v>30.634</v>
      </c>
      <c r="F141" s="102" t="s">
        <v>3172</v>
      </c>
      <c r="G141" s="4" t="s">
        <v>3677</v>
      </c>
      <c r="H141" s="4" t="s">
        <v>3170</v>
      </c>
      <c r="I141" s="110">
        <v>45227</v>
      </c>
    </row>
    <row r="142" spans="1:9">
      <c r="A142" s="66" t="s">
        <v>3686</v>
      </c>
      <c r="B142" s="103">
        <v>45270</v>
      </c>
      <c r="C142" s="13" t="s">
        <v>1705</v>
      </c>
      <c r="D142" s="13" t="s">
        <v>716</v>
      </c>
      <c r="E142" s="104">
        <v>1.1000000000000001</v>
      </c>
      <c r="F142" s="102" t="s">
        <v>2630</v>
      </c>
      <c r="G142" s="4" t="s">
        <v>3687</v>
      </c>
      <c r="H142" s="4" t="s">
        <v>3170</v>
      </c>
      <c r="I142" s="110">
        <v>45227</v>
      </c>
    </row>
    <row r="143" spans="1:9">
      <c r="A143" s="66" t="s">
        <v>3686</v>
      </c>
      <c r="B143" s="103">
        <v>45270</v>
      </c>
      <c r="C143" s="13" t="s">
        <v>1791</v>
      </c>
      <c r="D143" s="13" t="s">
        <v>716</v>
      </c>
      <c r="E143" s="104">
        <f>5.663+12.942+4.209+8.696</f>
        <v>31.509999999999998</v>
      </c>
      <c r="F143" s="102" t="s">
        <v>2630</v>
      </c>
      <c r="G143" s="4" t="s">
        <v>3687</v>
      </c>
      <c r="H143" s="4" t="s">
        <v>3170</v>
      </c>
      <c r="I143" s="110">
        <v>45227</v>
      </c>
    </row>
    <row r="144" spans="1:9">
      <c r="A144" s="1"/>
      <c r="B144" s="3"/>
      <c r="C144" s="11"/>
      <c r="D144" s="1"/>
      <c r="E144" s="54">
        <f>SUM(E139:E143)</f>
        <v>97.680999999999983</v>
      </c>
      <c r="F144" s="24"/>
      <c r="G144" s="1"/>
      <c r="H144" s="1"/>
      <c r="I144" s="3"/>
    </row>
    <row r="145" spans="1:9" s="112" customFormat="1">
      <c r="A145" s="66" t="s">
        <v>3692</v>
      </c>
      <c r="B145" s="103">
        <v>45271</v>
      </c>
      <c r="C145" s="13" t="s">
        <v>1705</v>
      </c>
      <c r="D145" s="13" t="s">
        <v>716</v>
      </c>
      <c r="E145" s="104">
        <f>15.466+14.271+2.657</f>
        <v>32.394000000000005</v>
      </c>
      <c r="F145" s="102" t="s">
        <v>1235</v>
      </c>
      <c r="G145" s="4" t="s">
        <v>3693</v>
      </c>
      <c r="H145" s="4" t="s">
        <v>3170</v>
      </c>
      <c r="I145" s="110">
        <v>45227</v>
      </c>
    </row>
    <row r="146" spans="1:9" s="112" customFormat="1">
      <c r="A146" s="66" t="s">
        <v>3694</v>
      </c>
      <c r="B146" s="103">
        <v>45271</v>
      </c>
      <c r="C146" s="13" t="s">
        <v>1705</v>
      </c>
      <c r="D146" s="13" t="s">
        <v>716</v>
      </c>
      <c r="E146" s="104">
        <v>31.582000000000001</v>
      </c>
      <c r="F146" s="102" t="s">
        <v>993</v>
      </c>
      <c r="G146" s="4" t="s">
        <v>3695</v>
      </c>
      <c r="H146" s="4" t="s">
        <v>3170</v>
      </c>
      <c r="I146" s="110">
        <v>45227</v>
      </c>
    </row>
    <row r="147" spans="1:9" s="112" customFormat="1">
      <c r="A147" s="66" t="s">
        <v>3696</v>
      </c>
      <c r="B147" s="103">
        <v>45271</v>
      </c>
      <c r="C147" s="13" t="s">
        <v>1350</v>
      </c>
      <c r="D147" s="13" t="s">
        <v>716</v>
      </c>
      <c r="E147" s="104">
        <f>4.827+6.627</f>
        <v>11.454000000000001</v>
      </c>
      <c r="F147" s="102" t="s">
        <v>2614</v>
      </c>
      <c r="G147" s="4" t="s">
        <v>3697</v>
      </c>
      <c r="H147" s="4" t="s">
        <v>3170</v>
      </c>
      <c r="I147" s="110">
        <v>45227</v>
      </c>
    </row>
    <row r="148" spans="1:9" s="112" customFormat="1">
      <c r="A148" s="66" t="s">
        <v>3696</v>
      </c>
      <c r="B148" s="103">
        <v>45271</v>
      </c>
      <c r="C148" s="13" t="s">
        <v>1801</v>
      </c>
      <c r="D148" s="13" t="s">
        <v>716</v>
      </c>
      <c r="E148" s="104">
        <f>3.121+5.253</f>
        <v>8.3740000000000006</v>
      </c>
      <c r="F148" s="102" t="s">
        <v>2614</v>
      </c>
      <c r="G148" s="4" t="s">
        <v>3697</v>
      </c>
      <c r="H148" s="4" t="s">
        <v>3170</v>
      </c>
      <c r="I148" s="110">
        <v>45227</v>
      </c>
    </row>
    <row r="149" spans="1:9" s="112" customFormat="1">
      <c r="A149" s="66" t="s">
        <v>3696</v>
      </c>
      <c r="B149" s="103">
        <v>45271</v>
      </c>
      <c r="C149" s="13" t="s">
        <v>1756</v>
      </c>
      <c r="D149" s="13" t="s">
        <v>716</v>
      </c>
      <c r="E149" s="104">
        <v>5.9690000000000003</v>
      </c>
      <c r="F149" s="102" t="s">
        <v>2614</v>
      </c>
      <c r="G149" s="4" t="s">
        <v>3697</v>
      </c>
      <c r="H149" s="4" t="s">
        <v>3170</v>
      </c>
      <c r="I149" s="110">
        <v>45227</v>
      </c>
    </row>
    <row r="150" spans="1:9" s="112" customFormat="1">
      <c r="A150" s="66" t="s">
        <v>3696</v>
      </c>
      <c r="B150" s="103">
        <v>45271</v>
      </c>
      <c r="C150" s="13" t="s">
        <v>1640</v>
      </c>
      <c r="D150" s="13" t="s">
        <v>716</v>
      </c>
      <c r="E150" s="104">
        <f>0.716+6.226</f>
        <v>6.9420000000000002</v>
      </c>
      <c r="F150" s="102" t="s">
        <v>2614</v>
      </c>
      <c r="G150" s="4" t="s">
        <v>3697</v>
      </c>
      <c r="H150" s="4" t="s">
        <v>3170</v>
      </c>
      <c r="I150" s="110">
        <v>45227</v>
      </c>
    </row>
    <row r="151" spans="1:9" s="112" customFormat="1">
      <c r="A151" s="66" t="s">
        <v>3698</v>
      </c>
      <c r="B151" s="103">
        <v>45271</v>
      </c>
      <c r="C151" s="13" t="s">
        <v>1640</v>
      </c>
      <c r="D151" s="13" t="s">
        <v>716</v>
      </c>
      <c r="E151" s="104">
        <v>32.362000000000002</v>
      </c>
      <c r="F151" s="102" t="s">
        <v>3262</v>
      </c>
      <c r="G151" s="4" t="s">
        <v>3699</v>
      </c>
      <c r="H151" s="4" t="s">
        <v>3170</v>
      </c>
      <c r="I151" s="110">
        <v>45227</v>
      </c>
    </row>
    <row r="152" spans="1:9">
      <c r="A152" s="1"/>
      <c r="B152" s="3"/>
      <c r="C152" s="11"/>
      <c r="D152" s="1"/>
      <c r="E152" s="54">
        <f>SUM(E145:E151)</f>
        <v>129.077</v>
      </c>
      <c r="F152" s="24"/>
      <c r="G152" s="1"/>
      <c r="H152" s="1"/>
      <c r="I152" s="3"/>
    </row>
    <row r="153" spans="1:9">
      <c r="A153" s="66" t="s">
        <v>3705</v>
      </c>
      <c r="B153" s="103">
        <v>45272</v>
      </c>
      <c r="C153" s="13" t="s">
        <v>1695</v>
      </c>
      <c r="D153" s="13" t="s">
        <v>716</v>
      </c>
      <c r="E153" s="104">
        <v>32.905999999999999</v>
      </c>
      <c r="F153" s="24" t="s">
        <v>551</v>
      </c>
      <c r="G153" s="1" t="s">
        <v>3706</v>
      </c>
      <c r="H153" s="4" t="s">
        <v>3170</v>
      </c>
      <c r="I153" s="110">
        <v>45227</v>
      </c>
    </row>
    <row r="154" spans="1:9">
      <c r="A154" s="66" t="s">
        <v>3713</v>
      </c>
      <c r="B154" s="103">
        <v>45272</v>
      </c>
      <c r="C154" s="13" t="s">
        <v>1695</v>
      </c>
      <c r="D154" s="13" t="s">
        <v>716</v>
      </c>
      <c r="E154" s="104">
        <v>32.046999999999997</v>
      </c>
      <c r="F154" s="24" t="s">
        <v>973</v>
      </c>
      <c r="G154" s="1" t="s">
        <v>3714</v>
      </c>
      <c r="H154" s="4" t="s">
        <v>3170</v>
      </c>
      <c r="I154" s="110">
        <v>45227</v>
      </c>
    </row>
    <row r="155" spans="1:9">
      <c r="A155" s="66" t="s">
        <v>3715</v>
      </c>
      <c r="B155" s="103">
        <v>45272</v>
      </c>
      <c r="C155" s="13" t="s">
        <v>1303</v>
      </c>
      <c r="D155" s="13" t="s">
        <v>716</v>
      </c>
      <c r="E155" s="104">
        <v>1.2749999999999999</v>
      </c>
      <c r="F155" s="24" t="s">
        <v>3626</v>
      </c>
      <c r="G155" s="1" t="s">
        <v>3716</v>
      </c>
      <c r="H155" s="4" t="s">
        <v>3268</v>
      </c>
      <c r="I155" s="110">
        <v>45227</v>
      </c>
    </row>
    <row r="156" spans="1:9">
      <c r="A156" s="66" t="s">
        <v>3715</v>
      </c>
      <c r="B156" s="103">
        <v>45272</v>
      </c>
      <c r="C156" s="13" t="s">
        <v>1753</v>
      </c>
      <c r="D156" s="13" t="s">
        <v>716</v>
      </c>
      <c r="E156" s="104">
        <v>2.6509999999999998</v>
      </c>
      <c r="F156" s="24" t="s">
        <v>3626</v>
      </c>
      <c r="G156" s="1" t="s">
        <v>3716</v>
      </c>
      <c r="H156" s="4" t="s">
        <v>3268</v>
      </c>
      <c r="I156" s="110">
        <v>45227</v>
      </c>
    </row>
    <row r="157" spans="1:9">
      <c r="A157" s="66" t="s">
        <v>3717</v>
      </c>
      <c r="B157" s="103">
        <v>45272</v>
      </c>
      <c r="C157" s="13" t="s">
        <v>1753</v>
      </c>
      <c r="D157" s="13" t="s">
        <v>716</v>
      </c>
      <c r="E157" s="104">
        <v>2.2909999999999999</v>
      </c>
      <c r="F157" s="24" t="s">
        <v>3626</v>
      </c>
      <c r="G157" s="1" t="s">
        <v>3716</v>
      </c>
      <c r="H157" s="4" t="s">
        <v>3271</v>
      </c>
      <c r="I157" s="110">
        <v>45227</v>
      </c>
    </row>
    <row r="158" spans="1:9">
      <c r="A158" s="66" t="s">
        <v>3717</v>
      </c>
      <c r="B158" s="103">
        <v>45272</v>
      </c>
      <c r="C158" s="13" t="s">
        <v>1705</v>
      </c>
      <c r="D158" s="13" t="s">
        <v>716</v>
      </c>
      <c r="E158" s="104">
        <v>0.25800000000000001</v>
      </c>
      <c r="F158" s="24" t="s">
        <v>3626</v>
      </c>
      <c r="G158" s="1" t="s">
        <v>3716</v>
      </c>
      <c r="H158" s="4" t="s">
        <v>3271</v>
      </c>
      <c r="I158" s="110">
        <v>45227</v>
      </c>
    </row>
    <row r="159" spans="1:9">
      <c r="A159" s="66" t="s">
        <v>3718</v>
      </c>
      <c r="B159" s="103">
        <v>45272</v>
      </c>
      <c r="C159" s="13" t="s">
        <v>1391</v>
      </c>
      <c r="D159" s="13" t="s">
        <v>716</v>
      </c>
      <c r="E159" s="104">
        <v>2.391</v>
      </c>
      <c r="F159" s="24" t="s">
        <v>3626</v>
      </c>
      <c r="G159" s="1" t="s">
        <v>3716</v>
      </c>
      <c r="H159" s="4" t="s">
        <v>3662</v>
      </c>
      <c r="I159" s="110">
        <v>45252</v>
      </c>
    </row>
    <row r="160" spans="1:9">
      <c r="A160" s="66" t="s">
        <v>3719</v>
      </c>
      <c r="B160" s="103">
        <v>45272</v>
      </c>
      <c r="C160" s="13" t="s">
        <v>1705</v>
      </c>
      <c r="D160" s="13" t="s">
        <v>716</v>
      </c>
      <c r="E160" s="104">
        <v>9.2739999999999991</v>
      </c>
      <c r="F160" s="24" t="s">
        <v>3626</v>
      </c>
      <c r="G160" s="1" t="s">
        <v>3720</v>
      </c>
      <c r="H160" s="4" t="s">
        <v>3170</v>
      </c>
      <c r="I160" s="110">
        <v>45227</v>
      </c>
    </row>
    <row r="161" spans="1:9">
      <c r="A161" s="66" t="s">
        <v>3719</v>
      </c>
      <c r="B161" s="103">
        <v>45272</v>
      </c>
      <c r="C161" s="13" t="s">
        <v>1801</v>
      </c>
      <c r="D161" s="13" t="s">
        <v>716</v>
      </c>
      <c r="E161" s="104">
        <v>1.028</v>
      </c>
      <c r="F161" s="24" t="s">
        <v>3626</v>
      </c>
      <c r="G161" s="1" t="s">
        <v>3720</v>
      </c>
      <c r="H161" s="4" t="s">
        <v>3170</v>
      </c>
      <c r="I161" s="110">
        <v>45227</v>
      </c>
    </row>
    <row r="162" spans="1:9">
      <c r="A162" s="66" t="s">
        <v>3719</v>
      </c>
      <c r="B162" s="103">
        <v>45272</v>
      </c>
      <c r="C162" s="13" t="s">
        <v>1640</v>
      </c>
      <c r="D162" s="13" t="s">
        <v>716</v>
      </c>
      <c r="E162" s="104">
        <v>21.17</v>
      </c>
      <c r="F162" s="24" t="s">
        <v>3626</v>
      </c>
      <c r="G162" s="1" t="s">
        <v>3720</v>
      </c>
      <c r="H162" s="4" t="s">
        <v>3170</v>
      </c>
      <c r="I162" s="110">
        <v>45227</v>
      </c>
    </row>
    <row r="163" spans="1:9">
      <c r="A163" s="66" t="s">
        <v>3721</v>
      </c>
      <c r="B163" s="103">
        <v>45272</v>
      </c>
      <c r="C163" s="13" t="s">
        <v>1695</v>
      </c>
      <c r="D163" s="13" t="s">
        <v>716</v>
      </c>
      <c r="E163" s="104">
        <v>26.356999999999999</v>
      </c>
      <c r="F163" s="24" t="s">
        <v>2638</v>
      </c>
      <c r="G163" s="1" t="s">
        <v>3722</v>
      </c>
      <c r="H163" s="4" t="s">
        <v>3170</v>
      </c>
      <c r="I163" s="110">
        <v>45227</v>
      </c>
    </row>
    <row r="164" spans="1:9">
      <c r="A164" s="66" t="s">
        <v>3721</v>
      </c>
      <c r="B164" s="103">
        <v>45272</v>
      </c>
      <c r="C164" s="13" t="s">
        <v>1478</v>
      </c>
      <c r="D164" s="13" t="s">
        <v>716</v>
      </c>
      <c r="E164" s="104">
        <v>5.4880000000000004</v>
      </c>
      <c r="F164" s="24" t="s">
        <v>2638</v>
      </c>
      <c r="G164" s="1" t="s">
        <v>3722</v>
      </c>
      <c r="H164" s="4" t="s">
        <v>3170</v>
      </c>
      <c r="I164" s="110">
        <v>45227</v>
      </c>
    </row>
    <row r="165" spans="1:9">
      <c r="A165" s="1"/>
      <c r="B165" s="103"/>
      <c r="C165" s="13"/>
      <c r="D165" s="1"/>
      <c r="E165" s="41">
        <f>SUM(E153:E164)</f>
        <v>137.13600000000002</v>
      </c>
      <c r="F165" s="24"/>
      <c r="G165" s="1"/>
      <c r="H165" s="1"/>
      <c r="I165" s="3"/>
    </row>
    <row r="166" spans="1:9">
      <c r="A166" s="66" t="s">
        <v>3725</v>
      </c>
      <c r="B166" s="103">
        <v>45273</v>
      </c>
      <c r="C166" s="13" t="s">
        <v>1695</v>
      </c>
      <c r="D166" s="13" t="s">
        <v>716</v>
      </c>
      <c r="E166" s="104">
        <v>15.872999999999999</v>
      </c>
      <c r="F166" s="24" t="s">
        <v>573</v>
      </c>
      <c r="G166" s="1" t="s">
        <v>3726</v>
      </c>
      <c r="H166" s="4" t="s">
        <v>3170</v>
      </c>
      <c r="I166" s="110">
        <v>45227</v>
      </c>
    </row>
    <row r="167" spans="1:9">
      <c r="A167" s="66" t="s">
        <v>3725</v>
      </c>
      <c r="B167" s="103">
        <v>45273</v>
      </c>
      <c r="C167" s="13" t="s">
        <v>1705</v>
      </c>
      <c r="D167" s="13" t="s">
        <v>716</v>
      </c>
      <c r="E167" s="104">
        <v>3.4889999999999999</v>
      </c>
      <c r="F167" s="24" t="s">
        <v>573</v>
      </c>
      <c r="G167" s="1" t="s">
        <v>3726</v>
      </c>
      <c r="H167" s="4" t="s">
        <v>3170</v>
      </c>
      <c r="I167" s="110">
        <v>45227</v>
      </c>
    </row>
    <row r="168" spans="1:9">
      <c r="A168" s="66" t="s">
        <v>3725</v>
      </c>
      <c r="B168" s="103">
        <v>45273</v>
      </c>
      <c r="C168" s="13" t="s">
        <v>1478</v>
      </c>
      <c r="D168" s="13" t="s">
        <v>716</v>
      </c>
      <c r="E168" s="104">
        <v>3.2930000000000001</v>
      </c>
      <c r="F168" s="24" t="s">
        <v>573</v>
      </c>
      <c r="G168" s="1" t="s">
        <v>3726</v>
      </c>
      <c r="H168" s="4" t="s">
        <v>3170</v>
      </c>
      <c r="I168" s="110">
        <v>45227</v>
      </c>
    </row>
    <row r="169" spans="1:9">
      <c r="A169" s="66" t="s">
        <v>3725</v>
      </c>
      <c r="B169" s="103">
        <v>45273</v>
      </c>
      <c r="C169" s="13" t="s">
        <v>1796</v>
      </c>
      <c r="D169" s="13" t="s">
        <v>716</v>
      </c>
      <c r="E169" s="104">
        <v>4.9169999999999998</v>
      </c>
      <c r="F169" s="24" t="s">
        <v>573</v>
      </c>
      <c r="G169" s="1" t="s">
        <v>3726</v>
      </c>
      <c r="H169" s="4" t="s">
        <v>3170</v>
      </c>
      <c r="I169" s="110">
        <v>45227</v>
      </c>
    </row>
    <row r="170" spans="1:9">
      <c r="A170" s="66" t="s">
        <v>3725</v>
      </c>
      <c r="B170" s="103">
        <v>45273</v>
      </c>
      <c r="C170" s="13" t="s">
        <v>2197</v>
      </c>
      <c r="D170" s="13" t="s">
        <v>716</v>
      </c>
      <c r="E170" s="104">
        <v>5.4509999999999996</v>
      </c>
      <c r="F170" s="24" t="s">
        <v>573</v>
      </c>
      <c r="G170" s="1" t="s">
        <v>3726</v>
      </c>
      <c r="H170" s="4" t="s">
        <v>3170</v>
      </c>
      <c r="I170" s="110">
        <v>45227</v>
      </c>
    </row>
    <row r="171" spans="1:9">
      <c r="A171" s="66" t="s">
        <v>3727</v>
      </c>
      <c r="B171" s="103">
        <v>45273</v>
      </c>
      <c r="C171" s="13" t="s">
        <v>1695</v>
      </c>
      <c r="D171" s="13" t="s">
        <v>716</v>
      </c>
      <c r="E171" s="104">
        <v>0.13800000000000001</v>
      </c>
      <c r="F171" s="24" t="s">
        <v>573</v>
      </c>
      <c r="G171" s="1" t="s">
        <v>3728</v>
      </c>
      <c r="H171" s="1" t="s">
        <v>3540</v>
      </c>
      <c r="I171" s="110">
        <v>45252</v>
      </c>
    </row>
    <row r="172" spans="1:9">
      <c r="A172" s="1"/>
      <c r="B172" s="3"/>
      <c r="C172" s="11"/>
      <c r="D172" s="1"/>
      <c r="E172" s="54">
        <f>SUM(E166:E171)</f>
        <v>33.160999999999994</v>
      </c>
      <c r="F172" s="24"/>
      <c r="G172" s="1"/>
      <c r="H172" s="1"/>
      <c r="I172" s="3"/>
    </row>
    <row r="173" spans="1:9" s="145" customFormat="1">
      <c r="A173" s="66" t="s">
        <v>3735</v>
      </c>
      <c r="B173" s="103">
        <v>45274</v>
      </c>
      <c r="C173" s="148" t="s">
        <v>1272</v>
      </c>
      <c r="D173" s="148" t="s">
        <v>716</v>
      </c>
      <c r="E173" s="101">
        <f>13.53+0.677</f>
        <v>14.206999999999999</v>
      </c>
      <c r="F173" s="102" t="s">
        <v>548</v>
      </c>
      <c r="G173" s="1" t="s">
        <v>3771</v>
      </c>
      <c r="H173" s="4" t="s">
        <v>3170</v>
      </c>
      <c r="I173" s="110">
        <v>45227</v>
      </c>
    </row>
    <row r="174" spans="1:9" s="145" customFormat="1">
      <c r="A174" s="66" t="s">
        <v>3735</v>
      </c>
      <c r="B174" s="103">
        <v>45274</v>
      </c>
      <c r="C174" s="6" t="s">
        <v>1791</v>
      </c>
      <c r="D174" s="13" t="s">
        <v>716</v>
      </c>
      <c r="E174" s="104">
        <v>3.3380000000000001</v>
      </c>
      <c r="F174" s="102" t="s">
        <v>548</v>
      </c>
      <c r="G174" s="1" t="s">
        <v>3736</v>
      </c>
      <c r="H174" s="4" t="s">
        <v>3170</v>
      </c>
      <c r="I174" s="110">
        <v>45227</v>
      </c>
    </row>
    <row r="175" spans="1:9" s="145" customFormat="1">
      <c r="A175" s="66" t="s">
        <v>3735</v>
      </c>
      <c r="B175" s="103">
        <v>45274</v>
      </c>
      <c r="C175" s="13" t="s">
        <v>1294</v>
      </c>
      <c r="D175" s="13" t="s">
        <v>716</v>
      </c>
      <c r="E175" s="104">
        <v>14.074</v>
      </c>
      <c r="F175" s="102" t="s">
        <v>548</v>
      </c>
      <c r="G175" s="1" t="s">
        <v>3736</v>
      </c>
      <c r="H175" s="4" t="s">
        <v>3170</v>
      </c>
      <c r="I175" s="110">
        <v>45227</v>
      </c>
    </row>
    <row r="176" spans="1:9">
      <c r="A176" s="66" t="s">
        <v>3737</v>
      </c>
      <c r="B176" s="103">
        <v>45274</v>
      </c>
      <c r="C176" s="13" t="s">
        <v>1640</v>
      </c>
      <c r="D176" s="13" t="s">
        <v>716</v>
      </c>
      <c r="E176" s="104">
        <v>5.1999999999999998E-2</v>
      </c>
      <c r="F176" s="102" t="s">
        <v>548</v>
      </c>
      <c r="G176" s="1" t="s">
        <v>3738</v>
      </c>
      <c r="H176" s="1" t="s">
        <v>3739</v>
      </c>
      <c r="I176" s="110">
        <v>45252</v>
      </c>
    </row>
    <row r="177" spans="1:9">
      <c r="A177" s="66" t="s">
        <v>3740</v>
      </c>
      <c r="B177" s="103">
        <v>45274</v>
      </c>
      <c r="C177" s="13" t="s">
        <v>2273</v>
      </c>
      <c r="D177" s="13" t="s">
        <v>716</v>
      </c>
      <c r="E177" s="104">
        <v>0.877</v>
      </c>
      <c r="F177" s="24" t="s">
        <v>548</v>
      </c>
      <c r="G177" s="1" t="s">
        <v>3738</v>
      </c>
      <c r="H177" s="1" t="s">
        <v>3540</v>
      </c>
      <c r="I177" s="110">
        <v>45252</v>
      </c>
    </row>
    <row r="178" spans="1:9">
      <c r="A178" s="66" t="s">
        <v>3742</v>
      </c>
      <c r="B178" s="103">
        <v>45274</v>
      </c>
      <c r="C178" s="13" t="s">
        <v>1294</v>
      </c>
      <c r="D178" s="13" t="s">
        <v>716</v>
      </c>
      <c r="E178" s="104">
        <v>32.545000000000002</v>
      </c>
      <c r="F178" s="24" t="s">
        <v>3743</v>
      </c>
      <c r="G178" s="1" t="s">
        <v>3744</v>
      </c>
      <c r="H178" s="4" t="s">
        <v>3170</v>
      </c>
      <c r="I178" s="110">
        <v>45227</v>
      </c>
    </row>
    <row r="179" spans="1:9">
      <c r="A179" s="66" t="s">
        <v>3745</v>
      </c>
      <c r="B179" s="103">
        <v>45274</v>
      </c>
      <c r="C179" s="13" t="s">
        <v>1294</v>
      </c>
      <c r="D179" s="13" t="s">
        <v>716</v>
      </c>
      <c r="E179" s="104">
        <v>25.157</v>
      </c>
      <c r="F179" s="24" t="s">
        <v>568</v>
      </c>
      <c r="G179" s="1" t="s">
        <v>3746</v>
      </c>
      <c r="H179" s="4" t="s">
        <v>3170</v>
      </c>
      <c r="I179" s="110">
        <v>45227</v>
      </c>
    </row>
    <row r="180" spans="1:9">
      <c r="A180" s="66" t="s">
        <v>3745</v>
      </c>
      <c r="B180" s="103">
        <v>45274</v>
      </c>
      <c r="C180" s="13" t="s">
        <v>3287</v>
      </c>
      <c r="D180" s="13" t="s">
        <v>716</v>
      </c>
      <c r="E180" s="104">
        <v>5.4829999999999997</v>
      </c>
      <c r="F180" s="24" t="s">
        <v>568</v>
      </c>
      <c r="G180" s="1" t="s">
        <v>3746</v>
      </c>
      <c r="H180" s="4" t="s">
        <v>3170</v>
      </c>
      <c r="I180" s="110">
        <v>45227</v>
      </c>
    </row>
    <row r="181" spans="1:9">
      <c r="A181" s="66" t="s">
        <v>3745</v>
      </c>
      <c r="B181" s="103">
        <v>45274</v>
      </c>
      <c r="C181" s="13" t="s">
        <v>1640</v>
      </c>
      <c r="D181" s="13" t="s">
        <v>716</v>
      </c>
      <c r="E181" s="104">
        <v>1.8140000000000001</v>
      </c>
      <c r="F181" s="24" t="s">
        <v>568</v>
      </c>
      <c r="G181" s="1" t="s">
        <v>3746</v>
      </c>
      <c r="H181" s="4" t="s">
        <v>3170</v>
      </c>
      <c r="I181" s="110">
        <v>45227</v>
      </c>
    </row>
    <row r="182" spans="1:9" s="146" customFormat="1">
      <c r="A182" s="66"/>
      <c r="B182" s="103"/>
      <c r="C182" s="11"/>
      <c r="D182" s="13"/>
      <c r="E182" s="54">
        <f>SUM(E173:E181)</f>
        <v>97.546999999999997</v>
      </c>
      <c r="F182" s="24"/>
      <c r="G182" s="1"/>
      <c r="H182" s="1"/>
      <c r="I182" s="3"/>
    </row>
    <row r="183" spans="1:9" s="146" customFormat="1">
      <c r="A183" s="66" t="s">
        <v>3757</v>
      </c>
      <c r="B183" s="103">
        <v>45275</v>
      </c>
      <c r="C183" s="13" t="s">
        <v>3287</v>
      </c>
      <c r="D183" s="13" t="s">
        <v>716</v>
      </c>
      <c r="E183" s="104">
        <f>0.644+20.641</f>
        <v>21.284999999999997</v>
      </c>
      <c r="F183" s="102" t="s">
        <v>2787</v>
      </c>
      <c r="G183" s="4" t="s">
        <v>3758</v>
      </c>
      <c r="H183" s="4" t="s">
        <v>3170</v>
      </c>
      <c r="I183" s="110">
        <v>45227</v>
      </c>
    </row>
    <row r="184" spans="1:9" s="146" customFormat="1">
      <c r="A184" s="66" t="s">
        <v>3757</v>
      </c>
      <c r="B184" s="103">
        <v>45275</v>
      </c>
      <c r="C184" s="13" t="s">
        <v>2721</v>
      </c>
      <c r="D184" s="13" t="s">
        <v>716</v>
      </c>
      <c r="E184" s="104">
        <v>10.061999999999999</v>
      </c>
      <c r="F184" s="102" t="s">
        <v>2787</v>
      </c>
      <c r="G184" s="4" t="s">
        <v>3758</v>
      </c>
      <c r="H184" s="4" t="s">
        <v>3170</v>
      </c>
      <c r="I184" s="110">
        <v>45227</v>
      </c>
    </row>
    <row r="185" spans="1:9" s="146" customFormat="1">
      <c r="A185" s="66" t="s">
        <v>3759</v>
      </c>
      <c r="B185" s="103">
        <v>45275</v>
      </c>
      <c r="C185" s="13" t="s">
        <v>3287</v>
      </c>
      <c r="D185" s="13" t="s">
        <v>716</v>
      </c>
      <c r="E185" s="104">
        <v>22.027000000000001</v>
      </c>
      <c r="F185" s="102" t="s">
        <v>544</v>
      </c>
      <c r="G185" s="4" t="s">
        <v>3760</v>
      </c>
      <c r="H185" s="4" t="s">
        <v>3170</v>
      </c>
      <c r="I185" s="110">
        <v>45227</v>
      </c>
    </row>
    <row r="186" spans="1:9" s="146" customFormat="1">
      <c r="A186" s="66" t="s">
        <v>3759</v>
      </c>
      <c r="B186" s="103">
        <v>45275</v>
      </c>
      <c r="C186" s="13" t="s">
        <v>2721</v>
      </c>
      <c r="D186" s="13" t="s">
        <v>716</v>
      </c>
      <c r="E186" s="104">
        <v>9.5589999999999993</v>
      </c>
      <c r="F186" s="102" t="s">
        <v>544</v>
      </c>
      <c r="G186" s="4" t="s">
        <v>3760</v>
      </c>
      <c r="H186" s="4" t="s">
        <v>3170</v>
      </c>
      <c r="I186" s="110">
        <v>45227</v>
      </c>
    </row>
    <row r="187" spans="1:9" s="146" customFormat="1">
      <c r="A187" s="66"/>
      <c r="B187" s="103"/>
      <c r="C187" s="13"/>
      <c r="D187" s="13"/>
      <c r="E187" s="54">
        <f>SUM(E183:E186)</f>
        <v>62.932999999999993</v>
      </c>
      <c r="F187" s="102"/>
      <c r="G187" s="4"/>
      <c r="H187" s="4"/>
      <c r="I187" s="109"/>
    </row>
    <row r="188" spans="1:9" s="147" customFormat="1">
      <c r="A188" s="66" t="s">
        <v>3761</v>
      </c>
      <c r="B188" s="103">
        <v>45276</v>
      </c>
      <c r="C188" s="13" t="s">
        <v>1294</v>
      </c>
      <c r="D188" s="13" t="s">
        <v>716</v>
      </c>
      <c r="E188" s="104">
        <v>9.6980000000000004</v>
      </c>
      <c r="F188" s="102" t="s">
        <v>993</v>
      </c>
      <c r="G188" s="4" t="s">
        <v>3762</v>
      </c>
      <c r="H188" s="4" t="s">
        <v>3170</v>
      </c>
      <c r="I188" s="110">
        <v>45227</v>
      </c>
    </row>
    <row r="189" spans="1:9" s="147" customFormat="1">
      <c r="A189" s="66" t="s">
        <v>3761</v>
      </c>
      <c r="B189" s="103">
        <v>45276</v>
      </c>
      <c r="C189" s="13" t="s">
        <v>2721</v>
      </c>
      <c r="D189" s="13" t="s">
        <v>716</v>
      </c>
      <c r="E189" s="104">
        <v>6.6239999999999997</v>
      </c>
      <c r="F189" s="102" t="s">
        <v>993</v>
      </c>
      <c r="G189" s="4" t="s">
        <v>3762</v>
      </c>
      <c r="H189" s="4" t="s">
        <v>3170</v>
      </c>
      <c r="I189" s="110">
        <v>45227</v>
      </c>
    </row>
    <row r="190" spans="1:9" s="147" customFormat="1">
      <c r="A190" s="66" t="s">
        <v>3763</v>
      </c>
      <c r="B190" s="103">
        <v>45276</v>
      </c>
      <c r="C190" s="13" t="s">
        <v>1355</v>
      </c>
      <c r="D190" s="13" t="s">
        <v>716</v>
      </c>
      <c r="E190" s="104">
        <v>32.689</v>
      </c>
      <c r="F190" s="102" t="s">
        <v>2382</v>
      </c>
      <c r="G190" s="102" t="s">
        <v>3764</v>
      </c>
      <c r="H190" s="4" t="s">
        <v>3170</v>
      </c>
      <c r="I190" s="110">
        <v>45227</v>
      </c>
    </row>
    <row r="191" spans="1:9" s="147" customFormat="1">
      <c r="A191" s="66" t="s">
        <v>3765</v>
      </c>
      <c r="B191" s="103">
        <v>45276</v>
      </c>
      <c r="C191" s="13" t="s">
        <v>1355</v>
      </c>
      <c r="D191" s="13" t="s">
        <v>716</v>
      </c>
      <c r="E191" s="104">
        <v>32.476999999999997</v>
      </c>
      <c r="F191" s="102" t="s">
        <v>573</v>
      </c>
      <c r="G191" s="4" t="s">
        <v>3766</v>
      </c>
      <c r="H191" s="4" t="s">
        <v>3170</v>
      </c>
      <c r="I191" s="110">
        <v>45227</v>
      </c>
    </row>
    <row r="192" spans="1:9" s="147" customFormat="1">
      <c r="A192" s="66" t="s">
        <v>3767</v>
      </c>
      <c r="B192" s="103">
        <v>45276</v>
      </c>
      <c r="C192" s="13" t="s">
        <v>1355</v>
      </c>
      <c r="D192" s="13" t="s">
        <v>716</v>
      </c>
      <c r="E192" s="104">
        <v>21.030999999999999</v>
      </c>
      <c r="F192" s="102" t="s">
        <v>2826</v>
      </c>
      <c r="G192" s="4" t="s">
        <v>3768</v>
      </c>
      <c r="H192" s="4" t="s">
        <v>3170</v>
      </c>
      <c r="I192" s="110">
        <v>45227</v>
      </c>
    </row>
    <row r="193" spans="1:9" s="147" customFormat="1">
      <c r="A193" s="66" t="s">
        <v>3767</v>
      </c>
      <c r="B193" s="103">
        <v>45276</v>
      </c>
      <c r="C193" s="13" t="s">
        <v>1387</v>
      </c>
      <c r="D193" s="13" t="s">
        <v>716</v>
      </c>
      <c r="E193" s="104">
        <f>5.1+6.259</f>
        <v>11.359</v>
      </c>
      <c r="F193" s="102" t="s">
        <v>2826</v>
      </c>
      <c r="G193" s="4" t="s">
        <v>3768</v>
      </c>
      <c r="H193" s="4" t="s">
        <v>3170</v>
      </c>
      <c r="I193" s="110">
        <v>45227</v>
      </c>
    </row>
    <row r="194" spans="1:9" s="147" customFormat="1">
      <c r="A194" s="66" t="s">
        <v>3769</v>
      </c>
      <c r="B194" s="103">
        <v>45276</v>
      </c>
      <c r="C194" s="13" t="s">
        <v>1355</v>
      </c>
      <c r="D194" s="13" t="s">
        <v>716</v>
      </c>
      <c r="E194" s="104">
        <v>32.65</v>
      </c>
      <c r="F194" s="102" t="s">
        <v>919</v>
      </c>
      <c r="G194" s="4" t="s">
        <v>3770</v>
      </c>
      <c r="H194" s="4" t="s">
        <v>3170</v>
      </c>
      <c r="I194" s="110">
        <v>45227</v>
      </c>
    </row>
    <row r="195" spans="1:9" s="147" customFormat="1">
      <c r="A195" s="66"/>
      <c r="B195" s="103"/>
      <c r="C195" s="13"/>
      <c r="D195" s="13"/>
      <c r="E195" s="54">
        <f>SUM(E188:E194)</f>
        <v>146.52799999999999</v>
      </c>
      <c r="F195" s="102"/>
      <c r="G195" s="4"/>
      <c r="H195" s="4"/>
      <c r="I195" s="109"/>
    </row>
    <row r="196" spans="1:9" s="147" customFormat="1">
      <c r="A196" s="66" t="s">
        <v>3774</v>
      </c>
      <c r="B196" s="103">
        <v>45277</v>
      </c>
      <c r="C196" s="13" t="s">
        <v>1387</v>
      </c>
      <c r="D196" s="13" t="s">
        <v>716</v>
      </c>
      <c r="E196" s="104">
        <v>21.533999999999999</v>
      </c>
      <c r="F196" s="102" t="s">
        <v>973</v>
      </c>
      <c r="G196" s="4" t="s">
        <v>3775</v>
      </c>
      <c r="H196" s="4" t="s">
        <v>3170</v>
      </c>
      <c r="I196" s="110">
        <v>45227</v>
      </c>
    </row>
    <row r="197" spans="1:9" s="147" customFormat="1">
      <c r="A197" s="66" t="s">
        <v>3774</v>
      </c>
      <c r="B197" s="103">
        <v>45277</v>
      </c>
      <c r="C197" s="13" t="s">
        <v>1294</v>
      </c>
      <c r="D197" s="13" t="s">
        <v>716</v>
      </c>
      <c r="E197" s="104">
        <f>1.288+2.341</f>
        <v>3.6290000000000004</v>
      </c>
      <c r="F197" s="102" t="s">
        <v>973</v>
      </c>
      <c r="G197" s="4" t="s">
        <v>3775</v>
      </c>
      <c r="H197" s="4" t="s">
        <v>3170</v>
      </c>
      <c r="I197" s="110">
        <v>45227</v>
      </c>
    </row>
    <row r="198" spans="1:9" s="147" customFormat="1">
      <c r="A198" s="66" t="s">
        <v>3776</v>
      </c>
      <c r="B198" s="103">
        <v>45277</v>
      </c>
      <c r="C198" s="13" t="s">
        <v>3287</v>
      </c>
      <c r="D198" s="13" t="s">
        <v>716</v>
      </c>
      <c r="E198" s="104">
        <v>3.2839999999999998</v>
      </c>
      <c r="F198" s="102" t="s">
        <v>554</v>
      </c>
      <c r="G198" s="4" t="s">
        <v>3777</v>
      </c>
      <c r="H198" s="4" t="s">
        <v>3170</v>
      </c>
      <c r="I198" s="110">
        <v>45227</v>
      </c>
    </row>
    <row r="199" spans="1:9" s="147" customFormat="1">
      <c r="A199" s="66" t="s">
        <v>3776</v>
      </c>
      <c r="B199" s="103">
        <v>45277</v>
      </c>
      <c r="C199" s="13" t="s">
        <v>1387</v>
      </c>
      <c r="D199" s="13" t="s">
        <v>716</v>
      </c>
      <c r="E199" s="104">
        <v>2.84</v>
      </c>
      <c r="F199" s="102" t="s">
        <v>554</v>
      </c>
      <c r="G199" s="4" t="s">
        <v>3777</v>
      </c>
      <c r="H199" s="4" t="s">
        <v>3170</v>
      </c>
      <c r="I199" s="110">
        <v>45227</v>
      </c>
    </row>
    <row r="200" spans="1:9" s="147" customFormat="1">
      <c r="A200" s="66" t="s">
        <v>3776</v>
      </c>
      <c r="B200" s="103">
        <v>45277</v>
      </c>
      <c r="C200" s="13" t="s">
        <v>1367</v>
      </c>
      <c r="D200" s="13" t="s">
        <v>716</v>
      </c>
      <c r="E200" s="104">
        <f>21.483+0.218</f>
        <v>21.701000000000001</v>
      </c>
      <c r="F200" s="102" t="s">
        <v>554</v>
      </c>
      <c r="G200" s="4" t="s">
        <v>3777</v>
      </c>
      <c r="H200" s="4" t="s">
        <v>3170</v>
      </c>
      <c r="I200" s="110">
        <v>45227</v>
      </c>
    </row>
    <row r="201" spans="1:9" s="147" customFormat="1">
      <c r="A201" s="66" t="s">
        <v>3776</v>
      </c>
      <c r="B201" s="103">
        <v>45277</v>
      </c>
      <c r="C201" s="13" t="s">
        <v>1227</v>
      </c>
      <c r="D201" s="13" t="s">
        <v>716</v>
      </c>
      <c r="E201" s="104">
        <v>3.4460000000000002</v>
      </c>
      <c r="F201" s="102" t="s">
        <v>554</v>
      </c>
      <c r="G201" s="4" t="s">
        <v>3777</v>
      </c>
      <c r="H201" s="4" t="s">
        <v>3170</v>
      </c>
      <c r="I201" s="110">
        <v>45227</v>
      </c>
    </row>
    <row r="202" spans="1:9" s="147" customFormat="1">
      <c r="A202" s="66" t="s">
        <v>3778</v>
      </c>
      <c r="B202" s="103">
        <v>45277</v>
      </c>
      <c r="C202" s="13" t="s">
        <v>1823</v>
      </c>
      <c r="D202" s="13" t="s">
        <v>716</v>
      </c>
      <c r="E202" s="104">
        <v>0.66600000000000004</v>
      </c>
      <c r="F202" s="102" t="s">
        <v>554</v>
      </c>
      <c r="G202" s="4" t="s">
        <v>3779</v>
      </c>
      <c r="H202" s="4" t="s">
        <v>3540</v>
      </c>
      <c r="I202" s="110">
        <v>45252</v>
      </c>
    </row>
    <row r="203" spans="1:9" s="147" customFormat="1">
      <c r="A203" s="66" t="s">
        <v>3780</v>
      </c>
      <c r="B203" s="103">
        <v>45277</v>
      </c>
      <c r="C203" s="13" t="s">
        <v>1255</v>
      </c>
      <c r="D203" s="13" t="s">
        <v>716</v>
      </c>
      <c r="E203" s="104">
        <v>32.567999999999998</v>
      </c>
      <c r="F203" s="102" t="s">
        <v>2200</v>
      </c>
      <c r="G203" s="4" t="s">
        <v>3781</v>
      </c>
      <c r="H203" s="4" t="s">
        <v>3170</v>
      </c>
      <c r="I203" s="110">
        <v>45227</v>
      </c>
    </row>
    <row r="204" spans="1:9" s="147" customFormat="1">
      <c r="A204" s="66" t="s">
        <v>3782</v>
      </c>
      <c r="B204" s="103">
        <v>45277</v>
      </c>
      <c r="C204" s="13" t="s">
        <v>1255</v>
      </c>
      <c r="D204" s="13" t="s">
        <v>716</v>
      </c>
      <c r="E204" s="104">
        <v>6.5140000000000002</v>
      </c>
      <c r="F204" s="102" t="s">
        <v>3279</v>
      </c>
      <c r="G204" s="4" t="s">
        <v>3783</v>
      </c>
      <c r="H204" s="4" t="s">
        <v>3170</v>
      </c>
      <c r="I204" s="110">
        <v>45227</v>
      </c>
    </row>
    <row r="205" spans="1:9" s="147" customFormat="1">
      <c r="A205" s="66" t="s">
        <v>3782</v>
      </c>
      <c r="B205" s="103">
        <v>45277</v>
      </c>
      <c r="C205" s="13" t="s">
        <v>1367</v>
      </c>
      <c r="D205" s="13" t="s">
        <v>716</v>
      </c>
      <c r="E205" s="104">
        <f>17.032+2.44</f>
        <v>19.472000000000001</v>
      </c>
      <c r="F205" s="102" t="s">
        <v>3279</v>
      </c>
      <c r="G205" s="4" t="s">
        <v>3783</v>
      </c>
      <c r="H205" s="4" t="s">
        <v>3170</v>
      </c>
      <c r="I205" s="110">
        <v>45227</v>
      </c>
    </row>
    <row r="206" spans="1:9">
      <c r="A206" s="66" t="s">
        <v>3782</v>
      </c>
      <c r="B206" s="103">
        <v>45277</v>
      </c>
      <c r="C206" s="13" t="s">
        <v>1227</v>
      </c>
      <c r="D206" s="13" t="s">
        <v>716</v>
      </c>
      <c r="E206" s="104">
        <v>6.8559999999999999</v>
      </c>
      <c r="F206" s="102" t="s">
        <v>3279</v>
      </c>
      <c r="G206" s="4" t="s">
        <v>3783</v>
      </c>
      <c r="H206" s="4" t="s">
        <v>3170</v>
      </c>
      <c r="I206" s="110">
        <v>45227</v>
      </c>
    </row>
    <row r="207" spans="1:9" s="147" customFormat="1">
      <c r="A207" s="1"/>
      <c r="B207" s="3"/>
      <c r="C207" s="11"/>
      <c r="D207" s="1"/>
      <c r="E207" s="54">
        <f>SUM(E196:E206)</f>
        <v>122.50999999999999</v>
      </c>
      <c r="F207" s="24"/>
      <c r="G207" s="1"/>
      <c r="H207" s="1"/>
      <c r="I207" s="3"/>
    </row>
    <row r="208" spans="1:9" s="147" customFormat="1">
      <c r="A208" s="66" t="s">
        <v>3784</v>
      </c>
      <c r="B208" s="103">
        <v>45278</v>
      </c>
      <c r="C208" s="13" t="s">
        <v>1367</v>
      </c>
      <c r="D208" s="13" t="s">
        <v>716</v>
      </c>
      <c r="E208" s="52">
        <v>4.1059999999999999</v>
      </c>
      <c r="F208" s="24" t="s">
        <v>579</v>
      </c>
      <c r="G208" s="1" t="s">
        <v>3785</v>
      </c>
      <c r="H208" s="4" t="s">
        <v>3170</v>
      </c>
      <c r="I208" s="110">
        <v>45227</v>
      </c>
    </row>
    <row r="209" spans="1:9" s="147" customFormat="1">
      <c r="A209" s="66" t="s">
        <v>3784</v>
      </c>
      <c r="B209" s="103">
        <v>45278</v>
      </c>
      <c r="C209" s="13" t="s">
        <v>1255</v>
      </c>
      <c r="D209" s="13" t="s">
        <v>716</v>
      </c>
      <c r="E209" s="52">
        <v>15.198</v>
      </c>
      <c r="F209" s="24" t="s">
        <v>579</v>
      </c>
      <c r="G209" s="1" t="s">
        <v>3785</v>
      </c>
      <c r="H209" s="4" t="s">
        <v>3170</v>
      </c>
      <c r="I209" s="110">
        <v>45227</v>
      </c>
    </row>
    <row r="210" spans="1:9" s="147" customFormat="1">
      <c r="A210" s="66" t="s">
        <v>3784</v>
      </c>
      <c r="B210" s="103">
        <v>45278</v>
      </c>
      <c r="C210" s="13" t="s">
        <v>1341</v>
      </c>
      <c r="D210" s="13" t="s">
        <v>716</v>
      </c>
      <c r="E210" s="52">
        <f>0.401+12.679</f>
        <v>13.08</v>
      </c>
      <c r="F210" s="24" t="s">
        <v>579</v>
      </c>
      <c r="G210" s="1" t="s">
        <v>3785</v>
      </c>
      <c r="H210" s="4" t="s">
        <v>3170</v>
      </c>
      <c r="I210" s="110">
        <v>45227</v>
      </c>
    </row>
    <row r="211" spans="1:9" s="147" customFormat="1">
      <c r="A211" s="66" t="s">
        <v>3791</v>
      </c>
      <c r="B211" s="103">
        <v>45278</v>
      </c>
      <c r="C211" s="13" t="s">
        <v>1341</v>
      </c>
      <c r="D211" s="13" t="s">
        <v>716</v>
      </c>
      <c r="E211" s="52">
        <f>16.556+1.029</f>
        <v>17.585000000000001</v>
      </c>
      <c r="F211" s="24" t="s">
        <v>573</v>
      </c>
      <c r="G211" s="1" t="s">
        <v>3792</v>
      </c>
      <c r="H211" s="4" t="s">
        <v>3170</v>
      </c>
      <c r="I211" s="110">
        <v>45227</v>
      </c>
    </row>
    <row r="212" spans="1:9" s="147" customFormat="1">
      <c r="A212" s="66" t="s">
        <v>3791</v>
      </c>
      <c r="B212" s="103">
        <v>45278</v>
      </c>
      <c r="C212" s="13" t="s">
        <v>1350</v>
      </c>
      <c r="D212" s="13" t="s">
        <v>716</v>
      </c>
      <c r="E212" s="52">
        <v>14.829000000000001</v>
      </c>
      <c r="F212" s="24" t="s">
        <v>573</v>
      </c>
      <c r="G212" s="1" t="s">
        <v>3792</v>
      </c>
      <c r="H212" s="4" t="s">
        <v>3170</v>
      </c>
      <c r="I212" s="110">
        <v>45227</v>
      </c>
    </row>
    <row r="213" spans="1:9" s="147" customFormat="1">
      <c r="A213" s="66" t="s">
        <v>3793</v>
      </c>
      <c r="B213" s="103">
        <v>45278</v>
      </c>
      <c r="C213" s="13" t="s">
        <v>1350</v>
      </c>
      <c r="D213" s="13" t="s">
        <v>716</v>
      </c>
      <c r="E213" s="52">
        <v>32.947000000000003</v>
      </c>
      <c r="F213" s="24" t="s">
        <v>1560</v>
      </c>
      <c r="G213" s="1" t="s">
        <v>3794</v>
      </c>
      <c r="H213" s="4" t="s">
        <v>3170</v>
      </c>
      <c r="I213" s="110">
        <v>45227</v>
      </c>
    </row>
    <row r="214" spans="1:9" s="147" customFormat="1">
      <c r="A214" s="66" t="s">
        <v>3795</v>
      </c>
      <c r="B214" s="103">
        <v>45278</v>
      </c>
      <c r="C214" s="13" t="s">
        <v>1341</v>
      </c>
      <c r="D214" s="13" t="s">
        <v>716</v>
      </c>
      <c r="E214" s="52">
        <f>11.363+16.278</f>
        <v>27.640999999999998</v>
      </c>
      <c r="F214" s="24" t="s">
        <v>2318</v>
      </c>
      <c r="G214" s="1" t="s">
        <v>3796</v>
      </c>
      <c r="H214" s="4" t="s">
        <v>3170</v>
      </c>
      <c r="I214" s="110">
        <v>45227</v>
      </c>
    </row>
    <row r="215" spans="1:9" s="147" customFormat="1">
      <c r="A215" s="66" t="s">
        <v>3795</v>
      </c>
      <c r="B215" s="103">
        <v>45278</v>
      </c>
      <c r="C215" s="13" t="s">
        <v>1350</v>
      </c>
      <c r="D215" s="13" t="s">
        <v>716</v>
      </c>
      <c r="E215" s="52">
        <v>5.0279999999999996</v>
      </c>
      <c r="F215" s="24" t="s">
        <v>2318</v>
      </c>
      <c r="G215" s="1" t="s">
        <v>3796</v>
      </c>
      <c r="H215" s="4" t="s">
        <v>3170</v>
      </c>
      <c r="I215" s="110">
        <v>45227</v>
      </c>
    </row>
    <row r="216" spans="1:9" s="147" customFormat="1">
      <c r="A216" s="1"/>
      <c r="B216" s="3"/>
      <c r="C216" s="11"/>
      <c r="D216" s="1"/>
      <c r="E216" s="54">
        <f>SUM(E208:E215)</f>
        <v>130.41399999999999</v>
      </c>
      <c r="F216" s="24"/>
      <c r="G216" s="1"/>
      <c r="H216" s="1"/>
      <c r="I216" s="3"/>
    </row>
    <row r="217" spans="1:9" s="147" customFormat="1">
      <c r="A217" s="66" t="s">
        <v>3797</v>
      </c>
      <c r="B217" s="103">
        <v>45279</v>
      </c>
      <c r="C217" s="13" t="s">
        <v>1355</v>
      </c>
      <c r="D217" s="13" t="s">
        <v>716</v>
      </c>
      <c r="E217" s="104">
        <v>6.0449999999999999</v>
      </c>
      <c r="F217" s="102" t="s">
        <v>926</v>
      </c>
      <c r="G217" s="4" t="s">
        <v>3798</v>
      </c>
      <c r="H217" s="4" t="s">
        <v>3170</v>
      </c>
      <c r="I217" s="110">
        <v>45227</v>
      </c>
    </row>
    <row r="218" spans="1:9" s="147" customFormat="1">
      <c r="A218" s="66" t="s">
        <v>3797</v>
      </c>
      <c r="B218" s="103">
        <v>45279</v>
      </c>
      <c r="C218" s="13" t="s">
        <v>1342</v>
      </c>
      <c r="D218" s="13" t="s">
        <v>716</v>
      </c>
      <c r="E218" s="104">
        <f>3.15+5.091</f>
        <v>8.2409999999999997</v>
      </c>
      <c r="F218" s="102" t="s">
        <v>926</v>
      </c>
      <c r="G218" s="4" t="s">
        <v>3798</v>
      </c>
      <c r="H218" s="4" t="s">
        <v>3170</v>
      </c>
      <c r="I218" s="110">
        <v>45227</v>
      </c>
    </row>
    <row r="219" spans="1:9" s="147" customFormat="1">
      <c r="A219" s="66" t="s">
        <v>3797</v>
      </c>
      <c r="B219" s="103">
        <v>45279</v>
      </c>
      <c r="C219" s="13" t="s">
        <v>1350</v>
      </c>
      <c r="D219" s="13" t="s">
        <v>716</v>
      </c>
      <c r="E219" s="104">
        <v>18.138999999999999</v>
      </c>
      <c r="F219" s="102" t="s">
        <v>926</v>
      </c>
      <c r="G219" s="4" t="s">
        <v>3798</v>
      </c>
      <c r="H219" s="4" t="s">
        <v>3170</v>
      </c>
      <c r="I219" s="110">
        <v>45227</v>
      </c>
    </row>
    <row r="220" spans="1:9" s="147" customFormat="1">
      <c r="A220" s="4"/>
      <c r="B220" s="109"/>
      <c r="C220" s="13"/>
      <c r="D220" s="4"/>
      <c r="E220" s="54">
        <f>SUM(E217:E219)</f>
        <v>32.424999999999997</v>
      </c>
      <c r="F220" s="102"/>
      <c r="G220" s="4"/>
      <c r="H220" s="4"/>
      <c r="I220" s="109"/>
    </row>
    <row r="221" spans="1:9" s="147" customFormat="1">
      <c r="A221" s="66" t="s">
        <v>3807</v>
      </c>
      <c r="B221" s="103">
        <v>45280</v>
      </c>
      <c r="C221" s="13" t="s">
        <v>1341</v>
      </c>
      <c r="D221" s="13" t="s">
        <v>716</v>
      </c>
      <c r="E221" s="104">
        <v>0.64800000000000002</v>
      </c>
      <c r="F221" s="102" t="s">
        <v>551</v>
      </c>
      <c r="G221" s="4" t="s">
        <v>3808</v>
      </c>
      <c r="H221" s="4" t="s">
        <v>3170</v>
      </c>
      <c r="I221" s="110">
        <v>45227</v>
      </c>
    </row>
    <row r="222" spans="1:9" s="147" customFormat="1">
      <c r="A222" s="66" t="s">
        <v>3807</v>
      </c>
      <c r="B222" s="103">
        <v>45280</v>
      </c>
      <c r="C222" s="13" t="s">
        <v>1342</v>
      </c>
      <c r="D222" s="13" t="s">
        <v>716</v>
      </c>
      <c r="E222" s="104">
        <f>5.605+0.817</f>
        <v>6.4220000000000006</v>
      </c>
      <c r="F222" s="102" t="s">
        <v>551</v>
      </c>
      <c r="G222" s="4" t="s">
        <v>3808</v>
      </c>
      <c r="H222" s="4" t="s">
        <v>3170</v>
      </c>
      <c r="I222" s="110">
        <v>45227</v>
      </c>
    </row>
    <row r="223" spans="1:9" s="147" customFormat="1">
      <c r="A223" s="66" t="s">
        <v>3807</v>
      </c>
      <c r="B223" s="103">
        <v>45280</v>
      </c>
      <c r="C223" s="13" t="s">
        <v>1251</v>
      </c>
      <c r="D223" s="13" t="s">
        <v>716</v>
      </c>
      <c r="E223" s="104">
        <v>4.8689999999999998</v>
      </c>
      <c r="F223" s="102" t="s">
        <v>551</v>
      </c>
      <c r="G223" s="4" t="s">
        <v>3808</v>
      </c>
      <c r="H223" s="4" t="s">
        <v>3170</v>
      </c>
      <c r="I223" s="110">
        <v>45227</v>
      </c>
    </row>
    <row r="224" spans="1:9" s="147" customFormat="1">
      <c r="A224" s="66" t="s">
        <v>3807</v>
      </c>
      <c r="B224" s="103">
        <v>45280</v>
      </c>
      <c r="C224" s="13" t="s">
        <v>1294</v>
      </c>
      <c r="D224" s="13" t="s">
        <v>716</v>
      </c>
      <c r="E224" s="104">
        <v>7.3150000000000004</v>
      </c>
      <c r="F224" s="102" t="s">
        <v>551</v>
      </c>
      <c r="G224" s="4" t="s">
        <v>3808</v>
      </c>
      <c r="H224" s="4" t="s">
        <v>3170</v>
      </c>
      <c r="I224" s="110">
        <v>45227</v>
      </c>
    </row>
    <row r="225" spans="1:9" s="147" customFormat="1">
      <c r="A225" s="66" t="s">
        <v>3807</v>
      </c>
      <c r="B225" s="103">
        <v>45280</v>
      </c>
      <c r="C225" s="13" t="s">
        <v>1387</v>
      </c>
      <c r="D225" s="13" t="s">
        <v>716</v>
      </c>
      <c r="E225" s="104">
        <v>4.6440000000000001</v>
      </c>
      <c r="F225" s="102" t="s">
        <v>551</v>
      </c>
      <c r="G225" s="4" t="s">
        <v>3808</v>
      </c>
      <c r="H225" s="4" t="s">
        <v>3170</v>
      </c>
      <c r="I225" s="110">
        <v>45227</v>
      </c>
    </row>
    <row r="226" spans="1:9" s="147" customFormat="1">
      <c r="A226" s="66" t="s">
        <v>3807</v>
      </c>
      <c r="B226" s="103">
        <v>45280</v>
      </c>
      <c r="C226" s="13" t="s">
        <v>3287</v>
      </c>
      <c r="D226" s="13" t="s">
        <v>716</v>
      </c>
      <c r="E226" s="104">
        <v>2.8980000000000001</v>
      </c>
      <c r="F226" s="102" t="s">
        <v>551</v>
      </c>
      <c r="G226" s="4" t="s">
        <v>3808</v>
      </c>
      <c r="H226" s="4" t="s">
        <v>3170</v>
      </c>
      <c r="I226" s="110">
        <v>45227</v>
      </c>
    </row>
    <row r="227" spans="1:9" s="147" customFormat="1">
      <c r="A227" s="66" t="s">
        <v>3807</v>
      </c>
      <c r="B227" s="103">
        <v>45280</v>
      </c>
      <c r="C227" s="13" t="s">
        <v>1459</v>
      </c>
      <c r="D227" s="13" t="s">
        <v>716</v>
      </c>
      <c r="E227" s="104">
        <v>1.8779999999999999</v>
      </c>
      <c r="F227" s="102" t="s">
        <v>551</v>
      </c>
      <c r="G227" s="4" t="s">
        <v>3808</v>
      </c>
      <c r="H227" s="4" t="s">
        <v>3170</v>
      </c>
      <c r="I227" s="110">
        <v>45227</v>
      </c>
    </row>
    <row r="228" spans="1:9" s="147" customFormat="1">
      <c r="A228" s="66" t="s">
        <v>3807</v>
      </c>
      <c r="B228" s="103">
        <v>45280</v>
      </c>
      <c r="C228" s="13" t="s">
        <v>1753</v>
      </c>
      <c r="D228" s="13" t="s">
        <v>716</v>
      </c>
      <c r="E228" s="104">
        <v>1.6850000000000001</v>
      </c>
      <c r="F228" s="102" t="s">
        <v>551</v>
      </c>
      <c r="G228" s="4" t="s">
        <v>3808</v>
      </c>
      <c r="H228" s="4" t="s">
        <v>3170</v>
      </c>
      <c r="I228" s="110">
        <v>45227</v>
      </c>
    </row>
    <row r="229" spans="1:9" s="147" customFormat="1">
      <c r="A229" s="66" t="s">
        <v>3807</v>
      </c>
      <c r="B229" s="103">
        <v>45280</v>
      </c>
      <c r="C229" s="13" t="s">
        <v>1367</v>
      </c>
      <c r="D229" s="13" t="s">
        <v>716</v>
      </c>
      <c r="E229" s="104">
        <v>0.64900000000000002</v>
      </c>
      <c r="F229" s="102" t="s">
        <v>551</v>
      </c>
      <c r="G229" s="4" t="s">
        <v>3808</v>
      </c>
      <c r="H229" s="4" t="s">
        <v>3170</v>
      </c>
      <c r="I229" s="110">
        <v>45227</v>
      </c>
    </row>
    <row r="230" spans="1:9" s="147" customFormat="1">
      <c r="A230" s="66" t="s">
        <v>3809</v>
      </c>
      <c r="B230" s="103">
        <v>45280</v>
      </c>
      <c r="C230" s="13" t="s">
        <v>1753</v>
      </c>
      <c r="D230" s="13" t="s">
        <v>716</v>
      </c>
      <c r="E230" s="104">
        <v>0.20799999999999999</v>
      </c>
      <c r="F230" s="102" t="s">
        <v>551</v>
      </c>
      <c r="G230" s="4" t="s">
        <v>3810</v>
      </c>
      <c r="H230" s="4" t="s">
        <v>3540</v>
      </c>
      <c r="I230" s="110">
        <v>45252</v>
      </c>
    </row>
    <row r="231" spans="1:9" s="147" customFormat="1">
      <c r="A231" s="66" t="s">
        <v>3809</v>
      </c>
      <c r="B231" s="103">
        <v>45280</v>
      </c>
      <c r="C231" s="13" t="s">
        <v>1341</v>
      </c>
      <c r="D231" s="13" t="s">
        <v>716</v>
      </c>
      <c r="E231" s="104">
        <v>0.222</v>
      </c>
      <c r="F231" s="102" t="s">
        <v>551</v>
      </c>
      <c r="G231" s="4" t="s">
        <v>3810</v>
      </c>
      <c r="H231" s="4" t="s">
        <v>3540</v>
      </c>
      <c r="I231" s="110">
        <v>45252</v>
      </c>
    </row>
    <row r="232" spans="1:9" s="147" customFormat="1">
      <c r="A232" s="66" t="s">
        <v>3811</v>
      </c>
      <c r="B232" s="103">
        <v>45280</v>
      </c>
      <c r="C232" s="13" t="s">
        <v>1334</v>
      </c>
      <c r="D232" s="13" t="s">
        <v>716</v>
      </c>
      <c r="E232" s="104">
        <v>0.70399999999999996</v>
      </c>
      <c r="F232" s="102" t="s">
        <v>551</v>
      </c>
      <c r="G232" s="4" t="s">
        <v>3810</v>
      </c>
      <c r="H232" s="4" t="s">
        <v>3739</v>
      </c>
      <c r="I232" s="110">
        <v>45252</v>
      </c>
    </row>
    <row r="233" spans="1:9" s="147" customFormat="1">
      <c r="A233" s="66"/>
      <c r="B233" s="103"/>
      <c r="C233" s="11"/>
      <c r="D233" s="13"/>
      <c r="E233" s="58">
        <f>SUM(E221:E232)</f>
        <v>32.142000000000003</v>
      </c>
      <c r="F233" s="24"/>
      <c r="G233" s="1"/>
      <c r="H233" s="4"/>
      <c r="I233" s="110"/>
    </row>
    <row r="234" spans="1:9" s="147" customFormat="1">
      <c r="A234" s="66" t="s">
        <v>3850</v>
      </c>
      <c r="B234" s="103">
        <v>45286</v>
      </c>
      <c r="C234" s="13" t="s">
        <v>3287</v>
      </c>
      <c r="D234" s="13" t="s">
        <v>716</v>
      </c>
      <c r="E234" s="104">
        <v>1.9410000000000001</v>
      </c>
      <c r="F234" s="24" t="s">
        <v>1899</v>
      </c>
      <c r="G234" s="1" t="s">
        <v>3851</v>
      </c>
      <c r="H234" s="4" t="s">
        <v>3170</v>
      </c>
      <c r="I234" s="110">
        <v>45227</v>
      </c>
    </row>
    <row r="235" spans="1:9" s="147" customFormat="1">
      <c r="A235" s="66" t="s">
        <v>3850</v>
      </c>
      <c r="B235" s="103">
        <v>45286</v>
      </c>
      <c r="C235" s="13" t="s">
        <v>1367</v>
      </c>
      <c r="D235" s="13" t="s">
        <v>716</v>
      </c>
      <c r="E235" s="104">
        <f>0.292+0.795</f>
        <v>1.087</v>
      </c>
      <c r="F235" s="24" t="s">
        <v>1899</v>
      </c>
      <c r="G235" s="1" t="s">
        <v>3851</v>
      </c>
      <c r="H235" s="4" t="s">
        <v>3170</v>
      </c>
      <c r="I235" s="110">
        <v>45227</v>
      </c>
    </row>
    <row r="236" spans="1:9" s="147" customFormat="1">
      <c r="A236" s="66" t="s">
        <v>3852</v>
      </c>
      <c r="B236" s="103">
        <v>45286</v>
      </c>
      <c r="C236" s="13" t="s">
        <v>1342</v>
      </c>
      <c r="D236" s="13" t="s">
        <v>716</v>
      </c>
      <c r="E236" s="104">
        <v>1.2769999999999999</v>
      </c>
      <c r="F236" s="24" t="s">
        <v>1899</v>
      </c>
      <c r="G236" s="1" t="s">
        <v>3853</v>
      </c>
      <c r="H236" s="1" t="s">
        <v>3854</v>
      </c>
      <c r="I236" s="110">
        <v>45275</v>
      </c>
    </row>
    <row r="237" spans="1:9" s="147" customFormat="1">
      <c r="A237" s="66" t="s">
        <v>3852</v>
      </c>
      <c r="B237" s="103">
        <v>45286</v>
      </c>
      <c r="C237" s="13" t="s">
        <v>1251</v>
      </c>
      <c r="D237" s="13" t="s">
        <v>716</v>
      </c>
      <c r="E237" s="104">
        <v>2.1920000000000002</v>
      </c>
      <c r="F237" s="24" t="s">
        <v>1899</v>
      </c>
      <c r="G237" s="1" t="s">
        <v>3853</v>
      </c>
      <c r="H237" s="1" t="s">
        <v>3854</v>
      </c>
      <c r="I237" s="110">
        <v>45275</v>
      </c>
    </row>
    <row r="238" spans="1:9" s="147" customFormat="1">
      <c r="A238" s="66" t="s">
        <v>3852</v>
      </c>
      <c r="B238" s="103">
        <v>45286</v>
      </c>
      <c r="C238" s="13" t="s">
        <v>1459</v>
      </c>
      <c r="D238" s="13" t="s">
        <v>716</v>
      </c>
      <c r="E238" s="104">
        <v>2.2149999999999999</v>
      </c>
      <c r="F238" s="24" t="s">
        <v>1899</v>
      </c>
      <c r="G238" s="1" t="s">
        <v>3853</v>
      </c>
      <c r="H238" s="1" t="s">
        <v>3854</v>
      </c>
      <c r="I238" s="110">
        <v>45275</v>
      </c>
    </row>
    <row r="239" spans="1:9" s="147" customFormat="1">
      <c r="A239" s="66" t="s">
        <v>3855</v>
      </c>
      <c r="B239" s="103">
        <v>45286</v>
      </c>
      <c r="C239" s="13" t="s">
        <v>2299</v>
      </c>
      <c r="D239" s="13" t="s">
        <v>716</v>
      </c>
      <c r="E239" s="104">
        <v>23.678999999999998</v>
      </c>
      <c r="F239" s="24" t="s">
        <v>1899</v>
      </c>
      <c r="G239" s="1" t="s">
        <v>3853</v>
      </c>
      <c r="H239" s="1" t="s">
        <v>3856</v>
      </c>
      <c r="I239" s="110">
        <v>45275</v>
      </c>
    </row>
    <row r="240" spans="1:9" s="147" customFormat="1">
      <c r="A240" s="66" t="s">
        <v>3857</v>
      </c>
      <c r="B240" s="103">
        <v>45286</v>
      </c>
      <c r="C240" s="13" t="s">
        <v>1341</v>
      </c>
      <c r="D240" s="13" t="s">
        <v>716</v>
      </c>
      <c r="E240" s="104">
        <v>0.33300000000000002</v>
      </c>
      <c r="F240" s="24" t="s">
        <v>1127</v>
      </c>
      <c r="G240" s="1" t="s">
        <v>3858</v>
      </c>
      <c r="H240" s="4" t="s">
        <v>3170</v>
      </c>
      <c r="I240" s="110">
        <v>45227</v>
      </c>
    </row>
    <row r="241" spans="1:9" s="147" customFormat="1">
      <c r="A241" s="66" t="s">
        <v>3857</v>
      </c>
      <c r="B241" s="103">
        <v>45286</v>
      </c>
      <c r="C241" s="13" t="s">
        <v>1459</v>
      </c>
      <c r="D241" s="13" t="s">
        <v>716</v>
      </c>
      <c r="E241" s="104">
        <v>0.56299999999999994</v>
      </c>
      <c r="F241" s="24" t="s">
        <v>1127</v>
      </c>
      <c r="G241" s="1" t="s">
        <v>3858</v>
      </c>
      <c r="H241" s="4" t="s">
        <v>3170</v>
      </c>
      <c r="I241" s="110">
        <v>45227</v>
      </c>
    </row>
    <row r="242" spans="1:9" s="147" customFormat="1">
      <c r="A242" s="66" t="s">
        <v>3859</v>
      </c>
      <c r="B242" s="103">
        <v>45286</v>
      </c>
      <c r="C242" s="13" t="s">
        <v>1251</v>
      </c>
      <c r="D242" s="13" t="s">
        <v>716</v>
      </c>
      <c r="E242" s="104">
        <f>1.084+1.839</f>
        <v>2.923</v>
      </c>
      <c r="F242" s="24" t="s">
        <v>1127</v>
      </c>
      <c r="G242" s="1" t="s">
        <v>3860</v>
      </c>
      <c r="H242" s="1" t="s">
        <v>3854</v>
      </c>
      <c r="I242" s="110">
        <v>45275</v>
      </c>
    </row>
    <row r="243" spans="1:9" s="147" customFormat="1">
      <c r="A243" s="66" t="s">
        <v>3859</v>
      </c>
      <c r="B243" s="103">
        <v>45286</v>
      </c>
      <c r="C243" s="13" t="s">
        <v>1459</v>
      </c>
      <c r="D243" s="13" t="s">
        <v>716</v>
      </c>
      <c r="E243" s="104">
        <v>1.8560000000000001</v>
      </c>
      <c r="F243" s="24" t="s">
        <v>1127</v>
      </c>
      <c r="G243" s="1" t="s">
        <v>3860</v>
      </c>
      <c r="H243" s="1" t="s">
        <v>3854</v>
      </c>
      <c r="I243" s="110">
        <v>45275</v>
      </c>
    </row>
    <row r="244" spans="1:9" s="147" customFormat="1">
      <c r="A244" s="66" t="s">
        <v>3859</v>
      </c>
      <c r="B244" s="103">
        <v>45286</v>
      </c>
      <c r="C244" s="13" t="s">
        <v>1342</v>
      </c>
      <c r="D244" s="13" t="s">
        <v>716</v>
      </c>
      <c r="E244" s="104">
        <v>1.2390000000000001</v>
      </c>
      <c r="F244" s="24" t="s">
        <v>1127</v>
      </c>
      <c r="G244" s="1" t="s">
        <v>3860</v>
      </c>
      <c r="H244" s="1" t="s">
        <v>3854</v>
      </c>
      <c r="I244" s="110">
        <v>45275</v>
      </c>
    </row>
    <row r="245" spans="1:9" s="147" customFormat="1">
      <c r="A245" s="66" t="s">
        <v>3859</v>
      </c>
      <c r="B245" s="103">
        <v>45286</v>
      </c>
      <c r="C245" s="13" t="s">
        <v>1223</v>
      </c>
      <c r="D245" s="13" t="s">
        <v>716</v>
      </c>
      <c r="E245" s="104">
        <v>1.486</v>
      </c>
      <c r="F245" s="24" t="s">
        <v>1127</v>
      </c>
      <c r="G245" s="1" t="s">
        <v>3860</v>
      </c>
      <c r="H245" s="1" t="s">
        <v>3854</v>
      </c>
      <c r="I245" s="110">
        <v>45275</v>
      </c>
    </row>
    <row r="246" spans="1:9" s="147" customFormat="1">
      <c r="A246" s="66" t="s">
        <v>3859</v>
      </c>
      <c r="B246" s="103">
        <v>45286</v>
      </c>
      <c r="C246" s="13" t="s">
        <v>1294</v>
      </c>
      <c r="D246" s="13" t="s">
        <v>716</v>
      </c>
      <c r="E246" s="104">
        <v>1.7150000000000001</v>
      </c>
      <c r="F246" s="24" t="s">
        <v>1127</v>
      </c>
      <c r="G246" s="1" t="s">
        <v>3860</v>
      </c>
      <c r="H246" s="1" t="s">
        <v>3854</v>
      </c>
      <c r="I246" s="110">
        <v>45275</v>
      </c>
    </row>
    <row r="247" spans="1:9" s="147" customFormat="1">
      <c r="A247" s="66" t="s">
        <v>3861</v>
      </c>
      <c r="B247" s="103">
        <v>45286</v>
      </c>
      <c r="C247" s="13" t="s">
        <v>2616</v>
      </c>
      <c r="D247" s="13" t="s">
        <v>716</v>
      </c>
      <c r="E247" s="104">
        <v>14.103</v>
      </c>
      <c r="F247" s="24" t="s">
        <v>1127</v>
      </c>
      <c r="G247" s="1" t="s">
        <v>3862</v>
      </c>
      <c r="H247" s="1" t="s">
        <v>3863</v>
      </c>
      <c r="I247" s="110">
        <v>45252</v>
      </c>
    </row>
    <row r="248" spans="1:9" s="147" customFormat="1">
      <c r="A248" s="66" t="s">
        <v>3864</v>
      </c>
      <c r="B248" s="103">
        <v>45286</v>
      </c>
      <c r="C248" s="13" t="s">
        <v>2616</v>
      </c>
      <c r="D248" s="13" t="s">
        <v>716</v>
      </c>
      <c r="E248" s="104">
        <f>7.088+1.578</f>
        <v>8.6660000000000004</v>
      </c>
      <c r="F248" s="24" t="s">
        <v>1127</v>
      </c>
      <c r="G248" s="1" t="s">
        <v>3865</v>
      </c>
      <c r="H248" s="1" t="s">
        <v>3866</v>
      </c>
      <c r="I248" s="110">
        <v>45265</v>
      </c>
    </row>
    <row r="249" spans="1:9" s="147" customFormat="1">
      <c r="A249" s="66" t="s">
        <v>3867</v>
      </c>
      <c r="B249" s="103">
        <v>45286</v>
      </c>
      <c r="C249" s="13" t="s">
        <v>2299</v>
      </c>
      <c r="D249" s="13" t="s">
        <v>716</v>
      </c>
      <c r="E249" s="104">
        <f>29.08+3.167</f>
        <v>32.247</v>
      </c>
      <c r="F249" s="24" t="s">
        <v>3011</v>
      </c>
      <c r="G249" s="1" t="s">
        <v>3868</v>
      </c>
      <c r="H249" s="1" t="s">
        <v>3856</v>
      </c>
      <c r="I249" s="110">
        <v>45265</v>
      </c>
    </row>
    <row r="250" spans="1:9" s="147" customFormat="1">
      <c r="A250" s="66" t="s">
        <v>3869</v>
      </c>
      <c r="B250" s="103">
        <v>45286</v>
      </c>
      <c r="C250" s="13" t="s">
        <v>2616</v>
      </c>
      <c r="D250" s="13" t="s">
        <v>716</v>
      </c>
      <c r="E250" s="104">
        <v>2.5329999999999999</v>
      </c>
      <c r="F250" s="24" t="s">
        <v>573</v>
      </c>
      <c r="G250" s="1" t="s">
        <v>3870</v>
      </c>
      <c r="H250" s="1" t="s">
        <v>3863</v>
      </c>
      <c r="I250" s="110">
        <v>45252</v>
      </c>
    </row>
    <row r="251" spans="1:9" s="147" customFormat="1">
      <c r="A251" s="66" t="s">
        <v>3869</v>
      </c>
      <c r="B251" s="103">
        <v>45286</v>
      </c>
      <c r="C251" s="13" t="s">
        <v>2299</v>
      </c>
      <c r="D251" s="13" t="s">
        <v>716</v>
      </c>
      <c r="E251" s="104">
        <v>5.6159999999999997</v>
      </c>
      <c r="F251" s="24" t="s">
        <v>573</v>
      </c>
      <c r="G251" s="1" t="s">
        <v>3870</v>
      </c>
      <c r="H251" s="1" t="s">
        <v>3863</v>
      </c>
      <c r="I251" s="110">
        <v>45252</v>
      </c>
    </row>
    <row r="252" spans="1:9" s="147" customFormat="1">
      <c r="A252" s="66" t="s">
        <v>3871</v>
      </c>
      <c r="B252" s="103">
        <v>45286</v>
      </c>
      <c r="C252" s="13" t="s">
        <v>2616</v>
      </c>
      <c r="D252" s="13" t="s">
        <v>716</v>
      </c>
      <c r="E252" s="104">
        <v>6.4509999999999996</v>
      </c>
      <c r="F252" s="24" t="s">
        <v>573</v>
      </c>
      <c r="G252" s="1" t="s">
        <v>3870</v>
      </c>
      <c r="H252" s="1" t="s">
        <v>3866</v>
      </c>
      <c r="I252" s="110">
        <v>45265</v>
      </c>
    </row>
    <row r="253" spans="1:9" s="147" customFormat="1">
      <c r="A253" s="66" t="s">
        <v>3872</v>
      </c>
      <c r="B253" s="103">
        <v>45286</v>
      </c>
      <c r="C253" s="13" t="s">
        <v>2299</v>
      </c>
      <c r="D253" s="13" t="s">
        <v>716</v>
      </c>
      <c r="E253" s="104">
        <f>15.174+1.73</f>
        <v>16.904</v>
      </c>
      <c r="F253" s="24" t="s">
        <v>573</v>
      </c>
      <c r="G253" s="1" t="s">
        <v>3873</v>
      </c>
      <c r="H253" s="1" t="s">
        <v>3874</v>
      </c>
      <c r="I253" s="110">
        <v>45265</v>
      </c>
    </row>
    <row r="254" spans="1:9" s="147" customFormat="1">
      <c r="A254" s="66" t="s">
        <v>3875</v>
      </c>
      <c r="B254" s="103">
        <v>45286</v>
      </c>
      <c r="C254" s="13" t="s">
        <v>1245</v>
      </c>
      <c r="D254" s="13" t="s">
        <v>716</v>
      </c>
      <c r="E254" s="104">
        <v>1.591</v>
      </c>
      <c r="F254" s="24" t="s">
        <v>573</v>
      </c>
      <c r="G254" s="1" t="s">
        <v>3876</v>
      </c>
      <c r="H254" s="4" t="s">
        <v>3170</v>
      </c>
      <c r="I254" s="110">
        <v>45227</v>
      </c>
    </row>
    <row r="255" spans="1:9" s="147" customFormat="1">
      <c r="A255" s="66"/>
      <c r="B255" s="103"/>
      <c r="C255" s="11"/>
      <c r="D255" s="13"/>
      <c r="E255" s="54">
        <f>SUM(E234:E254)</f>
        <v>130.61700000000002</v>
      </c>
      <c r="F255" s="24"/>
      <c r="G255" s="1"/>
      <c r="H255" s="1"/>
      <c r="I255" s="3"/>
    </row>
    <row r="256" spans="1:9" s="147" customFormat="1">
      <c r="A256" s="66" t="s">
        <v>3882</v>
      </c>
      <c r="B256" s="103">
        <v>45288</v>
      </c>
      <c r="C256" s="13" t="s">
        <v>2616</v>
      </c>
      <c r="D256" s="13" t="s">
        <v>716</v>
      </c>
      <c r="E256" s="104">
        <v>4.4580000000000002</v>
      </c>
      <c r="F256" s="24" t="s">
        <v>548</v>
      </c>
      <c r="G256" s="1" t="s">
        <v>3883</v>
      </c>
      <c r="H256" s="1" t="s">
        <v>3863</v>
      </c>
      <c r="I256" s="110">
        <v>45252</v>
      </c>
    </row>
    <row r="257" spans="1:9" s="147" customFormat="1">
      <c r="A257" s="66" t="s">
        <v>3882</v>
      </c>
      <c r="B257" s="103">
        <v>45288</v>
      </c>
      <c r="C257" s="13" t="s">
        <v>2299</v>
      </c>
      <c r="D257" s="13" t="s">
        <v>716</v>
      </c>
      <c r="E257" s="104">
        <v>5.3419999999999996</v>
      </c>
      <c r="F257" s="24" t="s">
        <v>548</v>
      </c>
      <c r="G257" s="1" t="s">
        <v>3883</v>
      </c>
      <c r="H257" s="1" t="s">
        <v>3863</v>
      </c>
      <c r="I257" s="110">
        <v>45252</v>
      </c>
    </row>
    <row r="258" spans="1:9" s="147" customFormat="1">
      <c r="A258" s="66" t="s">
        <v>3882</v>
      </c>
      <c r="B258" s="103">
        <v>45288</v>
      </c>
      <c r="C258" s="13" t="s">
        <v>1478</v>
      </c>
      <c r="D258" s="13" t="s">
        <v>716</v>
      </c>
      <c r="E258" s="104">
        <v>1.1659999999999999</v>
      </c>
      <c r="F258" s="24" t="s">
        <v>548</v>
      </c>
      <c r="G258" s="1" t="s">
        <v>3883</v>
      </c>
      <c r="H258" s="1" t="s">
        <v>3863</v>
      </c>
      <c r="I258" s="110">
        <v>45252</v>
      </c>
    </row>
    <row r="259" spans="1:9" s="147" customFormat="1">
      <c r="A259" s="66" t="s">
        <v>3884</v>
      </c>
      <c r="B259" s="103">
        <v>45288</v>
      </c>
      <c r="C259" s="13" t="s">
        <v>2616</v>
      </c>
      <c r="D259" s="13" t="s">
        <v>716</v>
      </c>
      <c r="E259" s="104">
        <v>0.34699999999999998</v>
      </c>
      <c r="F259" s="24" t="s">
        <v>548</v>
      </c>
      <c r="G259" s="1" t="s">
        <v>3883</v>
      </c>
      <c r="H259" s="1" t="s">
        <v>3866</v>
      </c>
      <c r="I259" s="110">
        <v>45265</v>
      </c>
    </row>
    <row r="260" spans="1:9" s="147" customFormat="1">
      <c r="A260" s="66" t="s">
        <v>3885</v>
      </c>
      <c r="B260" s="103">
        <v>45288</v>
      </c>
      <c r="C260" s="13" t="s">
        <v>2299</v>
      </c>
      <c r="D260" s="13" t="s">
        <v>716</v>
      </c>
      <c r="E260" s="104">
        <v>5.423</v>
      </c>
      <c r="F260" s="24" t="s">
        <v>548</v>
      </c>
      <c r="G260" s="1" t="s">
        <v>3883</v>
      </c>
      <c r="H260" s="1" t="s">
        <v>3856</v>
      </c>
      <c r="I260" s="110">
        <v>45265</v>
      </c>
    </row>
    <row r="261" spans="1:9" s="147" customFormat="1">
      <c r="A261" s="66" t="s">
        <v>3886</v>
      </c>
      <c r="B261" s="103">
        <v>45288</v>
      </c>
      <c r="C261" s="13" t="s">
        <v>2299</v>
      </c>
      <c r="D261" s="13" t="s">
        <v>716</v>
      </c>
      <c r="E261" s="104">
        <f>6.894+2.484</f>
        <v>9.3780000000000001</v>
      </c>
      <c r="F261" s="24" t="s">
        <v>548</v>
      </c>
      <c r="G261" s="1" t="s">
        <v>3887</v>
      </c>
      <c r="H261" s="1" t="s">
        <v>3874</v>
      </c>
      <c r="I261" s="110">
        <v>45265</v>
      </c>
    </row>
    <row r="262" spans="1:9" s="147" customFormat="1">
      <c r="A262" s="66" t="s">
        <v>3886</v>
      </c>
      <c r="B262" s="103">
        <v>45288</v>
      </c>
      <c r="C262" s="13" t="s">
        <v>1478</v>
      </c>
      <c r="D262" s="13" t="s">
        <v>716</v>
      </c>
      <c r="E262" s="104">
        <v>0.184</v>
      </c>
      <c r="F262" s="24" t="s">
        <v>548</v>
      </c>
      <c r="G262" s="1" t="s">
        <v>3887</v>
      </c>
      <c r="H262" s="1" t="s">
        <v>3874</v>
      </c>
      <c r="I262" s="110">
        <v>45265</v>
      </c>
    </row>
    <row r="263" spans="1:9" s="147" customFormat="1">
      <c r="A263" s="66" t="s">
        <v>3888</v>
      </c>
      <c r="B263" s="103">
        <v>45288</v>
      </c>
      <c r="C263" s="13" t="s">
        <v>2273</v>
      </c>
      <c r="D263" s="13" t="s">
        <v>716</v>
      </c>
      <c r="E263" s="104">
        <v>1.5589999999999999</v>
      </c>
      <c r="F263" s="24" t="s">
        <v>548</v>
      </c>
      <c r="G263" s="1" t="s">
        <v>3889</v>
      </c>
      <c r="H263" s="1" t="s">
        <v>3854</v>
      </c>
      <c r="I263" s="110">
        <v>45275</v>
      </c>
    </row>
    <row r="264" spans="1:9" s="147" customFormat="1">
      <c r="A264" s="66" t="s">
        <v>3888</v>
      </c>
      <c r="B264" s="103">
        <v>45288</v>
      </c>
      <c r="C264" s="13" t="s">
        <v>1260</v>
      </c>
      <c r="D264" s="13" t="s">
        <v>716</v>
      </c>
      <c r="E264" s="104">
        <v>0.77800000000000002</v>
      </c>
      <c r="F264" s="24" t="s">
        <v>548</v>
      </c>
      <c r="G264" s="1" t="s">
        <v>3889</v>
      </c>
      <c r="H264" s="1" t="s">
        <v>3854</v>
      </c>
      <c r="I264" s="110">
        <v>45275</v>
      </c>
    </row>
    <row r="265" spans="1:9" s="147" customFormat="1">
      <c r="A265" s="66" t="s">
        <v>3888</v>
      </c>
      <c r="B265" s="103">
        <v>45288</v>
      </c>
      <c r="C265" s="13" t="s">
        <v>1256</v>
      </c>
      <c r="D265" s="13" t="s">
        <v>716</v>
      </c>
      <c r="E265" s="104">
        <v>0.48199999999999998</v>
      </c>
      <c r="F265" s="24" t="s">
        <v>548</v>
      </c>
      <c r="G265" s="1" t="s">
        <v>3889</v>
      </c>
      <c r="H265" s="1" t="s">
        <v>3854</v>
      </c>
      <c r="I265" s="110">
        <v>45275</v>
      </c>
    </row>
    <row r="266" spans="1:9" s="147" customFormat="1">
      <c r="A266" s="66" t="s">
        <v>3890</v>
      </c>
      <c r="B266" s="103">
        <v>45288</v>
      </c>
      <c r="C266" s="13" t="s">
        <v>1673</v>
      </c>
      <c r="D266" s="13" t="s">
        <v>716</v>
      </c>
      <c r="E266" s="104">
        <v>1.1040000000000001</v>
      </c>
      <c r="F266" s="24" t="s">
        <v>548</v>
      </c>
      <c r="G266" s="1" t="s">
        <v>3889</v>
      </c>
      <c r="H266" s="1" t="s">
        <v>3891</v>
      </c>
      <c r="I266" s="110">
        <v>45261</v>
      </c>
    </row>
    <row r="267" spans="1:9" s="147" customFormat="1">
      <c r="A267" s="66" t="s">
        <v>3890</v>
      </c>
      <c r="B267" s="103">
        <v>45288</v>
      </c>
      <c r="C267" s="13" t="s">
        <v>1328</v>
      </c>
      <c r="D267" s="13" t="s">
        <v>716</v>
      </c>
      <c r="E267" s="104">
        <v>0.70399999999999996</v>
      </c>
      <c r="F267" s="24" t="s">
        <v>548</v>
      </c>
      <c r="G267" s="1" t="s">
        <v>3889</v>
      </c>
      <c r="H267" s="1" t="s">
        <v>3891</v>
      </c>
      <c r="I267" s="110">
        <v>45261</v>
      </c>
    </row>
    <row r="268" spans="1:9" s="147" customFormat="1">
      <c r="A268" s="66" t="s">
        <v>3890</v>
      </c>
      <c r="B268" s="103">
        <v>45288</v>
      </c>
      <c r="C268" s="13" t="s">
        <v>1367</v>
      </c>
      <c r="D268" s="13" t="s">
        <v>716</v>
      </c>
      <c r="E268" s="104">
        <v>0.66300000000000003</v>
      </c>
      <c r="F268" s="24" t="s">
        <v>548</v>
      </c>
      <c r="G268" s="1" t="s">
        <v>3889</v>
      </c>
      <c r="H268" s="1" t="s">
        <v>3891</v>
      </c>
      <c r="I268" s="110">
        <v>45261</v>
      </c>
    </row>
    <row r="269" spans="1:9" s="147" customFormat="1">
      <c r="A269" s="66" t="s">
        <v>3890</v>
      </c>
      <c r="B269" s="103">
        <v>45288</v>
      </c>
      <c r="C269" s="13" t="s">
        <v>1321</v>
      </c>
      <c r="D269" s="13" t="s">
        <v>716</v>
      </c>
      <c r="E269" s="104">
        <v>0.42799999999999999</v>
      </c>
      <c r="F269" s="24" t="s">
        <v>548</v>
      </c>
      <c r="G269" s="1" t="s">
        <v>3889</v>
      </c>
      <c r="H269" s="1" t="s">
        <v>3891</v>
      </c>
      <c r="I269" s="110">
        <v>45261</v>
      </c>
    </row>
    <row r="270" spans="1:9" s="147" customFormat="1">
      <c r="A270" s="66" t="s">
        <v>3890</v>
      </c>
      <c r="B270" s="103">
        <v>45288</v>
      </c>
      <c r="C270" s="13" t="s">
        <v>1823</v>
      </c>
      <c r="D270" s="13" t="s">
        <v>716</v>
      </c>
      <c r="E270" s="104">
        <v>0.34899999999999998</v>
      </c>
      <c r="F270" s="24" t="s">
        <v>548</v>
      </c>
      <c r="G270" s="1" t="s">
        <v>3889</v>
      </c>
      <c r="H270" s="1" t="s">
        <v>3891</v>
      </c>
      <c r="I270" s="110">
        <v>45261</v>
      </c>
    </row>
    <row r="271" spans="1:9" s="147" customFormat="1">
      <c r="A271" s="66" t="s">
        <v>3892</v>
      </c>
      <c r="B271" s="103">
        <v>45288</v>
      </c>
      <c r="C271" s="13" t="s">
        <v>1478</v>
      </c>
      <c r="D271" s="13" t="s">
        <v>716</v>
      </c>
      <c r="E271" s="104">
        <v>2.415</v>
      </c>
      <c r="F271" s="24" t="s">
        <v>2010</v>
      </c>
      <c r="G271" s="1" t="s">
        <v>3893</v>
      </c>
      <c r="H271" s="1" t="s">
        <v>3863</v>
      </c>
      <c r="I271" s="110">
        <v>45252</v>
      </c>
    </row>
    <row r="272" spans="1:9" s="147" customFormat="1">
      <c r="A272" s="66" t="s">
        <v>3892</v>
      </c>
      <c r="B272" s="103">
        <v>45288</v>
      </c>
      <c r="C272" s="13" t="s">
        <v>2299</v>
      </c>
      <c r="D272" s="13" t="s">
        <v>716</v>
      </c>
      <c r="E272" s="104">
        <v>5.2789999999999999</v>
      </c>
      <c r="F272" s="24" t="s">
        <v>2010</v>
      </c>
      <c r="G272" s="1" t="s">
        <v>3893</v>
      </c>
      <c r="H272" s="1" t="s">
        <v>3863</v>
      </c>
      <c r="I272" s="110">
        <v>45252</v>
      </c>
    </row>
    <row r="273" spans="1:9" s="147" customFormat="1">
      <c r="A273" s="66" t="s">
        <v>3894</v>
      </c>
      <c r="B273" s="103">
        <v>45288</v>
      </c>
      <c r="C273" s="13" t="s">
        <v>1478</v>
      </c>
      <c r="D273" s="13" t="s">
        <v>716</v>
      </c>
      <c r="E273" s="104">
        <v>0.39400000000000002</v>
      </c>
      <c r="F273" s="24" t="s">
        <v>2010</v>
      </c>
      <c r="G273" s="1" t="s">
        <v>3893</v>
      </c>
      <c r="H273" s="1" t="s">
        <v>3856</v>
      </c>
      <c r="I273" s="110">
        <v>45265</v>
      </c>
    </row>
    <row r="274" spans="1:9" s="147" customFormat="1">
      <c r="A274" s="66" t="s">
        <v>3894</v>
      </c>
      <c r="B274" s="103">
        <v>45288</v>
      </c>
      <c r="C274" s="13" t="s">
        <v>2299</v>
      </c>
      <c r="D274" s="13" t="s">
        <v>716</v>
      </c>
      <c r="E274" s="104">
        <v>1.3859999999999999</v>
      </c>
      <c r="F274" s="24" t="s">
        <v>2010</v>
      </c>
      <c r="G274" s="1" t="s">
        <v>3893</v>
      </c>
      <c r="H274" s="1" t="s">
        <v>3856</v>
      </c>
      <c r="I274" s="110">
        <v>45265</v>
      </c>
    </row>
    <row r="275" spans="1:9" s="147" customFormat="1">
      <c r="A275" s="66" t="s">
        <v>3895</v>
      </c>
      <c r="B275" s="103">
        <v>45288</v>
      </c>
      <c r="C275" s="13" t="s">
        <v>1478</v>
      </c>
      <c r="D275" s="13" t="s">
        <v>716</v>
      </c>
      <c r="E275" s="104">
        <v>2.13</v>
      </c>
      <c r="F275" s="24" t="s">
        <v>2010</v>
      </c>
      <c r="G275" s="1" t="s">
        <v>3893</v>
      </c>
      <c r="H275" s="1" t="s">
        <v>3866</v>
      </c>
      <c r="I275" s="110">
        <v>45265</v>
      </c>
    </row>
    <row r="276" spans="1:9" s="147" customFormat="1">
      <c r="A276" s="66" t="s">
        <v>3895</v>
      </c>
      <c r="B276" s="103">
        <v>45288</v>
      </c>
      <c r="C276" s="13" t="s">
        <v>2299</v>
      </c>
      <c r="D276" s="13" t="s">
        <v>716</v>
      </c>
      <c r="E276" s="104">
        <v>1.044</v>
      </c>
      <c r="F276" s="24" t="s">
        <v>2010</v>
      </c>
      <c r="G276" s="1" t="s">
        <v>3893</v>
      </c>
      <c r="H276" s="1" t="s">
        <v>3866</v>
      </c>
      <c r="I276" s="110">
        <v>45265</v>
      </c>
    </row>
    <row r="277" spans="1:9" s="147" customFormat="1">
      <c r="A277" s="66" t="s">
        <v>3896</v>
      </c>
      <c r="B277" s="103">
        <v>45288</v>
      </c>
      <c r="C277" s="13" t="s">
        <v>2299</v>
      </c>
      <c r="D277" s="13" t="s">
        <v>716</v>
      </c>
      <c r="E277" s="104">
        <v>2.3849999999999998</v>
      </c>
      <c r="F277" s="24" t="s">
        <v>2010</v>
      </c>
      <c r="G277" s="1" t="s">
        <v>3893</v>
      </c>
      <c r="H277" s="1" t="s">
        <v>3874</v>
      </c>
      <c r="I277" s="110">
        <v>45265</v>
      </c>
    </row>
    <row r="278" spans="1:9" s="147" customFormat="1">
      <c r="A278" s="66" t="s">
        <v>3897</v>
      </c>
      <c r="B278" s="103">
        <v>45288</v>
      </c>
      <c r="C278" s="13" t="s">
        <v>1387</v>
      </c>
      <c r="D278" s="13" t="s">
        <v>716</v>
      </c>
      <c r="E278" s="104">
        <v>3.5510000000000002</v>
      </c>
      <c r="F278" s="24" t="s">
        <v>2010</v>
      </c>
      <c r="G278" s="1" t="s">
        <v>3893</v>
      </c>
      <c r="H278" s="1" t="s">
        <v>3854</v>
      </c>
      <c r="I278" s="110">
        <v>45275</v>
      </c>
    </row>
    <row r="279" spans="1:9" s="147" customFormat="1">
      <c r="A279" s="66" t="s">
        <v>3898</v>
      </c>
      <c r="B279" s="103">
        <v>45288</v>
      </c>
      <c r="C279" s="13" t="s">
        <v>2721</v>
      </c>
      <c r="D279" s="13" t="s">
        <v>716</v>
      </c>
      <c r="E279" s="104">
        <f>2.305+0.133</f>
        <v>2.4380000000000002</v>
      </c>
      <c r="F279" s="24" t="s">
        <v>2010</v>
      </c>
      <c r="G279" s="1" t="s">
        <v>3899</v>
      </c>
      <c r="H279" s="1" t="s">
        <v>3891</v>
      </c>
      <c r="I279" s="110">
        <v>45261</v>
      </c>
    </row>
    <row r="280" spans="1:9" s="147" customFormat="1">
      <c r="A280" s="66" t="s">
        <v>3898</v>
      </c>
      <c r="B280" s="103">
        <v>45288</v>
      </c>
      <c r="C280" s="13" t="s">
        <v>1272</v>
      </c>
      <c r="D280" s="13" t="s">
        <v>716</v>
      </c>
      <c r="E280" s="104">
        <v>0.48599999999999999</v>
      </c>
      <c r="F280" s="24" t="s">
        <v>2010</v>
      </c>
      <c r="G280" s="1" t="s">
        <v>3899</v>
      </c>
      <c r="H280" s="1" t="s">
        <v>3891</v>
      </c>
      <c r="I280" s="110">
        <v>45261</v>
      </c>
    </row>
    <row r="281" spans="1:9" s="147" customFormat="1">
      <c r="A281" s="66" t="s">
        <v>3900</v>
      </c>
      <c r="B281" s="103">
        <v>45288</v>
      </c>
      <c r="C281" s="13" t="s">
        <v>1272</v>
      </c>
      <c r="D281" s="13" t="s">
        <v>716</v>
      </c>
      <c r="E281" s="104">
        <v>4.9109999999999996</v>
      </c>
      <c r="F281" s="24" t="s">
        <v>2010</v>
      </c>
      <c r="G281" s="1" t="s">
        <v>3899</v>
      </c>
      <c r="H281" s="1" t="s">
        <v>3901</v>
      </c>
      <c r="I281" s="110">
        <v>45261</v>
      </c>
    </row>
    <row r="282" spans="1:9" s="147" customFormat="1">
      <c r="A282" s="66" t="s">
        <v>3902</v>
      </c>
      <c r="B282" s="103">
        <v>45288</v>
      </c>
      <c r="C282" s="13" t="s">
        <v>1271</v>
      </c>
      <c r="D282" s="13" t="s">
        <v>716</v>
      </c>
      <c r="E282" s="104">
        <v>6.0979999999999999</v>
      </c>
      <c r="F282" s="24" t="s">
        <v>2010</v>
      </c>
      <c r="G282" s="1" t="s">
        <v>3899</v>
      </c>
      <c r="H282" s="1" t="s">
        <v>3903</v>
      </c>
      <c r="I282" s="110">
        <v>45261</v>
      </c>
    </row>
    <row r="283" spans="1:9" s="147" customFormat="1">
      <c r="A283" s="66"/>
      <c r="B283" s="103"/>
      <c r="C283" s="11"/>
      <c r="D283" s="13"/>
      <c r="E283" s="54">
        <f>SUM(E256:E282)</f>
        <v>64.882000000000005</v>
      </c>
      <c r="F283" s="24"/>
      <c r="G283" s="1"/>
      <c r="H283" s="1"/>
      <c r="I283" s="3"/>
    </row>
    <row r="284" spans="1:9" s="147" customFormat="1">
      <c r="A284" s="66" t="s">
        <v>3911</v>
      </c>
      <c r="B284" s="103">
        <v>45289</v>
      </c>
      <c r="C284" s="13" t="s">
        <v>1342</v>
      </c>
      <c r="D284" s="13" t="s">
        <v>716</v>
      </c>
      <c r="E284" s="104">
        <f>17.996+12.503</f>
        <v>30.498999999999999</v>
      </c>
      <c r="F284" s="102" t="s">
        <v>2318</v>
      </c>
      <c r="G284" s="4" t="s">
        <v>3912</v>
      </c>
      <c r="H284" s="4" t="s">
        <v>3903</v>
      </c>
      <c r="I284" s="110">
        <v>45261</v>
      </c>
    </row>
    <row r="285" spans="1:9" s="147" customFormat="1">
      <c r="A285" s="66" t="s">
        <v>3913</v>
      </c>
      <c r="B285" s="103">
        <v>45289</v>
      </c>
      <c r="C285" s="13" t="s">
        <v>1342</v>
      </c>
      <c r="D285" s="13" t="s">
        <v>716</v>
      </c>
      <c r="E285" s="104">
        <v>2.141</v>
      </c>
      <c r="F285" s="102" t="s">
        <v>2318</v>
      </c>
      <c r="G285" s="4" t="s">
        <v>3914</v>
      </c>
      <c r="H285" s="4" t="s">
        <v>3901</v>
      </c>
      <c r="I285" s="110">
        <v>45261</v>
      </c>
    </row>
    <row r="286" spans="1:9" s="147" customFormat="1">
      <c r="A286" s="66" t="s">
        <v>3915</v>
      </c>
      <c r="B286" s="103">
        <v>45289</v>
      </c>
      <c r="C286" s="13" t="s">
        <v>1342</v>
      </c>
      <c r="D286" s="13" t="s">
        <v>716</v>
      </c>
      <c r="E286" s="104">
        <v>33.027000000000001</v>
      </c>
      <c r="F286" s="102" t="s">
        <v>926</v>
      </c>
      <c r="G286" s="4" t="s">
        <v>3916</v>
      </c>
      <c r="H286" s="4" t="s">
        <v>3903</v>
      </c>
      <c r="I286" s="110">
        <v>45261</v>
      </c>
    </row>
    <row r="287" spans="1:9" s="147" customFormat="1">
      <c r="A287" s="66" t="s">
        <v>3917</v>
      </c>
      <c r="B287" s="103">
        <v>45289</v>
      </c>
      <c r="C287" s="13" t="s">
        <v>1341</v>
      </c>
      <c r="D287" s="13" t="s">
        <v>716</v>
      </c>
      <c r="E287" s="104">
        <f>12.865+15.635</f>
        <v>28.5</v>
      </c>
      <c r="F287" s="102" t="s">
        <v>3918</v>
      </c>
      <c r="G287" s="4" t="s">
        <v>3919</v>
      </c>
      <c r="H287" s="4" t="s">
        <v>3903</v>
      </c>
      <c r="I287" s="110">
        <v>45261</v>
      </c>
    </row>
    <row r="288" spans="1:9" s="147" customFormat="1">
      <c r="A288" s="66" t="s">
        <v>3920</v>
      </c>
      <c r="B288" s="103">
        <v>45289</v>
      </c>
      <c r="C288" s="13" t="s">
        <v>1341</v>
      </c>
      <c r="D288" s="13" t="s">
        <v>716</v>
      </c>
      <c r="E288" s="104">
        <v>2.0840000000000001</v>
      </c>
      <c r="F288" s="102" t="s">
        <v>3918</v>
      </c>
      <c r="G288" s="4" t="s">
        <v>3921</v>
      </c>
      <c r="H288" s="4" t="s">
        <v>3901</v>
      </c>
      <c r="I288" s="110">
        <v>45261</v>
      </c>
    </row>
    <row r="289" spans="1:9" s="147" customFormat="1">
      <c r="A289" s="66" t="s">
        <v>3922</v>
      </c>
      <c r="B289" s="103">
        <v>45289</v>
      </c>
      <c r="C289" s="13" t="s">
        <v>1226</v>
      </c>
      <c r="D289" s="13" t="s">
        <v>716</v>
      </c>
      <c r="E289" s="104">
        <v>2.0350000000000001</v>
      </c>
      <c r="F289" s="102" t="s">
        <v>3918</v>
      </c>
      <c r="G289" s="4" t="s">
        <v>3921</v>
      </c>
      <c r="H289" s="4" t="s">
        <v>3891</v>
      </c>
      <c r="I289" s="110">
        <v>45261</v>
      </c>
    </row>
    <row r="290" spans="1:9" s="147" customFormat="1">
      <c r="A290" s="66" t="s">
        <v>3906</v>
      </c>
      <c r="B290" s="103">
        <v>45289</v>
      </c>
      <c r="C290" s="13" t="s">
        <v>1342</v>
      </c>
      <c r="D290" s="13" t="s">
        <v>716</v>
      </c>
      <c r="E290" s="104">
        <f>10.146+9.7</f>
        <v>19.846</v>
      </c>
      <c r="F290" s="102" t="s">
        <v>3923</v>
      </c>
      <c r="G290" s="1" t="s">
        <v>3950</v>
      </c>
      <c r="H290" s="4" t="s">
        <v>3903</v>
      </c>
      <c r="I290" s="110">
        <v>45261</v>
      </c>
    </row>
    <row r="291" spans="1:9" s="147" customFormat="1">
      <c r="A291" s="66" t="s">
        <v>3924</v>
      </c>
      <c r="B291" s="103">
        <v>45289</v>
      </c>
      <c r="C291" s="13" t="s">
        <v>1342</v>
      </c>
      <c r="D291" s="13" t="s">
        <v>716</v>
      </c>
      <c r="E291" s="104">
        <v>5.1180000000000003</v>
      </c>
      <c r="F291" s="102" t="s">
        <v>3923</v>
      </c>
      <c r="G291" s="4" t="s">
        <v>3925</v>
      </c>
      <c r="H291" s="4" t="s">
        <v>3901</v>
      </c>
      <c r="I291" s="110">
        <v>45261</v>
      </c>
    </row>
    <row r="292" spans="1:9" s="147" customFormat="1">
      <c r="A292" s="66" t="s">
        <v>3926</v>
      </c>
      <c r="B292" s="103">
        <v>45289</v>
      </c>
      <c r="C292" s="13" t="s">
        <v>1791</v>
      </c>
      <c r="D292" s="13" t="s">
        <v>716</v>
      </c>
      <c r="E292" s="104">
        <v>0.71</v>
      </c>
      <c r="F292" s="102" t="s">
        <v>3923</v>
      </c>
      <c r="G292" s="4" t="s">
        <v>3925</v>
      </c>
      <c r="H292" s="4" t="s">
        <v>3891</v>
      </c>
      <c r="I292" s="110">
        <v>45261</v>
      </c>
    </row>
    <row r="293" spans="1:9" s="147" customFormat="1">
      <c r="A293" s="66" t="s">
        <v>3926</v>
      </c>
      <c r="B293" s="103">
        <v>45289</v>
      </c>
      <c r="C293" s="13" t="s">
        <v>1245</v>
      </c>
      <c r="D293" s="13" t="s">
        <v>716</v>
      </c>
      <c r="E293" s="104">
        <v>0.245</v>
      </c>
      <c r="F293" s="102" t="s">
        <v>3923</v>
      </c>
      <c r="G293" s="4" t="s">
        <v>3925</v>
      </c>
      <c r="H293" s="4" t="s">
        <v>3891</v>
      </c>
      <c r="I293" s="110">
        <v>45261</v>
      </c>
    </row>
    <row r="294" spans="1:9" s="147" customFormat="1">
      <c r="A294" s="66" t="s">
        <v>3927</v>
      </c>
      <c r="B294" s="103">
        <v>45289</v>
      </c>
      <c r="C294" s="13" t="s">
        <v>1256</v>
      </c>
      <c r="D294" s="13" t="s">
        <v>716</v>
      </c>
      <c r="E294" s="104">
        <v>1.272</v>
      </c>
      <c r="F294" s="102" t="s">
        <v>3923</v>
      </c>
      <c r="G294" s="4" t="s">
        <v>3925</v>
      </c>
      <c r="H294" s="4" t="s">
        <v>3854</v>
      </c>
      <c r="I294" s="110">
        <v>45275</v>
      </c>
    </row>
    <row r="295" spans="1:9" s="147" customFormat="1">
      <c r="A295" s="66" t="s">
        <v>3927</v>
      </c>
      <c r="B295" s="103">
        <v>45289</v>
      </c>
      <c r="C295" s="13" t="s">
        <v>2273</v>
      </c>
      <c r="D295" s="13" t="s">
        <v>716</v>
      </c>
      <c r="E295" s="104">
        <v>0.98199999999999998</v>
      </c>
      <c r="F295" s="102" t="s">
        <v>3923</v>
      </c>
      <c r="G295" s="4" t="s">
        <v>3925</v>
      </c>
      <c r="H295" s="4" t="s">
        <v>3854</v>
      </c>
      <c r="I295" s="110">
        <v>45275</v>
      </c>
    </row>
    <row r="296" spans="1:9" s="147" customFormat="1">
      <c r="A296" s="66" t="s">
        <v>3927</v>
      </c>
      <c r="B296" s="103">
        <v>45289</v>
      </c>
      <c r="C296" s="13" t="s">
        <v>2621</v>
      </c>
      <c r="D296" s="13" t="s">
        <v>716</v>
      </c>
      <c r="E296" s="104">
        <v>0.56399999999999995</v>
      </c>
      <c r="F296" s="102" t="s">
        <v>3923</v>
      </c>
      <c r="G296" s="4" t="s">
        <v>3925</v>
      </c>
      <c r="H296" s="4" t="s">
        <v>3854</v>
      </c>
      <c r="I296" s="110">
        <v>45275</v>
      </c>
    </row>
    <row r="297" spans="1:9" s="147" customFormat="1">
      <c r="A297" s="66" t="s">
        <v>3951</v>
      </c>
      <c r="B297" s="103">
        <v>45289</v>
      </c>
      <c r="C297" s="13" t="s">
        <v>1801</v>
      </c>
      <c r="D297" s="13" t="s">
        <v>716</v>
      </c>
      <c r="E297" s="104">
        <v>4.3390000000000004</v>
      </c>
      <c r="F297" s="102" t="s">
        <v>3923</v>
      </c>
      <c r="G297" s="1" t="s">
        <v>3925</v>
      </c>
      <c r="H297" s="1" t="s">
        <v>3170</v>
      </c>
      <c r="I297" s="110">
        <v>45227</v>
      </c>
    </row>
    <row r="298" spans="1:9" s="147" customFormat="1">
      <c r="A298" s="66"/>
      <c r="B298" s="103"/>
      <c r="C298" s="13"/>
      <c r="D298" s="13"/>
      <c r="E298" s="54">
        <f>SUM(E284:E297)</f>
        <v>131.36199999999999</v>
      </c>
      <c r="F298" s="102"/>
      <c r="G298" s="4"/>
      <c r="H298" s="4"/>
      <c r="I298" s="109"/>
    </row>
    <row r="299" spans="1:9" s="147" customFormat="1">
      <c r="A299" s="66" t="s">
        <v>3928</v>
      </c>
      <c r="B299" s="103">
        <v>45290</v>
      </c>
      <c r="C299" s="13" t="s">
        <v>1342</v>
      </c>
      <c r="D299" s="13" t="s">
        <v>716</v>
      </c>
      <c r="E299" s="104">
        <f>8.014+14.388</f>
        <v>22.402000000000001</v>
      </c>
      <c r="F299" s="24" t="s">
        <v>1309</v>
      </c>
      <c r="G299" s="1" t="s">
        <v>3929</v>
      </c>
      <c r="H299" s="4" t="s">
        <v>3903</v>
      </c>
      <c r="I299" s="110">
        <v>45261</v>
      </c>
    </row>
    <row r="300" spans="1:9" s="147" customFormat="1">
      <c r="A300" s="66" t="s">
        <v>3930</v>
      </c>
      <c r="B300" s="103">
        <v>45290</v>
      </c>
      <c r="C300" s="13" t="s">
        <v>1342</v>
      </c>
      <c r="D300" s="13" t="s">
        <v>716</v>
      </c>
      <c r="E300" s="104">
        <v>10.516</v>
      </c>
      <c r="F300" s="24" t="s">
        <v>1309</v>
      </c>
      <c r="G300" s="1" t="s">
        <v>3931</v>
      </c>
      <c r="H300" s="4" t="s">
        <v>3901</v>
      </c>
      <c r="I300" s="110">
        <v>45261</v>
      </c>
    </row>
    <row r="301" spans="1:9" s="147" customFormat="1">
      <c r="A301" s="66" t="s">
        <v>3932</v>
      </c>
      <c r="B301" s="103">
        <v>45290</v>
      </c>
      <c r="C301" s="13" t="s">
        <v>1341</v>
      </c>
      <c r="D301" s="13" t="s">
        <v>716</v>
      </c>
      <c r="E301" s="104">
        <v>32.655000000000001</v>
      </c>
      <c r="F301" s="24" t="s">
        <v>906</v>
      </c>
      <c r="G301" s="1" t="s">
        <v>3933</v>
      </c>
      <c r="H301" s="4" t="s">
        <v>3903</v>
      </c>
      <c r="I301" s="110">
        <v>45261</v>
      </c>
    </row>
    <row r="302" spans="1:9" s="147" customFormat="1">
      <c r="A302" s="66" t="s">
        <v>3934</v>
      </c>
      <c r="B302" s="103">
        <v>45290</v>
      </c>
      <c r="C302" s="13" t="s">
        <v>1341</v>
      </c>
      <c r="D302" s="13" t="s">
        <v>716</v>
      </c>
      <c r="E302" s="104">
        <v>32.808</v>
      </c>
      <c r="F302" s="24" t="s">
        <v>3244</v>
      </c>
      <c r="G302" s="1" t="s">
        <v>3935</v>
      </c>
      <c r="H302" s="4" t="s">
        <v>3903</v>
      </c>
      <c r="I302" s="110">
        <v>45261</v>
      </c>
    </row>
    <row r="303" spans="1:9" s="147" customFormat="1">
      <c r="A303" s="66"/>
      <c r="B303" s="103"/>
      <c r="C303" s="11"/>
      <c r="D303" s="13"/>
      <c r="E303" s="54">
        <f>SUM(E299:E302)</f>
        <v>98.381</v>
      </c>
      <c r="F303" s="24"/>
      <c r="G303" s="1"/>
      <c r="H303" s="1"/>
      <c r="I303" s="3"/>
    </row>
    <row r="304" spans="1:9" s="147" customFormat="1">
      <c r="A304" s="66" t="s">
        <v>3936</v>
      </c>
      <c r="B304" s="103">
        <v>45291</v>
      </c>
      <c r="C304" s="13" t="s">
        <v>1391</v>
      </c>
      <c r="D304" s="13" t="s">
        <v>716</v>
      </c>
      <c r="E304" s="104">
        <v>9.282</v>
      </c>
      <c r="F304" s="24" t="s">
        <v>2875</v>
      </c>
      <c r="G304" s="1" t="s">
        <v>3937</v>
      </c>
      <c r="H304" s="4" t="s">
        <v>3903</v>
      </c>
      <c r="I304" s="110">
        <v>45261</v>
      </c>
    </row>
    <row r="305" spans="1:9" s="147" customFormat="1">
      <c r="A305" s="66" t="s">
        <v>3936</v>
      </c>
      <c r="B305" s="103">
        <v>45291</v>
      </c>
      <c r="C305" s="13" t="s">
        <v>1342</v>
      </c>
      <c r="D305" s="13" t="s">
        <v>716</v>
      </c>
      <c r="E305" s="104">
        <v>4.024</v>
      </c>
      <c r="F305" s="24" t="s">
        <v>2875</v>
      </c>
      <c r="G305" s="1" t="s">
        <v>3937</v>
      </c>
      <c r="H305" s="4" t="s">
        <v>3903</v>
      </c>
      <c r="I305" s="110">
        <v>45261</v>
      </c>
    </row>
    <row r="306" spans="1:9" s="147" customFormat="1">
      <c r="A306" s="66" t="s">
        <v>3938</v>
      </c>
      <c r="B306" s="103">
        <v>45291</v>
      </c>
      <c r="C306" s="13" t="s">
        <v>1341</v>
      </c>
      <c r="D306" s="13" t="s">
        <v>716</v>
      </c>
      <c r="E306" s="104">
        <f>12.767+6.651</f>
        <v>19.417999999999999</v>
      </c>
      <c r="F306" s="24" t="s">
        <v>2875</v>
      </c>
      <c r="G306" s="1" t="s">
        <v>3939</v>
      </c>
      <c r="H306" s="4" t="s">
        <v>3901</v>
      </c>
      <c r="I306" s="110">
        <v>45261</v>
      </c>
    </row>
    <row r="307" spans="1:9" s="147" customFormat="1">
      <c r="A307" s="66" t="s">
        <v>3940</v>
      </c>
      <c r="B307" s="103">
        <v>45291</v>
      </c>
      <c r="C307" s="13" t="s">
        <v>2299</v>
      </c>
      <c r="D307" s="13" t="s">
        <v>716</v>
      </c>
      <c r="E307" s="104">
        <v>3.0019999999999998</v>
      </c>
      <c r="F307" s="24" t="s">
        <v>2826</v>
      </c>
      <c r="G307" s="1" t="s">
        <v>3941</v>
      </c>
      <c r="H307" s="1" t="s">
        <v>3863</v>
      </c>
      <c r="I307" s="110">
        <v>45252</v>
      </c>
    </row>
    <row r="308" spans="1:9" s="147" customFormat="1">
      <c r="A308" s="66" t="s">
        <v>3942</v>
      </c>
      <c r="B308" s="103">
        <v>45291</v>
      </c>
      <c r="C308" s="13" t="s">
        <v>2299</v>
      </c>
      <c r="D308" s="13" t="s">
        <v>716</v>
      </c>
      <c r="E308" s="104">
        <v>2.0569999999999999</v>
      </c>
      <c r="F308" s="24" t="s">
        <v>2826</v>
      </c>
      <c r="G308" s="1" t="s">
        <v>3941</v>
      </c>
      <c r="H308" s="1" t="s">
        <v>3856</v>
      </c>
      <c r="I308" s="110">
        <v>45261</v>
      </c>
    </row>
    <row r="309" spans="1:9" s="147" customFormat="1">
      <c r="A309" s="66" t="s">
        <v>3943</v>
      </c>
      <c r="B309" s="103">
        <v>45291</v>
      </c>
      <c r="C309" s="13" t="s">
        <v>2978</v>
      </c>
      <c r="D309" s="13" t="s">
        <v>716</v>
      </c>
      <c r="E309" s="104">
        <v>0.20499999999999999</v>
      </c>
      <c r="F309" s="24" t="s">
        <v>2826</v>
      </c>
      <c r="G309" s="1" t="s">
        <v>3941</v>
      </c>
      <c r="H309" s="1" t="s">
        <v>3874</v>
      </c>
      <c r="I309" s="110">
        <v>45261</v>
      </c>
    </row>
    <row r="310" spans="1:9" s="147" customFormat="1">
      <c r="A310" s="66" t="s">
        <v>3943</v>
      </c>
      <c r="B310" s="103">
        <v>45291</v>
      </c>
      <c r="C310" s="13" t="s">
        <v>2299</v>
      </c>
      <c r="D310" s="13" t="s">
        <v>716</v>
      </c>
      <c r="E310" s="104">
        <v>0.89100000000000001</v>
      </c>
      <c r="F310" s="24" t="s">
        <v>2826</v>
      </c>
      <c r="G310" s="1" t="s">
        <v>3941</v>
      </c>
      <c r="H310" s="1" t="s">
        <v>3874</v>
      </c>
      <c r="I310" s="110">
        <v>45261</v>
      </c>
    </row>
    <row r="311" spans="1:9" s="147" customFormat="1">
      <c r="A311" s="66" t="s">
        <v>3944</v>
      </c>
      <c r="B311" s="103">
        <v>45291</v>
      </c>
      <c r="C311" s="13" t="s">
        <v>2978</v>
      </c>
      <c r="D311" s="13" t="s">
        <v>716</v>
      </c>
      <c r="E311" s="104">
        <v>0.61499999999999999</v>
      </c>
      <c r="F311" s="24" t="s">
        <v>2826</v>
      </c>
      <c r="G311" s="1" t="s">
        <v>3941</v>
      </c>
      <c r="H311" s="1" t="s">
        <v>3866</v>
      </c>
      <c r="I311" s="110">
        <v>45261</v>
      </c>
    </row>
    <row r="312" spans="1:9" s="147" customFormat="1">
      <c r="A312" s="66" t="s">
        <v>3945</v>
      </c>
      <c r="B312" s="103">
        <v>45291</v>
      </c>
      <c r="C312" s="6" t="s">
        <v>1251</v>
      </c>
      <c r="D312" s="13" t="s">
        <v>716</v>
      </c>
      <c r="E312" s="104">
        <f>15.704+3.078</f>
        <v>18.782</v>
      </c>
      <c r="F312" s="24" t="s">
        <v>2826</v>
      </c>
      <c r="G312" s="1" t="s">
        <v>3946</v>
      </c>
      <c r="H312" s="4" t="s">
        <v>3903</v>
      </c>
      <c r="I312" s="110">
        <v>45261</v>
      </c>
    </row>
    <row r="313" spans="1:9" s="147" customFormat="1">
      <c r="A313" s="66" t="s">
        <v>3945</v>
      </c>
      <c r="B313" s="103">
        <v>45291</v>
      </c>
      <c r="C313" s="13" t="s">
        <v>1271</v>
      </c>
      <c r="D313" s="13" t="s">
        <v>716</v>
      </c>
      <c r="E313" s="104">
        <v>5.8810000000000002</v>
      </c>
      <c r="F313" s="24" t="s">
        <v>2826</v>
      </c>
      <c r="G313" s="1" t="s">
        <v>3946</v>
      </c>
      <c r="H313" s="4" t="s">
        <v>3903</v>
      </c>
      <c r="I313" s="110">
        <v>45261</v>
      </c>
    </row>
    <row r="314" spans="1:9" s="147" customFormat="1">
      <c r="A314" s="66" t="s">
        <v>3948</v>
      </c>
      <c r="B314" s="103">
        <v>45291</v>
      </c>
      <c r="C314" s="13" t="s">
        <v>3947</v>
      </c>
      <c r="D314" s="13" t="s">
        <v>716</v>
      </c>
      <c r="E314" s="104">
        <v>1.4419999999999999</v>
      </c>
      <c r="F314" s="24" t="s">
        <v>2826</v>
      </c>
      <c r="G314" s="1" t="s">
        <v>3949</v>
      </c>
      <c r="H314" s="4" t="s">
        <v>3854</v>
      </c>
      <c r="I314" s="110">
        <v>45275</v>
      </c>
    </row>
    <row r="315" spans="1:9" s="147" customFormat="1">
      <c r="A315" s="66"/>
      <c r="B315" s="103"/>
      <c r="C315" s="13"/>
      <c r="D315" s="13"/>
      <c r="E315" s="54">
        <f>SUM(E304:E314)</f>
        <v>65.599000000000004</v>
      </c>
      <c r="F315" s="24"/>
      <c r="G315" s="1"/>
      <c r="H315" s="1"/>
      <c r="I315" s="3"/>
    </row>
    <row r="316" spans="1:9" s="147" customFormat="1">
      <c r="A316" s="66"/>
      <c r="B316" s="103"/>
      <c r="C316" s="11"/>
      <c r="D316" s="13"/>
      <c r="E316" s="54"/>
      <c r="F316" s="24"/>
      <c r="G316" s="1"/>
      <c r="H316" s="1"/>
      <c r="I316" s="3"/>
    </row>
    <row r="317" spans="1:9" s="147" customFormat="1">
      <c r="A317" s="66"/>
      <c r="B317" s="103"/>
      <c r="C317" s="11"/>
      <c r="D317" s="13"/>
      <c r="E317" s="54"/>
      <c r="F317" s="24"/>
      <c r="G317" s="1"/>
      <c r="H317" s="1"/>
      <c r="I317" s="3"/>
    </row>
    <row r="318" spans="1:9" s="147" customFormat="1">
      <c r="A318" s="66"/>
      <c r="B318" s="103"/>
      <c r="C318" s="11"/>
      <c r="D318" s="13"/>
      <c r="E318" s="54"/>
      <c r="F318" s="24"/>
      <c r="G318" s="1"/>
      <c r="H318" s="1"/>
      <c r="I318" s="3"/>
    </row>
    <row r="319" spans="1:9">
      <c r="A319" s="1"/>
      <c r="B319" s="3"/>
      <c r="C319" s="1"/>
      <c r="D319" s="1"/>
      <c r="E319" s="2"/>
      <c r="F319" s="24"/>
      <c r="G319" s="1"/>
      <c r="H319" s="1"/>
      <c r="I319" s="3"/>
    </row>
    <row r="320" spans="1:9">
      <c r="A320" s="1"/>
      <c r="B320" s="3"/>
      <c r="C320" s="1"/>
      <c r="D320" s="2" t="s">
        <v>3512</v>
      </c>
      <c r="E320" s="20">
        <f>SUM(E68:E319)/2</f>
        <v>1851.7280000000017</v>
      </c>
      <c r="F320" s="24"/>
      <c r="G320" s="1"/>
      <c r="H320" s="1"/>
      <c r="I320" s="3"/>
    </row>
    <row r="321" spans="1:11">
      <c r="A321" s="1"/>
      <c r="B321" s="3"/>
      <c r="C321" s="1"/>
      <c r="D321" s="1"/>
      <c r="E321" s="2"/>
      <c r="F321" s="24"/>
      <c r="G321" s="1"/>
      <c r="H321" s="1"/>
      <c r="I321" s="3"/>
    </row>
    <row r="322" spans="1:11">
      <c r="A322" s="1"/>
      <c r="B322" s="3"/>
      <c r="C322" s="1"/>
      <c r="D322" s="2" t="s">
        <v>3513</v>
      </c>
      <c r="E322" s="20">
        <v>330.21800000000002</v>
      </c>
      <c r="F322" s="24"/>
      <c r="G322" s="98"/>
      <c r="H322" s="1"/>
      <c r="I322" s="3"/>
    </row>
    <row r="323" spans="1:11">
      <c r="A323" s="1"/>
      <c r="B323" s="3"/>
      <c r="C323" s="1"/>
      <c r="D323" s="1"/>
      <c r="E323" s="54"/>
      <c r="F323" s="24"/>
      <c r="G323" s="1"/>
      <c r="H323" s="1"/>
      <c r="I323" s="3"/>
    </row>
    <row r="324" spans="1:11">
      <c r="A324" s="1"/>
      <c r="B324" s="3"/>
      <c r="C324" s="1"/>
      <c r="D324" s="2"/>
      <c r="E324" s="20"/>
      <c r="F324" s="24"/>
      <c r="G324" s="1"/>
      <c r="H324" s="1"/>
      <c r="I324" s="3"/>
    </row>
    <row r="325" spans="1:11">
      <c r="A325" s="1"/>
      <c r="B325" s="3"/>
      <c r="C325" s="1"/>
      <c r="D325" s="1"/>
      <c r="E325" s="55"/>
      <c r="F325" s="24"/>
      <c r="G325" s="1"/>
      <c r="H325" s="1"/>
      <c r="I325" s="3"/>
    </row>
    <row r="326" spans="1:11">
      <c r="A326" s="1"/>
      <c r="B326" s="3"/>
      <c r="C326" s="1"/>
      <c r="D326" s="2"/>
      <c r="E326" s="20">
        <f>+E320+E322</f>
        <v>2181.9460000000017</v>
      </c>
      <c r="F326" s="24"/>
      <c r="G326" s="1"/>
      <c r="H326" s="1"/>
      <c r="I326" s="3"/>
    </row>
    <row r="327" spans="1:11">
      <c r="A327" s="1"/>
      <c r="B327" s="3"/>
      <c r="C327" s="1"/>
      <c r="D327" s="1"/>
      <c r="E327" s="2"/>
      <c r="F327" s="24"/>
      <c r="G327" s="1"/>
      <c r="H327" s="1"/>
      <c r="I327" s="3"/>
    </row>
    <row r="328" spans="1:11">
      <c r="A328" s="1"/>
      <c r="B328" s="1"/>
      <c r="C328" s="1"/>
      <c r="D328" s="1"/>
      <c r="E328" s="2"/>
      <c r="F328" s="24"/>
      <c r="G328" s="1"/>
      <c r="H328" s="1"/>
      <c r="I328" s="1"/>
    </row>
    <row r="333" spans="1:11" s="31" customFormat="1">
      <c r="A333"/>
      <c r="B333"/>
      <c r="C333"/>
      <c r="D333"/>
      <c r="E333" s="23"/>
      <c r="G333"/>
      <c r="H333"/>
      <c r="I333"/>
      <c r="J333"/>
      <c r="K333"/>
    </row>
    <row r="334" spans="1:11" s="31" customFormat="1">
      <c r="A334"/>
      <c r="B334"/>
      <c r="C334"/>
      <c r="D334"/>
      <c r="E334"/>
      <c r="G334"/>
      <c r="H334"/>
      <c r="I334"/>
      <c r="J334"/>
      <c r="K33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selection activeCell="E8" sqref="E8"/>
    </sheetView>
  </sheetViews>
  <sheetFormatPr defaultRowHeight="15"/>
  <cols>
    <col min="1" max="1" width="18.28515625" customWidth="1"/>
    <col min="2" max="2" width="10.28515625" bestFit="1" customWidth="1"/>
    <col min="3" max="3" width="25.85546875" customWidth="1"/>
    <col min="4" max="4" width="37.7109375" bestFit="1" customWidth="1"/>
    <col min="5" max="5" width="10.5703125" bestFit="1" customWidth="1"/>
    <col min="6" max="6" width="15" style="31" customWidth="1"/>
    <col min="7" max="7" width="16" customWidth="1"/>
    <col min="8" max="8" width="16.5703125" customWidth="1"/>
    <col min="9" max="9" width="12.7109375" bestFit="1" customWidth="1"/>
  </cols>
  <sheetData>
    <row r="1" spans="1:9">
      <c r="A1" s="1" t="s">
        <v>5</v>
      </c>
      <c r="B1" s="1" t="s">
        <v>6</v>
      </c>
      <c r="C1" s="1" t="s">
        <v>7</v>
      </c>
      <c r="D1" s="1" t="s">
        <v>0</v>
      </c>
      <c r="E1" s="1" t="s">
        <v>873</v>
      </c>
      <c r="F1" s="1" t="s">
        <v>2</v>
      </c>
      <c r="G1" s="1" t="s">
        <v>4</v>
      </c>
      <c r="H1" s="1" t="s">
        <v>874</v>
      </c>
      <c r="I1" s="5" t="s">
        <v>10</v>
      </c>
    </row>
    <row r="2" spans="1:9">
      <c r="A2" s="1" t="s">
        <v>3690</v>
      </c>
      <c r="B2" s="3">
        <v>45270</v>
      </c>
      <c r="C2" s="6" t="s">
        <v>310</v>
      </c>
      <c r="D2" s="9" t="s">
        <v>1936</v>
      </c>
      <c r="E2" s="6">
        <v>3.952</v>
      </c>
      <c r="F2" s="6" t="s">
        <v>3058</v>
      </c>
      <c r="G2" s="6" t="s">
        <v>2754</v>
      </c>
      <c r="H2" s="10">
        <v>45218</v>
      </c>
      <c r="I2" s="9">
        <v>50920</v>
      </c>
    </row>
    <row r="3" spans="1:9">
      <c r="A3" s="1" t="s">
        <v>3691</v>
      </c>
      <c r="B3" s="3">
        <v>45270</v>
      </c>
      <c r="C3" s="6" t="s">
        <v>226</v>
      </c>
      <c r="D3" s="9" t="s">
        <v>1936</v>
      </c>
      <c r="E3" s="6">
        <v>0.153</v>
      </c>
      <c r="F3" s="6" t="s">
        <v>3058</v>
      </c>
      <c r="G3" s="6" t="s">
        <v>2756</v>
      </c>
      <c r="H3" s="10">
        <v>45218</v>
      </c>
      <c r="I3" s="9">
        <v>50920</v>
      </c>
    </row>
    <row r="4" spans="1:9">
      <c r="A4" s="1" t="s">
        <v>3691</v>
      </c>
      <c r="B4" s="3">
        <v>45270</v>
      </c>
      <c r="C4" s="6" t="s">
        <v>1130</v>
      </c>
      <c r="D4" s="9" t="s">
        <v>1936</v>
      </c>
      <c r="E4" s="6">
        <v>0.23100000000000001</v>
      </c>
      <c r="F4" s="6" t="s">
        <v>3058</v>
      </c>
      <c r="G4" s="6" t="s">
        <v>2756</v>
      </c>
      <c r="H4" s="10">
        <v>45218</v>
      </c>
      <c r="I4" s="9">
        <v>59920</v>
      </c>
    </row>
    <row r="5" spans="1:9">
      <c r="A5" s="1" t="s">
        <v>3691</v>
      </c>
      <c r="B5" s="3">
        <v>45270</v>
      </c>
      <c r="C5" s="6" t="s">
        <v>609</v>
      </c>
      <c r="D5" s="9" t="s">
        <v>1936</v>
      </c>
      <c r="E5" s="6">
        <v>0.28699999999999998</v>
      </c>
      <c r="F5" s="6" t="s">
        <v>3058</v>
      </c>
      <c r="G5" s="6" t="s">
        <v>2756</v>
      </c>
      <c r="H5" s="10">
        <v>45218</v>
      </c>
      <c r="I5" s="9">
        <v>59920</v>
      </c>
    </row>
    <row r="6" spans="1:9">
      <c r="A6" s="1"/>
      <c r="B6" s="3"/>
      <c r="C6" s="1"/>
      <c r="D6" s="9"/>
      <c r="E6" s="11">
        <f>SUM(E2:E5)</f>
        <v>4.6229999999999993</v>
      </c>
      <c r="F6" s="6"/>
      <c r="G6" s="6"/>
      <c r="H6" s="10"/>
      <c r="I6" s="9"/>
    </row>
    <row r="7" spans="1:9">
      <c r="A7" s="1"/>
      <c r="B7" s="3"/>
      <c r="C7" s="1"/>
      <c r="D7" s="9"/>
      <c r="E7" s="2"/>
      <c r="F7" s="1"/>
      <c r="G7" s="1"/>
      <c r="H7" s="1"/>
      <c r="I7" s="24"/>
    </row>
    <row r="8" spans="1:9">
      <c r="A8" s="1"/>
      <c r="B8" s="3"/>
      <c r="C8" s="1"/>
      <c r="D8" s="9"/>
      <c r="E8" s="2"/>
      <c r="F8" s="1"/>
      <c r="G8" s="1"/>
      <c r="H8" s="1"/>
      <c r="I8" s="24"/>
    </row>
    <row r="9" spans="1:9">
      <c r="A9" s="1"/>
      <c r="B9" s="3"/>
      <c r="C9" s="1"/>
      <c r="D9" s="9"/>
      <c r="E9" s="2"/>
      <c r="F9" s="1"/>
      <c r="G9" s="1"/>
      <c r="H9" s="1"/>
      <c r="I9" s="24"/>
    </row>
    <row r="10" spans="1:9">
      <c r="A10" s="1"/>
      <c r="B10" s="3"/>
      <c r="C10" s="1"/>
      <c r="D10" s="9"/>
      <c r="E10" s="1"/>
      <c r="F10" s="1"/>
      <c r="G10" s="1"/>
      <c r="H10" s="1"/>
      <c r="I10" s="24"/>
    </row>
    <row r="11" spans="1:9">
      <c r="A11" s="1"/>
      <c r="B11" s="3"/>
      <c r="C11" s="1"/>
      <c r="D11" s="1"/>
      <c r="E11" s="1"/>
      <c r="F11" s="1"/>
      <c r="G11" s="1"/>
      <c r="H11" s="1"/>
      <c r="I11" s="24"/>
    </row>
    <row r="12" spans="1:9">
      <c r="A12" s="1"/>
      <c r="B12" s="1"/>
      <c r="C12" s="1"/>
      <c r="D12" s="59" t="s">
        <v>924</v>
      </c>
      <c r="E12" s="2">
        <f>SUM(E2:E11)/2</f>
        <v>4.6229999999999993</v>
      </c>
      <c r="F12" s="1"/>
      <c r="G12" s="1"/>
      <c r="H12" s="1"/>
      <c r="I12" s="1"/>
    </row>
    <row r="17" spans="1:11" s="31" customFormat="1">
      <c r="A17"/>
      <c r="B17"/>
      <c r="C17"/>
      <c r="D17"/>
      <c r="E17" s="23"/>
      <c r="G17"/>
      <c r="H17"/>
      <c r="I17"/>
      <c r="J17"/>
      <c r="K17"/>
    </row>
    <row r="18" spans="1:11" s="31" customFormat="1">
      <c r="A18"/>
      <c r="B18"/>
      <c r="C18"/>
      <c r="D18"/>
      <c r="E18"/>
      <c r="G18"/>
      <c r="H18"/>
      <c r="I18"/>
      <c r="J18"/>
      <c r="K1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85"/>
  <sheetViews>
    <sheetView topLeftCell="A57" workbookViewId="0">
      <selection activeCell="E74" sqref="E74"/>
    </sheetView>
  </sheetViews>
  <sheetFormatPr defaultRowHeight="15"/>
  <cols>
    <col min="1" max="1" width="18.28515625" style="147" customWidth="1"/>
    <col min="2" max="2" width="10.28515625" style="147" bestFit="1" customWidth="1"/>
    <col min="3" max="3" width="30.5703125" style="147" customWidth="1"/>
    <col min="4" max="4" width="48.28515625" style="147" bestFit="1" customWidth="1"/>
    <col min="5" max="5" width="12" style="147" customWidth="1"/>
    <col min="6" max="6" width="15" style="31" customWidth="1"/>
    <col min="7" max="7" width="19" style="147" customWidth="1"/>
    <col min="8" max="8" width="16.5703125" style="147" customWidth="1"/>
    <col min="9" max="9" width="12.7109375" style="112" bestFit="1" customWidth="1"/>
    <col min="10" max="16384" width="9.140625" style="147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66" t="s">
        <v>3972</v>
      </c>
      <c r="B2" s="103">
        <v>45293</v>
      </c>
      <c r="C2" s="13" t="s">
        <v>3815</v>
      </c>
      <c r="D2" s="113" t="s">
        <v>78</v>
      </c>
      <c r="E2" s="104">
        <v>0.27</v>
      </c>
      <c r="F2" s="102" t="s">
        <v>267</v>
      </c>
      <c r="G2" s="1" t="s">
        <v>3975</v>
      </c>
      <c r="H2" s="4" t="s">
        <v>3790</v>
      </c>
      <c r="I2" s="110">
        <v>45252</v>
      </c>
    </row>
    <row r="3" spans="1:9">
      <c r="A3" s="66" t="s">
        <v>3972</v>
      </c>
      <c r="B3" s="103">
        <v>45293</v>
      </c>
      <c r="C3" s="13" t="s">
        <v>3115</v>
      </c>
      <c r="D3" s="113" t="s">
        <v>78</v>
      </c>
      <c r="E3" s="104">
        <v>1.7949999999999999</v>
      </c>
      <c r="F3" s="102" t="s">
        <v>267</v>
      </c>
      <c r="G3" s="1" t="s">
        <v>3975</v>
      </c>
      <c r="H3" s="4" t="s">
        <v>3790</v>
      </c>
      <c r="I3" s="110">
        <v>45252</v>
      </c>
    </row>
    <row r="4" spans="1:9">
      <c r="A4" s="66" t="s">
        <v>3972</v>
      </c>
      <c r="B4" s="103">
        <v>45293</v>
      </c>
      <c r="C4" s="13" t="s">
        <v>2740</v>
      </c>
      <c r="D4" s="113" t="s">
        <v>78</v>
      </c>
      <c r="E4" s="104">
        <v>1.7</v>
      </c>
      <c r="F4" s="102" t="s">
        <v>267</v>
      </c>
      <c r="G4" s="1" t="s">
        <v>3975</v>
      </c>
      <c r="H4" s="4" t="s">
        <v>3790</v>
      </c>
      <c r="I4" s="110">
        <v>45252</v>
      </c>
    </row>
    <row r="5" spans="1:9">
      <c r="A5" s="66" t="s">
        <v>3972</v>
      </c>
      <c r="B5" s="103">
        <v>45293</v>
      </c>
      <c r="C5" s="13" t="s">
        <v>3069</v>
      </c>
      <c r="D5" s="113" t="s">
        <v>78</v>
      </c>
      <c r="E5" s="104">
        <v>0.56200000000000006</v>
      </c>
      <c r="F5" s="102" t="s">
        <v>267</v>
      </c>
      <c r="G5" s="1" t="s">
        <v>3975</v>
      </c>
      <c r="H5" s="4" t="s">
        <v>3790</v>
      </c>
      <c r="I5" s="110">
        <v>45252</v>
      </c>
    </row>
    <row r="6" spans="1:9">
      <c r="A6" s="66" t="s">
        <v>3972</v>
      </c>
      <c r="B6" s="103">
        <v>45293</v>
      </c>
      <c r="C6" s="13" t="s">
        <v>3973</v>
      </c>
      <c r="D6" s="113" t="s">
        <v>78</v>
      </c>
      <c r="E6" s="104">
        <v>0.11899999999999999</v>
      </c>
      <c r="F6" s="102" t="s">
        <v>267</v>
      </c>
      <c r="G6" s="1" t="s">
        <v>3975</v>
      </c>
      <c r="H6" s="4" t="s">
        <v>3790</v>
      </c>
      <c r="I6" s="110">
        <v>45252</v>
      </c>
    </row>
    <row r="7" spans="1:9">
      <c r="A7" s="66" t="s">
        <v>3972</v>
      </c>
      <c r="B7" s="103">
        <v>45293</v>
      </c>
      <c r="C7" s="13" t="s">
        <v>3974</v>
      </c>
      <c r="D7" s="113" t="s">
        <v>78</v>
      </c>
      <c r="E7" s="104">
        <v>0.439</v>
      </c>
      <c r="F7" s="102" t="s">
        <v>267</v>
      </c>
      <c r="G7" s="1" t="s">
        <v>3975</v>
      </c>
      <c r="H7" s="4" t="s">
        <v>3790</v>
      </c>
      <c r="I7" s="110">
        <v>45252</v>
      </c>
    </row>
    <row r="8" spans="1:9">
      <c r="A8" s="66" t="s">
        <v>3976</v>
      </c>
      <c r="B8" s="103">
        <v>45293</v>
      </c>
      <c r="C8" s="13" t="s">
        <v>3115</v>
      </c>
      <c r="D8" s="113" t="s">
        <v>78</v>
      </c>
      <c r="E8" s="104">
        <v>0.109</v>
      </c>
      <c r="F8" s="102" t="s">
        <v>267</v>
      </c>
      <c r="G8" s="1" t="s">
        <v>3975</v>
      </c>
      <c r="H8" s="1" t="s">
        <v>3977</v>
      </c>
      <c r="I8" s="110">
        <v>45275</v>
      </c>
    </row>
    <row r="9" spans="1:9">
      <c r="A9" s="66" t="s">
        <v>3979</v>
      </c>
      <c r="B9" s="103">
        <v>45293</v>
      </c>
      <c r="C9" s="13" t="s">
        <v>3978</v>
      </c>
      <c r="D9" s="113" t="s">
        <v>78</v>
      </c>
      <c r="E9" s="104">
        <v>0.41</v>
      </c>
      <c r="F9" s="102" t="s">
        <v>267</v>
      </c>
      <c r="G9" s="1" t="s">
        <v>3975</v>
      </c>
      <c r="H9" s="1" t="s">
        <v>3801</v>
      </c>
      <c r="I9" s="110">
        <v>45231</v>
      </c>
    </row>
    <row r="10" spans="1:9">
      <c r="A10" s="66" t="s">
        <v>3980</v>
      </c>
      <c r="B10" s="103">
        <v>45293</v>
      </c>
      <c r="C10" s="13" t="s">
        <v>2746</v>
      </c>
      <c r="D10" s="113" t="s">
        <v>78</v>
      </c>
      <c r="E10" s="104">
        <v>26.867000000000001</v>
      </c>
      <c r="F10" s="102" t="s">
        <v>267</v>
      </c>
      <c r="G10" s="1" t="s">
        <v>3975</v>
      </c>
      <c r="H10" s="1" t="s">
        <v>3048</v>
      </c>
      <c r="I10" s="110">
        <v>45141</v>
      </c>
    </row>
    <row r="11" spans="1:9">
      <c r="A11" s="66" t="s">
        <v>3981</v>
      </c>
      <c r="B11" s="103">
        <v>45293</v>
      </c>
      <c r="C11" s="13" t="s">
        <v>3098</v>
      </c>
      <c r="D11" s="113" t="s">
        <v>78</v>
      </c>
      <c r="E11" s="104">
        <v>19.181999999999999</v>
      </c>
      <c r="F11" s="102" t="s">
        <v>97</v>
      </c>
      <c r="G11" s="1" t="s">
        <v>3982</v>
      </c>
      <c r="H11" s="1" t="s">
        <v>2030</v>
      </c>
      <c r="I11" s="110">
        <v>45141</v>
      </c>
    </row>
    <row r="12" spans="1:9">
      <c r="A12" s="66" t="s">
        <v>3983</v>
      </c>
      <c r="B12" s="103">
        <v>45293</v>
      </c>
      <c r="C12" s="13" t="s">
        <v>2489</v>
      </c>
      <c r="D12" s="113" t="s">
        <v>78</v>
      </c>
      <c r="E12" s="104">
        <v>11.239000000000001</v>
      </c>
      <c r="F12" s="102" t="s">
        <v>97</v>
      </c>
      <c r="G12" s="1" t="s">
        <v>3982</v>
      </c>
      <c r="H12" s="1" t="s">
        <v>3048</v>
      </c>
      <c r="I12" s="110">
        <v>45141</v>
      </c>
    </row>
    <row r="13" spans="1:9">
      <c r="A13" s="66" t="s">
        <v>3986</v>
      </c>
      <c r="B13" s="103">
        <v>45293</v>
      </c>
      <c r="C13" s="13" t="s">
        <v>3984</v>
      </c>
      <c r="D13" s="113" t="s">
        <v>78</v>
      </c>
      <c r="E13" s="104">
        <v>0.16400000000000001</v>
      </c>
      <c r="F13" s="102" t="s">
        <v>97</v>
      </c>
      <c r="G13" s="1" t="s">
        <v>3982</v>
      </c>
      <c r="H13" s="1" t="s">
        <v>3801</v>
      </c>
      <c r="I13" s="110">
        <v>45231</v>
      </c>
    </row>
    <row r="14" spans="1:9">
      <c r="A14" s="66" t="s">
        <v>3986</v>
      </c>
      <c r="B14" s="103">
        <v>45293</v>
      </c>
      <c r="C14" s="13" t="s">
        <v>3221</v>
      </c>
      <c r="D14" s="113" t="s">
        <v>78</v>
      </c>
      <c r="E14" s="104">
        <v>0.115</v>
      </c>
      <c r="F14" s="102" t="s">
        <v>97</v>
      </c>
      <c r="G14" s="1" t="s">
        <v>3982</v>
      </c>
      <c r="H14" s="1" t="s">
        <v>3801</v>
      </c>
      <c r="I14" s="110">
        <v>45231</v>
      </c>
    </row>
    <row r="15" spans="1:9">
      <c r="A15" s="66" t="s">
        <v>3986</v>
      </c>
      <c r="B15" s="103">
        <v>45293</v>
      </c>
      <c r="C15" s="13" t="s">
        <v>3184</v>
      </c>
      <c r="D15" s="113" t="s">
        <v>78</v>
      </c>
      <c r="E15" s="104">
        <v>1.1519999999999999</v>
      </c>
      <c r="F15" s="102" t="s">
        <v>97</v>
      </c>
      <c r="G15" s="1" t="s">
        <v>3982</v>
      </c>
      <c r="H15" s="1" t="s">
        <v>3801</v>
      </c>
      <c r="I15" s="110">
        <v>45231</v>
      </c>
    </row>
    <row r="16" spans="1:9">
      <c r="A16" s="66" t="s">
        <v>3986</v>
      </c>
      <c r="B16" s="103">
        <v>45293</v>
      </c>
      <c r="C16" s="13" t="s">
        <v>3985</v>
      </c>
      <c r="D16" s="113" t="s">
        <v>78</v>
      </c>
      <c r="E16" s="104">
        <v>0.17399999999999999</v>
      </c>
      <c r="F16" s="102" t="s">
        <v>97</v>
      </c>
      <c r="G16" s="1" t="s">
        <v>3982</v>
      </c>
      <c r="H16" s="1" t="s">
        <v>3801</v>
      </c>
      <c r="I16" s="110">
        <v>45231</v>
      </c>
    </row>
    <row r="17" spans="1:9">
      <c r="A17" s="66"/>
      <c r="B17" s="103"/>
      <c r="C17" s="11"/>
      <c r="D17" s="113"/>
      <c r="E17" s="58">
        <f>SUM(E2:E16)</f>
        <v>64.297000000000011</v>
      </c>
      <c r="F17" s="102"/>
      <c r="G17" s="1"/>
      <c r="H17" s="1"/>
      <c r="I17" s="110"/>
    </row>
    <row r="18" spans="1:9">
      <c r="A18" s="66" t="s">
        <v>4005</v>
      </c>
      <c r="B18" s="103">
        <v>45294</v>
      </c>
      <c r="C18" s="13" t="s">
        <v>2489</v>
      </c>
      <c r="D18" s="113" t="s">
        <v>78</v>
      </c>
      <c r="E18" s="104">
        <f>7.247+4.796+8.124</f>
        <v>20.167000000000002</v>
      </c>
      <c r="F18" s="102" t="s">
        <v>267</v>
      </c>
      <c r="G18" s="4" t="s">
        <v>4006</v>
      </c>
      <c r="H18" s="4" t="s">
        <v>3048</v>
      </c>
      <c r="I18" s="110">
        <v>45141</v>
      </c>
    </row>
    <row r="19" spans="1:9">
      <c r="A19" s="66" t="s">
        <v>4005</v>
      </c>
      <c r="B19" s="103">
        <v>45294</v>
      </c>
      <c r="C19" s="13" t="s">
        <v>2746</v>
      </c>
      <c r="D19" s="113" t="s">
        <v>78</v>
      </c>
      <c r="E19" s="104">
        <v>11.343</v>
      </c>
      <c r="F19" s="102" t="s">
        <v>267</v>
      </c>
      <c r="G19" s="4" t="s">
        <v>4006</v>
      </c>
      <c r="H19" s="4" t="s">
        <v>3048</v>
      </c>
      <c r="I19" s="110">
        <v>45141</v>
      </c>
    </row>
    <row r="20" spans="1:9">
      <c r="A20" s="66" t="s">
        <v>4016</v>
      </c>
      <c r="B20" s="103">
        <v>45294</v>
      </c>
      <c r="C20" s="13" t="s">
        <v>1738</v>
      </c>
      <c r="D20" s="113" t="s">
        <v>78</v>
      </c>
      <c r="E20" s="104">
        <v>6.39</v>
      </c>
      <c r="F20" s="102" t="s">
        <v>1971</v>
      </c>
      <c r="G20" s="4" t="s">
        <v>4017</v>
      </c>
      <c r="H20" s="4" t="s">
        <v>3048</v>
      </c>
      <c r="I20" s="110">
        <v>45141</v>
      </c>
    </row>
    <row r="21" spans="1:9">
      <c r="A21" s="66" t="s">
        <v>4016</v>
      </c>
      <c r="B21" s="103">
        <v>45294</v>
      </c>
      <c r="C21" s="13" t="s">
        <v>1251</v>
      </c>
      <c r="D21" s="113" t="s">
        <v>78</v>
      </c>
      <c r="E21" s="104">
        <v>6.8150000000000004</v>
      </c>
      <c r="F21" s="102" t="s">
        <v>1971</v>
      </c>
      <c r="G21" s="4" t="s">
        <v>4017</v>
      </c>
      <c r="H21" s="4" t="s">
        <v>3048</v>
      </c>
      <c r="I21" s="110">
        <v>45141</v>
      </c>
    </row>
    <row r="22" spans="1:9">
      <c r="A22" s="66" t="s">
        <v>4016</v>
      </c>
      <c r="B22" s="103">
        <v>45294</v>
      </c>
      <c r="C22" s="13" t="s">
        <v>1226</v>
      </c>
      <c r="D22" s="113" t="s">
        <v>78</v>
      </c>
      <c r="E22" s="104">
        <v>1.726</v>
      </c>
      <c r="F22" s="102" t="s">
        <v>1971</v>
      </c>
      <c r="G22" s="4" t="s">
        <v>4017</v>
      </c>
      <c r="H22" s="4" t="s">
        <v>3048</v>
      </c>
      <c r="I22" s="110">
        <v>45141</v>
      </c>
    </row>
    <row r="23" spans="1:9">
      <c r="A23" s="66" t="s">
        <v>4016</v>
      </c>
      <c r="B23" s="103">
        <v>45294</v>
      </c>
      <c r="C23" s="13" t="s">
        <v>1294</v>
      </c>
      <c r="D23" s="113" t="s">
        <v>78</v>
      </c>
      <c r="E23" s="104">
        <v>4.734</v>
      </c>
      <c r="F23" s="102" t="s">
        <v>1971</v>
      </c>
      <c r="G23" s="4" t="s">
        <v>4017</v>
      </c>
      <c r="H23" s="4" t="s">
        <v>3048</v>
      </c>
      <c r="I23" s="110">
        <v>45141</v>
      </c>
    </row>
    <row r="24" spans="1:9">
      <c r="A24" s="66" t="s">
        <v>4016</v>
      </c>
      <c r="B24" s="103">
        <v>45294</v>
      </c>
      <c r="C24" s="13" t="s">
        <v>1768</v>
      </c>
      <c r="D24" s="113" t="s">
        <v>78</v>
      </c>
      <c r="E24" s="104">
        <f>1.999+5.954</f>
        <v>7.9529999999999994</v>
      </c>
      <c r="F24" s="102" t="s">
        <v>1971</v>
      </c>
      <c r="G24" s="4" t="s">
        <v>4017</v>
      </c>
      <c r="H24" s="4" t="s">
        <v>3048</v>
      </c>
      <c r="I24" s="110">
        <v>45141</v>
      </c>
    </row>
    <row r="25" spans="1:9">
      <c r="A25" s="66" t="s">
        <v>4018</v>
      </c>
      <c r="B25" s="103">
        <v>45294</v>
      </c>
      <c r="C25" s="13" t="s">
        <v>1341</v>
      </c>
      <c r="D25" s="113" t="s">
        <v>78</v>
      </c>
      <c r="E25" s="104">
        <v>1.206</v>
      </c>
      <c r="F25" s="102" t="s">
        <v>1971</v>
      </c>
      <c r="G25" s="4" t="s">
        <v>4019</v>
      </c>
      <c r="H25" s="4" t="s">
        <v>2030</v>
      </c>
      <c r="I25" s="110">
        <v>45141</v>
      </c>
    </row>
    <row r="26" spans="1:9">
      <c r="A26" s="66" t="s">
        <v>4018</v>
      </c>
      <c r="B26" s="103">
        <v>45294</v>
      </c>
      <c r="C26" s="13" t="s">
        <v>1640</v>
      </c>
      <c r="D26" s="113" t="s">
        <v>78</v>
      </c>
      <c r="E26" s="104">
        <v>1.7909999999999999</v>
      </c>
      <c r="F26" s="102" t="s">
        <v>1971</v>
      </c>
      <c r="G26" s="4" t="s">
        <v>4019</v>
      </c>
      <c r="H26" s="4" t="s">
        <v>2030</v>
      </c>
      <c r="I26" s="110">
        <v>45141</v>
      </c>
    </row>
    <row r="27" spans="1:9">
      <c r="A27" s="66" t="s">
        <v>4018</v>
      </c>
      <c r="B27" s="103">
        <v>45294</v>
      </c>
      <c r="C27" s="13" t="s">
        <v>1756</v>
      </c>
      <c r="D27" s="113" t="s">
        <v>78</v>
      </c>
      <c r="E27" s="104">
        <v>1.8360000000000001</v>
      </c>
      <c r="F27" s="102" t="s">
        <v>1971</v>
      </c>
      <c r="G27" s="4" t="s">
        <v>4019</v>
      </c>
      <c r="H27" s="4" t="s">
        <v>2030</v>
      </c>
      <c r="I27" s="110">
        <v>45141</v>
      </c>
    </row>
    <row r="28" spans="1:9">
      <c r="A28" s="66" t="s">
        <v>4020</v>
      </c>
      <c r="B28" s="103">
        <v>45294</v>
      </c>
      <c r="C28" s="13" t="s">
        <v>1756</v>
      </c>
      <c r="D28" s="113" t="s">
        <v>78</v>
      </c>
      <c r="E28" s="104">
        <v>0.25</v>
      </c>
      <c r="F28" s="102" t="s">
        <v>1971</v>
      </c>
      <c r="G28" s="4" t="s">
        <v>4019</v>
      </c>
      <c r="H28" s="4" t="s">
        <v>3256</v>
      </c>
      <c r="I28" s="110">
        <v>45231</v>
      </c>
    </row>
    <row r="29" spans="1:9">
      <c r="A29" s="66" t="s">
        <v>4010</v>
      </c>
      <c r="B29" s="103">
        <v>45294</v>
      </c>
      <c r="C29" s="13" t="s">
        <v>3053</v>
      </c>
      <c r="D29" s="113" t="s">
        <v>78</v>
      </c>
      <c r="E29" s="104">
        <v>32.411999999999999</v>
      </c>
      <c r="F29" s="102" t="s">
        <v>238</v>
      </c>
      <c r="G29" s="4" t="s">
        <v>4008</v>
      </c>
      <c r="H29" s="4" t="s">
        <v>4009</v>
      </c>
      <c r="I29" s="110">
        <v>45275</v>
      </c>
    </row>
    <row r="30" spans="1:9">
      <c r="A30" s="66"/>
      <c r="B30" s="103"/>
      <c r="C30" s="11"/>
      <c r="D30" s="113"/>
      <c r="E30" s="58">
        <f>SUM(E18:E29)</f>
        <v>96.62299999999999</v>
      </c>
      <c r="F30" s="102"/>
      <c r="G30" s="1"/>
      <c r="H30" s="1"/>
      <c r="I30" s="110"/>
    </row>
    <row r="31" spans="1:9">
      <c r="A31" s="66" t="s">
        <v>4027</v>
      </c>
      <c r="B31" s="103">
        <v>45295</v>
      </c>
      <c r="C31" s="13" t="s">
        <v>3069</v>
      </c>
      <c r="D31" s="113" t="s">
        <v>2706</v>
      </c>
      <c r="E31" s="104">
        <v>1.498</v>
      </c>
      <c r="F31" s="24" t="s">
        <v>2729</v>
      </c>
      <c r="G31" s="1" t="s">
        <v>4028</v>
      </c>
      <c r="H31" s="1" t="s">
        <v>3685</v>
      </c>
      <c r="I31" s="110">
        <v>45252</v>
      </c>
    </row>
    <row r="32" spans="1:9">
      <c r="A32" s="66" t="s">
        <v>4027</v>
      </c>
      <c r="B32" s="103">
        <v>45295</v>
      </c>
      <c r="C32" s="13" t="s">
        <v>2843</v>
      </c>
      <c r="D32" s="113" t="s">
        <v>2706</v>
      </c>
      <c r="E32" s="104">
        <v>2.8849999999999998</v>
      </c>
      <c r="F32" s="24" t="s">
        <v>2729</v>
      </c>
      <c r="G32" s="1" t="s">
        <v>4028</v>
      </c>
      <c r="H32" s="1" t="s">
        <v>3685</v>
      </c>
      <c r="I32" s="110">
        <v>45252</v>
      </c>
    </row>
    <row r="33" spans="1:9">
      <c r="A33" s="66" t="s">
        <v>4027</v>
      </c>
      <c r="B33" s="103">
        <v>45295</v>
      </c>
      <c r="C33" s="13" t="s">
        <v>2486</v>
      </c>
      <c r="D33" s="113" t="s">
        <v>2706</v>
      </c>
      <c r="E33" s="104">
        <f>2.737+5.85</f>
        <v>8.5869999999999997</v>
      </c>
      <c r="F33" s="24" t="s">
        <v>2729</v>
      </c>
      <c r="G33" s="1" t="s">
        <v>4028</v>
      </c>
      <c r="H33" s="1" t="s">
        <v>3685</v>
      </c>
      <c r="I33" s="110">
        <v>45252</v>
      </c>
    </row>
    <row r="34" spans="1:9">
      <c r="A34" s="66" t="s">
        <v>4027</v>
      </c>
      <c r="B34" s="103">
        <v>45295</v>
      </c>
      <c r="C34" s="13" t="s">
        <v>3008</v>
      </c>
      <c r="D34" s="113" t="s">
        <v>2706</v>
      </c>
      <c r="E34" s="104">
        <v>2.0489999999999999</v>
      </c>
      <c r="F34" s="24" t="s">
        <v>2729</v>
      </c>
      <c r="G34" s="1" t="s">
        <v>4028</v>
      </c>
      <c r="H34" s="1" t="s">
        <v>3685</v>
      </c>
      <c r="I34" s="110">
        <v>45252</v>
      </c>
    </row>
    <row r="35" spans="1:9">
      <c r="A35" s="66" t="s">
        <v>4027</v>
      </c>
      <c r="B35" s="103">
        <v>45295</v>
      </c>
      <c r="C35" s="13" t="s">
        <v>3220</v>
      </c>
      <c r="D35" s="113" t="s">
        <v>2706</v>
      </c>
      <c r="E35" s="104">
        <v>0.52400000000000002</v>
      </c>
      <c r="F35" s="24" t="s">
        <v>2729</v>
      </c>
      <c r="G35" s="1" t="s">
        <v>4028</v>
      </c>
      <c r="H35" s="1" t="s">
        <v>3685</v>
      </c>
      <c r="I35" s="110">
        <v>45252</v>
      </c>
    </row>
    <row r="36" spans="1:9">
      <c r="A36" s="66" t="s">
        <v>4029</v>
      </c>
      <c r="B36" s="103">
        <v>45295</v>
      </c>
      <c r="C36" s="13" t="s">
        <v>3056</v>
      </c>
      <c r="D36" s="113" t="s">
        <v>2706</v>
      </c>
      <c r="E36" s="104">
        <v>4.8860000000000001</v>
      </c>
      <c r="F36" s="102" t="s">
        <v>2729</v>
      </c>
      <c r="G36" s="1" t="s">
        <v>4030</v>
      </c>
      <c r="H36" s="1" t="s">
        <v>4031</v>
      </c>
      <c r="I36" s="110">
        <v>45275</v>
      </c>
    </row>
    <row r="37" spans="1:9">
      <c r="A37" s="66" t="s">
        <v>4029</v>
      </c>
      <c r="B37" s="103">
        <v>45295</v>
      </c>
      <c r="C37" s="13" t="s">
        <v>3020</v>
      </c>
      <c r="D37" s="113" t="s">
        <v>2706</v>
      </c>
      <c r="E37" s="104">
        <f>4.41+3.623</f>
        <v>8.0330000000000013</v>
      </c>
      <c r="F37" s="102" t="s">
        <v>2729</v>
      </c>
      <c r="G37" s="1" t="s">
        <v>4030</v>
      </c>
      <c r="H37" s="1" t="s">
        <v>4031</v>
      </c>
      <c r="I37" s="110">
        <v>45275</v>
      </c>
    </row>
    <row r="38" spans="1:9">
      <c r="A38" s="66" t="s">
        <v>4034</v>
      </c>
      <c r="B38" s="103">
        <v>45295</v>
      </c>
      <c r="C38" s="13" t="s">
        <v>4032</v>
      </c>
      <c r="D38" s="113" t="s">
        <v>2706</v>
      </c>
      <c r="E38" s="104">
        <v>2.653</v>
      </c>
      <c r="F38" s="102" t="s">
        <v>2729</v>
      </c>
      <c r="G38" s="1" t="s">
        <v>4035</v>
      </c>
      <c r="H38" s="1" t="s">
        <v>4036</v>
      </c>
      <c r="I38" s="110">
        <v>45261</v>
      </c>
    </row>
    <row r="39" spans="1:9">
      <c r="A39" s="66" t="s">
        <v>4034</v>
      </c>
      <c r="B39" s="103">
        <v>45295</v>
      </c>
      <c r="C39" s="13" t="s">
        <v>4033</v>
      </c>
      <c r="D39" s="113" t="s">
        <v>2706</v>
      </c>
      <c r="E39" s="104">
        <v>1.482</v>
      </c>
      <c r="F39" s="102" t="s">
        <v>2729</v>
      </c>
      <c r="G39" s="1" t="s">
        <v>4035</v>
      </c>
      <c r="H39" s="1" t="s">
        <v>4036</v>
      </c>
      <c r="I39" s="110">
        <v>45261</v>
      </c>
    </row>
    <row r="40" spans="1:9">
      <c r="A40" s="66" t="s">
        <v>4037</v>
      </c>
      <c r="B40" s="103">
        <v>45295</v>
      </c>
      <c r="C40" s="13" t="s">
        <v>2490</v>
      </c>
      <c r="D40" s="113" t="s">
        <v>78</v>
      </c>
      <c r="E40" s="104">
        <v>7.0140000000000002</v>
      </c>
      <c r="F40" s="102" t="s">
        <v>238</v>
      </c>
      <c r="G40" s="1" t="s">
        <v>4038</v>
      </c>
      <c r="H40" s="4" t="s">
        <v>2030</v>
      </c>
      <c r="I40" s="110">
        <v>45141</v>
      </c>
    </row>
    <row r="41" spans="1:9">
      <c r="A41" s="66" t="s">
        <v>4037</v>
      </c>
      <c r="B41" s="103">
        <v>45295</v>
      </c>
      <c r="C41" s="13" t="s">
        <v>2486</v>
      </c>
      <c r="D41" s="113" t="s">
        <v>78</v>
      </c>
      <c r="E41" s="104">
        <v>9.2040000000000006</v>
      </c>
      <c r="F41" s="102" t="s">
        <v>238</v>
      </c>
      <c r="G41" s="1" t="s">
        <v>4038</v>
      </c>
      <c r="H41" s="4" t="s">
        <v>2030</v>
      </c>
      <c r="I41" s="110">
        <v>45141</v>
      </c>
    </row>
    <row r="42" spans="1:9">
      <c r="A42" s="66" t="s">
        <v>4037</v>
      </c>
      <c r="B42" s="103">
        <v>45295</v>
      </c>
      <c r="C42" s="13" t="s">
        <v>3098</v>
      </c>
      <c r="D42" s="113" t="s">
        <v>78</v>
      </c>
      <c r="E42" s="104">
        <v>2.032</v>
      </c>
      <c r="F42" s="102" t="s">
        <v>238</v>
      </c>
      <c r="G42" s="1" t="s">
        <v>4038</v>
      </c>
      <c r="H42" s="4" t="s">
        <v>2030</v>
      </c>
      <c r="I42" s="110">
        <v>45141</v>
      </c>
    </row>
    <row r="43" spans="1:9">
      <c r="A43" s="66" t="s">
        <v>4039</v>
      </c>
      <c r="B43" s="103">
        <v>45295</v>
      </c>
      <c r="C43" s="13" t="s">
        <v>2487</v>
      </c>
      <c r="D43" s="113" t="s">
        <v>78</v>
      </c>
      <c r="E43" s="104">
        <f>3.404+2.076</f>
        <v>5.48</v>
      </c>
      <c r="F43" s="102" t="s">
        <v>238</v>
      </c>
      <c r="G43" s="1" t="s">
        <v>4040</v>
      </c>
      <c r="H43" s="1" t="s">
        <v>3048</v>
      </c>
      <c r="I43" s="110">
        <v>45141</v>
      </c>
    </row>
    <row r="44" spans="1:9">
      <c r="A44" s="66" t="s">
        <v>4039</v>
      </c>
      <c r="B44" s="103">
        <v>45295</v>
      </c>
      <c r="C44" s="13" t="s">
        <v>2489</v>
      </c>
      <c r="D44" s="113" t="s">
        <v>78</v>
      </c>
      <c r="E44" s="104">
        <v>2.4079999999999999</v>
      </c>
      <c r="F44" s="102" t="s">
        <v>238</v>
      </c>
      <c r="G44" s="1" t="s">
        <v>4040</v>
      </c>
      <c r="H44" s="1" t="s">
        <v>3048</v>
      </c>
      <c r="I44" s="110">
        <v>45141</v>
      </c>
    </row>
    <row r="45" spans="1:9">
      <c r="A45" s="66" t="s">
        <v>4039</v>
      </c>
      <c r="B45" s="103">
        <v>45295</v>
      </c>
      <c r="C45" s="13" t="s">
        <v>3215</v>
      </c>
      <c r="D45" s="113" t="s">
        <v>78</v>
      </c>
      <c r="E45" s="104">
        <v>2.4809999999999999</v>
      </c>
      <c r="F45" s="102" t="s">
        <v>238</v>
      </c>
      <c r="G45" s="1" t="s">
        <v>4040</v>
      </c>
      <c r="H45" s="1" t="s">
        <v>3048</v>
      </c>
      <c r="I45" s="110">
        <v>45141</v>
      </c>
    </row>
    <row r="46" spans="1:9">
      <c r="A46" s="66" t="s">
        <v>4042</v>
      </c>
      <c r="B46" s="103">
        <v>45295</v>
      </c>
      <c r="C46" s="13" t="s">
        <v>4041</v>
      </c>
      <c r="D46" s="113" t="s">
        <v>78</v>
      </c>
      <c r="E46" s="104">
        <v>0.28499999999999998</v>
      </c>
      <c r="F46" s="102" t="s">
        <v>238</v>
      </c>
      <c r="G46" s="1" t="s">
        <v>4043</v>
      </c>
      <c r="H46" s="1" t="s">
        <v>3790</v>
      </c>
      <c r="I46" s="110">
        <v>45252</v>
      </c>
    </row>
    <row r="47" spans="1:9">
      <c r="A47" s="66" t="s">
        <v>4042</v>
      </c>
      <c r="B47" s="103">
        <v>45295</v>
      </c>
      <c r="C47" s="13" t="s">
        <v>2741</v>
      </c>
      <c r="D47" s="113" t="s">
        <v>78</v>
      </c>
      <c r="E47" s="104">
        <v>0.64400000000000002</v>
      </c>
      <c r="F47" s="102" t="s">
        <v>238</v>
      </c>
      <c r="G47" s="1" t="s">
        <v>4043</v>
      </c>
      <c r="H47" s="1" t="s">
        <v>3790</v>
      </c>
      <c r="I47" s="110">
        <v>45252</v>
      </c>
    </row>
    <row r="48" spans="1:9">
      <c r="A48" s="66" t="s">
        <v>4042</v>
      </c>
      <c r="B48" s="103">
        <v>45295</v>
      </c>
      <c r="C48" s="13" t="s">
        <v>3008</v>
      </c>
      <c r="D48" s="113" t="s">
        <v>78</v>
      </c>
      <c r="E48" s="104">
        <v>0.51100000000000001</v>
      </c>
      <c r="F48" s="102" t="s">
        <v>238</v>
      </c>
      <c r="G48" s="1" t="s">
        <v>4043</v>
      </c>
      <c r="H48" s="1" t="s">
        <v>3790</v>
      </c>
      <c r="I48" s="110">
        <v>45252</v>
      </c>
    </row>
    <row r="49" spans="1:9">
      <c r="A49" s="66" t="s">
        <v>4042</v>
      </c>
      <c r="B49" s="103">
        <v>45295</v>
      </c>
      <c r="C49" s="13" t="s">
        <v>2960</v>
      </c>
      <c r="D49" s="113" t="s">
        <v>78</v>
      </c>
      <c r="E49" s="104">
        <v>0.17</v>
      </c>
      <c r="F49" s="102" t="s">
        <v>238</v>
      </c>
      <c r="G49" s="1" t="s">
        <v>4043</v>
      </c>
      <c r="H49" s="1" t="s">
        <v>3790</v>
      </c>
      <c r="I49" s="110">
        <v>45252</v>
      </c>
    </row>
    <row r="50" spans="1:9">
      <c r="A50" s="66" t="s">
        <v>4044</v>
      </c>
      <c r="B50" s="103">
        <v>45295</v>
      </c>
      <c r="C50" s="13" t="s">
        <v>2739</v>
      </c>
      <c r="D50" s="113" t="s">
        <v>78</v>
      </c>
      <c r="E50" s="104">
        <v>0.84299999999999997</v>
      </c>
      <c r="F50" s="102" t="s">
        <v>238</v>
      </c>
      <c r="G50" s="1" t="s">
        <v>4045</v>
      </c>
      <c r="H50" s="1" t="s">
        <v>3801</v>
      </c>
      <c r="I50" s="110">
        <v>45231</v>
      </c>
    </row>
    <row r="51" spans="1:9">
      <c r="A51" s="66" t="s">
        <v>4046</v>
      </c>
      <c r="B51" s="103">
        <v>45295</v>
      </c>
      <c r="C51" s="13" t="s">
        <v>4032</v>
      </c>
      <c r="D51" s="113" t="s">
        <v>78</v>
      </c>
      <c r="E51" s="104">
        <v>1.9330000000000001</v>
      </c>
      <c r="F51" s="102" t="s">
        <v>238</v>
      </c>
      <c r="G51" s="1" t="s">
        <v>4045</v>
      </c>
      <c r="H51" s="1" t="s">
        <v>4047</v>
      </c>
      <c r="I51" s="110">
        <v>45261</v>
      </c>
    </row>
    <row r="52" spans="1:9">
      <c r="A52" s="150" t="s">
        <v>4048</v>
      </c>
      <c r="B52" s="151">
        <v>45295</v>
      </c>
      <c r="C52" s="152" t="s">
        <v>2746</v>
      </c>
      <c r="D52" s="153" t="s">
        <v>78</v>
      </c>
      <c r="E52" s="154">
        <v>33.374000000000002</v>
      </c>
      <c r="F52" s="39" t="s">
        <v>1208</v>
      </c>
      <c r="G52" s="37" t="s">
        <v>4049</v>
      </c>
      <c r="H52" s="37" t="s">
        <v>3048</v>
      </c>
      <c r="I52" s="155">
        <v>45141</v>
      </c>
    </row>
    <row r="53" spans="1:9">
      <c r="A53" s="66"/>
      <c r="B53" s="103"/>
      <c r="C53" s="11"/>
      <c r="D53" s="113"/>
      <c r="E53" s="58">
        <f>SUM(E31:E52)</f>
        <v>98.976000000000028</v>
      </c>
      <c r="F53" s="102"/>
      <c r="G53" s="1"/>
      <c r="H53" s="1"/>
      <c r="I53" s="110"/>
    </row>
    <row r="54" spans="1:9">
      <c r="A54" s="66" t="s">
        <v>4056</v>
      </c>
      <c r="B54" s="103">
        <v>45296</v>
      </c>
      <c r="C54" s="13" t="s">
        <v>3157</v>
      </c>
      <c r="D54" s="113" t="s">
        <v>78</v>
      </c>
      <c r="E54" s="104">
        <v>0.93899999999999995</v>
      </c>
      <c r="F54" s="102" t="s">
        <v>86</v>
      </c>
      <c r="G54" s="4" t="s">
        <v>4057</v>
      </c>
      <c r="H54" s="4" t="s">
        <v>3790</v>
      </c>
      <c r="I54" s="110">
        <v>45252</v>
      </c>
    </row>
    <row r="55" spans="1:9">
      <c r="A55" s="66" t="s">
        <v>4056</v>
      </c>
      <c r="B55" s="103">
        <v>45296</v>
      </c>
      <c r="C55" s="13" t="s">
        <v>3258</v>
      </c>
      <c r="D55" s="113" t="s">
        <v>78</v>
      </c>
      <c r="E55" s="104">
        <v>6.0999999999999999E-2</v>
      </c>
      <c r="F55" s="102" t="s">
        <v>86</v>
      </c>
      <c r="G55" s="4" t="s">
        <v>4057</v>
      </c>
      <c r="H55" s="4" t="s">
        <v>3790</v>
      </c>
      <c r="I55" s="110">
        <v>45252</v>
      </c>
    </row>
    <row r="56" spans="1:9">
      <c r="A56" s="66" t="s">
        <v>4056</v>
      </c>
      <c r="B56" s="103">
        <v>45296</v>
      </c>
      <c r="C56" s="13" t="s">
        <v>2487</v>
      </c>
      <c r="D56" s="113" t="s">
        <v>78</v>
      </c>
      <c r="E56" s="104">
        <v>0.59499999999999997</v>
      </c>
      <c r="F56" s="102" t="s">
        <v>86</v>
      </c>
      <c r="G56" s="4" t="s">
        <v>4057</v>
      </c>
      <c r="H56" s="4" t="s">
        <v>3790</v>
      </c>
      <c r="I56" s="110">
        <v>45252</v>
      </c>
    </row>
    <row r="57" spans="1:9">
      <c r="A57" s="66" t="s">
        <v>4056</v>
      </c>
      <c r="B57" s="103">
        <v>45296</v>
      </c>
      <c r="C57" s="13" t="s">
        <v>2488</v>
      </c>
      <c r="D57" s="113" t="s">
        <v>78</v>
      </c>
      <c r="E57" s="104">
        <v>1.28</v>
      </c>
      <c r="F57" s="102" t="s">
        <v>86</v>
      </c>
      <c r="G57" s="4" t="s">
        <v>4057</v>
      </c>
      <c r="H57" s="4" t="s">
        <v>3790</v>
      </c>
      <c r="I57" s="110">
        <v>45252</v>
      </c>
    </row>
    <row r="58" spans="1:9">
      <c r="A58" s="66" t="s">
        <v>4056</v>
      </c>
      <c r="B58" s="103">
        <v>45296</v>
      </c>
      <c r="C58" s="13" t="s">
        <v>3007</v>
      </c>
      <c r="D58" s="113" t="s">
        <v>78</v>
      </c>
      <c r="E58" s="104">
        <v>0.111</v>
      </c>
      <c r="F58" s="102" t="s">
        <v>86</v>
      </c>
      <c r="G58" s="4" t="s">
        <v>4057</v>
      </c>
      <c r="H58" s="4" t="s">
        <v>3790</v>
      </c>
      <c r="I58" s="110">
        <v>45252</v>
      </c>
    </row>
    <row r="59" spans="1:9">
      <c r="A59" s="66" t="s">
        <v>4056</v>
      </c>
      <c r="B59" s="103">
        <v>45296</v>
      </c>
      <c r="C59" s="13" t="s">
        <v>3009</v>
      </c>
      <c r="D59" s="113" t="s">
        <v>78</v>
      </c>
      <c r="E59" s="104">
        <v>0.41699999999999998</v>
      </c>
      <c r="F59" s="102" t="s">
        <v>86</v>
      </c>
      <c r="G59" s="4" t="s">
        <v>4057</v>
      </c>
      <c r="H59" s="4" t="s">
        <v>3790</v>
      </c>
      <c r="I59" s="110">
        <v>45252</v>
      </c>
    </row>
    <row r="60" spans="1:9">
      <c r="A60" s="66" t="s">
        <v>4059</v>
      </c>
      <c r="B60" s="103">
        <v>45296</v>
      </c>
      <c r="C60" s="13" t="s">
        <v>4058</v>
      </c>
      <c r="D60" s="113" t="s">
        <v>78</v>
      </c>
      <c r="E60" s="104">
        <v>0.23</v>
      </c>
      <c r="F60" s="102" t="s">
        <v>86</v>
      </c>
      <c r="G60" s="4" t="s">
        <v>4057</v>
      </c>
      <c r="H60" s="4" t="s">
        <v>4047</v>
      </c>
      <c r="I60" s="110">
        <v>45252</v>
      </c>
    </row>
    <row r="61" spans="1:9">
      <c r="A61" s="66" t="s">
        <v>4059</v>
      </c>
      <c r="B61" s="103">
        <v>45296</v>
      </c>
      <c r="C61" s="13" t="s">
        <v>4033</v>
      </c>
      <c r="D61" s="113" t="s">
        <v>78</v>
      </c>
      <c r="E61" s="104">
        <v>0.67900000000000005</v>
      </c>
      <c r="F61" s="102" t="s">
        <v>86</v>
      </c>
      <c r="G61" s="4" t="s">
        <v>4057</v>
      </c>
      <c r="H61" s="4" t="s">
        <v>4047</v>
      </c>
      <c r="I61" s="110">
        <v>45252</v>
      </c>
    </row>
    <row r="62" spans="1:9">
      <c r="A62" s="66" t="s">
        <v>4060</v>
      </c>
      <c r="B62" s="103">
        <v>45296</v>
      </c>
      <c r="C62" s="13" t="s">
        <v>2746</v>
      </c>
      <c r="D62" s="113" t="s">
        <v>78</v>
      </c>
      <c r="E62" s="104">
        <v>22.113</v>
      </c>
      <c r="F62" s="102" t="s">
        <v>86</v>
      </c>
      <c r="G62" s="4" t="s">
        <v>4057</v>
      </c>
      <c r="H62" s="4" t="s">
        <v>3048</v>
      </c>
      <c r="I62" s="110">
        <v>45141</v>
      </c>
    </row>
    <row r="63" spans="1:9">
      <c r="A63" s="66" t="s">
        <v>4061</v>
      </c>
      <c r="B63" s="103">
        <v>45296</v>
      </c>
      <c r="C63" s="13" t="s">
        <v>4058</v>
      </c>
      <c r="D63" s="113" t="s">
        <v>78</v>
      </c>
      <c r="E63" s="104">
        <v>5.3529999999999998</v>
      </c>
      <c r="F63" s="102" t="s">
        <v>86</v>
      </c>
      <c r="G63" s="4" t="s">
        <v>4057</v>
      </c>
      <c r="H63" s="4" t="s">
        <v>2030</v>
      </c>
      <c r="I63" s="110">
        <v>45141</v>
      </c>
    </row>
    <row r="64" spans="1:9">
      <c r="A64" s="66" t="s">
        <v>4066</v>
      </c>
      <c r="B64" s="103">
        <v>45296</v>
      </c>
      <c r="C64" s="13" t="s">
        <v>4058</v>
      </c>
      <c r="D64" s="113" t="s">
        <v>78</v>
      </c>
      <c r="E64" s="104">
        <v>29.355</v>
      </c>
      <c r="F64" s="102" t="s">
        <v>267</v>
      </c>
      <c r="G64" s="4" t="s">
        <v>4067</v>
      </c>
      <c r="H64" s="4" t="s">
        <v>2030</v>
      </c>
      <c r="I64" s="110">
        <v>45141</v>
      </c>
    </row>
    <row r="65" spans="1:12">
      <c r="A65" s="66" t="s">
        <v>4068</v>
      </c>
      <c r="B65" s="103">
        <v>45296</v>
      </c>
      <c r="C65" s="13" t="s">
        <v>2746</v>
      </c>
      <c r="D65" s="113" t="s">
        <v>78</v>
      </c>
      <c r="E65" s="104">
        <v>32.719000000000001</v>
      </c>
      <c r="F65" s="102" t="s">
        <v>238</v>
      </c>
      <c r="G65" s="4" t="s">
        <v>4069</v>
      </c>
      <c r="H65" s="4" t="s">
        <v>3048</v>
      </c>
      <c r="I65" s="110">
        <v>45141</v>
      </c>
    </row>
    <row r="66" spans="1:12">
      <c r="A66" s="66" t="s">
        <v>4070</v>
      </c>
      <c r="B66" s="103">
        <v>45296</v>
      </c>
      <c r="C66" s="13" t="s">
        <v>3115</v>
      </c>
      <c r="D66" s="113" t="s">
        <v>78</v>
      </c>
      <c r="E66" s="104">
        <v>32.570999999999998</v>
      </c>
      <c r="F66" s="102" t="s">
        <v>392</v>
      </c>
      <c r="G66" s="4" t="s">
        <v>4071</v>
      </c>
      <c r="H66" s="4" t="s">
        <v>4009</v>
      </c>
      <c r="I66" s="110">
        <v>45278</v>
      </c>
    </row>
    <row r="67" spans="1:12">
      <c r="A67" s="66"/>
      <c r="B67" s="103"/>
      <c r="C67" s="11"/>
      <c r="D67" s="113"/>
      <c r="E67" s="58">
        <f>SUM(E54:E66)</f>
        <v>126.423</v>
      </c>
      <c r="F67" s="102"/>
      <c r="G67" s="1"/>
      <c r="H67" s="1"/>
      <c r="I67" s="110"/>
    </row>
    <row r="68" spans="1:12">
      <c r="A68" s="66"/>
      <c r="B68" s="103"/>
      <c r="C68" s="11"/>
      <c r="D68" s="113"/>
      <c r="E68" s="144"/>
      <c r="F68" s="102"/>
      <c r="G68" s="1"/>
      <c r="H68" s="1"/>
      <c r="I68" s="110"/>
    </row>
    <row r="69" spans="1:12">
      <c r="A69" s="66"/>
      <c r="B69" s="103"/>
      <c r="C69" s="11"/>
      <c r="D69" s="113"/>
      <c r="E69" s="144"/>
      <c r="F69" s="102"/>
      <c r="G69" s="1"/>
      <c r="H69" s="1"/>
      <c r="I69" s="110"/>
    </row>
    <row r="70" spans="1:12">
      <c r="A70" s="66"/>
      <c r="B70" s="103"/>
      <c r="C70" s="11"/>
      <c r="D70" s="113"/>
      <c r="E70" s="144"/>
      <c r="F70" s="102"/>
      <c r="G70" s="1"/>
      <c r="H70" s="1"/>
      <c r="I70" s="110"/>
    </row>
    <row r="71" spans="1:12">
      <c r="A71" s="66"/>
      <c r="B71" s="103"/>
      <c r="C71" s="11"/>
      <c r="D71" s="113"/>
      <c r="E71" s="144"/>
      <c r="F71" s="102"/>
      <c r="G71" s="1"/>
      <c r="H71" s="1"/>
      <c r="I71" s="110"/>
    </row>
    <row r="72" spans="1:12">
      <c r="A72" s="66"/>
      <c r="B72" s="103"/>
      <c r="C72" s="11"/>
      <c r="D72" s="113"/>
      <c r="E72" s="144"/>
      <c r="F72" s="102"/>
      <c r="G72" s="1"/>
      <c r="H72" s="1"/>
      <c r="I72" s="110"/>
    </row>
    <row r="73" spans="1:12">
      <c r="A73" s="15"/>
      <c r="B73" s="61"/>
      <c r="C73" s="6"/>
      <c r="D73" s="1"/>
      <c r="E73" s="54"/>
      <c r="F73" s="102"/>
      <c r="G73" s="1"/>
      <c r="H73" s="1"/>
      <c r="I73" s="109"/>
      <c r="J73" s="147" t="s">
        <v>2275</v>
      </c>
      <c r="K73" s="147" t="s">
        <v>2864</v>
      </c>
      <c r="L73" s="147" t="s">
        <v>2779</v>
      </c>
    </row>
    <row r="74" spans="1:12">
      <c r="A74" s="93"/>
      <c r="B74" s="156"/>
      <c r="C74" s="93"/>
      <c r="D74" s="157" t="s">
        <v>3953</v>
      </c>
      <c r="E74" s="158">
        <f>SUM(E2:E73)/2</f>
        <v>386.31900000000019</v>
      </c>
      <c r="F74" s="121"/>
      <c r="G74" s="93"/>
      <c r="H74" s="93"/>
      <c r="I74" s="122"/>
      <c r="J74" s="147">
        <f>+'KEC JBP DISPATCHED JAN'!E62</f>
        <v>435.24199999999996</v>
      </c>
      <c r="K74" s="97"/>
      <c r="L74" s="97"/>
    </row>
    <row r="75" spans="1:12">
      <c r="A75" s="1"/>
      <c r="B75" s="16"/>
      <c r="C75" s="1"/>
      <c r="D75" s="1"/>
      <c r="E75" s="54"/>
      <c r="F75" s="24"/>
      <c r="G75" s="1"/>
      <c r="H75" s="1"/>
      <c r="I75" s="109"/>
    </row>
    <row r="76" spans="1:12">
      <c r="A76" s="1"/>
      <c r="B76" s="3"/>
      <c r="C76" s="1"/>
      <c r="D76" s="2" t="s">
        <v>3969</v>
      </c>
      <c r="E76" s="20"/>
      <c r="F76" s="24"/>
      <c r="G76" s="1"/>
      <c r="H76" s="1"/>
      <c r="I76" s="109"/>
      <c r="K76" s="97">
        <f>+J74+K74+L74+E74</f>
        <v>821.56100000000015</v>
      </c>
    </row>
    <row r="77" spans="1:12">
      <c r="A77" s="1"/>
      <c r="B77" s="3"/>
      <c r="C77" s="1"/>
      <c r="D77" s="1"/>
      <c r="E77" s="55"/>
      <c r="F77" s="24"/>
      <c r="G77" s="1"/>
      <c r="H77" s="1"/>
      <c r="I77" s="109"/>
    </row>
    <row r="78" spans="1:12">
      <c r="A78" s="1"/>
      <c r="B78" s="3"/>
      <c r="C78" s="1"/>
      <c r="D78" s="2"/>
      <c r="E78" s="20">
        <f>+E76+E74</f>
        <v>386.31900000000019</v>
      </c>
      <c r="F78" s="24"/>
      <c r="G78" s="1"/>
      <c r="H78" s="1"/>
      <c r="I78" s="109"/>
      <c r="K78" s="23">
        <f>+K77+K76</f>
        <v>821.56100000000015</v>
      </c>
    </row>
    <row r="79" spans="1:12">
      <c r="A79" s="1"/>
      <c r="B79" s="3"/>
      <c r="C79" s="1"/>
      <c r="D79" s="2"/>
      <c r="E79" s="54"/>
      <c r="F79" s="24"/>
      <c r="G79" s="1"/>
      <c r="H79" s="1"/>
      <c r="I79" s="109"/>
    </row>
    <row r="80" spans="1:12">
      <c r="A80" s="1"/>
      <c r="B80" s="3"/>
      <c r="C80" s="1"/>
      <c r="D80" s="1"/>
      <c r="E80" s="2"/>
      <c r="F80" s="24"/>
      <c r="G80" s="1"/>
      <c r="H80" s="1"/>
      <c r="I80" s="109"/>
    </row>
    <row r="81" spans="1:9">
      <c r="A81" s="1"/>
      <c r="B81" s="3"/>
      <c r="C81" s="1"/>
      <c r="D81" s="1"/>
      <c r="E81" s="2"/>
      <c r="F81" s="24"/>
      <c r="G81" s="1"/>
      <c r="H81" s="1"/>
      <c r="I81" s="109"/>
    </row>
    <row r="82" spans="1:9">
      <c r="A82" s="1"/>
      <c r="B82" s="3"/>
      <c r="C82" s="1"/>
      <c r="D82" s="1"/>
      <c r="E82" s="2"/>
      <c r="F82" s="24"/>
      <c r="G82" s="1"/>
      <c r="H82" s="1"/>
      <c r="I82" s="109"/>
    </row>
    <row r="83" spans="1:9">
      <c r="A83" s="1"/>
      <c r="B83" s="3"/>
      <c r="C83" s="1"/>
      <c r="D83" s="1"/>
      <c r="E83" s="2"/>
      <c r="F83" s="24"/>
      <c r="G83" s="1"/>
      <c r="H83" s="1"/>
      <c r="I83" s="109"/>
    </row>
    <row r="84" spans="1:9">
      <c r="A84" s="1"/>
      <c r="B84" s="3"/>
      <c r="C84" s="1"/>
      <c r="D84" s="1"/>
      <c r="E84" s="2"/>
      <c r="F84" s="24"/>
      <c r="G84" s="1"/>
      <c r="H84" s="1"/>
      <c r="I84" s="109"/>
    </row>
    <row r="85" spans="1:9">
      <c r="A85" s="1"/>
      <c r="B85" s="1"/>
      <c r="C85" s="1"/>
      <c r="D85" s="1"/>
      <c r="E85" s="2"/>
      <c r="F85" s="24"/>
      <c r="G85" s="1"/>
      <c r="H85" s="1"/>
      <c r="I85" s="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76"/>
  <sheetViews>
    <sheetView tabSelected="1" topLeftCell="A37" workbookViewId="0">
      <selection activeCell="D48" sqref="D48"/>
    </sheetView>
  </sheetViews>
  <sheetFormatPr defaultRowHeight="15"/>
  <cols>
    <col min="1" max="1" width="18.28515625" style="147" customWidth="1"/>
    <col min="2" max="2" width="10.28515625" style="147" bestFit="1" customWidth="1"/>
    <col min="3" max="3" width="25.85546875" style="147" customWidth="1"/>
    <col min="4" max="4" width="37.7109375" style="147" bestFit="1" customWidth="1"/>
    <col min="5" max="5" width="12" style="147" customWidth="1"/>
    <col min="6" max="6" width="15" style="31" customWidth="1"/>
    <col min="7" max="7" width="18.42578125" style="147" customWidth="1"/>
    <col min="8" max="8" width="16.5703125" style="147" customWidth="1"/>
    <col min="9" max="9" width="12.7109375" style="147" bestFit="1" customWidth="1"/>
    <col min="10" max="16384" width="9.140625" style="147"/>
  </cols>
  <sheetData>
    <row r="1" spans="1:9" s="8" customFormat="1" ht="26.25" customHeight="1">
      <c r="A1" s="2" t="s">
        <v>5</v>
      </c>
      <c r="B1" s="2" t="s">
        <v>6</v>
      </c>
      <c r="C1" s="2" t="s">
        <v>7</v>
      </c>
      <c r="D1" s="2" t="s">
        <v>0</v>
      </c>
      <c r="E1" s="2" t="s">
        <v>9</v>
      </c>
      <c r="F1" s="28" t="s">
        <v>2</v>
      </c>
      <c r="G1" s="5" t="s">
        <v>3</v>
      </c>
      <c r="H1" s="2" t="s">
        <v>4</v>
      </c>
      <c r="I1" s="7" t="s">
        <v>8</v>
      </c>
    </row>
    <row r="2" spans="1:9">
      <c r="A2" s="66" t="s">
        <v>3954</v>
      </c>
      <c r="B2" s="103">
        <v>45292</v>
      </c>
      <c r="C2" s="13" t="s">
        <v>1355</v>
      </c>
      <c r="D2" s="13" t="s">
        <v>716</v>
      </c>
      <c r="E2" s="104">
        <f>20.734+1.826</f>
        <v>22.560000000000002</v>
      </c>
      <c r="F2" s="102" t="s">
        <v>3955</v>
      </c>
      <c r="G2" s="4" t="s">
        <v>3956</v>
      </c>
      <c r="H2" s="4" t="s">
        <v>3901</v>
      </c>
      <c r="I2" s="110">
        <v>45265</v>
      </c>
    </row>
    <row r="3" spans="1:9">
      <c r="A3" s="66" t="s">
        <v>3957</v>
      </c>
      <c r="B3" s="103">
        <v>45292</v>
      </c>
      <c r="C3" s="13" t="s">
        <v>1271</v>
      </c>
      <c r="D3" s="13" t="s">
        <v>716</v>
      </c>
      <c r="E3" s="104">
        <v>8.4939999999999998</v>
      </c>
      <c r="F3" s="102" t="s">
        <v>3955</v>
      </c>
      <c r="G3" s="4" t="s">
        <v>3958</v>
      </c>
      <c r="H3" s="4" t="s">
        <v>3903</v>
      </c>
      <c r="I3" s="110">
        <v>45265</v>
      </c>
    </row>
    <row r="4" spans="1:9">
      <c r="A4" s="66" t="s">
        <v>3959</v>
      </c>
      <c r="B4" s="103">
        <v>45292</v>
      </c>
      <c r="C4" s="13" t="s">
        <v>2617</v>
      </c>
      <c r="D4" s="13" t="s">
        <v>716</v>
      </c>
      <c r="E4" s="104">
        <v>1.7230000000000001</v>
      </c>
      <c r="F4" s="102" t="s">
        <v>3955</v>
      </c>
      <c r="G4" s="4" t="s">
        <v>3958</v>
      </c>
      <c r="H4" s="4" t="s">
        <v>3863</v>
      </c>
      <c r="I4" s="110">
        <v>45252</v>
      </c>
    </row>
    <row r="5" spans="1:9">
      <c r="A5" s="66" t="s">
        <v>3960</v>
      </c>
      <c r="B5" s="103">
        <v>45292</v>
      </c>
      <c r="C5" s="13" t="s">
        <v>1226</v>
      </c>
      <c r="D5" s="13" t="s">
        <v>716</v>
      </c>
      <c r="E5" s="104">
        <v>2.2240000000000002</v>
      </c>
      <c r="F5" s="102" t="s">
        <v>544</v>
      </c>
      <c r="G5" s="4" t="s">
        <v>3961</v>
      </c>
      <c r="H5" s="4" t="s">
        <v>3854</v>
      </c>
      <c r="I5" s="110">
        <v>45275</v>
      </c>
    </row>
    <row r="6" spans="1:9">
      <c r="A6" s="66" t="s">
        <v>3960</v>
      </c>
      <c r="B6" s="103">
        <v>45292</v>
      </c>
      <c r="C6" s="13" t="s">
        <v>1756</v>
      </c>
      <c r="D6" s="13" t="s">
        <v>716</v>
      </c>
      <c r="E6" s="104">
        <v>1.514</v>
      </c>
      <c r="F6" s="102" t="s">
        <v>544</v>
      </c>
      <c r="G6" s="4" t="s">
        <v>3961</v>
      </c>
      <c r="H6" s="4" t="s">
        <v>3854</v>
      </c>
      <c r="I6" s="110">
        <v>45275</v>
      </c>
    </row>
    <row r="7" spans="1:9">
      <c r="A7" s="66" t="s">
        <v>3960</v>
      </c>
      <c r="B7" s="103">
        <v>45292</v>
      </c>
      <c r="C7" s="13" t="s">
        <v>1738</v>
      </c>
      <c r="D7" s="13" t="s">
        <v>716</v>
      </c>
      <c r="E7" s="104">
        <v>2.6760000000000002</v>
      </c>
      <c r="F7" s="102" t="s">
        <v>544</v>
      </c>
      <c r="G7" s="4" t="s">
        <v>3961</v>
      </c>
      <c r="H7" s="4" t="s">
        <v>3854</v>
      </c>
      <c r="I7" s="110">
        <v>45275</v>
      </c>
    </row>
    <row r="8" spans="1:9">
      <c r="A8" s="66" t="s">
        <v>3962</v>
      </c>
      <c r="B8" s="103">
        <v>45292</v>
      </c>
      <c r="C8" s="13" t="s">
        <v>1753</v>
      </c>
      <c r="D8" s="13" t="s">
        <v>716</v>
      </c>
      <c r="E8" s="104">
        <v>3.9729999999999999</v>
      </c>
      <c r="F8" s="102" t="s">
        <v>544</v>
      </c>
      <c r="G8" s="4" t="s">
        <v>3961</v>
      </c>
      <c r="H8" s="4" t="s">
        <v>3901</v>
      </c>
      <c r="I8" s="110">
        <v>45265</v>
      </c>
    </row>
    <row r="9" spans="1:9">
      <c r="A9" s="66" t="s">
        <v>3962</v>
      </c>
      <c r="B9" s="103">
        <v>45292</v>
      </c>
      <c r="C9" s="13" t="s">
        <v>1350</v>
      </c>
      <c r="D9" s="13" t="s">
        <v>716</v>
      </c>
      <c r="E9" s="104">
        <v>0.47199999999999998</v>
      </c>
      <c r="F9" s="102" t="s">
        <v>544</v>
      </c>
      <c r="G9" s="4" t="s">
        <v>3961</v>
      </c>
      <c r="H9" s="4" t="s">
        <v>3901</v>
      </c>
      <c r="I9" s="110">
        <v>45265</v>
      </c>
    </row>
    <row r="10" spans="1:9">
      <c r="A10" s="66" t="s">
        <v>3963</v>
      </c>
      <c r="B10" s="103">
        <v>45292</v>
      </c>
      <c r="C10" s="13" t="s">
        <v>1753</v>
      </c>
      <c r="D10" s="13" t="s">
        <v>716</v>
      </c>
      <c r="E10" s="104">
        <v>7.1079999999999997</v>
      </c>
      <c r="F10" s="102" t="s">
        <v>544</v>
      </c>
      <c r="G10" s="4" t="s">
        <v>3964</v>
      </c>
      <c r="H10" s="4" t="s">
        <v>3903</v>
      </c>
      <c r="I10" s="110">
        <v>45265</v>
      </c>
    </row>
    <row r="11" spans="1:9">
      <c r="A11" s="66" t="s">
        <v>3963</v>
      </c>
      <c r="B11" s="103">
        <v>45292</v>
      </c>
      <c r="C11" s="13" t="s">
        <v>1350</v>
      </c>
      <c r="D11" s="13" t="s">
        <v>716</v>
      </c>
      <c r="E11" s="104">
        <f>1.125+13.631</f>
        <v>14.756</v>
      </c>
      <c r="F11" s="102" t="s">
        <v>544</v>
      </c>
      <c r="G11" s="4" t="s">
        <v>3964</v>
      </c>
      <c r="H11" s="4" t="s">
        <v>3903</v>
      </c>
      <c r="I11" s="110">
        <v>45265</v>
      </c>
    </row>
    <row r="12" spans="1:9">
      <c r="A12" s="66" t="s">
        <v>3965</v>
      </c>
      <c r="B12" s="103">
        <v>45292</v>
      </c>
      <c r="C12" s="13" t="s">
        <v>1341</v>
      </c>
      <c r="D12" s="13" t="s">
        <v>716</v>
      </c>
      <c r="E12" s="104">
        <v>16.815999999999999</v>
      </c>
      <c r="F12" s="102" t="s">
        <v>3743</v>
      </c>
      <c r="G12" s="4" t="s">
        <v>3966</v>
      </c>
      <c r="H12" s="4" t="s">
        <v>3901</v>
      </c>
      <c r="I12" s="110">
        <v>45265</v>
      </c>
    </row>
    <row r="13" spans="1:9">
      <c r="A13" s="66" t="s">
        <v>3967</v>
      </c>
      <c r="B13" s="103">
        <v>45292</v>
      </c>
      <c r="C13" s="13" t="s">
        <v>1341</v>
      </c>
      <c r="D13" s="13" t="s">
        <v>716</v>
      </c>
      <c r="E13" s="104">
        <f>0.64+15.043</f>
        <v>15.683</v>
      </c>
      <c r="F13" s="102" t="s">
        <v>3743</v>
      </c>
      <c r="G13" s="4" t="s">
        <v>3968</v>
      </c>
      <c r="H13" s="4" t="s">
        <v>3903</v>
      </c>
      <c r="I13" s="110">
        <v>45265</v>
      </c>
    </row>
    <row r="14" spans="1:9">
      <c r="A14" s="66"/>
      <c r="B14" s="103"/>
      <c r="C14" s="11"/>
      <c r="D14" s="13"/>
      <c r="E14" s="54">
        <f>SUM(E2:E13)</f>
        <v>97.998999999999995</v>
      </c>
      <c r="F14" s="24"/>
      <c r="G14" s="1"/>
      <c r="H14" s="1"/>
      <c r="I14" s="3"/>
    </row>
    <row r="15" spans="1:9">
      <c r="A15" s="66" t="s">
        <v>3970</v>
      </c>
      <c r="B15" s="103">
        <v>45293</v>
      </c>
      <c r="C15" s="13" t="s">
        <v>1227</v>
      </c>
      <c r="D15" s="13" t="s">
        <v>716</v>
      </c>
      <c r="E15" s="104">
        <f>14.038+4.973</f>
        <v>19.010999999999999</v>
      </c>
      <c r="F15" s="24" t="s">
        <v>3262</v>
      </c>
      <c r="G15" s="1" t="s">
        <v>3971</v>
      </c>
      <c r="H15" s="4" t="s">
        <v>3901</v>
      </c>
      <c r="I15" s="110">
        <v>45265</v>
      </c>
    </row>
    <row r="16" spans="1:9">
      <c r="A16" s="66" t="s">
        <v>3970</v>
      </c>
      <c r="B16" s="103">
        <v>45293</v>
      </c>
      <c r="C16" s="13" t="s">
        <v>1245</v>
      </c>
      <c r="D16" s="13" t="s">
        <v>716</v>
      </c>
      <c r="E16" s="104">
        <v>14.048999999999999</v>
      </c>
      <c r="F16" s="24" t="s">
        <v>3262</v>
      </c>
      <c r="G16" s="1" t="s">
        <v>3971</v>
      </c>
      <c r="H16" s="4" t="s">
        <v>3901</v>
      </c>
      <c r="I16" s="110">
        <v>45265</v>
      </c>
    </row>
    <row r="17" spans="1:9">
      <c r="A17" s="66" t="s">
        <v>3987</v>
      </c>
      <c r="B17" s="103">
        <v>45293</v>
      </c>
      <c r="C17" s="13" t="s">
        <v>1341</v>
      </c>
      <c r="D17" s="13" t="s">
        <v>716</v>
      </c>
      <c r="E17" s="104">
        <f>8.907+12.551</f>
        <v>21.457999999999998</v>
      </c>
      <c r="F17" s="24" t="s">
        <v>2787</v>
      </c>
      <c r="G17" s="1" t="s">
        <v>3988</v>
      </c>
      <c r="H17" s="4" t="s">
        <v>3901</v>
      </c>
      <c r="I17" s="110">
        <v>45265</v>
      </c>
    </row>
    <row r="18" spans="1:9">
      <c r="A18" s="66" t="s">
        <v>3989</v>
      </c>
      <c r="B18" s="103">
        <v>45293</v>
      </c>
      <c r="C18" s="13" t="s">
        <v>1341</v>
      </c>
      <c r="D18" s="13" t="s">
        <v>716</v>
      </c>
      <c r="E18" s="104">
        <v>8.516</v>
      </c>
      <c r="F18" s="24" t="s">
        <v>2787</v>
      </c>
      <c r="G18" s="1" t="s">
        <v>3990</v>
      </c>
      <c r="H18" s="1" t="s">
        <v>3903</v>
      </c>
      <c r="I18" s="110">
        <v>45265</v>
      </c>
    </row>
    <row r="19" spans="1:9">
      <c r="A19" s="66" t="s">
        <v>3991</v>
      </c>
      <c r="B19" s="103">
        <v>45293</v>
      </c>
      <c r="C19" s="13" t="s">
        <v>2617</v>
      </c>
      <c r="D19" s="13" t="s">
        <v>716</v>
      </c>
      <c r="E19" s="104">
        <v>2.4079999999999999</v>
      </c>
      <c r="F19" s="24" t="s">
        <v>2787</v>
      </c>
      <c r="G19" s="1" t="s">
        <v>3990</v>
      </c>
      <c r="H19" s="1" t="s">
        <v>3856</v>
      </c>
      <c r="I19" s="110">
        <v>45265</v>
      </c>
    </row>
    <row r="20" spans="1:9">
      <c r="A20" s="66" t="s">
        <v>3992</v>
      </c>
      <c r="B20" s="103">
        <v>45293</v>
      </c>
      <c r="C20" s="13" t="s">
        <v>3287</v>
      </c>
      <c r="D20" s="13" t="s">
        <v>716</v>
      </c>
      <c r="E20" s="104">
        <f>5.452+16.807</f>
        <v>22.259</v>
      </c>
      <c r="F20" s="24" t="s">
        <v>3993</v>
      </c>
      <c r="G20" s="1" t="s">
        <v>3994</v>
      </c>
      <c r="H20" s="4" t="s">
        <v>3901</v>
      </c>
      <c r="I20" s="110">
        <v>45265</v>
      </c>
    </row>
    <row r="21" spans="1:9">
      <c r="A21" s="66" t="s">
        <v>3992</v>
      </c>
      <c r="B21" s="103">
        <v>45293</v>
      </c>
      <c r="C21" s="13" t="s">
        <v>1341</v>
      </c>
      <c r="D21" s="13" t="s">
        <v>716</v>
      </c>
      <c r="E21" s="104">
        <v>6.3550000000000004</v>
      </c>
      <c r="F21" s="24" t="s">
        <v>3993</v>
      </c>
      <c r="G21" s="1" t="s">
        <v>3994</v>
      </c>
      <c r="H21" s="4" t="s">
        <v>3901</v>
      </c>
      <c r="I21" s="110">
        <v>45265</v>
      </c>
    </row>
    <row r="22" spans="1:9">
      <c r="A22" s="66" t="s">
        <v>3995</v>
      </c>
      <c r="B22" s="103">
        <v>45293</v>
      </c>
      <c r="C22" s="13" t="s">
        <v>2617</v>
      </c>
      <c r="D22" s="13" t="s">
        <v>716</v>
      </c>
      <c r="E22" s="104">
        <v>1.835</v>
      </c>
      <c r="F22" s="24" t="s">
        <v>3993</v>
      </c>
      <c r="G22" s="1" t="s">
        <v>3996</v>
      </c>
      <c r="H22" s="1" t="s">
        <v>3874</v>
      </c>
      <c r="I22" s="110">
        <v>45265</v>
      </c>
    </row>
    <row r="23" spans="1:9">
      <c r="A23" s="66" t="s">
        <v>3995</v>
      </c>
      <c r="B23" s="103">
        <v>45293</v>
      </c>
      <c r="C23" s="13" t="s">
        <v>2273</v>
      </c>
      <c r="D23" s="13" t="s">
        <v>716</v>
      </c>
      <c r="E23" s="104">
        <v>1.1499999999999999</v>
      </c>
      <c r="F23" s="24" t="s">
        <v>3993</v>
      </c>
      <c r="G23" s="1" t="s">
        <v>3996</v>
      </c>
      <c r="H23" s="1" t="s">
        <v>3874</v>
      </c>
      <c r="I23" s="110">
        <v>45265</v>
      </c>
    </row>
    <row r="24" spans="1:9">
      <c r="A24" s="66" t="s">
        <v>3997</v>
      </c>
      <c r="B24" s="103">
        <v>45293</v>
      </c>
      <c r="C24" s="13" t="s">
        <v>2978</v>
      </c>
      <c r="D24" s="13" t="s">
        <v>716</v>
      </c>
      <c r="E24" s="104">
        <v>1.64</v>
      </c>
      <c r="F24" s="24" t="s">
        <v>3993</v>
      </c>
      <c r="G24" s="1" t="s">
        <v>3996</v>
      </c>
      <c r="H24" s="1" t="s">
        <v>3998</v>
      </c>
      <c r="I24" s="110">
        <v>45265</v>
      </c>
    </row>
    <row r="25" spans="1:9">
      <c r="A25" s="66" t="s">
        <v>3999</v>
      </c>
      <c r="B25" s="103">
        <v>45293</v>
      </c>
      <c r="C25" s="13" t="s">
        <v>1226</v>
      </c>
      <c r="D25" s="13" t="s">
        <v>716</v>
      </c>
      <c r="E25" s="104">
        <f>1.454+17.306</f>
        <v>18.760000000000002</v>
      </c>
      <c r="F25" s="24" t="s">
        <v>2762</v>
      </c>
      <c r="G25" s="14" t="s">
        <v>4000</v>
      </c>
      <c r="H25" s="4" t="s">
        <v>3901</v>
      </c>
      <c r="I25" s="110">
        <v>45265</v>
      </c>
    </row>
    <row r="26" spans="1:9">
      <c r="A26" s="66" t="s">
        <v>3999</v>
      </c>
      <c r="B26" s="103">
        <v>45293</v>
      </c>
      <c r="C26" s="13" t="s">
        <v>1227</v>
      </c>
      <c r="D26" s="13" t="s">
        <v>716</v>
      </c>
      <c r="E26" s="104">
        <f>12.778+0.96</f>
        <v>13.738</v>
      </c>
      <c r="F26" s="24" t="s">
        <v>2762</v>
      </c>
      <c r="G26" s="14" t="s">
        <v>4000</v>
      </c>
      <c r="H26" s="4" t="s">
        <v>3901</v>
      </c>
      <c r="I26" s="110">
        <v>45265</v>
      </c>
    </row>
    <row r="27" spans="1:9">
      <c r="A27" s="66"/>
      <c r="B27" s="103"/>
      <c r="C27" s="11"/>
      <c r="D27" s="13"/>
      <c r="E27" s="54">
        <f>SUM(E15:E26)</f>
        <v>131.179</v>
      </c>
      <c r="F27" s="24"/>
      <c r="G27" s="1"/>
      <c r="H27" s="1"/>
      <c r="I27" s="3"/>
    </row>
    <row r="28" spans="1:9">
      <c r="A28" s="66" t="s">
        <v>4001</v>
      </c>
      <c r="B28" s="103">
        <v>45294</v>
      </c>
      <c r="C28" s="13" t="s">
        <v>1791</v>
      </c>
      <c r="D28" s="13" t="s">
        <v>716</v>
      </c>
      <c r="E28" s="104">
        <v>1.373</v>
      </c>
      <c r="F28" s="102" t="s">
        <v>1127</v>
      </c>
      <c r="G28" s="4" t="s">
        <v>4002</v>
      </c>
      <c r="H28" s="4" t="s">
        <v>3901</v>
      </c>
      <c r="I28" s="110">
        <v>45265</v>
      </c>
    </row>
    <row r="29" spans="1:9">
      <c r="A29" s="66" t="s">
        <v>4001</v>
      </c>
      <c r="B29" s="103">
        <v>45294</v>
      </c>
      <c r="C29" s="13" t="s">
        <v>1226</v>
      </c>
      <c r="D29" s="13" t="s">
        <v>716</v>
      </c>
      <c r="E29" s="104">
        <v>16.481999999999999</v>
      </c>
      <c r="F29" s="102" t="s">
        <v>1127</v>
      </c>
      <c r="G29" s="4" t="s">
        <v>4002</v>
      </c>
      <c r="H29" s="4" t="s">
        <v>3901</v>
      </c>
      <c r="I29" s="110">
        <v>45265</v>
      </c>
    </row>
    <row r="30" spans="1:9">
      <c r="A30" s="66" t="s">
        <v>4003</v>
      </c>
      <c r="B30" s="103">
        <v>45294</v>
      </c>
      <c r="C30" s="13" t="s">
        <v>1791</v>
      </c>
      <c r="D30" s="13" t="s">
        <v>716</v>
      </c>
      <c r="E30" s="104">
        <f>11.153+4.382</f>
        <v>15.535</v>
      </c>
      <c r="F30" s="102" t="s">
        <v>1127</v>
      </c>
      <c r="G30" s="4" t="s">
        <v>4004</v>
      </c>
      <c r="H30" s="4" t="s">
        <v>3903</v>
      </c>
      <c r="I30" s="110">
        <v>45265</v>
      </c>
    </row>
    <row r="31" spans="1:9">
      <c r="A31" s="66" t="s">
        <v>4007</v>
      </c>
      <c r="B31" s="103">
        <v>45294</v>
      </c>
      <c r="C31" s="13" t="s">
        <v>1705</v>
      </c>
      <c r="D31" s="13" t="s">
        <v>716</v>
      </c>
      <c r="E31" s="104">
        <v>2.2789999999999999</v>
      </c>
      <c r="F31" s="102" t="s">
        <v>926</v>
      </c>
      <c r="G31" s="4" t="s">
        <v>4011</v>
      </c>
      <c r="H31" s="4" t="s">
        <v>3901</v>
      </c>
      <c r="I31" s="110">
        <v>45265</v>
      </c>
    </row>
    <row r="32" spans="1:9">
      <c r="A32" s="66" t="s">
        <v>4012</v>
      </c>
      <c r="B32" s="103">
        <v>45294</v>
      </c>
      <c r="C32" s="13" t="s">
        <v>1705</v>
      </c>
      <c r="D32" s="13" t="s">
        <v>716</v>
      </c>
      <c r="E32" s="104">
        <f>21.887+5.395</f>
        <v>27.282</v>
      </c>
      <c r="F32" s="102" t="s">
        <v>926</v>
      </c>
      <c r="G32" s="4" t="s">
        <v>4013</v>
      </c>
      <c r="H32" s="4" t="s">
        <v>3903</v>
      </c>
      <c r="I32" s="110">
        <v>45265</v>
      </c>
    </row>
    <row r="33" spans="1:9">
      <c r="A33" s="66" t="s">
        <v>4014</v>
      </c>
      <c r="B33" s="103">
        <v>45294</v>
      </c>
      <c r="C33" s="13" t="s">
        <v>1370</v>
      </c>
      <c r="D33" s="13" t="s">
        <v>716</v>
      </c>
      <c r="E33" s="104">
        <v>2.6030000000000002</v>
      </c>
      <c r="F33" s="102" t="s">
        <v>926</v>
      </c>
      <c r="G33" s="4" t="s">
        <v>4015</v>
      </c>
      <c r="H33" s="4" t="s">
        <v>3854</v>
      </c>
      <c r="I33" s="110">
        <v>45275</v>
      </c>
    </row>
    <row r="34" spans="1:9">
      <c r="A34" s="66" t="s">
        <v>4014</v>
      </c>
      <c r="B34" s="103">
        <v>45294</v>
      </c>
      <c r="C34" s="13" t="s">
        <v>1470</v>
      </c>
      <c r="D34" s="13" t="s">
        <v>716</v>
      </c>
      <c r="E34" s="104">
        <v>0.86</v>
      </c>
      <c r="F34" s="102" t="s">
        <v>926</v>
      </c>
      <c r="G34" s="4" t="s">
        <v>4015</v>
      </c>
      <c r="H34" s="4" t="s">
        <v>3854</v>
      </c>
      <c r="I34" s="110">
        <v>45275</v>
      </c>
    </row>
    <row r="35" spans="1:9">
      <c r="A35" s="66"/>
      <c r="B35" s="103"/>
      <c r="C35" s="13"/>
      <c r="D35" s="13"/>
      <c r="E35" s="58">
        <f>SUM(E28:E34)</f>
        <v>66.413999999999987</v>
      </c>
      <c r="F35" s="102"/>
      <c r="G35" s="4"/>
      <c r="H35" s="4"/>
      <c r="I35" s="110"/>
    </row>
    <row r="36" spans="1:9">
      <c r="A36" s="66" t="s">
        <v>4021</v>
      </c>
      <c r="B36" s="103">
        <v>45295</v>
      </c>
      <c r="C36" s="13" t="s">
        <v>1294</v>
      </c>
      <c r="D36" s="13" t="s">
        <v>716</v>
      </c>
      <c r="E36" s="104">
        <v>9.9429999999999996</v>
      </c>
      <c r="F36" s="24" t="s">
        <v>573</v>
      </c>
      <c r="G36" s="1" t="s">
        <v>4022</v>
      </c>
      <c r="H36" s="4" t="s">
        <v>3901</v>
      </c>
      <c r="I36" s="110">
        <v>45265</v>
      </c>
    </row>
    <row r="37" spans="1:9">
      <c r="A37" s="66" t="s">
        <v>4023</v>
      </c>
      <c r="B37" s="103">
        <v>45295</v>
      </c>
      <c r="C37" s="13" t="s">
        <v>1350</v>
      </c>
      <c r="D37" s="13" t="s">
        <v>716</v>
      </c>
      <c r="E37" s="104">
        <v>5.9340000000000002</v>
      </c>
      <c r="F37" s="24" t="s">
        <v>1918</v>
      </c>
      <c r="G37" s="1" t="s">
        <v>4024</v>
      </c>
      <c r="H37" s="4" t="s">
        <v>3901</v>
      </c>
      <c r="I37" s="110">
        <v>45265</v>
      </c>
    </row>
    <row r="38" spans="1:9">
      <c r="A38" s="66" t="s">
        <v>4023</v>
      </c>
      <c r="B38" s="103">
        <v>45295</v>
      </c>
      <c r="C38" s="13" t="s">
        <v>1753</v>
      </c>
      <c r="D38" s="13" t="s">
        <v>716</v>
      </c>
      <c r="E38" s="104">
        <v>3.2109999999999999</v>
      </c>
      <c r="F38" s="24" t="s">
        <v>1918</v>
      </c>
      <c r="G38" s="1" t="s">
        <v>4024</v>
      </c>
      <c r="H38" s="4" t="s">
        <v>3901</v>
      </c>
      <c r="I38" s="110">
        <v>45265</v>
      </c>
    </row>
    <row r="39" spans="1:9">
      <c r="A39" s="66" t="s">
        <v>4025</v>
      </c>
      <c r="B39" s="103">
        <v>45295</v>
      </c>
      <c r="C39" s="13" t="s">
        <v>1350</v>
      </c>
      <c r="D39" s="13" t="s">
        <v>716</v>
      </c>
      <c r="E39" s="104">
        <f>2.57+11.5+5.043</f>
        <v>19.113</v>
      </c>
      <c r="F39" s="24" t="s">
        <v>1918</v>
      </c>
      <c r="G39" s="1" t="s">
        <v>4026</v>
      </c>
      <c r="H39" s="4" t="s">
        <v>3903</v>
      </c>
      <c r="I39" s="110">
        <v>45265</v>
      </c>
    </row>
    <row r="40" spans="1:9">
      <c r="A40" s="66" t="s">
        <v>4025</v>
      </c>
      <c r="B40" s="103">
        <v>45295</v>
      </c>
      <c r="C40" s="13" t="s">
        <v>1753</v>
      </c>
      <c r="D40" s="13" t="s">
        <v>716</v>
      </c>
      <c r="E40" s="104">
        <v>4.3550000000000004</v>
      </c>
      <c r="F40" s="24" t="s">
        <v>1918</v>
      </c>
      <c r="G40" s="1" t="s">
        <v>4026</v>
      </c>
      <c r="H40" s="4" t="s">
        <v>3903</v>
      </c>
      <c r="I40" s="110">
        <v>45265</v>
      </c>
    </row>
    <row r="41" spans="1:9">
      <c r="A41" s="66" t="s">
        <v>4050</v>
      </c>
      <c r="B41" s="103">
        <v>45295</v>
      </c>
      <c r="C41" s="13" t="s">
        <v>1791</v>
      </c>
      <c r="D41" s="13" t="s">
        <v>716</v>
      </c>
      <c r="E41" s="104">
        <f>0.86+7.292</f>
        <v>8.1519999999999992</v>
      </c>
      <c r="F41" s="24" t="s">
        <v>1609</v>
      </c>
      <c r="G41" s="1" t="s">
        <v>4051</v>
      </c>
      <c r="H41" s="4" t="s">
        <v>3903</v>
      </c>
      <c r="I41" s="110">
        <v>45265</v>
      </c>
    </row>
    <row r="42" spans="1:9">
      <c r="A42" s="66" t="s">
        <v>4050</v>
      </c>
      <c r="B42" s="103">
        <v>45295</v>
      </c>
      <c r="C42" s="13" t="s">
        <v>1705</v>
      </c>
      <c r="D42" s="13" t="s">
        <v>716</v>
      </c>
      <c r="E42" s="104">
        <v>21.31</v>
      </c>
      <c r="F42" s="24" t="s">
        <v>1609</v>
      </c>
      <c r="G42" s="1" t="s">
        <v>4051</v>
      </c>
      <c r="H42" s="4" t="s">
        <v>3903</v>
      </c>
      <c r="I42" s="110">
        <v>45265</v>
      </c>
    </row>
    <row r="43" spans="1:9">
      <c r="A43" s="66" t="s">
        <v>4052</v>
      </c>
      <c r="B43" s="103">
        <v>45295</v>
      </c>
      <c r="C43" s="13" t="s">
        <v>1705</v>
      </c>
      <c r="D43" s="13" t="s">
        <v>716</v>
      </c>
      <c r="E43" s="104">
        <f>0.682+2.507</f>
        <v>3.1890000000000001</v>
      </c>
      <c r="F43" s="24" t="s">
        <v>1609</v>
      </c>
      <c r="G43" s="1" t="s">
        <v>4053</v>
      </c>
      <c r="H43" s="4" t="s">
        <v>3901</v>
      </c>
      <c r="I43" s="110">
        <v>45265</v>
      </c>
    </row>
    <row r="44" spans="1:9">
      <c r="A44" s="66"/>
      <c r="B44" s="103"/>
      <c r="C44" s="13"/>
      <c r="D44" s="13"/>
      <c r="E44" s="58">
        <f>SUM(E36:E43)</f>
        <v>75.206999999999994</v>
      </c>
      <c r="F44" s="24"/>
      <c r="G44" s="1"/>
      <c r="H44" s="1"/>
      <c r="I44" s="110"/>
    </row>
    <row r="45" spans="1:9">
      <c r="A45" s="66" t="s">
        <v>4054</v>
      </c>
      <c r="B45" s="103">
        <v>45296</v>
      </c>
      <c r="C45" s="13" t="s">
        <v>3287</v>
      </c>
      <c r="D45" s="13" t="s">
        <v>716</v>
      </c>
      <c r="E45" s="104">
        <v>14.558</v>
      </c>
      <c r="F45" s="102" t="s">
        <v>1911</v>
      </c>
      <c r="G45" s="4" t="s">
        <v>4055</v>
      </c>
      <c r="H45" s="4" t="s">
        <v>3901</v>
      </c>
      <c r="I45" s="110">
        <v>45265</v>
      </c>
    </row>
    <row r="46" spans="1:9">
      <c r="A46" s="66" t="s">
        <v>4054</v>
      </c>
      <c r="B46" s="103">
        <v>45296</v>
      </c>
      <c r="C46" s="13" t="s">
        <v>1272</v>
      </c>
      <c r="D46" s="13" t="s">
        <v>716</v>
      </c>
      <c r="E46" s="104">
        <v>4.5999999999999996</v>
      </c>
      <c r="F46" s="102" t="s">
        <v>1911</v>
      </c>
      <c r="G46" s="4" t="s">
        <v>4055</v>
      </c>
      <c r="H46" s="4" t="s">
        <v>3901</v>
      </c>
      <c r="I46" s="110">
        <v>45265</v>
      </c>
    </row>
    <row r="47" spans="1:9">
      <c r="A47" s="66" t="s">
        <v>4054</v>
      </c>
      <c r="B47" s="103">
        <v>45296</v>
      </c>
      <c r="C47" s="13" t="s">
        <v>1227</v>
      </c>
      <c r="D47" s="13" t="s">
        <v>716</v>
      </c>
      <c r="E47" s="104">
        <v>5.9859999999999998</v>
      </c>
      <c r="F47" s="102" t="s">
        <v>1911</v>
      </c>
      <c r="G47" s="4" t="s">
        <v>4055</v>
      </c>
      <c r="H47" s="4" t="s">
        <v>3901</v>
      </c>
      <c r="I47" s="110">
        <v>45265</v>
      </c>
    </row>
    <row r="48" spans="1:9">
      <c r="A48" s="66" t="s">
        <v>4054</v>
      </c>
      <c r="B48" s="103">
        <v>45296</v>
      </c>
      <c r="C48" s="13" t="s">
        <v>1245</v>
      </c>
      <c r="D48" s="13" t="s">
        <v>716</v>
      </c>
      <c r="E48" s="104">
        <f>1.623+5.444</f>
        <v>7.0670000000000002</v>
      </c>
      <c r="F48" s="102" t="s">
        <v>1911</v>
      </c>
      <c r="G48" s="4" t="s">
        <v>4055</v>
      </c>
      <c r="H48" s="4" t="s">
        <v>3901</v>
      </c>
      <c r="I48" s="110">
        <v>45265</v>
      </c>
    </row>
    <row r="49" spans="1:9">
      <c r="A49" s="66" t="s">
        <v>4062</v>
      </c>
      <c r="B49" s="103">
        <v>45296</v>
      </c>
      <c r="C49" s="13" t="s">
        <v>1753</v>
      </c>
      <c r="D49" s="13" t="s">
        <v>716</v>
      </c>
      <c r="E49" s="104">
        <v>1.8180000000000001</v>
      </c>
      <c r="F49" s="102" t="s">
        <v>906</v>
      </c>
      <c r="G49" s="4" t="s">
        <v>4063</v>
      </c>
      <c r="H49" s="4" t="s">
        <v>3901</v>
      </c>
      <c r="I49" s="110">
        <v>45265</v>
      </c>
    </row>
    <row r="50" spans="1:9">
      <c r="A50" s="66" t="s">
        <v>4062</v>
      </c>
      <c r="B50" s="103">
        <v>45296</v>
      </c>
      <c r="C50" s="13" t="s">
        <v>1796</v>
      </c>
      <c r="D50" s="13" t="s">
        <v>716</v>
      </c>
      <c r="E50" s="104">
        <v>10.664999999999999</v>
      </c>
      <c r="F50" s="102" t="s">
        <v>906</v>
      </c>
      <c r="G50" s="4" t="s">
        <v>4063</v>
      </c>
      <c r="H50" s="4" t="s">
        <v>3901</v>
      </c>
      <c r="I50" s="110">
        <v>45265</v>
      </c>
    </row>
    <row r="51" spans="1:9">
      <c r="A51" s="66" t="s">
        <v>4062</v>
      </c>
      <c r="B51" s="103">
        <v>45296</v>
      </c>
      <c r="C51" s="13" t="s">
        <v>1294</v>
      </c>
      <c r="D51" s="13" t="s">
        <v>716</v>
      </c>
      <c r="E51" s="159">
        <f>5.435+0.777</f>
        <v>6.2119999999999997</v>
      </c>
      <c r="F51" s="102" t="s">
        <v>906</v>
      </c>
      <c r="G51" s="4" t="s">
        <v>4063</v>
      </c>
      <c r="H51" s="4" t="s">
        <v>3901</v>
      </c>
      <c r="I51" s="110">
        <v>45265</v>
      </c>
    </row>
    <row r="52" spans="1:9">
      <c r="A52" s="66" t="s">
        <v>4064</v>
      </c>
      <c r="B52" s="103">
        <v>45296</v>
      </c>
      <c r="C52" s="13" t="s">
        <v>1294</v>
      </c>
      <c r="D52" s="13" t="s">
        <v>716</v>
      </c>
      <c r="E52" s="104">
        <v>3.1429999999999998</v>
      </c>
      <c r="F52" s="102" t="s">
        <v>906</v>
      </c>
      <c r="G52" s="4" t="s">
        <v>4065</v>
      </c>
      <c r="H52" s="4" t="s">
        <v>3903</v>
      </c>
      <c r="I52" s="110">
        <v>45265</v>
      </c>
    </row>
    <row r="53" spans="1:9">
      <c r="A53" s="66" t="s">
        <v>4064</v>
      </c>
      <c r="B53" s="103">
        <v>45296</v>
      </c>
      <c r="C53" s="13" t="s">
        <v>1251</v>
      </c>
      <c r="D53" s="13" t="s">
        <v>716</v>
      </c>
      <c r="E53" s="104">
        <v>10.394</v>
      </c>
      <c r="F53" s="102" t="s">
        <v>906</v>
      </c>
      <c r="G53" s="4" t="s">
        <v>4065</v>
      </c>
      <c r="H53" s="4" t="s">
        <v>3903</v>
      </c>
      <c r="I53" s="110">
        <v>45265</v>
      </c>
    </row>
    <row r="54" spans="1:9">
      <c r="A54" s="66"/>
      <c r="B54" s="103"/>
      <c r="C54" s="11"/>
      <c r="D54" s="13"/>
      <c r="E54" s="58">
        <f>SUM(E45:E53)</f>
        <v>64.442999999999998</v>
      </c>
      <c r="F54" s="24"/>
      <c r="G54" s="1"/>
      <c r="H54" s="1"/>
      <c r="I54" s="110"/>
    </row>
    <row r="55" spans="1:9">
      <c r="A55" s="66"/>
      <c r="B55" s="103"/>
      <c r="C55" s="11"/>
      <c r="D55" s="13"/>
      <c r="E55" s="144"/>
      <c r="F55" s="24"/>
      <c r="G55" s="93"/>
      <c r="H55" s="93"/>
      <c r="I55" s="136"/>
    </row>
    <row r="56" spans="1:9">
      <c r="A56" s="66"/>
      <c r="B56" s="103"/>
      <c r="C56" s="11"/>
      <c r="D56" s="13"/>
      <c r="E56" s="144"/>
      <c r="F56" s="24"/>
      <c r="G56" s="93"/>
      <c r="H56" s="93"/>
      <c r="I56" s="136"/>
    </row>
    <row r="57" spans="1:9">
      <c r="A57" s="66"/>
      <c r="B57" s="103"/>
      <c r="C57" s="11"/>
      <c r="D57" s="13"/>
      <c r="E57" s="144"/>
      <c r="F57" s="24"/>
      <c r="G57" s="93"/>
      <c r="H57" s="93"/>
      <c r="I57" s="136"/>
    </row>
    <row r="58" spans="1:9">
      <c r="A58" s="66"/>
      <c r="B58" s="103"/>
      <c r="C58" s="11"/>
      <c r="D58" s="13"/>
      <c r="E58" s="144"/>
      <c r="F58" s="24"/>
      <c r="G58" s="93"/>
      <c r="H58" s="93"/>
      <c r="I58" s="136"/>
    </row>
    <row r="59" spans="1:9">
      <c r="A59" s="66"/>
      <c r="B59" s="103"/>
      <c r="C59" s="11"/>
      <c r="D59" s="13"/>
      <c r="E59" s="54"/>
      <c r="F59" s="24"/>
      <c r="G59" s="1"/>
      <c r="H59" s="1"/>
      <c r="I59" s="3"/>
    </row>
    <row r="60" spans="1:9">
      <c r="A60" s="66"/>
      <c r="B60" s="103"/>
      <c r="C60" s="11"/>
      <c r="D60" s="13"/>
      <c r="E60" s="54"/>
      <c r="F60" s="24"/>
      <c r="G60" s="1"/>
      <c r="H60" s="1"/>
      <c r="I60" s="3"/>
    </row>
    <row r="61" spans="1:9">
      <c r="A61" s="1"/>
      <c r="B61" s="3"/>
      <c r="C61" s="1"/>
      <c r="D61" s="1"/>
      <c r="E61" s="2"/>
      <c r="F61" s="24"/>
      <c r="G61" s="1"/>
      <c r="H61" s="1"/>
      <c r="I61" s="3"/>
    </row>
    <row r="62" spans="1:9">
      <c r="A62" s="1"/>
      <c r="B62" s="3"/>
      <c r="C62" s="1"/>
      <c r="D62" s="2" t="s">
        <v>3953</v>
      </c>
      <c r="E62" s="20">
        <f>SUM(E2:E61)/2</f>
        <v>435.24199999999996</v>
      </c>
      <c r="F62" s="24"/>
      <c r="G62" s="1"/>
      <c r="H62" s="1"/>
      <c r="I62" s="3"/>
    </row>
    <row r="63" spans="1:9">
      <c r="A63" s="1"/>
      <c r="B63" s="3"/>
      <c r="C63" s="1"/>
      <c r="D63" s="1"/>
      <c r="E63" s="2"/>
      <c r="F63" s="24"/>
      <c r="G63" s="1"/>
      <c r="H63" s="1"/>
      <c r="I63" s="3"/>
    </row>
    <row r="64" spans="1:9">
      <c r="A64" s="1"/>
      <c r="B64" s="3"/>
      <c r="C64" s="1"/>
      <c r="D64" s="2" t="s">
        <v>3952</v>
      </c>
      <c r="E64" s="20">
        <v>0</v>
      </c>
      <c r="F64" s="24"/>
      <c r="G64" s="98"/>
      <c r="H64" s="1"/>
      <c r="I64" s="3"/>
    </row>
    <row r="65" spans="1:11">
      <c r="A65" s="1"/>
      <c r="B65" s="3"/>
      <c r="C65" s="1"/>
      <c r="D65" s="1"/>
      <c r="E65" s="54"/>
      <c r="F65" s="24"/>
      <c r="G65" s="1"/>
      <c r="H65" s="1"/>
      <c r="I65" s="3"/>
    </row>
    <row r="66" spans="1:11">
      <c r="A66" s="1"/>
      <c r="B66" s="3"/>
      <c r="C66" s="1"/>
      <c r="D66" s="2"/>
      <c r="E66" s="20"/>
      <c r="F66" s="24"/>
      <c r="G66" s="1"/>
      <c r="H66" s="1"/>
      <c r="I66" s="3"/>
    </row>
    <row r="67" spans="1:11">
      <c r="A67" s="1"/>
      <c r="B67" s="3"/>
      <c r="C67" s="1"/>
      <c r="D67" s="1"/>
      <c r="E67" s="55"/>
      <c r="F67" s="24"/>
      <c r="G67" s="1"/>
      <c r="H67" s="1"/>
      <c r="I67" s="3"/>
    </row>
    <row r="68" spans="1:11">
      <c r="A68" s="1"/>
      <c r="B68" s="3"/>
      <c r="C68" s="1"/>
      <c r="D68" s="2"/>
      <c r="E68" s="20">
        <f>+E62+E64</f>
        <v>435.24199999999996</v>
      </c>
      <c r="F68" s="24"/>
      <c r="G68" s="1"/>
      <c r="H68" s="1"/>
      <c r="I68" s="3"/>
    </row>
    <row r="69" spans="1:11">
      <c r="A69" s="1"/>
      <c r="B69" s="3"/>
      <c r="C69" s="1"/>
      <c r="D69" s="1"/>
      <c r="E69" s="2"/>
      <c r="F69" s="24"/>
      <c r="G69" s="1"/>
      <c r="H69" s="1"/>
      <c r="I69" s="3"/>
    </row>
    <row r="70" spans="1:11">
      <c r="A70" s="1"/>
      <c r="B70" s="1"/>
      <c r="C70" s="1"/>
      <c r="D70" s="1"/>
      <c r="E70" s="2"/>
      <c r="F70" s="24"/>
      <c r="G70" s="1"/>
      <c r="H70" s="1"/>
      <c r="I70" s="1"/>
    </row>
    <row r="75" spans="1:11" s="31" customFormat="1">
      <c r="A75" s="147"/>
      <c r="B75" s="147"/>
      <c r="C75" s="147"/>
      <c r="D75" s="147"/>
      <c r="E75" s="23"/>
      <c r="G75" s="147"/>
      <c r="H75" s="147"/>
      <c r="I75" s="147"/>
      <c r="J75" s="147"/>
      <c r="K75" s="147"/>
    </row>
    <row r="76" spans="1:11" s="31" customFormat="1">
      <c r="A76" s="147"/>
      <c r="B76" s="147"/>
      <c r="C76" s="147"/>
      <c r="D76" s="147"/>
      <c r="E76" s="147"/>
      <c r="G76" s="147"/>
      <c r="H76" s="147"/>
      <c r="I76" s="147"/>
      <c r="J76" s="147"/>
      <c r="K76" s="14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5</vt:i4>
      </vt:variant>
    </vt:vector>
  </HeadingPairs>
  <TitlesOfParts>
    <vt:vector size="33" baseType="lpstr">
      <vt:lpstr>KEC BB DISPATCHED APRIL</vt:lpstr>
      <vt:lpstr>KEC BB DISP. TRADING APRIL</vt:lpstr>
      <vt:lpstr>KEC BB DISPATCHED MAY</vt:lpstr>
      <vt:lpstr>KEC BB DISPATCHED JUN</vt:lpstr>
      <vt:lpstr>KEC JBP DISPATCHED JUN </vt:lpstr>
      <vt:lpstr>KEC BB DISPATCHED JULY</vt:lpstr>
      <vt:lpstr>KEC JBP DISPATCHED JULY</vt:lpstr>
      <vt:lpstr>KEC JBP TRADING DISPATCHED JULY</vt:lpstr>
      <vt:lpstr>KEC BB DISPATCHED AUG</vt:lpstr>
      <vt:lpstr>KEC JBP DISPATCHED AUG</vt:lpstr>
      <vt:lpstr>KEC JBP TRADING DISPATCHED AUG</vt:lpstr>
      <vt:lpstr>BILLETS RETURN DETAILS MDU AUG</vt:lpstr>
      <vt:lpstr>KEC JAIPUR TRADING  AUG</vt:lpstr>
      <vt:lpstr>KEC BB DISPATCHED SEP</vt:lpstr>
      <vt:lpstr>KEC JBP DISPATCHED SEP</vt:lpstr>
      <vt:lpstr>KEC BB DISPATCHED OCT</vt:lpstr>
      <vt:lpstr>KEC JBP DISPATCHED OCT</vt:lpstr>
      <vt:lpstr>KEC JBP TRADING OCT </vt:lpstr>
      <vt:lpstr>KEC JAIPUR TRADING OCT</vt:lpstr>
      <vt:lpstr>BILLETS RETURN DETAILS MDU OCT</vt:lpstr>
      <vt:lpstr>KEC BB DISPATCHED NOV</vt:lpstr>
      <vt:lpstr>KEC JBP DISPATCHED NOV </vt:lpstr>
      <vt:lpstr>KEC JAIPUR TRADING NOV</vt:lpstr>
      <vt:lpstr>KEC BB DISPATCHED DEC </vt:lpstr>
      <vt:lpstr>KEC JBP DISPATCHED DEC</vt:lpstr>
      <vt:lpstr>KEC JAIPUR TRADING DEC</vt:lpstr>
      <vt:lpstr>KEC BB DISPATCHED JAN</vt:lpstr>
      <vt:lpstr>KEC JBP DISPATCHED JAN</vt:lpstr>
      <vt:lpstr>'BILLETS RETURN DETAILS MDU AUG'!Print_Area</vt:lpstr>
      <vt:lpstr>'BILLETS RETURN DETAILS MDU OCT'!Print_Area</vt:lpstr>
      <vt:lpstr>'KEC BB DISP. TRADING APRIL'!Print_Area</vt:lpstr>
      <vt:lpstr>'KEC BB DISP. TRADING APRIL'!Print_Titles</vt:lpstr>
      <vt:lpstr>'KEC BB DISPATCHED MAY'!Print_Titles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deep</cp:lastModifiedBy>
  <cp:lastPrinted>2023-12-20T05:21:59Z</cp:lastPrinted>
  <dcterms:created xsi:type="dcterms:W3CDTF">2022-04-26T13:05:01Z</dcterms:created>
  <dcterms:modified xsi:type="dcterms:W3CDTF">2024-01-06T10:00:09Z</dcterms:modified>
</cp:coreProperties>
</file>