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5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8" windowWidth="14808" windowHeight="8016" tabRatio="699" firstSheet="49" activeTab="56"/>
  </bookViews>
  <sheets>
    <sheet name="DEL JBP (1805)" sheetId="1" r:id="rId1"/>
    <sheet name="DEL JBP (1806)" sheetId="2" r:id="rId2"/>
    <sheet name="DEL JBP (1807)" sheetId="3" r:id="rId3"/>
    <sheet name="DEL JBP (1808)" sheetId="4" r:id="rId4"/>
    <sheet name="DEL JBP (1809)" sheetId="5" r:id="rId5"/>
    <sheet name="DEL JBP (1810)" sheetId="6" r:id="rId6"/>
    <sheet name="DEL JBP (1811)" sheetId="7" r:id="rId7"/>
    <sheet name="DEL JBP (1812)" sheetId="8" r:id="rId8"/>
    <sheet name="DEL JBP (1813)" sheetId="9" r:id="rId9"/>
    <sheet name="DEL BB  (1814)" sheetId="10" r:id="rId10"/>
    <sheet name="DEL BB (1815)" sheetId="11" r:id="rId11"/>
    <sheet name="DEL BB (1816)" sheetId="12" r:id="rId12"/>
    <sheet name="DEL BB (1817)" sheetId="13" r:id="rId13"/>
    <sheet name="DEL JBP (1818)" sheetId="14" r:id="rId14"/>
    <sheet name="DEL JBP (1819)" sheetId="15" r:id="rId15"/>
    <sheet name="DEL JBP (1820)" sheetId="16" r:id="rId16"/>
    <sheet name="DEL BB (1821)" sheetId="17" r:id="rId17"/>
    <sheet name="DEL BB (1822)" sheetId="18" r:id="rId18"/>
    <sheet name="DEL BB (1823)" sheetId="19" r:id="rId19"/>
    <sheet name="DEL JBP (1824)" sheetId="20" r:id="rId20"/>
    <sheet name="DEL JBP (1825)" sheetId="21" r:id="rId21"/>
    <sheet name="DEL JBP (1826)" sheetId="22" r:id="rId22"/>
    <sheet name="DEL JBP (1827)" sheetId="23" r:id="rId23"/>
    <sheet name="DEL JBP (1828)" sheetId="24" r:id="rId24"/>
    <sheet name="DEL JBP (1829)" sheetId="25" r:id="rId25"/>
    <sheet name="DEL BB (1830)" sheetId="26" r:id="rId26"/>
    <sheet name="DEL JBP (1831)" sheetId="29" r:id="rId27"/>
    <sheet name="DEL JBP (1832)" sheetId="30" r:id="rId28"/>
    <sheet name="DEL JBP (1833)" sheetId="31" r:id="rId29"/>
    <sheet name="DEL BB (1834)" sheetId="32" r:id="rId30"/>
    <sheet name="DEL BB (1835)" sheetId="33" r:id="rId31"/>
    <sheet name="DEL BB (1836)" sheetId="34" r:id="rId32"/>
    <sheet name="DEL BB (1837)" sheetId="28" r:id="rId33"/>
    <sheet name="DEL JBP (1838)" sheetId="35" r:id="rId34"/>
    <sheet name="DEL JBP (1839)" sheetId="36" r:id="rId35"/>
    <sheet name="DEL JBP (1840)" sheetId="37" r:id="rId36"/>
    <sheet name="DEL BB (1841)" sheetId="38" r:id="rId37"/>
    <sheet name="DEL BB (1842)" sheetId="39" r:id="rId38"/>
    <sheet name="DEL BB (1843)" sheetId="40" r:id="rId39"/>
    <sheet name="DEL BB (1844)" sheetId="41" r:id="rId40"/>
    <sheet name="DEL BB (1845)" sheetId="42" r:id="rId41"/>
    <sheet name="DEL BB (1846)" sheetId="43" r:id="rId42"/>
    <sheet name="DEL BB (1847)" sheetId="44" r:id="rId43"/>
    <sheet name="DEL BB (1848)" sheetId="45" r:id="rId44"/>
    <sheet name="DEL BB (1849)" sheetId="46" r:id="rId45"/>
    <sheet name="DEL JBP (1850)" sheetId="47" r:id="rId46"/>
    <sheet name="DEL JBP (1851)" sheetId="48" r:id="rId47"/>
    <sheet name="DEL JBP (1852)" sheetId="49" r:id="rId48"/>
    <sheet name="DEL BB (1853)" sheetId="50" r:id="rId49"/>
    <sheet name="DEL BB (1854)" sheetId="51" r:id="rId50"/>
    <sheet name="DEL BB (1855)" sheetId="52" r:id="rId51"/>
    <sheet name="DEL BB (1856)" sheetId="53" r:id="rId52"/>
    <sheet name="DEL JBP (1857)" sheetId="54" r:id="rId53"/>
    <sheet name="DEL JBP (1858)" sheetId="55" r:id="rId54"/>
    <sheet name="DEL BB (1859)" sheetId="56" r:id="rId55"/>
    <sheet name="DEL BB (1860)" sheetId="57" r:id="rId56"/>
    <sheet name="DEL BB (1861)" sheetId="58" r:id="rId57"/>
  </sheets>
  <definedNames>
    <definedName name="_xlnm.Print_Area" localSheetId="9">'DEL BB  (1814)'!$A$1:$J$71</definedName>
    <definedName name="_xlnm.Print_Area" localSheetId="10">'DEL BB (1815)'!$A$1:$J$71</definedName>
    <definedName name="_xlnm.Print_Area" localSheetId="11">'DEL BB (1816)'!$A$1:$J$71</definedName>
    <definedName name="_xlnm.Print_Area" localSheetId="12">'DEL BB (1817)'!$A$1:$J$71</definedName>
    <definedName name="_xlnm.Print_Area" localSheetId="16">'DEL BB (1821)'!$A$1:$J$71</definedName>
    <definedName name="_xlnm.Print_Area" localSheetId="17">'DEL BB (1822)'!$A$1:$J$71</definedName>
    <definedName name="_xlnm.Print_Area" localSheetId="18">'DEL BB (1823)'!$A$1:$J$71</definedName>
    <definedName name="_xlnm.Print_Area" localSheetId="25">'DEL BB (1830)'!$A$1:$J$71</definedName>
    <definedName name="_xlnm.Print_Area" localSheetId="29">'DEL BB (1834)'!$A$1:$J$71</definedName>
    <definedName name="_xlnm.Print_Area" localSheetId="30">'DEL BB (1835)'!$A$1:$J$71</definedName>
    <definedName name="_xlnm.Print_Area" localSheetId="31">'DEL BB (1836)'!$A$1:$J$71</definedName>
    <definedName name="_xlnm.Print_Area" localSheetId="32">'DEL BB (1837)'!$A$1:$J$71</definedName>
    <definedName name="_xlnm.Print_Area" localSheetId="36">'DEL BB (1841)'!$A$1:$J$71</definedName>
    <definedName name="_xlnm.Print_Area" localSheetId="37">'DEL BB (1842)'!$A$1:$J$71</definedName>
    <definedName name="_xlnm.Print_Area" localSheetId="38">'DEL BB (1843)'!$A$1:$J$71</definedName>
    <definedName name="_xlnm.Print_Area" localSheetId="39">'DEL BB (1844)'!$A$1:$J$71</definedName>
    <definedName name="_xlnm.Print_Area" localSheetId="40">'DEL BB (1845)'!$A$1:$J$71</definedName>
    <definedName name="_xlnm.Print_Area" localSheetId="41">'DEL BB (1846)'!$A$1:$J$71</definedName>
    <definedName name="_xlnm.Print_Area" localSheetId="42">'DEL BB (1847)'!$A$1:$J$71</definedName>
    <definedName name="_xlnm.Print_Area" localSheetId="43">'DEL BB (1848)'!$A$1:$J$71</definedName>
    <definedName name="_xlnm.Print_Area" localSheetId="44">'DEL BB (1849)'!$A$1:$J$71</definedName>
    <definedName name="_xlnm.Print_Area" localSheetId="48">'DEL BB (1853)'!$A$1:$J$71</definedName>
    <definedName name="_xlnm.Print_Area" localSheetId="49">'DEL BB (1854)'!$A$1:$J$71</definedName>
    <definedName name="_xlnm.Print_Area" localSheetId="50">'DEL BB (1855)'!$A$1:$J$71</definedName>
    <definedName name="_xlnm.Print_Area" localSheetId="51">'DEL BB (1856)'!$A$1:$J$71</definedName>
    <definedName name="_xlnm.Print_Area" localSheetId="54">'DEL BB (1859)'!$A$1:$J$71</definedName>
    <definedName name="_xlnm.Print_Area" localSheetId="55">'DEL BB (1860)'!$A$1:$J$71</definedName>
    <definedName name="_xlnm.Print_Area" localSheetId="56">'DEL BB (1861)'!$A$1:$J$71</definedName>
    <definedName name="_xlnm.Print_Area" localSheetId="0">'DEL JBP (1805)'!$A$1:$J$71</definedName>
    <definedName name="_xlnm.Print_Area" localSheetId="1">'DEL JBP (1806)'!$A$1:$J$71</definedName>
    <definedName name="_xlnm.Print_Area" localSheetId="2">'DEL JBP (1807)'!$A$1:$J$71</definedName>
    <definedName name="_xlnm.Print_Area" localSheetId="3">'DEL JBP (1808)'!$A$1:$J$71</definedName>
    <definedName name="_xlnm.Print_Area" localSheetId="4">'DEL JBP (1809)'!$A$1:$J$71</definedName>
    <definedName name="_xlnm.Print_Area" localSheetId="5">'DEL JBP (1810)'!$A$1:$J$71</definedName>
    <definedName name="_xlnm.Print_Area" localSheetId="6">'DEL JBP (1811)'!$A$1:$J$71</definedName>
    <definedName name="_xlnm.Print_Area" localSheetId="7">'DEL JBP (1812)'!$A$1:$J$71</definedName>
    <definedName name="_xlnm.Print_Area" localSheetId="8">'DEL JBP (1813)'!$A$1:$J$71</definedName>
    <definedName name="_xlnm.Print_Area" localSheetId="13">'DEL JBP (1818)'!$A$1:$J$71</definedName>
    <definedName name="_xlnm.Print_Area" localSheetId="14">'DEL JBP (1819)'!$A$1:$J$71</definedName>
    <definedName name="_xlnm.Print_Area" localSheetId="15">'DEL JBP (1820)'!$A$1:$J$71</definedName>
    <definedName name="_xlnm.Print_Area" localSheetId="19">'DEL JBP (1824)'!$A$1:$J$71</definedName>
    <definedName name="_xlnm.Print_Area" localSheetId="20">'DEL JBP (1825)'!$A$1:$J$71</definedName>
    <definedName name="_xlnm.Print_Area" localSheetId="21">'DEL JBP (1826)'!$A$1:$J$71</definedName>
    <definedName name="_xlnm.Print_Area" localSheetId="22">'DEL JBP (1827)'!$A$1:$J$71</definedName>
    <definedName name="_xlnm.Print_Area" localSheetId="23">'DEL JBP (1828)'!$A$1:$J$71</definedName>
    <definedName name="_xlnm.Print_Area" localSheetId="24">'DEL JBP (1829)'!$A$1:$J$71</definedName>
    <definedName name="_xlnm.Print_Area" localSheetId="26">'DEL JBP (1831)'!$A$1:$J$71</definedName>
    <definedName name="_xlnm.Print_Area" localSheetId="27">'DEL JBP (1832)'!$A$1:$J$71</definedName>
    <definedName name="_xlnm.Print_Area" localSheetId="28">'DEL JBP (1833)'!$A$1:$J$71</definedName>
    <definedName name="_xlnm.Print_Area" localSheetId="33">'DEL JBP (1838)'!$A$1:$J$71</definedName>
    <definedName name="_xlnm.Print_Area" localSheetId="34">'DEL JBP (1839)'!$A$1:$J$71</definedName>
    <definedName name="_xlnm.Print_Area" localSheetId="35">'DEL JBP (1840)'!$A$1:$J$71</definedName>
    <definedName name="_xlnm.Print_Area" localSheetId="45">'DEL JBP (1850)'!$A$1:$J$71</definedName>
    <definedName name="_xlnm.Print_Area" localSheetId="46">'DEL JBP (1851)'!$A$1:$J$71</definedName>
    <definedName name="_xlnm.Print_Area" localSheetId="47">'DEL JBP (1852)'!$A$1:$J$71</definedName>
    <definedName name="_xlnm.Print_Area" localSheetId="52">'DEL JBP (1857)'!$A$1:$J$71</definedName>
    <definedName name="_xlnm.Print_Area" localSheetId="53">'DEL JBP (1858)'!$A$1:$J$71</definedName>
  </definedNames>
  <calcPr calcId="124519"/>
</workbook>
</file>

<file path=xl/calcChain.xml><?xml version="1.0" encoding="utf-8"?>
<calcChain xmlns="http://schemas.openxmlformats.org/spreadsheetml/2006/main">
  <c r="G36" i="54"/>
  <c r="I48" i="58" l="1"/>
  <c r="I54" s="1"/>
  <c r="G46"/>
  <c r="E46"/>
  <c r="I48" i="57"/>
  <c r="I54" s="1"/>
  <c r="G46"/>
  <c r="E46"/>
  <c r="I48" i="56" l="1"/>
  <c r="I54" s="1"/>
  <c r="G46"/>
  <c r="E46"/>
  <c r="E36" i="54" l="1"/>
  <c r="I54" i="55"/>
  <c r="G48"/>
  <c r="E48"/>
  <c r="I54" i="54"/>
  <c r="G48"/>
  <c r="E48"/>
  <c r="I48" i="53" l="1"/>
  <c r="I54" s="1"/>
  <c r="G46"/>
  <c r="E46"/>
  <c r="I48" i="52"/>
  <c r="I54" s="1"/>
  <c r="G46"/>
  <c r="E46"/>
  <c r="I48" i="51"/>
  <c r="I54" s="1"/>
  <c r="G46"/>
  <c r="E46"/>
  <c r="I48" i="50" l="1"/>
  <c r="I54" s="1"/>
  <c r="G46"/>
  <c r="E46"/>
  <c r="G37" i="49" l="1"/>
  <c r="E37"/>
  <c r="I54"/>
  <c r="G48"/>
  <c r="E48"/>
  <c r="G46" i="38" l="1"/>
  <c r="G34" i="48"/>
  <c r="E34"/>
  <c r="I54"/>
  <c r="G48"/>
  <c r="E48"/>
  <c r="G34" i="47"/>
  <c r="E34"/>
  <c r="I54"/>
  <c r="G48"/>
  <c r="E48"/>
  <c r="I48" i="46"/>
  <c r="I54" s="1"/>
  <c r="G46"/>
  <c r="E46"/>
  <c r="I48" i="45"/>
  <c r="I54" s="1"/>
  <c r="G46"/>
  <c r="E46"/>
  <c r="I48" i="44"/>
  <c r="I54" s="1"/>
  <c r="G46"/>
  <c r="E46"/>
  <c r="I48" i="43"/>
  <c r="I54" s="1"/>
  <c r="G46"/>
  <c r="E46"/>
  <c r="G34" i="42"/>
  <c r="E34"/>
  <c r="I48"/>
  <c r="I54" s="1"/>
  <c r="G46"/>
  <c r="E46"/>
  <c r="I48" i="41"/>
  <c r="I54" s="1"/>
  <c r="G46"/>
  <c r="E46"/>
  <c r="G35" i="39" l="1"/>
  <c r="I48" i="40"/>
  <c r="I54" s="1"/>
  <c r="G46"/>
  <c r="E46"/>
  <c r="E35" i="39"/>
  <c r="I48"/>
  <c r="I54" s="1"/>
  <c r="G46"/>
  <c r="E46"/>
  <c r="G36" i="38"/>
  <c r="E36"/>
  <c r="E46" s="1"/>
  <c r="I48"/>
  <c r="I54" s="1"/>
  <c r="G34" i="37" l="1"/>
  <c r="G48" s="1"/>
  <c r="E34"/>
  <c r="I54"/>
  <c r="E48"/>
  <c r="I54" i="36"/>
  <c r="G48"/>
  <c r="E48"/>
  <c r="I54" i="35" l="1"/>
  <c r="G48"/>
  <c r="E48"/>
  <c r="I48" i="34"/>
  <c r="I54" s="1"/>
  <c r="G46"/>
  <c r="E46"/>
  <c r="I48" i="33"/>
  <c r="I54" s="1"/>
  <c r="G46"/>
  <c r="E46"/>
  <c r="G38" i="32"/>
  <c r="G46" s="1"/>
  <c r="E38"/>
  <c r="I48"/>
  <c r="I54" s="1"/>
  <c r="E46"/>
  <c r="E34" i="30" l="1"/>
  <c r="I54" i="31"/>
  <c r="G48"/>
  <c r="E48"/>
  <c r="G34" i="30"/>
  <c r="I54"/>
  <c r="G48"/>
  <c r="E48"/>
  <c r="I54" i="29"/>
  <c r="G48"/>
  <c r="E48"/>
  <c r="I48" i="28" l="1"/>
  <c r="I54" s="1"/>
  <c r="G46"/>
  <c r="E46"/>
  <c r="G34" i="26" l="1"/>
  <c r="E34"/>
  <c r="I48" l="1"/>
  <c r="I54" s="1"/>
  <c r="G46"/>
  <c r="E46"/>
  <c r="G34" i="25" l="1"/>
  <c r="G48" s="1"/>
  <c r="E34"/>
  <c r="E48" s="1"/>
  <c r="I54"/>
  <c r="I54" i="24"/>
  <c r="G48"/>
  <c r="E48"/>
  <c r="G35" i="23"/>
  <c r="E35"/>
  <c r="G34"/>
  <c r="E34"/>
  <c r="E48" s="1"/>
  <c r="I54"/>
  <c r="G48"/>
  <c r="I54" i="22" l="1"/>
  <c r="G48"/>
  <c r="E48"/>
  <c r="I54" i="21" l="1"/>
  <c r="G48"/>
  <c r="E48"/>
  <c r="G34" i="20"/>
  <c r="E34"/>
  <c r="I54"/>
  <c r="G48"/>
  <c r="E48"/>
  <c r="I48" i="19" l="1"/>
  <c r="I54" s="1"/>
  <c r="G46"/>
  <c r="E46"/>
  <c r="I48" i="18"/>
  <c r="I54" s="1"/>
  <c r="G46"/>
  <c r="E46"/>
  <c r="I48" i="17"/>
  <c r="I54" s="1"/>
  <c r="G46"/>
  <c r="E46"/>
  <c r="I54" i="16" l="1"/>
  <c r="G48"/>
  <c r="E48"/>
  <c r="I54" i="15"/>
  <c r="G48"/>
  <c r="E48"/>
  <c r="G34" i="14"/>
  <c r="E34"/>
  <c r="I54"/>
  <c r="G48"/>
  <c r="E48"/>
  <c r="I48" i="13"/>
  <c r="I54" s="1"/>
  <c r="G46"/>
  <c r="E46"/>
  <c r="I48" i="12"/>
  <c r="I54" s="1"/>
  <c r="G46"/>
  <c r="E46"/>
  <c r="I48" i="10"/>
  <c r="I54" s="1"/>
  <c r="G46"/>
  <c r="E46"/>
  <c r="I48" i="11"/>
  <c r="I54" s="1"/>
  <c r="G46"/>
  <c r="E46"/>
  <c r="G34" i="9" l="1"/>
  <c r="E34"/>
  <c r="E48" s="1"/>
  <c r="I54"/>
  <c r="G48"/>
  <c r="G34" i="8"/>
  <c r="G48" s="1"/>
  <c r="E34"/>
  <c r="I54"/>
  <c r="E48"/>
  <c r="I54" i="7"/>
  <c r="G48"/>
  <c r="E48"/>
  <c r="G35" i="6" l="1"/>
  <c r="G48" s="1"/>
  <c r="E35"/>
  <c r="I54"/>
  <c r="E48"/>
  <c r="I54" i="5"/>
  <c r="G48"/>
  <c r="E48"/>
  <c r="I54" i="4"/>
  <c r="G48"/>
  <c r="E48"/>
  <c r="I54" i="3" l="1"/>
  <c r="G48"/>
  <c r="E48"/>
  <c r="I54" i="2" l="1"/>
  <c r="E48"/>
  <c r="G48"/>
  <c r="G34" i="1"/>
  <c r="I54" l="1"/>
  <c r="G48"/>
  <c r="E48"/>
</calcChain>
</file>

<file path=xl/sharedStrings.xml><?xml version="1.0" encoding="utf-8"?>
<sst xmlns="http://schemas.openxmlformats.org/spreadsheetml/2006/main" count="4863" uniqueCount="313">
  <si>
    <t>DELIVERY CHALLAN / PACKING LIST</t>
  </si>
  <si>
    <t>Original for Buyer</t>
  </si>
  <si>
    <t>Duplicate for Transporter</t>
  </si>
  <si>
    <t xml:space="preserve"> </t>
  </si>
  <si>
    <t>Triplicate for Suppllier</t>
  </si>
  <si>
    <t>VINAR  ISPAT LTD</t>
  </si>
  <si>
    <r>
      <rPr>
        <b/>
        <sz val="11"/>
        <color theme="1"/>
        <rFont val="Calibri"/>
        <family val="2"/>
        <scheme val="minor"/>
      </rPr>
      <t xml:space="preserve">PRINCIPAL PLACE OF BUSINESS </t>
    </r>
    <r>
      <rPr>
        <sz val="11"/>
        <color theme="1"/>
        <rFont val="Calibri"/>
        <family val="2"/>
        <scheme val="minor"/>
      </rPr>
      <t xml:space="preserve">: VINAR ISPAT LTD, J-3 MIDC INDUSTRIAL AREA </t>
    </r>
  </si>
  <si>
    <t>BUTIBORI- 441108</t>
  </si>
  <si>
    <t>E.mail :- Vinar_cha@hotmail.com</t>
  </si>
  <si>
    <t>E.mail :-vinar_ngp@hotmail.com,    vkoza@rediffmail.com</t>
  </si>
  <si>
    <t>GSTIN NO.      27AAACV6647F1Z6</t>
  </si>
  <si>
    <t>Manufacturers of : MS/HT Angles, Channel, Joist,Flat CTD Bars</t>
  </si>
  <si>
    <t>ADDITIONAL PLACE OF BUSINESS :</t>
  </si>
  <si>
    <t>1) M/S VINAR ISPAT LTD, 202 STEEL CHEMBAR WARDHAMAN NAGAR , NAGPUR</t>
  </si>
  <si>
    <t>2) M/S VINAR ISPAT LTD, 405 4TH FLOOR ESTERN COURT CHEMBUR MUMBAI- 400071</t>
  </si>
  <si>
    <t xml:space="preserve">3) M/S VINAR ISPAT LTD,Plot B-30/31, MIDC, Industrial Area , Ghuggus Road, Chandrapur </t>
  </si>
  <si>
    <t>State Code : 27</t>
  </si>
  <si>
    <t>State : Maharashtra</t>
  </si>
  <si>
    <t xml:space="preserve">Date &amp; Time of Supply       </t>
  </si>
  <si>
    <t>Details of Receiver (Bill to Party )</t>
  </si>
  <si>
    <t>KEC INTERNATIONAL LIMITED</t>
  </si>
  <si>
    <t>DEORI P.O. PANAGAR</t>
  </si>
  <si>
    <t xml:space="preserve">JABALPUR (M.P) </t>
  </si>
  <si>
    <t>GSTIN NO  :- 23AACCK5599H1ZA</t>
  </si>
  <si>
    <t>State           :- MADHYA PRADES</t>
  </si>
  <si>
    <t>Code           :- 23</t>
  </si>
  <si>
    <t>Cust. Order No.</t>
  </si>
  <si>
    <t>Date :-15/12/2023</t>
  </si>
  <si>
    <t xml:space="preserve">Transport                    :-  </t>
  </si>
  <si>
    <t xml:space="preserve">ASHMI ROAD CARRIER PVT LTD   </t>
  </si>
  <si>
    <t>KEC/JBP/LOI-1340</t>
  </si>
  <si>
    <t>Vehicle  No.              :- MH04BG-5779</t>
  </si>
  <si>
    <t>:-</t>
  </si>
  <si>
    <t xml:space="preserve">JOB  CHALLAN.NO.         :-      </t>
  </si>
  <si>
    <t>Place of Supply      :- Maharashtra</t>
  </si>
  <si>
    <t>Sr. No</t>
  </si>
  <si>
    <t>Description of Goods / Services</t>
  </si>
  <si>
    <t>Length (MTR)</t>
  </si>
  <si>
    <t>Pieces</t>
  </si>
  <si>
    <t>Quantity(MT)</t>
  </si>
  <si>
    <t>Rate</t>
  </si>
  <si>
    <t>Total Value</t>
  </si>
  <si>
    <t>E250A</t>
  </si>
  <si>
    <t>Grand  Total</t>
  </si>
  <si>
    <t xml:space="preserve">Amount  In Words :- </t>
  </si>
  <si>
    <t>HSN CODE :-  72162100</t>
  </si>
  <si>
    <t>Accounting  code of services :-</t>
  </si>
  <si>
    <t>Amount of Tax Subject to Reverse Charge</t>
  </si>
  <si>
    <t>Nil</t>
  </si>
  <si>
    <t>Tax is payable on Reverse Charge</t>
  </si>
  <si>
    <t>No</t>
  </si>
  <si>
    <t>Material Received in Goods Condition.</t>
  </si>
  <si>
    <t xml:space="preserve">        FOR    VINAR ISPAT LIMITED</t>
  </si>
  <si>
    <t xml:space="preserve">Customer/Representative Signature </t>
  </si>
  <si>
    <t>Checked by</t>
  </si>
  <si>
    <t xml:space="preserve">               Authorised Signatory</t>
  </si>
  <si>
    <t>355 JO</t>
  </si>
  <si>
    <t>01.01.2024</t>
  </si>
  <si>
    <t>DELIVERY CHALLAN NO: VIL/23-24/1805</t>
  </si>
  <si>
    <t>KEC/JBP/LOI-1228</t>
  </si>
  <si>
    <t>Date :-05/12/2023</t>
  </si>
  <si>
    <t>MH49AT3048</t>
  </si>
  <si>
    <t>LR NO.-     27579</t>
  </si>
  <si>
    <t>1774/377, 1775/378</t>
  </si>
  <si>
    <t>HT  ANGLE 130X130X9 MM</t>
  </si>
  <si>
    <t>E350A</t>
  </si>
  <si>
    <t>DELIVERY CHALLAN NO: VIL/23-24/1806</t>
  </si>
  <si>
    <t>KEC/JBP/LOI-1229</t>
  </si>
  <si>
    <t>1775/378</t>
  </si>
  <si>
    <t>HT  ANGLE 120X120X10 MM</t>
  </si>
  <si>
    <t>DELIVERY CHALLAN NO: VIL/23-24/1807</t>
  </si>
  <si>
    <t>KEC/JBP/LOI-1134</t>
  </si>
  <si>
    <t>Date :-22/11/2023</t>
  </si>
  <si>
    <t>MS  ANGLE 90X90X8 MM</t>
  </si>
  <si>
    <t>DELIVERY CHALLAN NO: VIL/23-24/1808</t>
  </si>
  <si>
    <t>MH40BG0308</t>
  </si>
  <si>
    <t>LR NO.-     27573</t>
  </si>
  <si>
    <t>1776/378</t>
  </si>
  <si>
    <t>HT  ANGLE 110X110X8 MM</t>
  </si>
  <si>
    <t>HT  ANGLE 90X90X6 MM</t>
  </si>
  <si>
    <t>HT  ANGLE 90X90X7 MM</t>
  </si>
  <si>
    <t>DELIVERY CHALLAN NO: VIL/23-24/1809</t>
  </si>
  <si>
    <t>MS  ANGLE 75X75X5 MM</t>
  </si>
  <si>
    <t>MS  ANGLE 100X100X6 MM</t>
  </si>
  <si>
    <t>DELIVERY CHALLAN NO: VIL/23-24/1810</t>
  </si>
  <si>
    <t>1776/378, 1777/379</t>
  </si>
  <si>
    <t>DELIVERY CHALLAN NO: VIL/23-24/1811</t>
  </si>
  <si>
    <t>MH40BG0310</t>
  </si>
  <si>
    <t>LR NO.-     27580</t>
  </si>
  <si>
    <t>1778/379,</t>
  </si>
  <si>
    <t>HT  ANGLE 100X100X6 MM</t>
  </si>
  <si>
    <t>DELIVERY CHALLAN NO: VIL/23-24/1812</t>
  </si>
  <si>
    <t>1778/379, 1779/380</t>
  </si>
  <si>
    <t>DELIVERY CHALLAN NO: VIL/23-24/1813</t>
  </si>
  <si>
    <t>02.01.2024</t>
  </si>
  <si>
    <t>MH49AT0508</t>
  </si>
  <si>
    <t>LR NO.-     27426</t>
  </si>
  <si>
    <t>1780/380, 1781/381</t>
  </si>
  <si>
    <t>HT  ANGLE 110X110X7 MM</t>
  </si>
  <si>
    <t>DELIVERY CHALLAN NO: VIL/23-24/1814</t>
  </si>
  <si>
    <t>HT  ANGLE 110X110X6 MM</t>
  </si>
  <si>
    <t>Details of Consignee (Ship To Party )</t>
  </si>
  <si>
    <t>PLOT NO. B-190</t>
  </si>
  <si>
    <t>MIDC IND.AREA, BUTIBORI-441108</t>
  </si>
  <si>
    <t>GSTIN NO  :- 27AACCK5599H1Z2</t>
  </si>
  <si>
    <t>State           :- MAHARASHTRA</t>
  </si>
  <si>
    <t>Code           :- 27</t>
  </si>
  <si>
    <t>J.K Transport Corporation</t>
  </si>
  <si>
    <t>Taxable Value</t>
  </si>
  <si>
    <t>DELIVERY CHALLAN NO: VIL/23-24/1815</t>
  </si>
  <si>
    <t>KEC/BB/LOI-1131</t>
  </si>
  <si>
    <t>MH40Y4944</t>
  </si>
  <si>
    <t>LR NO.-     2065</t>
  </si>
  <si>
    <t>1782/ 662</t>
  </si>
  <si>
    <t>HT  ANGLE  100X100X10 MM</t>
  </si>
  <si>
    <t>355J2</t>
  </si>
  <si>
    <t>HT  ANGLE  110X110X8 MM</t>
  </si>
  <si>
    <t>HT  ANGLE  130X130X8 MM</t>
  </si>
  <si>
    <t>HT  ANGLE  75X75X5 MM</t>
  </si>
  <si>
    <t>MS  ANGLE  130X130X10 MM</t>
  </si>
  <si>
    <t>275J2</t>
  </si>
  <si>
    <t>MS  ANGLE  110X110X7 MM</t>
  </si>
  <si>
    <t>KEC/BB/LOI-1356</t>
  </si>
  <si>
    <t>Date :-18/12/2023</t>
  </si>
  <si>
    <t>1782/662</t>
  </si>
  <si>
    <t>DELIVERY CHALLAN NO: VIL/23-24/1816</t>
  </si>
  <si>
    <t>KEC/BB/LOI-1047</t>
  </si>
  <si>
    <t>Date :-01/11/2023</t>
  </si>
  <si>
    <t>MS  ANGLE  100X100X12 MM</t>
  </si>
  <si>
    <t>DELIVERY CHALLAN NO: VIL/23-24/1817</t>
  </si>
  <si>
    <t>KEC/BB/LOI-645</t>
  </si>
  <si>
    <t>Date :-03/08/2023</t>
  </si>
  <si>
    <t>HT  ANGLE  150X150X12 MM</t>
  </si>
  <si>
    <t>DELIVERY CHALLAN NO: VIL/23-24/1818</t>
  </si>
  <si>
    <t>MH40BG0311</t>
  </si>
  <si>
    <t>1783/381, 1784/382</t>
  </si>
  <si>
    <t>LR NO.-     27425</t>
  </si>
  <si>
    <t>DELIVERY CHALLAN NO: VIL/23-24/1819</t>
  </si>
  <si>
    <t>1784/382</t>
  </si>
  <si>
    <t>DELIVERY CHALLAN NO: VIL/23-24/1820</t>
  </si>
  <si>
    <t>KEC/JBP/LOI-1231</t>
  </si>
  <si>
    <t>DELIVERY CHALLAN NO: VIL/23-24/1821</t>
  </si>
  <si>
    <t>KEC/BB/LOI-643</t>
  </si>
  <si>
    <t>LR NO.-     2066</t>
  </si>
  <si>
    <t>MH40Y3944</t>
  </si>
  <si>
    <t>1785/668</t>
  </si>
  <si>
    <t>HT  ANGLE  75X75X4 MM</t>
  </si>
  <si>
    <t>HT  ANGLE  120X120X8 MM</t>
  </si>
  <si>
    <t>DELIVERY CHALLAN NO: VIL/23-24/1822</t>
  </si>
  <si>
    <t>DELIVERY CHALLAN NO: VIL/23-24/1823</t>
  </si>
  <si>
    <t>MS  ANGLE  130X130X12 MM</t>
  </si>
  <si>
    <t>MS  ANGLE  90X90X7 MM</t>
  </si>
  <si>
    <t>MS  ANGLE  75X75X6 MM</t>
  </si>
  <si>
    <t>MS  ANGLE  110X110X10 MM</t>
  </si>
  <si>
    <t>DELIVERY CHALLAN NO: VIL/23-24/1824</t>
  </si>
  <si>
    <t>MH49AT0398</t>
  </si>
  <si>
    <t>LR NO.-     27427</t>
  </si>
  <si>
    <t>HT  ANGLE 120X120X7 MM</t>
  </si>
  <si>
    <t>DELIVERY CHALLAN NO: VIL/23-24/1825</t>
  </si>
  <si>
    <t>KEC/JBP/LOI-1232</t>
  </si>
  <si>
    <t>1786/382, 1787/ 383</t>
  </si>
  <si>
    <t>1787/383</t>
  </si>
  <si>
    <t>MS  ANGLE 100X100X8 MM</t>
  </si>
  <si>
    <t>DELIVERY CHALLAN NO: VIL/23-24/1826</t>
  </si>
  <si>
    <t>KEC/JBP/LOI-1226</t>
  </si>
  <si>
    <t>MS  ANGLE 100X100X12 MM</t>
  </si>
  <si>
    <t>DELIVERY CHALLAN NO: VIL/23-24/1827</t>
  </si>
  <si>
    <t>MH49AT0502</t>
  </si>
  <si>
    <t>LR NO.-     27428</t>
  </si>
  <si>
    <t>1788/383, 1789/384, 1790/385</t>
  </si>
  <si>
    <t>DELIVERY CHALLAN NO: VIL/23-24/1828</t>
  </si>
  <si>
    <t>03.01.2024</t>
  </si>
  <si>
    <t>MH40N7423</t>
  </si>
  <si>
    <t>LR NO.-     27435</t>
  </si>
  <si>
    <t>1791/385</t>
  </si>
  <si>
    <t>HT  ANGLE 80X80X5 MM</t>
  </si>
  <si>
    <t>DELIVERY CHALLAN NO: VIL/23-24/1829</t>
  </si>
  <si>
    <t>1791/385, 1792/386</t>
  </si>
  <si>
    <t>DELIVERY CHALLAN NO: VIL/23-24/1830</t>
  </si>
  <si>
    <t>Date :-03/8/2023</t>
  </si>
  <si>
    <t>LR NO.-     2068</t>
  </si>
  <si>
    <t>1793/661, 1794/662, 1795, 663</t>
  </si>
  <si>
    <t>S355J2</t>
  </si>
  <si>
    <t>DELIVERY CHALLAN NO: VIL/23-24/1831</t>
  </si>
  <si>
    <t>KEC/BB/LOI-1358</t>
  </si>
  <si>
    <t>MH40Y5844</t>
  </si>
  <si>
    <t>1796/663, 1797/665, 1798/668, 1799/664</t>
  </si>
  <si>
    <t>HT  ANGLE  130X130X12 MM</t>
  </si>
  <si>
    <t>A572 GR 50</t>
  </si>
  <si>
    <t>MH49AT0403</t>
  </si>
  <si>
    <t>LR NO.-     27438</t>
  </si>
  <si>
    <t>1800/386</t>
  </si>
  <si>
    <t>HT  ANGLE 80X80X6 MM</t>
  </si>
  <si>
    <t>DELIVERY CHALLAN NO: VIL/23-24/1832</t>
  </si>
  <si>
    <t>DELIVERY CHALLAN NO: VIL/23-24/1833</t>
  </si>
  <si>
    <t xml:space="preserve">1801/387 </t>
  </si>
  <si>
    <t>1800/386, 1801/387</t>
  </si>
  <si>
    <t>HT  ANGLE 150X150X20 MM</t>
  </si>
  <si>
    <t>HT  ANGLE 150X150X16 MM</t>
  </si>
  <si>
    <t>LR NO.-     2069</t>
  </si>
  <si>
    <t>DELIVERY CHALLAN NO: VIL/23-24/1834</t>
  </si>
  <si>
    <t>MH40AK3044</t>
  </si>
  <si>
    <t>LR NO.-     2067</t>
  </si>
  <si>
    <t>1802/664, 1803/666</t>
  </si>
  <si>
    <t>HT  ANGLE 100X100X8 MM</t>
  </si>
  <si>
    <t>HT  ANGLE 120X120X8 MM</t>
  </si>
  <si>
    <t>HT  ANGLE 90X90X8 MM</t>
  </si>
  <si>
    <t>1803/666</t>
  </si>
  <si>
    <t>DELIVERY CHALLAN NO: VIL/23-24/1835</t>
  </si>
  <si>
    <t>HT  ANGLE 75X75X6 MM</t>
  </si>
  <si>
    <t>DELIVERY CHALLAN NO: VIL/23-24/1836</t>
  </si>
  <si>
    <t>KEC/BB/LOI-1022</t>
  </si>
  <si>
    <t>DELIVERY CHALLAN NO: VIL/23-24/1837</t>
  </si>
  <si>
    <t>DELIVERY CHALLAN NO: VIL/23-24/1838</t>
  </si>
  <si>
    <t>04.01.2024</t>
  </si>
  <si>
    <t>MH40AK2189</t>
  </si>
  <si>
    <t xml:space="preserve">1804/387 </t>
  </si>
  <si>
    <t>LR NO.-     27440</t>
  </si>
  <si>
    <t>DELIVERY CHALLAN NO: VIL/23-24/1839</t>
  </si>
  <si>
    <t>MH49AT0509</t>
  </si>
  <si>
    <t>LR NO.-     27437</t>
  </si>
  <si>
    <t xml:space="preserve">1805/387 </t>
  </si>
  <si>
    <t>DELIVERY CHALLAN NO: VIL/23-24/1840</t>
  </si>
  <si>
    <t>1805/387 , 1806/388, 1807/389</t>
  </si>
  <si>
    <t>DELIVERY CHALLAN NO: VIL/23-24/1841</t>
  </si>
  <si>
    <t>KEC/BB/LOI-1138</t>
  </si>
  <si>
    <t>MH49AT3081</t>
  </si>
  <si>
    <t>LR NO.-     27436</t>
  </si>
  <si>
    <t>Date :-22/11/2024</t>
  </si>
  <si>
    <t>1808/666, 1809/667</t>
  </si>
  <si>
    <t>HT  ANGLE  75X75X6 MM</t>
  </si>
  <si>
    <t>HT  ANGLE  90X90X6 MM</t>
  </si>
  <si>
    <t>HT  ANGLE  90X90X7 MM</t>
  </si>
  <si>
    <t>MS  ANGLE  75X75X5 MM</t>
  </si>
  <si>
    <t>DELIVERY CHALLAN NO: VIL/23-24/1842</t>
  </si>
  <si>
    <t>Date :-15/12/2024</t>
  </si>
  <si>
    <t>1809/667, 1810/669</t>
  </si>
  <si>
    <t>MS  ANGLE  90X90X5 MM</t>
  </si>
  <si>
    <t>HT  ANGLE  90X90X5 MM</t>
  </si>
  <si>
    <t>KEC/BB/LOI-1341</t>
  </si>
  <si>
    <t>DELIVERY CHALLAN NO: VIL/23-24/1843</t>
  </si>
  <si>
    <t>KEC/BB/LOI-1193</t>
  </si>
  <si>
    <t>Date :-01/12/2024</t>
  </si>
  <si>
    <t>1810/669</t>
  </si>
  <si>
    <t>HT  ANGLE  70X70X5 MM</t>
  </si>
  <si>
    <t>MS  ANGLE  70X70X5 MM</t>
  </si>
  <si>
    <t>DELIVERY CHALLAN NO: VIL/23-24/1844</t>
  </si>
  <si>
    <t>LR NO.-     2070</t>
  </si>
  <si>
    <t xml:space="preserve">1811/669, </t>
  </si>
  <si>
    <t>HT  ANGLE  80X80X6 MM</t>
  </si>
  <si>
    <t>DELIVERY CHALLAN NO: VIL/23-24/1845</t>
  </si>
  <si>
    <t>HT  ANGLE  120X120X10 MM</t>
  </si>
  <si>
    <t>HT  ANGLE  100X100X9 MM</t>
  </si>
  <si>
    <t>DELIVERY CHALLAN NO: VIL/23-24/1846</t>
  </si>
  <si>
    <t>1811/669, 1812/670</t>
  </si>
  <si>
    <t>HT  ANGLE  110X110X9 MM</t>
  </si>
  <si>
    <t>HT  ANGLE  130X130X9 MM</t>
  </si>
  <si>
    <t>MS  ANGLE  90X90X6 MM</t>
  </si>
  <si>
    <t>DELIVERY CHALLAN NO: VIL/23-24/1847</t>
  </si>
  <si>
    <t xml:space="preserve">1812/670 </t>
  </si>
  <si>
    <t xml:space="preserve">1812/670, </t>
  </si>
  <si>
    <t>HT  ANGLE  130X130X10 MM</t>
  </si>
  <si>
    <t>350A</t>
  </si>
  <si>
    <t>DELIVERY CHALLAN NO: VIL/23-24/1848</t>
  </si>
  <si>
    <t>KEC/BB/LOI-1190</t>
  </si>
  <si>
    <t>DELIVERY CHALLAN NO: VIL/23-24/1849</t>
  </si>
  <si>
    <t>MH40Y5644</t>
  </si>
  <si>
    <t>LR NO.-     2071</t>
  </si>
  <si>
    <t>1813/670, 1814/672</t>
  </si>
  <si>
    <t>DELIVERY CHALLAN NO: VIL/23-24/1850</t>
  </si>
  <si>
    <t>MH40AK6003</t>
  </si>
  <si>
    <t>LR NO.-     27433</t>
  </si>
  <si>
    <t>1815/389, 1816/390</t>
  </si>
  <si>
    <t>DELIVERY CHALLAN NO: VIL/23-24/1851</t>
  </si>
  <si>
    <t>1816/390, 1817/391</t>
  </si>
  <si>
    <t>DELIVERY CHALLAN NO: VIL/23-24/1852</t>
  </si>
  <si>
    <t>05.01.2024</t>
  </si>
  <si>
    <t>MH40AK6074</t>
  </si>
  <si>
    <t>1818/391, 1819/392</t>
  </si>
  <si>
    <t>HT  ANGLE 120X120X9 MM</t>
  </si>
  <si>
    <t>LR NO.-     27441</t>
  </si>
  <si>
    <t>DELIVERY CHALLAN NO: VIL/23-24/1853</t>
  </si>
  <si>
    <t>MH40Y4044</t>
  </si>
  <si>
    <t>LR NO.-     2072</t>
  </si>
  <si>
    <t>1820/671</t>
  </si>
  <si>
    <t>HT  ANGLE  100X100X8 MM</t>
  </si>
  <si>
    <t>HT  ANGLE  110X110X6 MM</t>
  </si>
  <si>
    <t>HT  ANGLE  120X120X9 MM</t>
  </si>
  <si>
    <t>HT  ANGLE  90X90X8 MM</t>
  </si>
  <si>
    <t>DELIVERY CHALLAN NO: VIL/23-24/1854</t>
  </si>
  <si>
    <t>Date :-01/12/2023</t>
  </si>
  <si>
    <t>HT  ANGLE  70X70X6 MM</t>
  </si>
  <si>
    <t>MS  ANGLE  80X80X6 MM</t>
  </si>
  <si>
    <t>DELIVERY CHALLAN NO: VIL/23-24/1855</t>
  </si>
  <si>
    <t>DELIVERY CHALLAN NO: VIL/23-24/1856</t>
  </si>
  <si>
    <t>DELIVERY CHALLAN NO: VIL/23-24/1857</t>
  </si>
  <si>
    <t>MH40AK4183</t>
  </si>
  <si>
    <t>LR NO.-     27442</t>
  </si>
  <si>
    <t>MS  ANGLE 80X80X5 MM</t>
  </si>
  <si>
    <t>DELIVERY CHALLAN NO: VIL/23-24/1858</t>
  </si>
  <si>
    <t>1821/392, 1822/393</t>
  </si>
  <si>
    <t>1822/393</t>
  </si>
  <si>
    <t>LR NO.-     2073</t>
  </si>
  <si>
    <t>1823/671, 1824/672, 1825/673</t>
  </si>
  <si>
    <t>DELIVERY CHALLAN NO: VIL/23-24/1859</t>
  </si>
  <si>
    <t>DELIVERY CHALLAN NO: VIL/23-24/1860</t>
  </si>
  <si>
    <t>1826/673, 1827/674</t>
  </si>
  <si>
    <t>LR NO.-     2074</t>
  </si>
  <si>
    <t>DELIVERY CHALLAN NO: VIL/23-24/1861</t>
  </si>
  <si>
    <t>LR NO.-     2075</t>
  </si>
  <si>
    <t>1828/674, 1829/675</t>
  </si>
  <si>
    <t>ASTM GR 50</t>
  </si>
  <si>
    <t>MH40BG1844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</si>
</sst>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9"/>
      <color theme="1"/>
      <name val="Arial Black"/>
      <family val="2"/>
    </font>
    <font>
      <b/>
      <sz val="20"/>
      <color theme="1"/>
      <name val="Arial Black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96">
    <xf numFmtId="0" fontId="0" fillId="0" borderId="0" xfId="0"/>
    <xf numFmtId="0" fontId="0" fillId="2" borderId="0" xfId="0" applyFill="1"/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8" xfId="0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left"/>
    </xf>
    <xf numFmtId="0" fontId="0" fillId="2" borderId="9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6" xfId="0" applyFont="1" applyFill="1" applyBorder="1" applyAlignment="1">
      <alignment horizontal="left"/>
    </xf>
    <xf numFmtId="0" fontId="1" fillId="2" borderId="9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 applyAlignment="1"/>
    <xf numFmtId="0" fontId="6" fillId="2" borderId="0" xfId="0" applyFont="1" applyFill="1" applyBorder="1" applyAlignment="1"/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6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" fontId="8" fillId="2" borderId="1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0" fillId="2" borderId="8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9" fontId="1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9" fontId="1" fillId="2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ont="1" applyFill="1" applyBorder="1"/>
    <xf numFmtId="0" fontId="0" fillId="2" borderId="6" xfId="0" applyFill="1" applyBorder="1" applyAlignment="1">
      <alignment vertical="center"/>
    </xf>
    <xf numFmtId="0" fontId="0" fillId="2" borderId="12" xfId="0" applyFill="1" applyBorder="1"/>
    <xf numFmtId="0" fontId="0" fillId="2" borderId="10" xfId="0" applyFill="1" applyBorder="1"/>
    <xf numFmtId="0" fontId="1" fillId="2" borderId="10" xfId="0" applyFont="1" applyFill="1" applyBorder="1"/>
    <xf numFmtId="0" fontId="0" fillId="2" borderId="11" xfId="0" applyFill="1" applyBorder="1"/>
    <xf numFmtId="0" fontId="9" fillId="2" borderId="2" xfId="0" applyFont="1" applyFill="1" applyBorder="1"/>
    <xf numFmtId="0" fontId="9" fillId="2" borderId="3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165" fontId="0" fillId="2" borderId="0" xfId="0" applyNumberFormat="1" applyFill="1"/>
    <xf numFmtId="0" fontId="1" fillId="2" borderId="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1" fillId="2" borderId="15" xfId="0" applyFon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8" fillId="2" borderId="15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left" vertical="center"/>
    </xf>
    <xf numFmtId="0" fontId="7" fillId="2" borderId="0" xfId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/>
    </xf>
    <xf numFmtId="1" fontId="1" fillId="2" borderId="11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1" applyFont="1" applyFill="1" applyBorder="1" applyAlignment="1">
      <alignment horizontal="left" vertical="center" wrapText="1"/>
    </xf>
    <xf numFmtId="0" fontId="1" fillId="2" borderId="2" xfId="1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8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9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2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3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4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5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6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7</xdr:row>
      <xdr:rowOff>89865</xdr:rowOff>
    </xdr:from>
    <xdr:to>
      <xdr:col>1</xdr:col>
      <xdr:colOff>1152525</xdr:colOff>
      <xdr:row>11</xdr:row>
      <xdr:rowOff>161925</xdr:rowOff>
    </xdr:to>
    <xdr:pic>
      <xdr:nvPicPr>
        <xdr:cNvPr id="7" name="Picture 48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4000" contrast="48000"/>
          <a:grayscl/>
        </a:blip>
        <a:srcRect/>
        <a:stretch>
          <a:fillRect/>
        </a:stretch>
      </xdr:blipFill>
      <xdr:spPr bwMode="auto">
        <a:xfrm>
          <a:off x="457200" y="2090115"/>
          <a:ext cx="1114425" cy="834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2:J1048576"/>
  <sheetViews>
    <sheetView topLeftCell="A19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6" t="s">
        <v>10</v>
      </c>
      <c r="G12" s="16"/>
      <c r="H12" s="1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6" t="s">
        <v>12</v>
      </c>
      <c r="G13" s="16"/>
      <c r="H13" s="16"/>
      <c r="I13" s="11"/>
      <c r="J13" s="12"/>
    </row>
    <row r="14" spans="1:10">
      <c r="A14" s="10"/>
      <c r="B14" s="11"/>
      <c r="C14" s="11"/>
      <c r="D14" s="11"/>
      <c r="E14" s="12"/>
      <c r="F14" s="16" t="s">
        <v>13</v>
      </c>
      <c r="G14" s="16"/>
      <c r="H14" s="16"/>
      <c r="I14" s="11"/>
      <c r="J14" s="12"/>
    </row>
    <row r="15" spans="1:10">
      <c r="A15" s="10"/>
      <c r="B15" s="11"/>
      <c r="C15" s="11"/>
      <c r="D15" s="11"/>
      <c r="E15" s="12"/>
      <c r="F15" s="16" t="s">
        <v>14</v>
      </c>
      <c r="G15" s="16"/>
      <c r="H15" s="1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6" t="s">
        <v>15</v>
      </c>
      <c r="G16" s="16"/>
      <c r="H16" s="16"/>
      <c r="I16" s="11"/>
      <c r="J16" s="12"/>
    </row>
    <row r="17" spans="1:10">
      <c r="A17" s="10"/>
      <c r="B17" s="11"/>
      <c r="C17" s="11"/>
      <c r="D17" s="11"/>
      <c r="E17" s="12"/>
      <c r="F17" s="16" t="s">
        <v>16</v>
      </c>
      <c r="G17" s="16"/>
      <c r="H17" s="1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58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61</v>
      </c>
      <c r="H29" s="165"/>
      <c r="I29" s="166" t="s">
        <v>62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63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5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5">
        <v>1</v>
      </c>
      <c r="B34" s="15" t="s">
        <v>64</v>
      </c>
      <c r="C34" s="15" t="s">
        <v>65</v>
      </c>
      <c r="D34" s="37"/>
      <c r="E34" s="147">
        <v>108</v>
      </c>
      <c r="F34" s="148"/>
      <c r="G34" s="37">
        <f>20.734+1.826</f>
        <v>22.560000000000002</v>
      </c>
      <c r="H34" s="40"/>
      <c r="I34" s="149"/>
      <c r="J34" s="150"/>
    </row>
    <row r="35" spans="1:10" ht="18.899999999999999" customHeight="1">
      <c r="A35" s="35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35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35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5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5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5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5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5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5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5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5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5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5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108</v>
      </c>
      <c r="F48" s="179"/>
      <c r="G48" s="48">
        <f>SUM(G33:G47)</f>
        <v>22.560000000000002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2:J1048576"/>
  <sheetViews>
    <sheetView topLeftCell="A19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30" t="s">
        <v>10</v>
      </c>
      <c r="G12" s="30"/>
      <c r="H12" s="3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30" t="s">
        <v>12</v>
      </c>
      <c r="G13" s="30"/>
      <c r="H13" s="30"/>
      <c r="I13" s="11"/>
      <c r="J13" s="12"/>
    </row>
    <row r="14" spans="1:10">
      <c r="A14" s="10"/>
      <c r="B14" s="11"/>
      <c r="C14" s="11"/>
      <c r="D14" s="11"/>
      <c r="E14" s="12"/>
      <c r="F14" s="30" t="s">
        <v>13</v>
      </c>
      <c r="G14" s="30"/>
      <c r="H14" s="30"/>
      <c r="I14" s="11"/>
      <c r="J14" s="12"/>
    </row>
    <row r="15" spans="1:10">
      <c r="A15" s="10"/>
      <c r="B15" s="11"/>
      <c r="C15" s="11"/>
      <c r="D15" s="11"/>
      <c r="E15" s="12"/>
      <c r="F15" s="30" t="s">
        <v>14</v>
      </c>
      <c r="G15" s="30"/>
      <c r="H15" s="3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30" t="s">
        <v>15</v>
      </c>
      <c r="G16" s="30"/>
      <c r="H16" s="30"/>
      <c r="I16" s="11"/>
      <c r="J16" s="12"/>
    </row>
    <row r="17" spans="1:10">
      <c r="A17" s="10"/>
      <c r="B17" s="11"/>
      <c r="C17" s="11"/>
      <c r="D17" s="11"/>
      <c r="E17" s="12"/>
      <c r="F17" s="30" t="s">
        <v>16</v>
      </c>
      <c r="G17" s="30"/>
      <c r="H17" s="3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66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61</v>
      </c>
      <c r="H29" s="165"/>
      <c r="I29" s="166" t="s">
        <v>62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68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9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9">
        <v>1</v>
      </c>
      <c r="B34" s="15" t="s">
        <v>69</v>
      </c>
      <c r="C34" s="15" t="s">
        <v>65</v>
      </c>
      <c r="D34" s="37"/>
      <c r="E34" s="147">
        <v>39</v>
      </c>
      <c r="F34" s="148"/>
      <c r="G34" s="37">
        <v>8.4939999999999998</v>
      </c>
      <c r="H34" s="40"/>
      <c r="I34" s="149"/>
      <c r="J34" s="150"/>
    </row>
    <row r="35" spans="1:10" ht="18.899999999999999" customHeight="1">
      <c r="A35" s="39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39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39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9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9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9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9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9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9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9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9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9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9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39</v>
      </c>
      <c r="F48" s="179"/>
      <c r="G48" s="48">
        <f>SUM(G33:G47)</f>
        <v>8.4939999999999998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2:J1048576"/>
  <sheetViews>
    <sheetView topLeftCell="A16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30" t="s">
        <v>10</v>
      </c>
      <c r="G12" s="30"/>
      <c r="H12" s="3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30" t="s">
        <v>12</v>
      </c>
      <c r="G13" s="30"/>
      <c r="H13" s="30"/>
      <c r="I13" s="11"/>
      <c r="J13" s="12"/>
    </row>
    <row r="14" spans="1:10">
      <c r="A14" s="10"/>
      <c r="B14" s="11"/>
      <c r="C14" s="11"/>
      <c r="D14" s="11"/>
      <c r="E14" s="12"/>
      <c r="F14" s="30" t="s">
        <v>13</v>
      </c>
      <c r="G14" s="30"/>
      <c r="H14" s="30"/>
      <c r="I14" s="11"/>
      <c r="J14" s="12"/>
    </row>
    <row r="15" spans="1:10">
      <c r="A15" s="10"/>
      <c r="B15" s="11"/>
      <c r="C15" s="11"/>
      <c r="D15" s="11"/>
      <c r="E15" s="12"/>
      <c r="F15" s="30" t="s">
        <v>14</v>
      </c>
      <c r="G15" s="30"/>
      <c r="H15" s="3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30" t="s">
        <v>15</v>
      </c>
      <c r="G16" s="30"/>
      <c r="H16" s="30"/>
      <c r="I16" s="11"/>
      <c r="J16" s="12"/>
    </row>
    <row r="17" spans="1:10">
      <c r="A17" s="10"/>
      <c r="B17" s="11"/>
      <c r="C17" s="11"/>
      <c r="D17" s="11"/>
      <c r="E17" s="12"/>
      <c r="F17" s="30" t="s">
        <v>16</v>
      </c>
      <c r="G17" s="30"/>
      <c r="H17" s="3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70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72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71</v>
      </c>
      <c r="B29" s="29"/>
      <c r="C29" s="11"/>
      <c r="D29" s="12"/>
      <c r="E29" s="15" t="s">
        <v>31</v>
      </c>
      <c r="F29" s="11" t="s">
        <v>32</v>
      </c>
      <c r="G29" s="165" t="s">
        <v>61</v>
      </c>
      <c r="H29" s="165"/>
      <c r="I29" s="166" t="s">
        <v>62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68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9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9">
        <v>1</v>
      </c>
      <c r="B34" s="15" t="s">
        <v>73</v>
      </c>
      <c r="C34" s="15" t="s">
        <v>42</v>
      </c>
      <c r="D34" s="37"/>
      <c r="E34" s="147">
        <v>14</v>
      </c>
      <c r="F34" s="148"/>
      <c r="G34" s="37">
        <v>1.7230000000000001</v>
      </c>
      <c r="H34" s="40"/>
      <c r="I34" s="149"/>
      <c r="J34" s="150"/>
    </row>
    <row r="35" spans="1:10" ht="18.899999999999999" customHeight="1">
      <c r="A35" s="39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39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39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9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9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9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9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9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9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9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9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9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9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14</v>
      </c>
      <c r="F48" s="179"/>
      <c r="G48" s="48">
        <f>SUM(G33:G47)</f>
        <v>1.7230000000000001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2:J1048576"/>
  <sheetViews>
    <sheetView topLeftCell="A16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30" t="s">
        <v>10</v>
      </c>
      <c r="G12" s="30"/>
      <c r="H12" s="3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30" t="s">
        <v>12</v>
      </c>
      <c r="G13" s="30"/>
      <c r="H13" s="30"/>
      <c r="I13" s="11"/>
      <c r="J13" s="12"/>
    </row>
    <row r="14" spans="1:10">
      <c r="A14" s="10"/>
      <c r="B14" s="11"/>
      <c r="C14" s="11"/>
      <c r="D14" s="11"/>
      <c r="E14" s="12"/>
      <c r="F14" s="30" t="s">
        <v>13</v>
      </c>
      <c r="G14" s="30"/>
      <c r="H14" s="30"/>
      <c r="I14" s="11"/>
      <c r="J14" s="12"/>
    </row>
    <row r="15" spans="1:10">
      <c r="A15" s="10"/>
      <c r="B15" s="11"/>
      <c r="C15" s="11"/>
      <c r="D15" s="11"/>
      <c r="E15" s="12"/>
      <c r="F15" s="30" t="s">
        <v>14</v>
      </c>
      <c r="G15" s="30"/>
      <c r="H15" s="3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30" t="s">
        <v>15</v>
      </c>
      <c r="G16" s="30"/>
      <c r="H16" s="30"/>
      <c r="I16" s="11"/>
      <c r="J16" s="12"/>
    </row>
    <row r="17" spans="1:10">
      <c r="A17" s="10"/>
      <c r="B17" s="11"/>
      <c r="C17" s="11"/>
      <c r="D17" s="11"/>
      <c r="E17" s="12"/>
      <c r="F17" s="30" t="s">
        <v>16</v>
      </c>
      <c r="G17" s="30"/>
      <c r="H17" s="3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74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27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30</v>
      </c>
      <c r="B29" s="29"/>
      <c r="C29" s="11"/>
      <c r="D29" s="12"/>
      <c r="E29" s="15" t="s">
        <v>31</v>
      </c>
      <c r="F29" s="11" t="s">
        <v>32</v>
      </c>
      <c r="G29" s="165" t="s">
        <v>75</v>
      </c>
      <c r="H29" s="165"/>
      <c r="I29" s="166" t="s">
        <v>76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77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9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9">
        <v>1</v>
      </c>
      <c r="B34" s="15" t="s">
        <v>78</v>
      </c>
      <c r="C34" s="15" t="s">
        <v>65</v>
      </c>
      <c r="D34" s="37"/>
      <c r="E34" s="147">
        <v>15</v>
      </c>
      <c r="F34" s="148"/>
      <c r="G34" s="37">
        <v>2.2240000000000002</v>
      </c>
      <c r="H34" s="40"/>
      <c r="I34" s="149"/>
      <c r="J34" s="150"/>
    </row>
    <row r="35" spans="1:10" ht="18.899999999999999" customHeight="1">
      <c r="A35" s="39">
        <v>2</v>
      </c>
      <c r="B35" s="15" t="s">
        <v>79</v>
      </c>
      <c r="C35" s="15" t="s">
        <v>65</v>
      </c>
      <c r="D35" s="37"/>
      <c r="E35" s="147">
        <v>17</v>
      </c>
      <c r="F35" s="148"/>
      <c r="G35" s="37">
        <v>1.514</v>
      </c>
      <c r="H35" s="40"/>
      <c r="I35" s="149" t="s">
        <v>3</v>
      </c>
      <c r="J35" s="150"/>
    </row>
    <row r="36" spans="1:10" ht="18.899999999999999" customHeight="1">
      <c r="A36" s="39">
        <v>3</v>
      </c>
      <c r="B36" s="15" t="s">
        <v>80</v>
      </c>
      <c r="C36" s="15" t="s">
        <v>65</v>
      </c>
      <c r="D36" s="37"/>
      <c r="E36" s="147">
        <v>28</v>
      </c>
      <c r="F36" s="148"/>
      <c r="G36" s="37">
        <v>2.6760000000000002</v>
      </c>
      <c r="H36" s="40"/>
      <c r="I36" s="149"/>
      <c r="J36" s="150"/>
    </row>
    <row r="37" spans="1:10" ht="18.899999999999999" customHeight="1">
      <c r="A37" s="39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9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9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9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9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9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9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9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9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9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9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60</v>
      </c>
      <c r="F48" s="179"/>
      <c r="G48" s="48">
        <f>SUM(G33:G47)</f>
        <v>6.4140000000000006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2:J1048576"/>
  <sheetViews>
    <sheetView topLeftCell="A25" workbookViewId="0">
      <selection activeCell="I30" sqref="I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30" t="s">
        <v>10</v>
      </c>
      <c r="G12" s="30"/>
      <c r="H12" s="3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30" t="s">
        <v>12</v>
      </c>
      <c r="G13" s="30"/>
      <c r="H13" s="30"/>
      <c r="I13" s="11"/>
      <c r="J13" s="12"/>
    </row>
    <row r="14" spans="1:10">
      <c r="A14" s="10"/>
      <c r="B14" s="11"/>
      <c r="C14" s="11"/>
      <c r="D14" s="11"/>
      <c r="E14" s="12"/>
      <c r="F14" s="30" t="s">
        <v>13</v>
      </c>
      <c r="G14" s="30"/>
      <c r="H14" s="30"/>
      <c r="I14" s="11"/>
      <c r="J14" s="12"/>
    </row>
    <row r="15" spans="1:10">
      <c r="A15" s="10"/>
      <c r="B15" s="11"/>
      <c r="C15" s="11"/>
      <c r="D15" s="11"/>
      <c r="E15" s="12"/>
      <c r="F15" s="30" t="s">
        <v>14</v>
      </c>
      <c r="G15" s="30"/>
      <c r="H15" s="3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30" t="s">
        <v>15</v>
      </c>
      <c r="G16" s="30"/>
      <c r="H16" s="30"/>
      <c r="I16" s="11"/>
      <c r="J16" s="12"/>
    </row>
    <row r="17" spans="1:10">
      <c r="A17" s="10"/>
      <c r="B17" s="11"/>
      <c r="C17" s="11"/>
      <c r="D17" s="11"/>
      <c r="E17" s="12"/>
      <c r="F17" s="30" t="s">
        <v>16</v>
      </c>
      <c r="G17" s="30"/>
      <c r="H17" s="3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81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75</v>
      </c>
      <c r="H29" s="165"/>
      <c r="I29" s="166" t="s">
        <v>76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77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9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9">
        <v>1</v>
      </c>
      <c r="B34" s="15" t="s">
        <v>82</v>
      </c>
      <c r="C34" s="15" t="s">
        <v>42</v>
      </c>
      <c r="D34" s="37"/>
      <c r="E34" s="147">
        <v>61</v>
      </c>
      <c r="F34" s="148"/>
      <c r="G34" s="37">
        <v>3.9729999999999999</v>
      </c>
      <c r="H34" s="40"/>
      <c r="I34" s="149"/>
      <c r="J34" s="150"/>
    </row>
    <row r="35" spans="1:10" ht="18.899999999999999" customHeight="1">
      <c r="A35" s="39">
        <v>2</v>
      </c>
      <c r="B35" s="15" t="s">
        <v>83</v>
      </c>
      <c r="C35" s="15" t="s">
        <v>42</v>
      </c>
      <c r="D35" s="37"/>
      <c r="E35" s="147">
        <v>5</v>
      </c>
      <c r="F35" s="148"/>
      <c r="G35" s="37">
        <v>0.47199999999999998</v>
      </c>
      <c r="H35" s="40"/>
      <c r="I35" s="149" t="s">
        <v>3</v>
      </c>
      <c r="J35" s="150"/>
    </row>
    <row r="36" spans="1:10" ht="18.899999999999999" customHeight="1">
      <c r="A36" s="39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39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9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9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9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9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9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9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9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9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9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9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66</v>
      </c>
      <c r="F48" s="179"/>
      <c r="G48" s="48">
        <f>SUM(G33:G47)</f>
        <v>4.4450000000000003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2:J1048576"/>
  <sheetViews>
    <sheetView topLeftCell="A17" workbookViewId="0">
      <selection activeCell="B34" sqref="B34:B35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30" t="s">
        <v>10</v>
      </c>
      <c r="G12" s="30"/>
      <c r="H12" s="3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30" t="s">
        <v>12</v>
      </c>
      <c r="G13" s="30"/>
      <c r="H13" s="30"/>
      <c r="I13" s="11"/>
      <c r="J13" s="12"/>
    </row>
    <row r="14" spans="1:10">
      <c r="A14" s="10"/>
      <c r="B14" s="11"/>
      <c r="C14" s="11"/>
      <c r="D14" s="11"/>
      <c r="E14" s="12"/>
      <c r="F14" s="30" t="s">
        <v>13</v>
      </c>
      <c r="G14" s="30"/>
      <c r="H14" s="30"/>
      <c r="I14" s="11"/>
      <c r="J14" s="12"/>
    </row>
    <row r="15" spans="1:10">
      <c r="A15" s="10"/>
      <c r="B15" s="11"/>
      <c r="C15" s="11"/>
      <c r="D15" s="11"/>
      <c r="E15" s="12"/>
      <c r="F15" s="30" t="s">
        <v>14</v>
      </c>
      <c r="G15" s="30"/>
      <c r="H15" s="3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30" t="s">
        <v>15</v>
      </c>
      <c r="G16" s="30"/>
      <c r="H16" s="30"/>
      <c r="I16" s="11"/>
      <c r="J16" s="12"/>
    </row>
    <row r="17" spans="1:10">
      <c r="A17" s="10"/>
      <c r="B17" s="11"/>
      <c r="C17" s="11"/>
      <c r="D17" s="11"/>
      <c r="E17" s="12"/>
      <c r="F17" s="30" t="s">
        <v>16</v>
      </c>
      <c r="G17" s="30"/>
      <c r="H17" s="3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84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75</v>
      </c>
      <c r="H29" s="165"/>
      <c r="I29" s="166" t="s">
        <v>76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85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9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9">
        <v>1</v>
      </c>
      <c r="B34" s="15" t="s">
        <v>82</v>
      </c>
      <c r="C34" s="15" t="s">
        <v>42</v>
      </c>
      <c r="D34" s="37"/>
      <c r="E34" s="147">
        <v>126</v>
      </c>
      <c r="F34" s="148"/>
      <c r="G34" s="37">
        <v>7.1079999999999997</v>
      </c>
      <c r="H34" s="40"/>
      <c r="I34" s="149"/>
      <c r="J34" s="150"/>
    </row>
    <row r="35" spans="1:10" ht="18.899999999999999" customHeight="1">
      <c r="A35" s="39">
        <v>2</v>
      </c>
      <c r="B35" s="15" t="s">
        <v>83</v>
      </c>
      <c r="C35" s="15" t="s">
        <v>42</v>
      </c>
      <c r="D35" s="37"/>
      <c r="E35" s="147">
        <f>12+144</f>
        <v>156</v>
      </c>
      <c r="F35" s="148"/>
      <c r="G35" s="37">
        <f>1.125+13.631</f>
        <v>14.756</v>
      </c>
      <c r="H35" s="40"/>
      <c r="I35" s="149" t="s">
        <v>3</v>
      </c>
      <c r="J35" s="150"/>
    </row>
    <row r="36" spans="1:10" ht="18.899999999999999" customHeight="1">
      <c r="A36" s="39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39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9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9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9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9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9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9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9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9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9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9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282</v>
      </c>
      <c r="F48" s="179"/>
      <c r="G48" s="48">
        <f>SUM(G33:G47)</f>
        <v>21.864000000000001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2:J1048576"/>
  <sheetViews>
    <sheetView topLeftCell="A19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30" t="s">
        <v>10</v>
      </c>
      <c r="G12" s="30"/>
      <c r="H12" s="3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30" t="s">
        <v>12</v>
      </c>
      <c r="G13" s="30"/>
      <c r="H13" s="30"/>
      <c r="I13" s="11"/>
      <c r="J13" s="12"/>
    </row>
    <row r="14" spans="1:10">
      <c r="A14" s="10"/>
      <c r="B14" s="11"/>
      <c r="C14" s="11"/>
      <c r="D14" s="11"/>
      <c r="E14" s="12"/>
      <c r="F14" s="30" t="s">
        <v>13</v>
      </c>
      <c r="G14" s="30"/>
      <c r="H14" s="30"/>
      <c r="I14" s="11"/>
      <c r="J14" s="12"/>
    </row>
    <row r="15" spans="1:10">
      <c r="A15" s="10"/>
      <c r="B15" s="11"/>
      <c r="C15" s="11"/>
      <c r="D15" s="11"/>
      <c r="E15" s="12"/>
      <c r="F15" s="30" t="s">
        <v>14</v>
      </c>
      <c r="G15" s="30"/>
      <c r="H15" s="3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30" t="s">
        <v>15</v>
      </c>
      <c r="G16" s="30"/>
      <c r="H16" s="30"/>
      <c r="I16" s="11"/>
      <c r="J16" s="12"/>
    </row>
    <row r="17" spans="1:10">
      <c r="A17" s="10"/>
      <c r="B17" s="11"/>
      <c r="C17" s="11"/>
      <c r="D17" s="11"/>
      <c r="E17" s="12"/>
      <c r="F17" s="30" t="s">
        <v>16</v>
      </c>
      <c r="G17" s="30"/>
      <c r="H17" s="3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86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87</v>
      </c>
      <c r="H29" s="165"/>
      <c r="I29" s="166" t="s">
        <v>88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89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9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9">
        <v>1</v>
      </c>
      <c r="B34" s="15" t="s">
        <v>90</v>
      </c>
      <c r="C34" s="15" t="s">
        <v>65</v>
      </c>
      <c r="D34" s="37"/>
      <c r="E34" s="147">
        <v>155</v>
      </c>
      <c r="F34" s="148"/>
      <c r="G34" s="37">
        <v>16.815999999999999</v>
      </c>
      <c r="H34" s="40"/>
      <c r="I34" s="149"/>
      <c r="J34" s="150"/>
    </row>
    <row r="35" spans="1:10" ht="18.899999999999999" customHeight="1">
      <c r="A35" s="39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39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39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9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9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9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9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9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9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9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9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9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9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155</v>
      </c>
      <c r="F48" s="179"/>
      <c r="G48" s="48">
        <f>SUM(G33:G47)</f>
        <v>16.815999999999999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2:J1048576"/>
  <sheetViews>
    <sheetView topLeftCell="A10" workbookViewId="0">
      <selection activeCell="E39" sqref="E39:F3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30" t="s">
        <v>10</v>
      </c>
      <c r="G12" s="30"/>
      <c r="H12" s="3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30" t="s">
        <v>12</v>
      </c>
      <c r="G13" s="30"/>
      <c r="H13" s="30"/>
      <c r="I13" s="11"/>
      <c r="J13" s="12"/>
    </row>
    <row r="14" spans="1:10">
      <c r="A14" s="10"/>
      <c r="B14" s="11"/>
      <c r="C14" s="11"/>
      <c r="D14" s="11"/>
      <c r="E14" s="12"/>
      <c r="F14" s="30" t="s">
        <v>13</v>
      </c>
      <c r="G14" s="30"/>
      <c r="H14" s="30"/>
      <c r="I14" s="11"/>
      <c r="J14" s="12"/>
    </row>
    <row r="15" spans="1:10">
      <c r="A15" s="10"/>
      <c r="B15" s="11"/>
      <c r="C15" s="11"/>
      <c r="D15" s="11"/>
      <c r="E15" s="12"/>
      <c r="F15" s="30" t="s">
        <v>14</v>
      </c>
      <c r="G15" s="30"/>
      <c r="H15" s="3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30" t="s">
        <v>15</v>
      </c>
      <c r="G16" s="30"/>
      <c r="H16" s="30"/>
      <c r="I16" s="11"/>
      <c r="J16" s="12"/>
    </row>
    <row r="17" spans="1:10">
      <c r="A17" s="10"/>
      <c r="B17" s="11"/>
      <c r="C17" s="11"/>
      <c r="D17" s="11"/>
      <c r="E17" s="12"/>
      <c r="F17" s="30" t="s">
        <v>16</v>
      </c>
      <c r="G17" s="30"/>
      <c r="H17" s="3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91</v>
      </c>
      <c r="B19" s="22"/>
      <c r="C19" s="22"/>
      <c r="D19" s="23"/>
      <c r="E19" s="22" t="s">
        <v>18</v>
      </c>
      <c r="F19" s="22"/>
      <c r="G19" s="22" t="s">
        <v>57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87</v>
      </c>
      <c r="H29" s="165"/>
      <c r="I29" s="166" t="s">
        <v>88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3" t="s">
        <v>92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33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39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39">
        <v>1</v>
      </c>
      <c r="B34" s="15" t="s">
        <v>90</v>
      </c>
      <c r="C34" s="15" t="s">
        <v>65</v>
      </c>
      <c r="D34" s="37"/>
      <c r="E34" s="147">
        <f>6+178</f>
        <v>184</v>
      </c>
      <c r="F34" s="148"/>
      <c r="G34" s="37">
        <f>0.64+15.043</f>
        <v>15.683</v>
      </c>
      <c r="H34" s="40"/>
      <c r="I34" s="149"/>
      <c r="J34" s="150"/>
    </row>
    <row r="35" spans="1:10" ht="18.899999999999999" customHeight="1">
      <c r="A35" s="39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39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39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39"/>
      <c r="B38" s="15"/>
      <c r="C38" s="15"/>
      <c r="D38" s="37"/>
      <c r="E38" s="147"/>
      <c r="F38" s="148"/>
      <c r="G38" s="37"/>
      <c r="H38" s="40"/>
      <c r="I38" s="41"/>
      <c r="J38" s="42"/>
    </row>
    <row r="39" spans="1:10" ht="18.899999999999999" customHeight="1">
      <c r="A39" s="39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39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39"/>
      <c r="B41" s="15"/>
      <c r="C41" s="15"/>
      <c r="D41" s="37"/>
      <c r="E41" s="147"/>
      <c r="F41" s="148"/>
      <c r="G41" s="37"/>
      <c r="H41" s="40"/>
      <c r="I41" s="41"/>
      <c r="J41" s="42"/>
    </row>
    <row r="42" spans="1:10" ht="18.899999999999999" customHeight="1">
      <c r="A42" s="39"/>
      <c r="B42" s="15"/>
      <c r="C42" s="15"/>
      <c r="D42" s="37"/>
      <c r="E42" s="147"/>
      <c r="F42" s="148"/>
      <c r="G42" s="43"/>
      <c r="H42" s="40"/>
      <c r="I42" s="41"/>
      <c r="J42" s="42"/>
    </row>
    <row r="43" spans="1:10" ht="18.899999999999999" customHeight="1">
      <c r="A43" s="39"/>
      <c r="B43" s="15"/>
      <c r="C43" s="15"/>
      <c r="D43" s="37"/>
      <c r="E43" s="147"/>
      <c r="F43" s="148"/>
      <c r="G43" s="43"/>
      <c r="H43" s="44"/>
      <c r="I43" s="41"/>
      <c r="J43" s="42"/>
    </row>
    <row r="44" spans="1:10" ht="18.899999999999999" customHeight="1">
      <c r="A44" s="39"/>
      <c r="B44" s="15"/>
      <c r="C44" s="15"/>
      <c r="D44" s="45"/>
      <c r="E44" s="147"/>
      <c r="F44" s="148"/>
      <c r="G44" s="43"/>
      <c r="H44" s="44"/>
      <c r="I44" s="41"/>
      <c r="J44" s="42"/>
    </row>
    <row r="45" spans="1:10" ht="18.75" customHeight="1">
      <c r="A45" s="39"/>
      <c r="B45" s="15"/>
      <c r="C45" s="15"/>
      <c r="D45" s="12"/>
      <c r="E45" s="147"/>
      <c r="F45" s="148"/>
      <c r="G45" s="43"/>
      <c r="H45" s="46"/>
      <c r="I45" s="41"/>
      <c r="J45" s="42"/>
    </row>
    <row r="46" spans="1:10" ht="18.899999999999999" customHeight="1">
      <c r="A46" s="39"/>
      <c r="B46" s="15"/>
      <c r="C46" s="15"/>
      <c r="D46" s="12"/>
      <c r="E46" s="147"/>
      <c r="F46" s="148"/>
      <c r="G46" s="43"/>
      <c r="H46" s="46"/>
      <c r="I46" s="41"/>
      <c r="J46" s="42"/>
    </row>
    <row r="47" spans="1:10" ht="18.899999999999999" customHeight="1" thickBot="1">
      <c r="A47" s="39"/>
      <c r="B47" s="15"/>
      <c r="C47" s="15"/>
      <c r="D47" s="12"/>
      <c r="E47" s="147"/>
      <c r="F47" s="148"/>
      <c r="G47" s="37"/>
      <c r="H47" s="47"/>
      <c r="I47" s="41"/>
      <c r="J47" s="42"/>
    </row>
    <row r="48" spans="1:10" ht="18.899999999999999" customHeight="1" thickBot="1">
      <c r="A48" s="10"/>
      <c r="B48" s="11"/>
      <c r="C48" s="11"/>
      <c r="D48" s="12"/>
      <c r="E48" s="175">
        <f>SUM(E33:F47)</f>
        <v>184</v>
      </c>
      <c r="F48" s="179"/>
      <c r="G48" s="48">
        <f>SUM(G33:G47)</f>
        <v>15.683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54"/>
      <c r="J50" s="55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2:J1048576"/>
  <sheetViews>
    <sheetView topLeftCell="A31" workbookViewId="0">
      <selection activeCell="B37" sqref="B37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77" t="s">
        <v>10</v>
      </c>
      <c r="G12" s="77"/>
      <c r="H12" s="77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77" t="s">
        <v>12</v>
      </c>
      <c r="G13" s="77"/>
      <c r="H13" s="77"/>
      <c r="I13" s="11"/>
      <c r="J13" s="12"/>
    </row>
    <row r="14" spans="1:10">
      <c r="A14" s="10"/>
      <c r="B14" s="11"/>
      <c r="C14" s="11"/>
      <c r="D14" s="11"/>
      <c r="E14" s="12"/>
      <c r="F14" s="77" t="s">
        <v>13</v>
      </c>
      <c r="G14" s="77"/>
      <c r="H14" s="77"/>
      <c r="I14" s="11"/>
      <c r="J14" s="12"/>
    </row>
    <row r="15" spans="1:10">
      <c r="A15" s="10"/>
      <c r="B15" s="11"/>
      <c r="C15" s="11"/>
      <c r="D15" s="11"/>
      <c r="E15" s="12"/>
      <c r="F15" s="77" t="s">
        <v>14</v>
      </c>
      <c r="G15" s="77"/>
      <c r="H15" s="77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77" t="s">
        <v>15</v>
      </c>
      <c r="G16" s="77"/>
      <c r="H16" s="77"/>
      <c r="I16" s="11"/>
      <c r="J16" s="12"/>
    </row>
    <row r="17" spans="1:10">
      <c r="A17" s="10"/>
      <c r="B17" s="11"/>
      <c r="C17" s="11"/>
      <c r="D17" s="11"/>
      <c r="E17" s="12"/>
      <c r="F17" s="77" t="s">
        <v>16</v>
      </c>
      <c r="G17" s="77"/>
      <c r="H17" s="77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93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95</v>
      </c>
      <c r="H29" s="165"/>
      <c r="I29" s="166" t="s">
        <v>96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77" t="s">
        <v>97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78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74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74">
        <v>1</v>
      </c>
      <c r="B34" s="15" t="s">
        <v>98</v>
      </c>
      <c r="C34" s="15" t="s">
        <v>65</v>
      </c>
      <c r="D34" s="37"/>
      <c r="E34" s="147">
        <f>114+36</f>
        <v>150</v>
      </c>
      <c r="F34" s="148"/>
      <c r="G34" s="37">
        <f>14.038+4.973</f>
        <v>19.010999999999999</v>
      </c>
      <c r="H34" s="40"/>
      <c r="I34" s="149"/>
      <c r="J34" s="150"/>
    </row>
    <row r="35" spans="1:10" ht="18.899999999999999" customHeight="1">
      <c r="A35" s="74">
        <v>2</v>
      </c>
      <c r="B35" s="15" t="s">
        <v>100</v>
      </c>
      <c r="C35" s="15" t="s">
        <v>65</v>
      </c>
      <c r="D35" s="37"/>
      <c r="E35" s="147">
        <v>129</v>
      </c>
      <c r="F35" s="148"/>
      <c r="G35" s="37">
        <v>14.048999999999999</v>
      </c>
      <c r="H35" s="40"/>
      <c r="I35" s="149" t="s">
        <v>3</v>
      </c>
      <c r="J35" s="150"/>
    </row>
    <row r="36" spans="1:10" ht="18.899999999999999" customHeight="1">
      <c r="A36" s="74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74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74"/>
      <c r="B38" s="15"/>
      <c r="C38" s="15"/>
      <c r="D38" s="37"/>
      <c r="E38" s="147"/>
      <c r="F38" s="148"/>
      <c r="G38" s="37"/>
      <c r="H38" s="40"/>
      <c r="I38" s="75"/>
      <c r="J38" s="76"/>
    </row>
    <row r="39" spans="1:10" ht="18.899999999999999" customHeight="1">
      <c r="A39" s="74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74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74"/>
      <c r="B41" s="15"/>
      <c r="C41" s="15"/>
      <c r="D41" s="37"/>
      <c r="E41" s="147"/>
      <c r="F41" s="148"/>
      <c r="G41" s="37"/>
      <c r="H41" s="40"/>
      <c r="I41" s="75"/>
      <c r="J41" s="76"/>
    </row>
    <row r="42" spans="1:10" ht="18.899999999999999" customHeight="1">
      <c r="A42" s="74"/>
      <c r="B42" s="15"/>
      <c r="C42" s="15"/>
      <c r="D42" s="37"/>
      <c r="E42" s="147"/>
      <c r="F42" s="148"/>
      <c r="G42" s="43"/>
      <c r="H42" s="40"/>
      <c r="I42" s="75"/>
      <c r="J42" s="76"/>
    </row>
    <row r="43" spans="1:10" ht="18.899999999999999" customHeight="1">
      <c r="A43" s="74"/>
      <c r="B43" s="15"/>
      <c r="C43" s="15"/>
      <c r="D43" s="37"/>
      <c r="E43" s="147"/>
      <c r="F43" s="148"/>
      <c r="G43" s="43"/>
      <c r="H43" s="44"/>
      <c r="I43" s="75"/>
      <c r="J43" s="76"/>
    </row>
    <row r="44" spans="1:10" ht="18.899999999999999" customHeight="1">
      <c r="A44" s="74"/>
      <c r="B44" s="15"/>
      <c r="C44" s="15"/>
      <c r="D44" s="45"/>
      <c r="E44" s="147"/>
      <c r="F44" s="148"/>
      <c r="G44" s="43"/>
      <c r="H44" s="44"/>
      <c r="I44" s="75"/>
      <c r="J44" s="76"/>
    </row>
    <row r="45" spans="1:10" ht="18.75" customHeight="1">
      <c r="A45" s="74"/>
      <c r="B45" s="15"/>
      <c r="C45" s="15"/>
      <c r="D45" s="12"/>
      <c r="E45" s="147"/>
      <c r="F45" s="148"/>
      <c r="G45" s="43"/>
      <c r="H45" s="46"/>
      <c r="I45" s="75"/>
      <c r="J45" s="76"/>
    </row>
    <row r="46" spans="1:10" ht="18.899999999999999" customHeight="1">
      <c r="A46" s="74"/>
      <c r="B46" s="15"/>
      <c r="C46" s="15"/>
      <c r="D46" s="12"/>
      <c r="E46" s="147"/>
      <c r="F46" s="148"/>
      <c r="G46" s="43"/>
      <c r="H46" s="46"/>
      <c r="I46" s="75"/>
      <c r="J46" s="76"/>
    </row>
    <row r="47" spans="1:10" ht="18.899999999999999" customHeight="1" thickBot="1">
      <c r="A47" s="74"/>
      <c r="B47" s="15"/>
      <c r="C47" s="15"/>
      <c r="D47" s="12"/>
      <c r="E47" s="147"/>
      <c r="F47" s="148"/>
      <c r="G47" s="37"/>
      <c r="H47" s="47"/>
      <c r="I47" s="75"/>
      <c r="J47" s="76"/>
    </row>
    <row r="48" spans="1:10" ht="18.899999999999999" customHeight="1" thickBot="1">
      <c r="A48" s="10"/>
      <c r="B48" s="11"/>
      <c r="C48" s="11"/>
      <c r="D48" s="12"/>
      <c r="E48" s="175">
        <f>SUM(E33:F47)</f>
        <v>279</v>
      </c>
      <c r="F48" s="179"/>
      <c r="G48" s="48">
        <f>SUM(G33:G47)</f>
        <v>33.06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79"/>
      <c r="J50" s="80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2:L1048576"/>
  <sheetViews>
    <sheetView topLeftCell="A13" workbookViewId="0">
      <selection activeCell="D36" sqref="D36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77" t="s">
        <v>10</v>
      </c>
      <c r="G12" s="77"/>
      <c r="H12" s="77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77" t="s">
        <v>12</v>
      </c>
      <c r="G13" s="77"/>
      <c r="H13" s="77"/>
      <c r="I13" s="11"/>
      <c r="J13" s="12"/>
    </row>
    <row r="14" spans="1:10">
      <c r="A14" s="10"/>
      <c r="B14" s="11"/>
      <c r="C14" s="11"/>
      <c r="D14" s="11"/>
      <c r="E14" s="12"/>
      <c r="F14" s="77" t="s">
        <v>13</v>
      </c>
      <c r="G14" s="77"/>
      <c r="H14" s="77"/>
      <c r="I14" s="11"/>
      <c r="J14" s="12"/>
    </row>
    <row r="15" spans="1:10">
      <c r="A15" s="10"/>
      <c r="B15" s="11"/>
      <c r="C15" s="11"/>
      <c r="D15" s="11"/>
      <c r="E15" s="12"/>
      <c r="F15" s="77" t="s">
        <v>14</v>
      </c>
      <c r="G15" s="77"/>
      <c r="H15" s="77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77" t="s">
        <v>15</v>
      </c>
      <c r="G16" s="77"/>
      <c r="H16" s="77"/>
      <c r="I16" s="11"/>
      <c r="J16" s="12"/>
    </row>
    <row r="17" spans="1:12">
      <c r="A17" s="10"/>
      <c r="B17" s="11"/>
      <c r="C17" s="11"/>
      <c r="D17" s="11"/>
      <c r="E17" s="12"/>
      <c r="F17" s="77" t="s">
        <v>16</v>
      </c>
      <c r="G17" s="77"/>
      <c r="H17" s="77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99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72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110</v>
      </c>
      <c r="B29" s="88"/>
      <c r="C29" s="11"/>
      <c r="D29" s="12"/>
      <c r="E29" s="15" t="s">
        <v>31</v>
      </c>
      <c r="F29" s="11" t="s">
        <v>32</v>
      </c>
      <c r="G29" s="165" t="s">
        <v>111</v>
      </c>
      <c r="H29" s="165"/>
      <c r="I29" s="166" t="s">
        <v>112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77" t="s">
        <v>113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78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74">
        <v>1</v>
      </c>
      <c r="B34" s="15" t="s">
        <v>114</v>
      </c>
      <c r="C34" s="15" t="s">
        <v>115</v>
      </c>
      <c r="D34" s="37"/>
      <c r="E34" s="147">
        <v>2</v>
      </c>
      <c r="F34" s="148"/>
      <c r="G34" s="37">
        <v>0.27</v>
      </c>
      <c r="H34" s="38"/>
      <c r="I34" s="149"/>
      <c r="J34" s="150"/>
      <c r="L34" s="37"/>
    </row>
    <row r="35" spans="1:12" ht="18.899999999999999" customHeight="1">
      <c r="A35" s="74">
        <v>2</v>
      </c>
      <c r="B35" s="15" t="s">
        <v>116</v>
      </c>
      <c r="C35" s="15" t="s">
        <v>115</v>
      </c>
      <c r="D35" s="37"/>
      <c r="E35" s="147">
        <v>15</v>
      </c>
      <c r="F35" s="148"/>
      <c r="G35" s="37">
        <v>1.7949999999999999</v>
      </c>
      <c r="H35" s="40"/>
      <c r="I35" s="149"/>
      <c r="J35" s="150"/>
    </row>
    <row r="36" spans="1:12" ht="18.899999999999999" customHeight="1">
      <c r="A36" s="74">
        <v>3</v>
      </c>
      <c r="B36" s="15" t="s">
        <v>117</v>
      </c>
      <c r="C36" s="15" t="s">
        <v>115</v>
      </c>
      <c r="D36" s="37"/>
      <c r="E36" s="147">
        <v>12</v>
      </c>
      <c r="F36" s="148"/>
      <c r="G36" s="37">
        <v>1.7</v>
      </c>
      <c r="H36" s="40"/>
      <c r="I36" s="149"/>
      <c r="J36" s="150"/>
    </row>
    <row r="37" spans="1:12" ht="18.899999999999999" customHeight="1">
      <c r="A37" s="74">
        <v>4</v>
      </c>
      <c r="B37" s="15" t="s">
        <v>118</v>
      </c>
      <c r="C37" s="15" t="s">
        <v>115</v>
      </c>
      <c r="D37" s="37"/>
      <c r="E37" s="147">
        <v>10</v>
      </c>
      <c r="F37" s="148"/>
      <c r="G37" s="37">
        <v>0.56200000000000006</v>
      </c>
      <c r="H37" s="40"/>
      <c r="I37" s="149"/>
      <c r="J37" s="150"/>
    </row>
    <row r="38" spans="1:12" ht="18.899999999999999" customHeight="1">
      <c r="A38" s="74">
        <v>5</v>
      </c>
      <c r="B38" s="15" t="s">
        <v>119</v>
      </c>
      <c r="C38" s="15" t="s">
        <v>120</v>
      </c>
      <c r="D38" s="90"/>
      <c r="E38" s="147">
        <v>1</v>
      </c>
      <c r="F38" s="148"/>
      <c r="G38" s="37">
        <v>0.11899999999999999</v>
      </c>
      <c r="H38" s="40"/>
      <c r="I38" s="149"/>
      <c r="J38" s="150"/>
    </row>
    <row r="39" spans="1:12" ht="18.899999999999999" customHeight="1">
      <c r="A39" s="74">
        <v>6</v>
      </c>
      <c r="B39" s="15" t="s">
        <v>121</v>
      </c>
      <c r="C39" s="15" t="s">
        <v>120</v>
      </c>
      <c r="D39" s="90"/>
      <c r="E39" s="147">
        <v>4</v>
      </c>
      <c r="F39" s="148"/>
      <c r="G39" s="37">
        <v>0.439</v>
      </c>
      <c r="H39" s="40"/>
      <c r="I39" s="149"/>
      <c r="J39" s="150"/>
    </row>
    <row r="40" spans="1:12" ht="18.899999999999999" customHeight="1">
      <c r="A40" s="74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74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74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74"/>
      <c r="B43" s="15"/>
      <c r="C43" s="15"/>
      <c r="D43" s="90"/>
      <c r="E43" s="147"/>
      <c r="F43" s="148"/>
      <c r="G43" s="37"/>
      <c r="H43" s="40"/>
      <c r="I43" s="75"/>
      <c r="J43" s="76"/>
    </row>
    <row r="44" spans="1:12" ht="18.899999999999999" customHeight="1">
      <c r="A44" s="74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74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44</v>
      </c>
      <c r="F46" s="179"/>
      <c r="G46" s="48">
        <f>SUM(G33:G45)</f>
        <v>4.8849999999999998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78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79"/>
      <c r="J50" s="80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I39:J39"/>
    <mergeCell ref="E40:F40"/>
    <mergeCell ref="I40:J40"/>
    <mergeCell ref="E41:F41"/>
    <mergeCell ref="E35:F35"/>
    <mergeCell ref="I35:J35"/>
    <mergeCell ref="E36:F36"/>
    <mergeCell ref="I36:J36"/>
    <mergeCell ref="E37:F37"/>
    <mergeCell ref="I37:J37"/>
    <mergeCell ref="E44:F44"/>
    <mergeCell ref="E45:F45"/>
    <mergeCell ref="E46:F46"/>
    <mergeCell ref="E38:F38"/>
    <mergeCell ref="E39:F39"/>
    <mergeCell ref="E54:H54"/>
    <mergeCell ref="I54:J54"/>
    <mergeCell ref="I38:J38"/>
    <mergeCell ref="I41:J41"/>
    <mergeCell ref="I42:J42"/>
    <mergeCell ref="I44:J44"/>
    <mergeCell ref="I45:J45"/>
    <mergeCell ref="I46:J46"/>
    <mergeCell ref="I47:J47"/>
    <mergeCell ref="I48:J48"/>
    <mergeCell ref="I49:J49"/>
    <mergeCell ref="I51:J51"/>
    <mergeCell ref="I52:J52"/>
    <mergeCell ref="I53:J53"/>
    <mergeCell ref="E42:F42"/>
    <mergeCell ref="E43:F4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2:L1048576"/>
  <sheetViews>
    <sheetView topLeftCell="A25" workbookViewId="0">
      <selection activeCell="I29" sqref="I29:J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77" t="s">
        <v>10</v>
      </c>
      <c r="G12" s="77"/>
      <c r="H12" s="77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77" t="s">
        <v>12</v>
      </c>
      <c r="G13" s="77"/>
      <c r="H13" s="77"/>
      <c r="I13" s="11"/>
      <c r="J13" s="12"/>
    </row>
    <row r="14" spans="1:10">
      <c r="A14" s="10"/>
      <c r="B14" s="11"/>
      <c r="C14" s="11"/>
      <c r="D14" s="11"/>
      <c r="E14" s="12"/>
      <c r="F14" s="77" t="s">
        <v>13</v>
      </c>
      <c r="G14" s="77"/>
      <c r="H14" s="77"/>
      <c r="I14" s="11"/>
      <c r="J14" s="12"/>
    </row>
    <row r="15" spans="1:10">
      <c r="A15" s="10"/>
      <c r="B15" s="11"/>
      <c r="C15" s="11"/>
      <c r="D15" s="11"/>
      <c r="E15" s="12"/>
      <c r="F15" s="77" t="s">
        <v>14</v>
      </c>
      <c r="G15" s="77"/>
      <c r="H15" s="77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77" t="s">
        <v>15</v>
      </c>
      <c r="G16" s="77"/>
      <c r="H16" s="77"/>
      <c r="I16" s="11"/>
      <c r="J16" s="12"/>
    </row>
    <row r="17" spans="1:12">
      <c r="A17" s="10"/>
      <c r="B17" s="11"/>
      <c r="C17" s="11"/>
      <c r="D17" s="11"/>
      <c r="E17" s="12"/>
      <c r="F17" s="77" t="s">
        <v>16</v>
      </c>
      <c r="G17" s="77"/>
      <c r="H17" s="77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109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123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122</v>
      </c>
      <c r="B29" s="88"/>
      <c r="C29" s="11"/>
      <c r="D29" s="12"/>
      <c r="E29" s="15" t="s">
        <v>31</v>
      </c>
      <c r="F29" s="11" t="s">
        <v>32</v>
      </c>
      <c r="G29" s="165" t="s">
        <v>111</v>
      </c>
      <c r="H29" s="165"/>
      <c r="I29" s="166" t="s">
        <v>112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77" t="s">
        <v>124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78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74">
        <v>1</v>
      </c>
      <c r="B34" s="15" t="s">
        <v>116</v>
      </c>
      <c r="C34" s="15" t="s">
        <v>115</v>
      </c>
      <c r="D34" s="37"/>
      <c r="E34" s="147">
        <v>1</v>
      </c>
      <c r="F34" s="148"/>
      <c r="G34" s="37">
        <v>0.109</v>
      </c>
      <c r="H34" s="38"/>
      <c r="I34" s="149"/>
      <c r="J34" s="150"/>
      <c r="L34" s="37"/>
    </row>
    <row r="35" spans="1:12" ht="18.899999999999999" customHeight="1">
      <c r="A35" s="74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74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74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74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74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74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74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74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74"/>
      <c r="B43" s="15"/>
      <c r="C43" s="15"/>
      <c r="D43" s="90"/>
      <c r="E43" s="147"/>
      <c r="F43" s="148"/>
      <c r="G43" s="37"/>
      <c r="H43" s="40"/>
      <c r="I43" s="75"/>
      <c r="J43" s="76"/>
    </row>
    <row r="44" spans="1:12" ht="18.899999999999999" customHeight="1">
      <c r="A44" s="74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74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1</v>
      </c>
      <c r="F46" s="179"/>
      <c r="G46" s="48">
        <f>SUM(G33:G45)</f>
        <v>0.109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78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79"/>
      <c r="J50" s="80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I39:J39"/>
    <mergeCell ref="E40:F40"/>
    <mergeCell ref="I40:J40"/>
    <mergeCell ref="E41:F41"/>
    <mergeCell ref="E35:F35"/>
    <mergeCell ref="I35:J35"/>
    <mergeCell ref="E36:F36"/>
    <mergeCell ref="I36:J36"/>
    <mergeCell ref="E37:F37"/>
    <mergeCell ref="I37:J37"/>
    <mergeCell ref="E44:F44"/>
    <mergeCell ref="E45:F45"/>
    <mergeCell ref="E46:F46"/>
    <mergeCell ref="E38:F38"/>
    <mergeCell ref="E39:F39"/>
    <mergeCell ref="E54:H54"/>
    <mergeCell ref="I54:J54"/>
    <mergeCell ref="I38:J38"/>
    <mergeCell ref="I41:J41"/>
    <mergeCell ref="I42:J42"/>
    <mergeCell ref="I44:J44"/>
    <mergeCell ref="I45:J45"/>
    <mergeCell ref="I46:J46"/>
    <mergeCell ref="I47:J47"/>
    <mergeCell ref="I48:J48"/>
    <mergeCell ref="I49:J49"/>
    <mergeCell ref="I51:J51"/>
    <mergeCell ref="I52:J52"/>
    <mergeCell ref="I53:J53"/>
    <mergeCell ref="E42:F42"/>
    <mergeCell ref="E43:F4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2:L1048576"/>
  <sheetViews>
    <sheetView topLeftCell="A22" workbookViewId="0">
      <selection activeCell="I29" sqref="I29:J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77" t="s">
        <v>10</v>
      </c>
      <c r="G12" s="77"/>
      <c r="H12" s="77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77" t="s">
        <v>12</v>
      </c>
      <c r="G13" s="77"/>
      <c r="H13" s="77"/>
      <c r="I13" s="11"/>
      <c r="J13" s="12"/>
    </row>
    <row r="14" spans="1:10">
      <c r="A14" s="10"/>
      <c r="B14" s="11"/>
      <c r="C14" s="11"/>
      <c r="D14" s="11"/>
      <c r="E14" s="12"/>
      <c r="F14" s="77" t="s">
        <v>13</v>
      </c>
      <c r="G14" s="77"/>
      <c r="H14" s="77"/>
      <c r="I14" s="11"/>
      <c r="J14" s="12"/>
    </row>
    <row r="15" spans="1:10">
      <c r="A15" s="10"/>
      <c r="B15" s="11"/>
      <c r="C15" s="11"/>
      <c r="D15" s="11"/>
      <c r="E15" s="12"/>
      <c r="F15" s="77" t="s">
        <v>14</v>
      </c>
      <c r="G15" s="77"/>
      <c r="H15" s="77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77" t="s">
        <v>15</v>
      </c>
      <c r="G16" s="77"/>
      <c r="H16" s="77"/>
      <c r="I16" s="11"/>
      <c r="J16" s="12"/>
    </row>
    <row r="17" spans="1:12">
      <c r="A17" s="10"/>
      <c r="B17" s="11"/>
      <c r="C17" s="11"/>
      <c r="D17" s="11"/>
      <c r="E17" s="12"/>
      <c r="F17" s="77" t="s">
        <v>16</v>
      </c>
      <c r="G17" s="77"/>
      <c r="H17" s="77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125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127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126</v>
      </c>
      <c r="B29" s="88"/>
      <c r="C29" s="11"/>
      <c r="D29" s="12"/>
      <c r="E29" s="15" t="s">
        <v>31</v>
      </c>
      <c r="F29" s="11" t="s">
        <v>32</v>
      </c>
      <c r="G29" s="165" t="s">
        <v>111</v>
      </c>
      <c r="H29" s="165"/>
      <c r="I29" s="166" t="s">
        <v>112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77" t="s">
        <v>124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78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74">
        <v>1</v>
      </c>
      <c r="B34" s="15" t="s">
        <v>128</v>
      </c>
      <c r="C34" s="15" t="s">
        <v>42</v>
      </c>
      <c r="D34" s="37"/>
      <c r="E34" s="147">
        <v>2</v>
      </c>
      <c r="F34" s="148"/>
      <c r="G34" s="37">
        <v>0.41</v>
      </c>
      <c r="H34" s="38"/>
      <c r="I34" s="149"/>
      <c r="J34" s="150"/>
      <c r="L34" s="37"/>
    </row>
    <row r="35" spans="1:12" ht="18.899999999999999" customHeight="1">
      <c r="A35" s="74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74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74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74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74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74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74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74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74"/>
      <c r="B43" s="15"/>
      <c r="C43" s="15"/>
      <c r="D43" s="90"/>
      <c r="E43" s="147"/>
      <c r="F43" s="148"/>
      <c r="G43" s="37"/>
      <c r="H43" s="40"/>
      <c r="I43" s="75"/>
      <c r="J43" s="76"/>
    </row>
    <row r="44" spans="1:12" ht="18.899999999999999" customHeight="1">
      <c r="A44" s="74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74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2</v>
      </c>
      <c r="F46" s="179"/>
      <c r="G46" s="48">
        <f>SUM(G33:G45)</f>
        <v>0.41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78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79"/>
      <c r="J50" s="80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2:L1048576"/>
  <sheetViews>
    <sheetView topLeftCell="A25" workbookViewId="0">
      <selection activeCell="I29" sqref="I29:J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77" t="s">
        <v>10</v>
      </c>
      <c r="G12" s="77"/>
      <c r="H12" s="77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77" t="s">
        <v>12</v>
      </c>
      <c r="G13" s="77"/>
      <c r="H13" s="77"/>
      <c r="I13" s="11"/>
      <c r="J13" s="12"/>
    </row>
    <row r="14" spans="1:10">
      <c r="A14" s="10"/>
      <c r="B14" s="11"/>
      <c r="C14" s="11"/>
      <c r="D14" s="11"/>
      <c r="E14" s="12"/>
      <c r="F14" s="77" t="s">
        <v>13</v>
      </c>
      <c r="G14" s="77"/>
      <c r="H14" s="77"/>
      <c r="I14" s="11"/>
      <c r="J14" s="12"/>
    </row>
    <row r="15" spans="1:10">
      <c r="A15" s="10"/>
      <c r="B15" s="11"/>
      <c r="C15" s="11"/>
      <c r="D15" s="11"/>
      <c r="E15" s="12"/>
      <c r="F15" s="77" t="s">
        <v>14</v>
      </c>
      <c r="G15" s="77"/>
      <c r="H15" s="77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77" t="s">
        <v>15</v>
      </c>
      <c r="G16" s="77"/>
      <c r="H16" s="77"/>
      <c r="I16" s="11"/>
      <c r="J16" s="12"/>
    </row>
    <row r="17" spans="1:12">
      <c r="A17" s="10"/>
      <c r="B17" s="11"/>
      <c r="C17" s="11"/>
      <c r="D17" s="11"/>
      <c r="E17" s="12"/>
      <c r="F17" s="77" t="s">
        <v>16</v>
      </c>
      <c r="G17" s="77"/>
      <c r="H17" s="77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129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131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111</v>
      </c>
      <c r="H29" s="165"/>
      <c r="I29" s="166" t="s">
        <v>112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77" t="s">
        <v>124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78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74">
        <v>1</v>
      </c>
      <c r="B34" s="15" t="s">
        <v>132</v>
      </c>
      <c r="C34" s="15" t="s">
        <v>115</v>
      </c>
      <c r="D34" s="37"/>
      <c r="E34" s="147">
        <v>87</v>
      </c>
      <c r="F34" s="148"/>
      <c r="G34" s="37">
        <v>26.867000000000001</v>
      </c>
      <c r="H34" s="38"/>
      <c r="I34" s="149"/>
      <c r="J34" s="150"/>
      <c r="L34" s="37"/>
    </row>
    <row r="35" spans="1:12" ht="18.899999999999999" customHeight="1">
      <c r="A35" s="74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74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74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74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74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74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74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74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74"/>
      <c r="B43" s="15"/>
      <c r="C43" s="15"/>
      <c r="D43" s="90"/>
      <c r="E43" s="147"/>
      <c r="F43" s="148"/>
      <c r="G43" s="37"/>
      <c r="H43" s="40"/>
      <c r="I43" s="75"/>
      <c r="J43" s="76"/>
    </row>
    <row r="44" spans="1:12" ht="18.899999999999999" customHeight="1">
      <c r="A44" s="74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74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87</v>
      </c>
      <c r="F46" s="179"/>
      <c r="G46" s="48">
        <f>SUM(G33:G45)</f>
        <v>26.867000000000001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78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79"/>
      <c r="J50" s="80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2:J1048576"/>
  <sheetViews>
    <sheetView topLeftCell="A31" workbookViewId="0">
      <selection activeCell="E48" sqref="E48:G48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0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133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134</v>
      </c>
      <c r="H29" s="165"/>
      <c r="I29" s="166" t="s">
        <v>136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86" t="s">
        <v>135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83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83">
        <v>1</v>
      </c>
      <c r="B34" s="15" t="s">
        <v>90</v>
      </c>
      <c r="C34" s="15" t="s">
        <v>65</v>
      </c>
      <c r="D34" s="37"/>
      <c r="E34" s="147">
        <f>113+118</f>
        <v>231</v>
      </c>
      <c r="F34" s="148"/>
      <c r="G34" s="37">
        <f>8.907+12.551</f>
        <v>21.457999999999998</v>
      </c>
      <c r="H34" s="40"/>
      <c r="I34" s="149"/>
      <c r="J34" s="150"/>
    </row>
    <row r="35" spans="1:10" ht="18.899999999999999" customHeight="1">
      <c r="A35" s="83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83"/>
      <c r="B38" s="15"/>
      <c r="C38" s="15"/>
      <c r="D38" s="37"/>
      <c r="E38" s="147"/>
      <c r="F38" s="148"/>
      <c r="G38" s="37"/>
      <c r="H38" s="40"/>
      <c r="I38" s="84"/>
      <c r="J38" s="85"/>
    </row>
    <row r="39" spans="1:10" ht="18.899999999999999" customHeight="1">
      <c r="A39" s="83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83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83"/>
      <c r="B41" s="15"/>
      <c r="C41" s="15"/>
      <c r="D41" s="37"/>
      <c r="E41" s="147"/>
      <c r="F41" s="148"/>
      <c r="G41" s="37"/>
      <c r="H41" s="40"/>
      <c r="I41" s="84"/>
      <c r="J41" s="85"/>
    </row>
    <row r="42" spans="1:10" ht="18.899999999999999" customHeight="1">
      <c r="A42" s="83"/>
      <c r="B42" s="15"/>
      <c r="C42" s="15"/>
      <c r="D42" s="37"/>
      <c r="E42" s="147"/>
      <c r="F42" s="148"/>
      <c r="G42" s="43"/>
      <c r="H42" s="40"/>
      <c r="I42" s="84"/>
      <c r="J42" s="85"/>
    </row>
    <row r="43" spans="1:10" ht="18.899999999999999" customHeight="1">
      <c r="A43" s="83"/>
      <c r="B43" s="15"/>
      <c r="C43" s="15"/>
      <c r="D43" s="37"/>
      <c r="E43" s="147"/>
      <c r="F43" s="148"/>
      <c r="G43" s="43"/>
      <c r="H43" s="91"/>
      <c r="I43" s="84"/>
      <c r="J43" s="85"/>
    </row>
    <row r="44" spans="1:10" ht="18.899999999999999" customHeight="1">
      <c r="A44" s="83"/>
      <c r="B44" s="15"/>
      <c r="C44" s="15"/>
      <c r="D44" s="45"/>
      <c r="E44" s="147"/>
      <c r="F44" s="148"/>
      <c r="G44" s="43"/>
      <c r="H44" s="91"/>
      <c r="I44" s="84"/>
      <c r="J44" s="85"/>
    </row>
    <row r="45" spans="1:10" ht="18.75" customHeight="1">
      <c r="A45" s="83"/>
      <c r="B45" s="15"/>
      <c r="C45" s="15"/>
      <c r="D45" s="12"/>
      <c r="E45" s="147"/>
      <c r="F45" s="148"/>
      <c r="G45" s="43"/>
      <c r="H45" s="46"/>
      <c r="I45" s="84"/>
      <c r="J45" s="85"/>
    </row>
    <row r="46" spans="1:10" ht="18.899999999999999" customHeight="1">
      <c r="A46" s="83"/>
      <c r="B46" s="15"/>
      <c r="C46" s="15"/>
      <c r="D46" s="12"/>
      <c r="E46" s="147"/>
      <c r="F46" s="148"/>
      <c r="G46" s="43"/>
      <c r="H46" s="46"/>
      <c r="I46" s="84"/>
      <c r="J46" s="85"/>
    </row>
    <row r="47" spans="1:10" ht="18.899999999999999" customHeight="1" thickBot="1">
      <c r="A47" s="83"/>
      <c r="B47" s="15"/>
      <c r="C47" s="15"/>
      <c r="D47" s="12"/>
      <c r="E47" s="147"/>
      <c r="F47" s="148"/>
      <c r="G47" s="37"/>
      <c r="H47" s="47"/>
      <c r="I47" s="84"/>
      <c r="J47" s="85"/>
    </row>
    <row r="48" spans="1:10" ht="18.899999999999999" customHeight="1" thickBot="1">
      <c r="A48" s="10"/>
      <c r="B48" s="11"/>
      <c r="C48" s="11"/>
      <c r="D48" s="12"/>
      <c r="E48" s="175">
        <f>SUM(E33:F47)</f>
        <v>231</v>
      </c>
      <c r="F48" s="179"/>
      <c r="G48" s="48">
        <f>SUM(G33:G47)</f>
        <v>21.457999999999998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>
    <pageSetUpPr fitToPage="1"/>
  </sheetPr>
  <dimension ref="A2:J1048576"/>
  <sheetViews>
    <sheetView topLeftCell="A34" workbookViewId="0">
      <selection activeCell="E48" sqref="E48:G48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0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137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134</v>
      </c>
      <c r="H29" s="165"/>
      <c r="I29" s="166" t="s">
        <v>136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86" t="s">
        <v>138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83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83">
        <v>1</v>
      </c>
      <c r="B34" s="15" t="s">
        <v>90</v>
      </c>
      <c r="C34" s="15" t="s">
        <v>65</v>
      </c>
      <c r="D34" s="37"/>
      <c r="E34" s="147">
        <v>90</v>
      </c>
      <c r="F34" s="148"/>
      <c r="G34" s="37">
        <v>8.516</v>
      </c>
      <c r="H34" s="40"/>
      <c r="I34" s="149"/>
      <c r="J34" s="150"/>
    </row>
    <row r="35" spans="1:10" ht="18.899999999999999" customHeight="1">
      <c r="A35" s="83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83"/>
      <c r="B38" s="15"/>
      <c r="C38" s="15"/>
      <c r="D38" s="37"/>
      <c r="E38" s="147"/>
      <c r="F38" s="148"/>
      <c r="G38" s="37"/>
      <c r="H38" s="40"/>
      <c r="I38" s="84"/>
      <c r="J38" s="85"/>
    </row>
    <row r="39" spans="1:10" ht="18.899999999999999" customHeight="1">
      <c r="A39" s="83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83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83"/>
      <c r="B41" s="15"/>
      <c r="C41" s="15"/>
      <c r="D41" s="37"/>
      <c r="E41" s="147"/>
      <c r="F41" s="148"/>
      <c r="G41" s="37"/>
      <c r="H41" s="40"/>
      <c r="I41" s="84"/>
      <c r="J41" s="85"/>
    </row>
    <row r="42" spans="1:10" ht="18.899999999999999" customHeight="1">
      <c r="A42" s="83"/>
      <c r="B42" s="15"/>
      <c r="C42" s="15"/>
      <c r="D42" s="37"/>
      <c r="E42" s="147"/>
      <c r="F42" s="148"/>
      <c r="G42" s="43"/>
      <c r="H42" s="40"/>
      <c r="I42" s="84"/>
      <c r="J42" s="85"/>
    </row>
    <row r="43" spans="1:10" ht="18.899999999999999" customHeight="1">
      <c r="A43" s="83"/>
      <c r="B43" s="15"/>
      <c r="C43" s="15"/>
      <c r="D43" s="37"/>
      <c r="E43" s="147"/>
      <c r="F43" s="148"/>
      <c r="G43" s="43"/>
      <c r="H43" s="91"/>
      <c r="I43" s="84"/>
      <c r="J43" s="85"/>
    </row>
    <row r="44" spans="1:10" ht="18.899999999999999" customHeight="1">
      <c r="A44" s="83"/>
      <c r="B44" s="15"/>
      <c r="C44" s="15"/>
      <c r="D44" s="45"/>
      <c r="E44" s="147"/>
      <c r="F44" s="148"/>
      <c r="G44" s="43"/>
      <c r="H44" s="91"/>
      <c r="I44" s="84"/>
      <c r="J44" s="85"/>
    </row>
    <row r="45" spans="1:10" ht="18.75" customHeight="1">
      <c r="A45" s="83"/>
      <c r="B45" s="15"/>
      <c r="C45" s="15"/>
      <c r="D45" s="12"/>
      <c r="E45" s="147"/>
      <c r="F45" s="148"/>
      <c r="G45" s="43"/>
      <c r="H45" s="46"/>
      <c r="I45" s="84"/>
      <c r="J45" s="85"/>
    </row>
    <row r="46" spans="1:10" ht="18.899999999999999" customHeight="1">
      <c r="A46" s="83"/>
      <c r="B46" s="15"/>
      <c r="C46" s="15"/>
      <c r="D46" s="12"/>
      <c r="E46" s="147"/>
      <c r="F46" s="148"/>
      <c r="G46" s="43"/>
      <c r="H46" s="46"/>
      <c r="I46" s="84"/>
      <c r="J46" s="85"/>
    </row>
    <row r="47" spans="1:10" ht="18.899999999999999" customHeight="1" thickBot="1">
      <c r="A47" s="83"/>
      <c r="B47" s="15"/>
      <c r="C47" s="15"/>
      <c r="D47" s="12"/>
      <c r="E47" s="147"/>
      <c r="F47" s="148"/>
      <c r="G47" s="37"/>
      <c r="H47" s="47"/>
      <c r="I47" s="84"/>
      <c r="J47" s="85"/>
    </row>
    <row r="48" spans="1:10" ht="18.899999999999999" customHeight="1" thickBot="1">
      <c r="A48" s="10"/>
      <c r="B48" s="11"/>
      <c r="C48" s="11"/>
      <c r="D48" s="12"/>
      <c r="E48" s="175">
        <f>SUM(E33:F47)</f>
        <v>90</v>
      </c>
      <c r="F48" s="179"/>
      <c r="G48" s="48">
        <f>SUM(G33:G47)</f>
        <v>8.516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>
    <pageSetUpPr fitToPage="1"/>
  </sheetPr>
  <dimension ref="A2:J1048576"/>
  <sheetViews>
    <sheetView topLeftCell="A34" workbookViewId="0">
      <selection activeCell="E48" sqref="E48:G48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0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139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140</v>
      </c>
      <c r="B29" s="29"/>
      <c r="C29" s="11"/>
      <c r="D29" s="12"/>
      <c r="E29" s="15" t="s">
        <v>31</v>
      </c>
      <c r="F29" s="11" t="s">
        <v>32</v>
      </c>
      <c r="G29" s="165" t="s">
        <v>134</v>
      </c>
      <c r="H29" s="165"/>
      <c r="I29" s="166" t="s">
        <v>136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86" t="s">
        <v>138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83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83">
        <v>1</v>
      </c>
      <c r="B34" s="15" t="s">
        <v>73</v>
      </c>
      <c r="C34" s="15" t="s">
        <v>42</v>
      </c>
      <c r="D34" s="37"/>
      <c r="E34" s="147">
        <v>21</v>
      </c>
      <c r="F34" s="148"/>
      <c r="G34" s="37">
        <v>2.4079999999999999</v>
      </c>
      <c r="H34" s="40"/>
      <c r="I34" s="149"/>
      <c r="J34" s="150"/>
    </row>
    <row r="35" spans="1:10" ht="18.899999999999999" customHeight="1">
      <c r="A35" s="83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83"/>
      <c r="B38" s="15"/>
      <c r="C38" s="15"/>
      <c r="D38" s="37"/>
      <c r="E38" s="147"/>
      <c r="F38" s="148"/>
      <c r="G38" s="37"/>
      <c r="H38" s="40"/>
      <c r="I38" s="84"/>
      <c r="J38" s="85"/>
    </row>
    <row r="39" spans="1:10" ht="18.899999999999999" customHeight="1">
      <c r="A39" s="83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83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83"/>
      <c r="B41" s="15"/>
      <c r="C41" s="15"/>
      <c r="D41" s="37"/>
      <c r="E41" s="147"/>
      <c r="F41" s="148"/>
      <c r="G41" s="37"/>
      <c r="H41" s="40"/>
      <c r="I41" s="84"/>
      <c r="J41" s="85"/>
    </row>
    <row r="42" spans="1:10" ht="18.899999999999999" customHeight="1">
      <c r="A42" s="83"/>
      <c r="B42" s="15"/>
      <c r="C42" s="15"/>
      <c r="D42" s="37"/>
      <c r="E42" s="147"/>
      <c r="F42" s="148"/>
      <c r="G42" s="43"/>
      <c r="H42" s="40"/>
      <c r="I42" s="84"/>
      <c r="J42" s="85"/>
    </row>
    <row r="43" spans="1:10" ht="18.899999999999999" customHeight="1">
      <c r="A43" s="83"/>
      <c r="B43" s="15"/>
      <c r="C43" s="15"/>
      <c r="D43" s="37"/>
      <c r="E43" s="147"/>
      <c r="F43" s="148"/>
      <c r="G43" s="43"/>
      <c r="H43" s="91"/>
      <c r="I43" s="84"/>
      <c r="J43" s="85"/>
    </row>
    <row r="44" spans="1:10" ht="18.899999999999999" customHeight="1">
      <c r="A44" s="83"/>
      <c r="B44" s="15"/>
      <c r="C44" s="15"/>
      <c r="D44" s="45"/>
      <c r="E44" s="147"/>
      <c r="F44" s="148"/>
      <c r="G44" s="43"/>
      <c r="H44" s="91"/>
      <c r="I44" s="84"/>
      <c r="J44" s="85"/>
    </row>
    <row r="45" spans="1:10" ht="18.75" customHeight="1">
      <c r="A45" s="83"/>
      <c r="B45" s="15"/>
      <c r="C45" s="15"/>
      <c r="D45" s="12"/>
      <c r="E45" s="147"/>
      <c r="F45" s="148"/>
      <c r="G45" s="43"/>
      <c r="H45" s="46"/>
      <c r="I45" s="84"/>
      <c r="J45" s="85"/>
    </row>
    <row r="46" spans="1:10" ht="18.899999999999999" customHeight="1">
      <c r="A46" s="83"/>
      <c r="B46" s="15"/>
      <c r="C46" s="15"/>
      <c r="D46" s="12"/>
      <c r="E46" s="147"/>
      <c r="F46" s="148"/>
      <c r="G46" s="43"/>
      <c r="H46" s="46"/>
      <c r="I46" s="84"/>
      <c r="J46" s="85"/>
    </row>
    <row r="47" spans="1:10" ht="18.899999999999999" customHeight="1" thickBot="1">
      <c r="A47" s="83"/>
      <c r="B47" s="15"/>
      <c r="C47" s="15"/>
      <c r="D47" s="12"/>
      <c r="E47" s="147"/>
      <c r="F47" s="148"/>
      <c r="G47" s="37"/>
      <c r="H47" s="47"/>
      <c r="I47" s="84"/>
      <c r="J47" s="85"/>
    </row>
    <row r="48" spans="1:10" ht="18.899999999999999" customHeight="1" thickBot="1">
      <c r="A48" s="10"/>
      <c r="B48" s="11"/>
      <c r="C48" s="11"/>
      <c r="D48" s="12"/>
      <c r="E48" s="175">
        <f>SUM(E33:F47)</f>
        <v>21</v>
      </c>
      <c r="F48" s="179"/>
      <c r="G48" s="48">
        <f>SUM(G33:G47)</f>
        <v>2.4079999999999999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>
    <pageSetUpPr fitToPage="1"/>
  </sheetPr>
  <dimension ref="A2:L1048576"/>
  <sheetViews>
    <sheetView topLeftCell="A35" workbookViewId="0">
      <selection activeCell="E46" sqref="E46:G46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2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141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131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142</v>
      </c>
      <c r="B29" s="88"/>
      <c r="C29" s="11"/>
      <c r="D29" s="12"/>
      <c r="E29" s="15" t="s">
        <v>31</v>
      </c>
      <c r="F29" s="11" t="s">
        <v>32</v>
      </c>
      <c r="G29" s="165" t="s">
        <v>144</v>
      </c>
      <c r="H29" s="165"/>
      <c r="I29" s="166" t="s">
        <v>143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86" t="s">
        <v>145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83">
        <v>1</v>
      </c>
      <c r="B34" s="15" t="s">
        <v>146</v>
      </c>
      <c r="C34" s="15" t="s">
        <v>115</v>
      </c>
      <c r="D34" s="37"/>
      <c r="E34" s="147">
        <v>378</v>
      </c>
      <c r="F34" s="148"/>
      <c r="G34" s="37">
        <v>19.181999999999999</v>
      </c>
      <c r="H34" s="38"/>
      <c r="I34" s="149"/>
      <c r="J34" s="150"/>
      <c r="L34" s="37"/>
    </row>
    <row r="35" spans="1:12" ht="18.899999999999999" customHeight="1">
      <c r="A35" s="83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83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83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83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83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83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83"/>
      <c r="B43" s="15"/>
      <c r="C43" s="15"/>
      <c r="D43" s="90"/>
      <c r="E43" s="147"/>
      <c r="F43" s="148"/>
      <c r="G43" s="37"/>
      <c r="H43" s="40"/>
      <c r="I43" s="84"/>
      <c r="J43" s="85"/>
    </row>
    <row r="44" spans="1:12" ht="18.899999999999999" customHeight="1">
      <c r="A44" s="83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83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378</v>
      </c>
      <c r="F46" s="179"/>
      <c r="G46" s="48">
        <f>SUM(G33:G45)</f>
        <v>19.181999999999999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87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2:L1048576"/>
  <sheetViews>
    <sheetView topLeftCell="A35" workbookViewId="0">
      <selection activeCell="E46" sqref="E46:G46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2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148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131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144</v>
      </c>
      <c r="H29" s="165"/>
      <c r="I29" s="166" t="s">
        <v>143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86" t="s">
        <v>145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83">
        <v>1</v>
      </c>
      <c r="B34" s="15" t="s">
        <v>147</v>
      </c>
      <c r="C34" s="15" t="s">
        <v>115</v>
      </c>
      <c r="D34" s="37"/>
      <c r="E34" s="147">
        <v>77</v>
      </c>
      <c r="F34" s="148"/>
      <c r="G34" s="37">
        <v>11.239000000000001</v>
      </c>
      <c r="H34" s="38"/>
      <c r="I34" s="149"/>
      <c r="J34" s="150"/>
      <c r="L34" s="37"/>
    </row>
    <row r="35" spans="1:12" ht="18.899999999999999" customHeight="1">
      <c r="A35" s="83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83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83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83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83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83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83"/>
      <c r="B43" s="15"/>
      <c r="C43" s="15"/>
      <c r="D43" s="90"/>
      <c r="E43" s="147"/>
      <c r="F43" s="148"/>
      <c r="G43" s="37"/>
      <c r="H43" s="40"/>
      <c r="I43" s="84"/>
      <c r="J43" s="85"/>
    </row>
    <row r="44" spans="1:12" ht="18.899999999999999" customHeight="1">
      <c r="A44" s="83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83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77</v>
      </c>
      <c r="F46" s="179"/>
      <c r="G46" s="48">
        <f>SUM(G33:G45)</f>
        <v>11.239000000000001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87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>
    <pageSetUpPr fitToPage="1"/>
  </sheetPr>
  <dimension ref="A2:L1048576"/>
  <sheetViews>
    <sheetView topLeftCell="A29" workbookViewId="0">
      <selection activeCell="H57" sqref="H57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2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149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127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126</v>
      </c>
      <c r="B29" s="88"/>
      <c r="C29" s="11"/>
      <c r="D29" s="12"/>
      <c r="E29" s="15" t="s">
        <v>31</v>
      </c>
      <c r="F29" s="11" t="s">
        <v>32</v>
      </c>
      <c r="G29" s="165" t="s">
        <v>144</v>
      </c>
      <c r="H29" s="165"/>
      <c r="I29" s="166" t="s">
        <v>143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86" t="s">
        <v>145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83">
        <v>1</v>
      </c>
      <c r="B34" s="15" t="s">
        <v>150</v>
      </c>
      <c r="C34" s="15" t="s">
        <v>42</v>
      </c>
      <c r="D34" s="37"/>
      <c r="E34" s="147">
        <v>1</v>
      </c>
      <c r="F34" s="148"/>
      <c r="G34" s="37">
        <v>0.16400000000000001</v>
      </c>
      <c r="H34" s="38"/>
      <c r="I34" s="149"/>
      <c r="J34" s="150"/>
      <c r="L34" s="37"/>
    </row>
    <row r="35" spans="1:12" ht="18.899999999999999" customHeight="1">
      <c r="A35" s="83">
        <v>2</v>
      </c>
      <c r="B35" s="15" t="s">
        <v>151</v>
      </c>
      <c r="C35" s="15" t="s">
        <v>42</v>
      </c>
      <c r="D35" s="37"/>
      <c r="E35" s="147">
        <v>1</v>
      </c>
      <c r="F35" s="148"/>
      <c r="G35" s="37">
        <v>0.115</v>
      </c>
      <c r="H35" s="40"/>
      <c r="I35" s="149"/>
      <c r="J35" s="150"/>
    </row>
    <row r="36" spans="1:12" ht="18.899999999999999" customHeight="1">
      <c r="A36" s="83">
        <v>3</v>
      </c>
      <c r="B36" s="15" t="s">
        <v>152</v>
      </c>
      <c r="C36" s="15" t="s">
        <v>42</v>
      </c>
      <c r="D36" s="37"/>
      <c r="E36" s="147">
        <v>14</v>
      </c>
      <c r="F36" s="148"/>
      <c r="G36" s="37">
        <v>1.1519999999999999</v>
      </c>
      <c r="H36" s="40"/>
      <c r="I36" s="149"/>
      <c r="J36" s="150"/>
    </row>
    <row r="37" spans="1:12" ht="18.899999999999999" customHeight="1">
      <c r="A37" s="83">
        <v>4</v>
      </c>
      <c r="B37" s="15" t="s">
        <v>153</v>
      </c>
      <c r="C37" s="15" t="s">
        <v>42</v>
      </c>
      <c r="D37" s="37"/>
      <c r="E37" s="147">
        <v>1</v>
      </c>
      <c r="F37" s="148"/>
      <c r="G37" s="37">
        <v>0.17399999999999999</v>
      </c>
      <c r="H37" s="40"/>
      <c r="I37" s="149"/>
      <c r="J37" s="150"/>
    </row>
    <row r="38" spans="1:12" ht="18.899999999999999" customHeight="1">
      <c r="A38" s="83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83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83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83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83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83"/>
      <c r="B43" s="15"/>
      <c r="C43" s="15"/>
      <c r="D43" s="90"/>
      <c r="E43" s="147"/>
      <c r="F43" s="148"/>
      <c r="G43" s="37"/>
      <c r="H43" s="40"/>
      <c r="I43" s="84"/>
      <c r="J43" s="85"/>
    </row>
    <row r="44" spans="1:12" ht="18.899999999999999" customHeight="1">
      <c r="A44" s="83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83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17</v>
      </c>
      <c r="F46" s="179"/>
      <c r="G46" s="48">
        <f>SUM(G33:G45)</f>
        <v>1.605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87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>
    <pageSetUpPr fitToPage="1"/>
  </sheetPr>
  <dimension ref="A2:J1048576"/>
  <sheetViews>
    <sheetView topLeftCell="A22" workbookViewId="0">
      <selection activeCell="G36" sqref="G36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0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154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155</v>
      </c>
      <c r="H29" s="165"/>
      <c r="I29" s="166" t="s">
        <v>156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86" t="s">
        <v>160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83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83">
        <v>1</v>
      </c>
      <c r="B34" s="15" t="s">
        <v>157</v>
      </c>
      <c r="C34" s="15" t="s">
        <v>65</v>
      </c>
      <c r="D34" s="37"/>
      <c r="E34" s="147">
        <f>41+115</f>
        <v>156</v>
      </c>
      <c r="F34" s="148"/>
      <c r="G34" s="37">
        <f>5.452+16.807</f>
        <v>22.259</v>
      </c>
      <c r="H34" s="40"/>
      <c r="I34" s="149"/>
      <c r="J34" s="150"/>
    </row>
    <row r="35" spans="1:10" ht="18.899999999999999" customHeight="1">
      <c r="A35" s="83">
        <v>2</v>
      </c>
      <c r="B35" s="15" t="s">
        <v>90</v>
      </c>
      <c r="C35" s="15" t="s">
        <v>65</v>
      </c>
      <c r="D35" s="37"/>
      <c r="E35" s="147">
        <v>78</v>
      </c>
      <c r="F35" s="148"/>
      <c r="G35" s="37">
        <v>6.3550000000000004</v>
      </c>
      <c r="H35" s="40"/>
      <c r="I35" s="149" t="s">
        <v>3</v>
      </c>
      <c r="J35" s="150"/>
    </row>
    <row r="36" spans="1:10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83"/>
      <c r="B38" s="15"/>
      <c r="C38" s="15"/>
      <c r="D38" s="37"/>
      <c r="E38" s="147"/>
      <c r="F38" s="148"/>
      <c r="G38" s="37"/>
      <c r="H38" s="40"/>
      <c r="I38" s="84"/>
      <c r="J38" s="85"/>
    </row>
    <row r="39" spans="1:10" ht="18.899999999999999" customHeight="1">
      <c r="A39" s="83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83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83"/>
      <c r="B41" s="15"/>
      <c r="C41" s="15"/>
      <c r="D41" s="37"/>
      <c r="E41" s="147"/>
      <c r="F41" s="148"/>
      <c r="G41" s="37"/>
      <c r="H41" s="40"/>
      <c r="I41" s="84"/>
      <c r="J41" s="85"/>
    </row>
    <row r="42" spans="1:10" ht="18.899999999999999" customHeight="1">
      <c r="A42" s="83"/>
      <c r="B42" s="15"/>
      <c r="C42" s="15"/>
      <c r="D42" s="37"/>
      <c r="E42" s="147"/>
      <c r="F42" s="148"/>
      <c r="G42" s="43"/>
      <c r="H42" s="40"/>
      <c r="I42" s="84"/>
      <c r="J42" s="85"/>
    </row>
    <row r="43" spans="1:10" ht="18.899999999999999" customHeight="1">
      <c r="A43" s="83"/>
      <c r="B43" s="15"/>
      <c r="C43" s="15"/>
      <c r="D43" s="37"/>
      <c r="E43" s="147"/>
      <c r="F43" s="148"/>
      <c r="G43" s="43"/>
      <c r="H43" s="91"/>
      <c r="I43" s="84"/>
      <c r="J43" s="85"/>
    </row>
    <row r="44" spans="1:10" ht="18.899999999999999" customHeight="1">
      <c r="A44" s="83"/>
      <c r="B44" s="15"/>
      <c r="C44" s="15"/>
      <c r="D44" s="45"/>
      <c r="E44" s="147"/>
      <c r="F44" s="148"/>
      <c r="G44" s="43"/>
      <c r="H44" s="91"/>
      <c r="I44" s="84"/>
      <c r="J44" s="85"/>
    </row>
    <row r="45" spans="1:10" ht="18.75" customHeight="1">
      <c r="A45" s="83"/>
      <c r="B45" s="15"/>
      <c r="C45" s="15"/>
      <c r="D45" s="12"/>
      <c r="E45" s="147"/>
      <c r="F45" s="148"/>
      <c r="G45" s="43"/>
      <c r="H45" s="46"/>
      <c r="I45" s="84"/>
      <c r="J45" s="85"/>
    </row>
    <row r="46" spans="1:10" ht="18.899999999999999" customHeight="1">
      <c r="A46" s="83"/>
      <c r="B46" s="15"/>
      <c r="C46" s="15"/>
      <c r="D46" s="12"/>
      <c r="E46" s="147"/>
      <c r="F46" s="148"/>
      <c r="G46" s="43"/>
      <c r="H46" s="46"/>
      <c r="I46" s="84"/>
      <c r="J46" s="85"/>
    </row>
    <row r="47" spans="1:10" ht="18.899999999999999" customHeight="1" thickBot="1">
      <c r="A47" s="83"/>
      <c r="B47" s="15"/>
      <c r="C47" s="15"/>
      <c r="D47" s="12"/>
      <c r="E47" s="147"/>
      <c r="F47" s="148"/>
      <c r="G47" s="37"/>
      <c r="H47" s="47"/>
      <c r="I47" s="84"/>
      <c r="J47" s="85"/>
    </row>
    <row r="48" spans="1:10" ht="18.899999999999999" customHeight="1" thickBot="1">
      <c r="A48" s="10"/>
      <c r="B48" s="11"/>
      <c r="C48" s="11"/>
      <c r="D48" s="12"/>
      <c r="E48" s="175">
        <f>SUM(E33:F47)</f>
        <v>234</v>
      </c>
      <c r="F48" s="179"/>
      <c r="G48" s="48">
        <f>SUM(G33:G47)</f>
        <v>28.614000000000001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>
    <pageSetUpPr fitToPage="1"/>
  </sheetPr>
  <dimension ref="A2:J1048576"/>
  <sheetViews>
    <sheetView topLeftCell="A16" workbookViewId="0">
      <selection activeCell="B36" sqref="B36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0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158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159</v>
      </c>
      <c r="B29" s="29"/>
      <c r="C29" s="11"/>
      <c r="D29" s="12"/>
      <c r="E29" s="15" t="s">
        <v>31</v>
      </c>
      <c r="F29" s="11" t="s">
        <v>32</v>
      </c>
      <c r="G29" s="165" t="s">
        <v>155</v>
      </c>
      <c r="H29" s="165"/>
      <c r="I29" s="166" t="s">
        <v>156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86" t="s">
        <v>161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83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83">
        <v>1</v>
      </c>
      <c r="B34" s="15" t="s">
        <v>73</v>
      </c>
      <c r="C34" s="15" t="s">
        <v>42</v>
      </c>
      <c r="D34" s="37"/>
      <c r="E34" s="147">
        <v>16</v>
      </c>
      <c r="F34" s="148"/>
      <c r="G34" s="37">
        <v>1.835</v>
      </c>
      <c r="H34" s="40"/>
      <c r="I34" s="149"/>
      <c r="J34" s="150"/>
    </row>
    <row r="35" spans="1:10" ht="18.899999999999999" customHeight="1">
      <c r="A35" s="83">
        <v>2</v>
      </c>
      <c r="B35" s="15" t="s">
        <v>162</v>
      </c>
      <c r="C35" s="15" t="s">
        <v>42</v>
      </c>
      <c r="D35" s="37"/>
      <c r="E35" s="147">
        <v>8</v>
      </c>
      <c r="F35" s="148"/>
      <c r="G35" s="37">
        <v>1.1499999999999999</v>
      </c>
      <c r="H35" s="40"/>
      <c r="I35" s="149" t="s">
        <v>3</v>
      </c>
      <c r="J35" s="150"/>
    </row>
    <row r="36" spans="1:10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83"/>
      <c r="B38" s="15"/>
      <c r="C38" s="15"/>
      <c r="D38" s="37"/>
      <c r="E38" s="147"/>
      <c r="F38" s="148"/>
      <c r="G38" s="37"/>
      <c r="H38" s="40"/>
      <c r="I38" s="84"/>
      <c r="J38" s="85"/>
    </row>
    <row r="39" spans="1:10" ht="18.899999999999999" customHeight="1">
      <c r="A39" s="83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83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83"/>
      <c r="B41" s="15"/>
      <c r="C41" s="15"/>
      <c r="D41" s="37"/>
      <c r="E41" s="147"/>
      <c r="F41" s="148"/>
      <c r="G41" s="37"/>
      <c r="H41" s="40"/>
      <c r="I41" s="84"/>
      <c r="J41" s="85"/>
    </row>
    <row r="42" spans="1:10" ht="18.899999999999999" customHeight="1">
      <c r="A42" s="83"/>
      <c r="B42" s="15"/>
      <c r="C42" s="15"/>
      <c r="D42" s="37"/>
      <c r="E42" s="147"/>
      <c r="F42" s="148"/>
      <c r="G42" s="43"/>
      <c r="H42" s="40"/>
      <c r="I42" s="84"/>
      <c r="J42" s="85"/>
    </row>
    <row r="43" spans="1:10" ht="18.899999999999999" customHeight="1">
      <c r="A43" s="83"/>
      <c r="B43" s="15"/>
      <c r="C43" s="15"/>
      <c r="D43" s="37"/>
      <c r="E43" s="147"/>
      <c r="F43" s="148"/>
      <c r="G43" s="43"/>
      <c r="H43" s="91"/>
      <c r="I43" s="84"/>
      <c r="J43" s="85"/>
    </row>
    <row r="44" spans="1:10" ht="18.899999999999999" customHeight="1">
      <c r="A44" s="83"/>
      <c r="B44" s="15"/>
      <c r="C44" s="15"/>
      <c r="D44" s="45"/>
      <c r="E44" s="147"/>
      <c r="F44" s="148"/>
      <c r="G44" s="43"/>
      <c r="H44" s="91"/>
      <c r="I44" s="84"/>
      <c r="J44" s="85"/>
    </row>
    <row r="45" spans="1:10" ht="18.75" customHeight="1">
      <c r="A45" s="83"/>
      <c r="B45" s="15"/>
      <c r="C45" s="15"/>
      <c r="D45" s="12"/>
      <c r="E45" s="147"/>
      <c r="F45" s="148"/>
      <c r="G45" s="43"/>
      <c r="H45" s="46"/>
      <c r="I45" s="84"/>
      <c r="J45" s="85"/>
    </row>
    <row r="46" spans="1:10" ht="18.899999999999999" customHeight="1">
      <c r="A46" s="83"/>
      <c r="B46" s="15"/>
      <c r="C46" s="15"/>
      <c r="D46" s="12"/>
      <c r="E46" s="147"/>
      <c r="F46" s="148"/>
      <c r="G46" s="43"/>
      <c r="H46" s="46"/>
      <c r="I46" s="84"/>
      <c r="J46" s="85"/>
    </row>
    <row r="47" spans="1:10" ht="18.899999999999999" customHeight="1" thickBot="1">
      <c r="A47" s="83"/>
      <c r="B47" s="15"/>
      <c r="C47" s="15"/>
      <c r="D47" s="12"/>
      <c r="E47" s="147"/>
      <c r="F47" s="148"/>
      <c r="G47" s="37"/>
      <c r="H47" s="47"/>
      <c r="I47" s="84"/>
      <c r="J47" s="85"/>
    </row>
    <row r="48" spans="1:10" ht="18.899999999999999" customHeight="1" thickBot="1">
      <c r="A48" s="10"/>
      <c r="B48" s="11"/>
      <c r="C48" s="11"/>
      <c r="D48" s="12"/>
      <c r="E48" s="175">
        <f>SUM(E33:F47)</f>
        <v>24</v>
      </c>
      <c r="F48" s="179"/>
      <c r="G48" s="48">
        <f>SUM(G33:G47)</f>
        <v>2.9849999999999999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>
    <pageSetUpPr fitToPage="1"/>
  </sheetPr>
  <dimension ref="A2:J1048576"/>
  <sheetViews>
    <sheetView topLeftCell="A25" workbookViewId="0">
      <selection activeCell="H51" sqref="H51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0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163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164</v>
      </c>
      <c r="B29" s="29"/>
      <c r="C29" s="11"/>
      <c r="D29" s="12"/>
      <c r="E29" s="15" t="s">
        <v>31</v>
      </c>
      <c r="F29" s="11" t="s">
        <v>32</v>
      </c>
      <c r="G29" s="165" t="s">
        <v>155</v>
      </c>
      <c r="H29" s="165"/>
      <c r="I29" s="166" t="s">
        <v>156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86" t="s">
        <v>161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83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83">
        <v>1</v>
      </c>
      <c r="B34" s="15" t="s">
        <v>165</v>
      </c>
      <c r="C34" s="15" t="s">
        <v>42</v>
      </c>
      <c r="D34" s="37"/>
      <c r="E34" s="147">
        <v>8</v>
      </c>
      <c r="F34" s="148"/>
      <c r="G34" s="37">
        <v>1.64</v>
      </c>
      <c r="H34" s="40"/>
      <c r="I34" s="149"/>
      <c r="J34" s="150"/>
    </row>
    <row r="35" spans="1:10" ht="18.899999999999999" customHeight="1">
      <c r="A35" s="83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83"/>
      <c r="B38" s="15"/>
      <c r="C38" s="15"/>
      <c r="D38" s="37"/>
      <c r="E38" s="147"/>
      <c r="F38" s="148"/>
      <c r="G38" s="37"/>
      <c r="H38" s="40"/>
      <c r="I38" s="84"/>
      <c r="J38" s="85"/>
    </row>
    <row r="39" spans="1:10" ht="18.899999999999999" customHeight="1">
      <c r="A39" s="83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83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83"/>
      <c r="B41" s="15"/>
      <c r="C41" s="15"/>
      <c r="D41" s="37"/>
      <c r="E41" s="147"/>
      <c r="F41" s="148"/>
      <c r="G41" s="37"/>
      <c r="H41" s="40"/>
      <c r="I41" s="84"/>
      <c r="J41" s="85"/>
    </row>
    <row r="42" spans="1:10" ht="18.899999999999999" customHeight="1">
      <c r="A42" s="83"/>
      <c r="B42" s="15"/>
      <c r="C42" s="15"/>
      <c r="D42" s="37"/>
      <c r="E42" s="147"/>
      <c r="F42" s="148"/>
      <c r="G42" s="43"/>
      <c r="H42" s="40"/>
      <c r="I42" s="84"/>
      <c r="J42" s="85"/>
    </row>
    <row r="43" spans="1:10" ht="18.899999999999999" customHeight="1">
      <c r="A43" s="83"/>
      <c r="B43" s="15"/>
      <c r="C43" s="15"/>
      <c r="D43" s="37"/>
      <c r="E43" s="147"/>
      <c r="F43" s="148"/>
      <c r="G43" s="43"/>
      <c r="H43" s="91"/>
      <c r="I43" s="84"/>
      <c r="J43" s="85"/>
    </row>
    <row r="44" spans="1:10" ht="18.899999999999999" customHeight="1">
      <c r="A44" s="83"/>
      <c r="B44" s="15"/>
      <c r="C44" s="15"/>
      <c r="D44" s="45"/>
      <c r="E44" s="147"/>
      <c r="F44" s="148"/>
      <c r="G44" s="43"/>
      <c r="H44" s="91"/>
      <c r="I44" s="84"/>
      <c r="J44" s="85"/>
    </row>
    <row r="45" spans="1:10" ht="18.75" customHeight="1">
      <c r="A45" s="83"/>
      <c r="B45" s="15"/>
      <c r="C45" s="15"/>
      <c r="D45" s="12"/>
      <c r="E45" s="147"/>
      <c r="F45" s="148"/>
      <c r="G45" s="43"/>
      <c r="H45" s="46"/>
      <c r="I45" s="84"/>
      <c r="J45" s="85"/>
    </row>
    <row r="46" spans="1:10" ht="18.899999999999999" customHeight="1">
      <c r="A46" s="83"/>
      <c r="B46" s="15"/>
      <c r="C46" s="15"/>
      <c r="D46" s="12"/>
      <c r="E46" s="147"/>
      <c r="F46" s="148"/>
      <c r="G46" s="43"/>
      <c r="H46" s="46"/>
      <c r="I46" s="84"/>
      <c r="J46" s="85"/>
    </row>
    <row r="47" spans="1:10" ht="18.899999999999999" customHeight="1" thickBot="1">
      <c r="A47" s="83"/>
      <c r="B47" s="15"/>
      <c r="C47" s="15"/>
      <c r="D47" s="12"/>
      <c r="E47" s="147"/>
      <c r="F47" s="148"/>
      <c r="G47" s="37"/>
      <c r="H47" s="47"/>
      <c r="I47" s="84"/>
      <c r="J47" s="85"/>
    </row>
    <row r="48" spans="1:10" ht="18.899999999999999" customHeight="1" thickBot="1">
      <c r="A48" s="10"/>
      <c r="B48" s="11"/>
      <c r="C48" s="11"/>
      <c r="D48" s="12"/>
      <c r="E48" s="175">
        <f>SUM(E33:F47)</f>
        <v>8</v>
      </c>
      <c r="F48" s="179"/>
      <c r="G48" s="48">
        <f>SUM(G33:G47)</f>
        <v>1.64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>
    <pageSetUpPr fitToPage="1"/>
  </sheetPr>
  <dimension ref="A2:J1048576"/>
  <sheetViews>
    <sheetView topLeftCell="A17" workbookViewId="0">
      <selection activeCell="G55" sqref="G55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86" t="s">
        <v>10</v>
      </c>
      <c r="G12" s="86"/>
      <c r="H12" s="86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86" t="s">
        <v>12</v>
      </c>
      <c r="G13" s="86"/>
      <c r="H13" s="86"/>
      <c r="I13" s="11"/>
      <c r="J13" s="12"/>
    </row>
    <row r="14" spans="1:10">
      <c r="A14" s="10"/>
      <c r="B14" s="11"/>
      <c r="C14" s="11"/>
      <c r="D14" s="11"/>
      <c r="E14" s="12"/>
      <c r="F14" s="86" t="s">
        <v>13</v>
      </c>
      <c r="G14" s="86"/>
      <c r="H14" s="86"/>
      <c r="I14" s="11"/>
      <c r="J14" s="12"/>
    </row>
    <row r="15" spans="1:10">
      <c r="A15" s="10"/>
      <c r="B15" s="11"/>
      <c r="C15" s="11"/>
      <c r="D15" s="11"/>
      <c r="E15" s="12"/>
      <c r="F15" s="86" t="s">
        <v>14</v>
      </c>
      <c r="G15" s="86"/>
      <c r="H15" s="86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86" t="s">
        <v>15</v>
      </c>
      <c r="G16" s="86"/>
      <c r="H16" s="86"/>
      <c r="I16" s="11"/>
      <c r="J16" s="12"/>
    </row>
    <row r="17" spans="1:10">
      <c r="A17" s="10"/>
      <c r="B17" s="11"/>
      <c r="C17" s="11"/>
      <c r="D17" s="11"/>
      <c r="E17" s="12"/>
      <c r="F17" s="86" t="s">
        <v>16</v>
      </c>
      <c r="G17" s="86"/>
      <c r="H17" s="86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166</v>
      </c>
      <c r="B19" s="22"/>
      <c r="C19" s="22"/>
      <c r="D19" s="23"/>
      <c r="E19" s="22" t="s">
        <v>18</v>
      </c>
      <c r="F19" s="22"/>
      <c r="G19" s="22" t="s">
        <v>94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167</v>
      </c>
      <c r="H29" s="165"/>
      <c r="I29" s="166" t="s">
        <v>168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86" t="s">
        <v>169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87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83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83">
        <v>1</v>
      </c>
      <c r="B34" s="15" t="s">
        <v>78</v>
      </c>
      <c r="C34" s="15" t="s">
        <v>65</v>
      </c>
      <c r="D34" s="37"/>
      <c r="E34" s="147">
        <f>11+114</f>
        <v>125</v>
      </c>
      <c r="F34" s="148"/>
      <c r="G34" s="37">
        <f>1.454+17.306</f>
        <v>18.760000000000002</v>
      </c>
      <c r="H34" s="40"/>
      <c r="I34" s="149"/>
      <c r="J34" s="150"/>
    </row>
    <row r="35" spans="1:10" ht="18.899999999999999" customHeight="1">
      <c r="A35" s="83">
        <v>2</v>
      </c>
      <c r="B35" s="15" t="s">
        <v>98</v>
      </c>
      <c r="C35" s="15" t="s">
        <v>65</v>
      </c>
      <c r="D35" s="37"/>
      <c r="E35" s="147">
        <f>105+7</f>
        <v>112</v>
      </c>
      <c r="F35" s="148"/>
      <c r="G35" s="37">
        <f>12.778+0.96</f>
        <v>13.738</v>
      </c>
      <c r="H35" s="40"/>
      <c r="I35" s="149" t="s">
        <v>3</v>
      </c>
      <c r="J35" s="150"/>
    </row>
    <row r="36" spans="1:10" ht="18.899999999999999" customHeight="1">
      <c r="A36" s="83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83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83"/>
      <c r="B38" s="15"/>
      <c r="C38" s="15"/>
      <c r="D38" s="37"/>
      <c r="E38" s="147"/>
      <c r="F38" s="148"/>
      <c r="G38" s="37"/>
      <c r="H38" s="40"/>
      <c r="I38" s="84"/>
      <c r="J38" s="85"/>
    </row>
    <row r="39" spans="1:10" ht="18.899999999999999" customHeight="1">
      <c r="A39" s="83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83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83"/>
      <c r="B41" s="15"/>
      <c r="C41" s="15"/>
      <c r="D41" s="37"/>
      <c r="E41" s="147"/>
      <c r="F41" s="148"/>
      <c r="G41" s="37"/>
      <c r="H41" s="40"/>
      <c r="I41" s="84"/>
      <c r="J41" s="85"/>
    </row>
    <row r="42" spans="1:10" ht="18.899999999999999" customHeight="1">
      <c r="A42" s="83"/>
      <c r="B42" s="15"/>
      <c r="C42" s="15"/>
      <c r="D42" s="37"/>
      <c r="E42" s="147"/>
      <c r="F42" s="148"/>
      <c r="G42" s="43"/>
      <c r="H42" s="40"/>
      <c r="I42" s="84"/>
      <c r="J42" s="85"/>
    </row>
    <row r="43" spans="1:10" ht="18.899999999999999" customHeight="1">
      <c r="A43" s="83"/>
      <c r="B43" s="15"/>
      <c r="C43" s="15"/>
      <c r="D43" s="37"/>
      <c r="E43" s="147"/>
      <c r="F43" s="148"/>
      <c r="G43" s="43"/>
      <c r="H43" s="91"/>
      <c r="I43" s="84"/>
      <c r="J43" s="85"/>
    </row>
    <row r="44" spans="1:10" ht="18.899999999999999" customHeight="1">
      <c r="A44" s="83"/>
      <c r="B44" s="15"/>
      <c r="C44" s="15"/>
      <c r="D44" s="45"/>
      <c r="E44" s="147"/>
      <c r="F44" s="148"/>
      <c r="G44" s="43"/>
      <c r="H44" s="91"/>
      <c r="I44" s="84"/>
      <c r="J44" s="85"/>
    </row>
    <row r="45" spans="1:10" ht="18.75" customHeight="1">
      <c r="A45" s="83"/>
      <c r="B45" s="15"/>
      <c r="C45" s="15"/>
      <c r="D45" s="12"/>
      <c r="E45" s="147"/>
      <c r="F45" s="148"/>
      <c r="G45" s="43"/>
      <c r="H45" s="46"/>
      <c r="I45" s="84"/>
      <c r="J45" s="85"/>
    </row>
    <row r="46" spans="1:10" ht="18.899999999999999" customHeight="1">
      <c r="A46" s="83"/>
      <c r="B46" s="15"/>
      <c r="C46" s="15"/>
      <c r="D46" s="12"/>
      <c r="E46" s="147"/>
      <c r="F46" s="148"/>
      <c r="G46" s="43"/>
      <c r="H46" s="46"/>
      <c r="I46" s="84"/>
      <c r="J46" s="85"/>
    </row>
    <row r="47" spans="1:10" ht="18.899999999999999" customHeight="1" thickBot="1">
      <c r="A47" s="83"/>
      <c r="B47" s="15"/>
      <c r="C47" s="15"/>
      <c r="D47" s="12"/>
      <c r="E47" s="147"/>
      <c r="F47" s="148"/>
      <c r="G47" s="37"/>
      <c r="H47" s="47"/>
      <c r="I47" s="84"/>
      <c r="J47" s="85"/>
    </row>
    <row r="48" spans="1:10" ht="18.899999999999999" customHeight="1" thickBot="1">
      <c r="A48" s="10"/>
      <c r="B48" s="11"/>
      <c r="C48" s="11"/>
      <c r="D48" s="12"/>
      <c r="E48" s="175">
        <f>SUM(E33:F47)</f>
        <v>237</v>
      </c>
      <c r="F48" s="179"/>
      <c r="G48" s="48">
        <f>SUM(G33:G47)</f>
        <v>32.498000000000005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81"/>
      <c r="J50" s="82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>
    <pageSetUpPr fitToPage="1"/>
  </sheetPr>
  <dimension ref="A2:J1048576"/>
  <sheetViews>
    <sheetView topLeftCell="A14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00" t="s">
        <v>10</v>
      </c>
      <c r="G12" s="100"/>
      <c r="H12" s="10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00" t="s">
        <v>12</v>
      </c>
      <c r="G13" s="100"/>
      <c r="H13" s="100"/>
      <c r="I13" s="11"/>
      <c r="J13" s="12"/>
    </row>
    <row r="14" spans="1:10">
      <c r="A14" s="10"/>
      <c r="B14" s="11"/>
      <c r="C14" s="11"/>
      <c r="D14" s="11"/>
      <c r="E14" s="12"/>
      <c r="F14" s="100" t="s">
        <v>13</v>
      </c>
      <c r="G14" s="100"/>
      <c r="H14" s="100"/>
      <c r="I14" s="11"/>
      <c r="J14" s="12"/>
    </row>
    <row r="15" spans="1:10">
      <c r="A15" s="10"/>
      <c r="B15" s="11"/>
      <c r="C15" s="11"/>
      <c r="D15" s="11"/>
      <c r="E15" s="12"/>
      <c r="F15" s="100" t="s">
        <v>14</v>
      </c>
      <c r="G15" s="100"/>
      <c r="H15" s="10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00" t="s">
        <v>15</v>
      </c>
      <c r="G16" s="100"/>
      <c r="H16" s="100"/>
      <c r="I16" s="11"/>
      <c r="J16" s="12"/>
    </row>
    <row r="17" spans="1:10">
      <c r="A17" s="10"/>
      <c r="B17" s="11"/>
      <c r="C17" s="11"/>
      <c r="D17" s="11"/>
      <c r="E17" s="12"/>
      <c r="F17" s="100" t="s">
        <v>16</v>
      </c>
      <c r="G17" s="100"/>
      <c r="H17" s="10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170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172</v>
      </c>
      <c r="H29" s="165"/>
      <c r="I29" s="166" t="s">
        <v>173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12" t="s">
        <v>174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01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97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97">
        <v>1</v>
      </c>
      <c r="B34" s="15" t="s">
        <v>175</v>
      </c>
      <c r="C34" s="15" t="s">
        <v>65</v>
      </c>
      <c r="D34" s="37"/>
      <c r="E34" s="147">
        <v>21</v>
      </c>
      <c r="F34" s="148"/>
      <c r="G34" s="37">
        <v>1.373</v>
      </c>
      <c r="H34" s="40"/>
      <c r="I34" s="149"/>
      <c r="J34" s="150"/>
    </row>
    <row r="35" spans="1:10" ht="18.899999999999999" customHeight="1">
      <c r="A35" s="97">
        <v>2</v>
      </c>
      <c r="B35" s="15" t="s">
        <v>78</v>
      </c>
      <c r="C35" s="15" t="s">
        <v>65</v>
      </c>
      <c r="D35" s="37"/>
      <c r="E35" s="147">
        <v>108</v>
      </c>
      <c r="F35" s="148"/>
      <c r="G35" s="37">
        <v>16.481999999999999</v>
      </c>
      <c r="H35" s="40"/>
      <c r="I35" s="149" t="s">
        <v>3</v>
      </c>
      <c r="J35" s="150"/>
    </row>
    <row r="36" spans="1:10" ht="18.899999999999999" customHeight="1">
      <c r="A36" s="9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9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97"/>
      <c r="B38" s="15"/>
      <c r="C38" s="15"/>
      <c r="D38" s="37"/>
      <c r="E38" s="147"/>
      <c r="F38" s="148"/>
      <c r="G38" s="37"/>
      <c r="H38" s="40"/>
      <c r="I38" s="98"/>
      <c r="J38" s="99"/>
    </row>
    <row r="39" spans="1:10" ht="18.899999999999999" customHeight="1">
      <c r="A39" s="97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97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97"/>
      <c r="B41" s="15"/>
      <c r="C41" s="15"/>
      <c r="D41" s="37"/>
      <c r="E41" s="147"/>
      <c r="F41" s="148"/>
      <c r="G41" s="37"/>
      <c r="H41" s="40"/>
      <c r="I41" s="98"/>
      <c r="J41" s="99"/>
    </row>
    <row r="42" spans="1:10" ht="18.899999999999999" customHeight="1">
      <c r="A42" s="97"/>
      <c r="B42" s="15"/>
      <c r="C42" s="15"/>
      <c r="D42" s="37"/>
      <c r="E42" s="147"/>
      <c r="F42" s="148"/>
      <c r="G42" s="43"/>
      <c r="H42" s="40"/>
      <c r="I42" s="98"/>
      <c r="J42" s="99"/>
    </row>
    <row r="43" spans="1:10" ht="18.899999999999999" customHeight="1">
      <c r="A43" s="97"/>
      <c r="B43" s="15"/>
      <c r="C43" s="15"/>
      <c r="D43" s="37"/>
      <c r="E43" s="147"/>
      <c r="F43" s="148"/>
      <c r="G43" s="43"/>
      <c r="H43" s="104"/>
      <c r="I43" s="98"/>
      <c r="J43" s="99"/>
    </row>
    <row r="44" spans="1:10" ht="18.899999999999999" customHeight="1">
      <c r="A44" s="97"/>
      <c r="B44" s="15"/>
      <c r="C44" s="15"/>
      <c r="D44" s="45"/>
      <c r="E44" s="147"/>
      <c r="F44" s="148"/>
      <c r="G44" s="43"/>
      <c r="H44" s="104"/>
      <c r="I44" s="98"/>
      <c r="J44" s="99"/>
    </row>
    <row r="45" spans="1:10" ht="18.75" customHeight="1">
      <c r="A45" s="97"/>
      <c r="B45" s="15"/>
      <c r="C45" s="15"/>
      <c r="D45" s="12"/>
      <c r="E45" s="147"/>
      <c r="F45" s="148"/>
      <c r="G45" s="43"/>
      <c r="H45" s="46"/>
      <c r="I45" s="98"/>
      <c r="J45" s="99"/>
    </row>
    <row r="46" spans="1:10" ht="18.899999999999999" customHeight="1">
      <c r="A46" s="97"/>
      <c r="B46" s="15"/>
      <c r="C46" s="15"/>
      <c r="D46" s="12"/>
      <c r="E46" s="147"/>
      <c r="F46" s="148"/>
      <c r="G46" s="43"/>
      <c r="H46" s="46"/>
      <c r="I46" s="98"/>
      <c r="J46" s="99"/>
    </row>
    <row r="47" spans="1:10" ht="18.899999999999999" customHeight="1" thickBot="1">
      <c r="A47" s="97"/>
      <c r="B47" s="15"/>
      <c r="C47" s="15"/>
      <c r="D47" s="12"/>
      <c r="E47" s="147"/>
      <c r="F47" s="148"/>
      <c r="G47" s="37"/>
      <c r="H47" s="47"/>
      <c r="I47" s="98"/>
      <c r="J47" s="99"/>
    </row>
    <row r="48" spans="1:10" ht="18.899999999999999" customHeight="1" thickBot="1">
      <c r="A48" s="10"/>
      <c r="B48" s="11"/>
      <c r="C48" s="11"/>
      <c r="D48" s="12"/>
      <c r="E48" s="175">
        <f>SUM(E33:F47)</f>
        <v>129</v>
      </c>
      <c r="F48" s="179"/>
      <c r="G48" s="48">
        <f>SUM(G33:G47)</f>
        <v>17.855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2"/>
      <c r="J50" s="103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>
    <pageSetUpPr fitToPage="1"/>
  </sheetPr>
  <dimension ref="A2:J1048576"/>
  <sheetViews>
    <sheetView topLeftCell="A20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00" t="s">
        <v>10</v>
      </c>
      <c r="G12" s="100"/>
      <c r="H12" s="10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00" t="s">
        <v>12</v>
      </c>
      <c r="G13" s="100"/>
      <c r="H13" s="100"/>
      <c r="I13" s="11"/>
      <c r="J13" s="12"/>
    </row>
    <row r="14" spans="1:10">
      <c r="A14" s="10"/>
      <c r="B14" s="11"/>
      <c r="C14" s="11"/>
      <c r="D14" s="11"/>
      <c r="E14" s="12"/>
      <c r="F14" s="100" t="s">
        <v>13</v>
      </c>
      <c r="G14" s="100"/>
      <c r="H14" s="100"/>
      <c r="I14" s="11"/>
      <c r="J14" s="12"/>
    </row>
    <row r="15" spans="1:10">
      <c r="A15" s="10"/>
      <c r="B15" s="11"/>
      <c r="C15" s="11"/>
      <c r="D15" s="11"/>
      <c r="E15" s="12"/>
      <c r="F15" s="100" t="s">
        <v>14</v>
      </c>
      <c r="G15" s="100"/>
      <c r="H15" s="10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00" t="s">
        <v>15</v>
      </c>
      <c r="G16" s="100"/>
      <c r="H16" s="100"/>
      <c r="I16" s="11"/>
      <c r="J16" s="12"/>
    </row>
    <row r="17" spans="1:10">
      <c r="A17" s="10"/>
      <c r="B17" s="11"/>
      <c r="C17" s="11"/>
      <c r="D17" s="11"/>
      <c r="E17" s="12"/>
      <c r="F17" s="100" t="s">
        <v>16</v>
      </c>
      <c r="G17" s="100"/>
      <c r="H17" s="10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176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172</v>
      </c>
      <c r="H29" s="165"/>
      <c r="I29" s="166" t="s">
        <v>173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12" t="s">
        <v>177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01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97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97">
        <v>1</v>
      </c>
      <c r="B34" s="15" t="s">
        <v>175</v>
      </c>
      <c r="C34" s="15" t="s">
        <v>65</v>
      </c>
      <c r="D34" s="37"/>
      <c r="E34" s="147">
        <f>170+62</f>
        <v>232</v>
      </c>
      <c r="F34" s="148"/>
      <c r="G34" s="37">
        <f>11.153+4.382</f>
        <v>15.535</v>
      </c>
      <c r="H34" s="40"/>
      <c r="I34" s="149"/>
      <c r="J34" s="150"/>
    </row>
    <row r="35" spans="1:10" ht="18.899999999999999" customHeight="1">
      <c r="A35" s="97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9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9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97"/>
      <c r="B38" s="15"/>
      <c r="C38" s="15"/>
      <c r="D38" s="37"/>
      <c r="E38" s="147"/>
      <c r="F38" s="148"/>
      <c r="G38" s="37"/>
      <c r="H38" s="40"/>
      <c r="I38" s="98"/>
      <c r="J38" s="99"/>
    </row>
    <row r="39" spans="1:10" ht="18.899999999999999" customHeight="1">
      <c r="A39" s="97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97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97"/>
      <c r="B41" s="15"/>
      <c r="C41" s="15"/>
      <c r="D41" s="37"/>
      <c r="E41" s="147"/>
      <c r="F41" s="148"/>
      <c r="G41" s="37"/>
      <c r="H41" s="40"/>
      <c r="I41" s="98"/>
      <c r="J41" s="99"/>
    </row>
    <row r="42" spans="1:10" ht="18.899999999999999" customHeight="1">
      <c r="A42" s="97"/>
      <c r="B42" s="15"/>
      <c r="C42" s="15"/>
      <c r="D42" s="37"/>
      <c r="E42" s="147"/>
      <c r="F42" s="148"/>
      <c r="G42" s="43"/>
      <c r="H42" s="40"/>
      <c r="I42" s="98"/>
      <c r="J42" s="99"/>
    </row>
    <row r="43" spans="1:10" ht="18.899999999999999" customHeight="1">
      <c r="A43" s="97"/>
      <c r="B43" s="15"/>
      <c r="C43" s="15"/>
      <c r="D43" s="37"/>
      <c r="E43" s="147"/>
      <c r="F43" s="148"/>
      <c r="G43" s="43"/>
      <c r="H43" s="104"/>
      <c r="I43" s="98"/>
      <c r="J43" s="99"/>
    </row>
    <row r="44" spans="1:10" ht="18.899999999999999" customHeight="1">
      <c r="A44" s="97"/>
      <c r="B44" s="15"/>
      <c r="C44" s="15"/>
      <c r="D44" s="45"/>
      <c r="E44" s="147"/>
      <c r="F44" s="148"/>
      <c r="G44" s="43"/>
      <c r="H44" s="104"/>
      <c r="I44" s="98"/>
      <c r="J44" s="99"/>
    </row>
    <row r="45" spans="1:10" ht="18.75" customHeight="1">
      <c r="A45" s="97"/>
      <c r="B45" s="15"/>
      <c r="C45" s="15"/>
      <c r="D45" s="12"/>
      <c r="E45" s="147"/>
      <c r="F45" s="148"/>
      <c r="G45" s="43"/>
      <c r="H45" s="46"/>
      <c r="I45" s="98"/>
      <c r="J45" s="99"/>
    </row>
    <row r="46" spans="1:10" ht="18.899999999999999" customHeight="1">
      <c r="A46" s="97"/>
      <c r="B46" s="15"/>
      <c r="C46" s="15"/>
      <c r="D46" s="12"/>
      <c r="E46" s="147"/>
      <c r="F46" s="148"/>
      <c r="G46" s="43"/>
      <c r="H46" s="46"/>
      <c r="I46" s="98"/>
      <c r="J46" s="99"/>
    </row>
    <row r="47" spans="1:10" ht="18.899999999999999" customHeight="1" thickBot="1">
      <c r="A47" s="97"/>
      <c r="B47" s="15"/>
      <c r="C47" s="15"/>
      <c r="D47" s="12"/>
      <c r="E47" s="147"/>
      <c r="F47" s="148"/>
      <c r="G47" s="37"/>
      <c r="H47" s="47"/>
      <c r="I47" s="98"/>
      <c r="J47" s="99"/>
    </row>
    <row r="48" spans="1:10" ht="18.899999999999999" customHeight="1" thickBot="1">
      <c r="A48" s="10"/>
      <c r="B48" s="11"/>
      <c r="C48" s="11"/>
      <c r="D48" s="12"/>
      <c r="E48" s="175">
        <f>SUM(E33:F47)</f>
        <v>232</v>
      </c>
      <c r="F48" s="179"/>
      <c r="G48" s="48">
        <f>SUM(G33:G47)</f>
        <v>15.535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2"/>
      <c r="J50" s="103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>
    <pageSetUpPr fitToPage="1"/>
  </sheetPr>
  <dimension ref="A2:L1048576"/>
  <sheetViews>
    <sheetView topLeftCell="A26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00" t="s">
        <v>10</v>
      </c>
      <c r="G12" s="100"/>
      <c r="H12" s="10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00" t="s">
        <v>12</v>
      </c>
      <c r="G13" s="100"/>
      <c r="H13" s="100"/>
      <c r="I13" s="11"/>
      <c r="J13" s="12"/>
    </row>
    <row r="14" spans="1:10">
      <c r="A14" s="10"/>
      <c r="B14" s="11"/>
      <c r="C14" s="11"/>
      <c r="D14" s="11"/>
      <c r="E14" s="12"/>
      <c r="F14" s="100" t="s">
        <v>13</v>
      </c>
      <c r="G14" s="100"/>
      <c r="H14" s="100"/>
      <c r="I14" s="11"/>
      <c r="J14" s="12"/>
    </row>
    <row r="15" spans="1:10">
      <c r="A15" s="10"/>
      <c r="B15" s="11"/>
      <c r="C15" s="11"/>
      <c r="D15" s="11"/>
      <c r="E15" s="12"/>
      <c r="F15" s="100" t="s">
        <v>14</v>
      </c>
      <c r="G15" s="100"/>
      <c r="H15" s="10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00" t="s">
        <v>15</v>
      </c>
      <c r="G16" s="100"/>
      <c r="H16" s="100"/>
      <c r="I16" s="11"/>
      <c r="J16" s="12"/>
    </row>
    <row r="17" spans="1:12">
      <c r="A17" s="10"/>
      <c r="B17" s="11"/>
      <c r="C17" s="11"/>
      <c r="D17" s="11"/>
      <c r="E17" s="12"/>
      <c r="F17" s="100" t="s">
        <v>16</v>
      </c>
      <c r="G17" s="100"/>
      <c r="H17" s="100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178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179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111</v>
      </c>
      <c r="H29" s="165"/>
      <c r="I29" s="166" t="s">
        <v>180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12" t="s">
        <v>181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01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97">
        <v>1</v>
      </c>
      <c r="B34" s="15" t="s">
        <v>147</v>
      </c>
      <c r="C34" s="15" t="s">
        <v>182</v>
      </c>
      <c r="D34" s="37"/>
      <c r="E34" s="147">
        <f>53+29+47</f>
        <v>129</v>
      </c>
      <c r="F34" s="148"/>
      <c r="G34" s="37">
        <f>7.247+4.796+8.124</f>
        <v>20.167000000000002</v>
      </c>
      <c r="H34" s="38"/>
      <c r="I34" s="149"/>
      <c r="J34" s="150"/>
      <c r="L34" s="37"/>
    </row>
    <row r="35" spans="1:12" ht="18.899999999999999" customHeight="1">
      <c r="A35" s="97">
        <v>2</v>
      </c>
      <c r="B35" s="15" t="s">
        <v>132</v>
      </c>
      <c r="C35" s="15" t="s">
        <v>182</v>
      </c>
      <c r="D35" s="37"/>
      <c r="E35" s="147">
        <v>43</v>
      </c>
      <c r="F35" s="148"/>
      <c r="G35" s="37">
        <v>11.343</v>
      </c>
      <c r="H35" s="40"/>
      <c r="I35" s="149"/>
      <c r="J35" s="150"/>
    </row>
    <row r="36" spans="1:12" ht="18.899999999999999" customHeight="1">
      <c r="A36" s="9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9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97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97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97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97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97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97"/>
      <c r="B43" s="15"/>
      <c r="C43" s="15"/>
      <c r="D43" s="90"/>
      <c r="E43" s="147"/>
      <c r="F43" s="148"/>
      <c r="G43" s="37"/>
      <c r="H43" s="40"/>
      <c r="I43" s="98"/>
      <c r="J43" s="99"/>
    </row>
    <row r="44" spans="1:12" ht="18.899999999999999" customHeight="1">
      <c r="A44" s="97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97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172</v>
      </c>
      <c r="F46" s="179"/>
      <c r="G46" s="48">
        <f>SUM(G33:G45)</f>
        <v>31.51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01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2"/>
      <c r="J50" s="103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8">
    <pageSetUpPr fitToPage="1"/>
  </sheetPr>
  <dimension ref="A2:J1048576"/>
  <sheetViews>
    <sheetView topLeftCell="A17" workbookViewId="0">
      <selection activeCell="D29" sqref="D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00" t="s">
        <v>10</v>
      </c>
      <c r="G12" s="100"/>
      <c r="H12" s="10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00" t="s">
        <v>12</v>
      </c>
      <c r="G13" s="100"/>
      <c r="H13" s="100"/>
      <c r="I13" s="11"/>
      <c r="J13" s="12"/>
    </row>
    <row r="14" spans="1:10">
      <c r="A14" s="10"/>
      <c r="B14" s="11"/>
      <c r="C14" s="11"/>
      <c r="D14" s="11"/>
      <c r="E14" s="12"/>
      <c r="F14" s="100" t="s">
        <v>13</v>
      </c>
      <c r="G14" s="100"/>
      <c r="H14" s="100"/>
      <c r="I14" s="11"/>
      <c r="J14" s="12"/>
    </row>
    <row r="15" spans="1:10">
      <c r="A15" s="10"/>
      <c r="B15" s="11"/>
      <c r="C15" s="11"/>
      <c r="D15" s="11"/>
      <c r="E15" s="12"/>
      <c r="F15" s="100" t="s">
        <v>14</v>
      </c>
      <c r="G15" s="100"/>
      <c r="H15" s="10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00" t="s">
        <v>15</v>
      </c>
      <c r="G16" s="100"/>
      <c r="H16" s="100"/>
      <c r="I16" s="11"/>
      <c r="J16" s="12"/>
    </row>
    <row r="17" spans="1:10">
      <c r="A17" s="10"/>
      <c r="B17" s="11"/>
      <c r="C17" s="11"/>
      <c r="D17" s="11"/>
      <c r="E17" s="12"/>
      <c r="F17" s="100" t="s">
        <v>16</v>
      </c>
      <c r="G17" s="100"/>
      <c r="H17" s="10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183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189</v>
      </c>
      <c r="H29" s="165"/>
      <c r="I29" s="166" t="s">
        <v>190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12" t="s">
        <v>191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01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97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97">
        <v>1</v>
      </c>
      <c r="B34" s="15" t="s">
        <v>192</v>
      </c>
      <c r="C34" s="15" t="s">
        <v>65</v>
      </c>
      <c r="D34" s="37"/>
      <c r="E34" s="147">
        <v>29</v>
      </c>
      <c r="F34" s="148"/>
      <c r="G34" s="37">
        <v>2.2789999999999999</v>
      </c>
      <c r="H34" s="40"/>
      <c r="I34" s="149"/>
      <c r="J34" s="150"/>
    </row>
    <row r="35" spans="1:10" ht="18.899999999999999" customHeight="1">
      <c r="A35" s="97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9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9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97"/>
      <c r="B38" s="15"/>
      <c r="C38" s="15"/>
      <c r="D38" s="37"/>
      <c r="E38" s="147"/>
      <c r="F38" s="148"/>
      <c r="G38" s="37"/>
      <c r="H38" s="40"/>
      <c r="I38" s="98"/>
      <c r="J38" s="99"/>
    </row>
    <row r="39" spans="1:10" ht="18.899999999999999" customHeight="1">
      <c r="A39" s="97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97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97"/>
      <c r="B41" s="15"/>
      <c r="C41" s="15"/>
      <c r="D41" s="37"/>
      <c r="E41" s="147"/>
      <c r="F41" s="148"/>
      <c r="G41" s="37"/>
      <c r="H41" s="40"/>
      <c r="I41" s="98"/>
      <c r="J41" s="99"/>
    </row>
    <row r="42" spans="1:10" ht="18.899999999999999" customHeight="1">
      <c r="A42" s="97"/>
      <c r="B42" s="15"/>
      <c r="C42" s="15"/>
      <c r="D42" s="37"/>
      <c r="E42" s="147"/>
      <c r="F42" s="148"/>
      <c r="G42" s="43"/>
      <c r="H42" s="40"/>
      <c r="I42" s="98"/>
      <c r="J42" s="99"/>
    </row>
    <row r="43" spans="1:10" ht="18.899999999999999" customHeight="1">
      <c r="A43" s="97"/>
      <c r="B43" s="15"/>
      <c r="C43" s="15"/>
      <c r="D43" s="37"/>
      <c r="E43" s="147"/>
      <c r="F43" s="148"/>
      <c r="G43" s="43"/>
      <c r="H43" s="104"/>
      <c r="I43" s="98"/>
      <c r="J43" s="99"/>
    </row>
    <row r="44" spans="1:10" ht="18.899999999999999" customHeight="1">
      <c r="A44" s="97"/>
      <c r="B44" s="15"/>
      <c r="C44" s="15"/>
      <c r="D44" s="45"/>
      <c r="E44" s="147"/>
      <c r="F44" s="148"/>
      <c r="G44" s="43"/>
      <c r="H44" s="104"/>
      <c r="I44" s="98"/>
      <c r="J44" s="99"/>
    </row>
    <row r="45" spans="1:10" ht="18.75" customHeight="1">
      <c r="A45" s="97"/>
      <c r="B45" s="15"/>
      <c r="C45" s="15"/>
      <c r="D45" s="12"/>
      <c r="E45" s="147"/>
      <c r="F45" s="148"/>
      <c r="G45" s="43"/>
      <c r="H45" s="46"/>
      <c r="I45" s="98"/>
      <c r="J45" s="99"/>
    </row>
    <row r="46" spans="1:10" ht="18.899999999999999" customHeight="1">
      <c r="A46" s="97"/>
      <c r="B46" s="15"/>
      <c r="C46" s="15"/>
      <c r="D46" s="12"/>
      <c r="E46" s="147"/>
      <c r="F46" s="148"/>
      <c r="G46" s="43"/>
      <c r="H46" s="46"/>
      <c r="I46" s="98"/>
      <c r="J46" s="99"/>
    </row>
    <row r="47" spans="1:10" ht="18.899999999999999" customHeight="1" thickBot="1">
      <c r="A47" s="97"/>
      <c r="B47" s="15"/>
      <c r="C47" s="15"/>
      <c r="D47" s="12"/>
      <c r="E47" s="147"/>
      <c r="F47" s="148"/>
      <c r="G47" s="37"/>
      <c r="H47" s="47"/>
      <c r="I47" s="98"/>
      <c r="J47" s="99"/>
    </row>
    <row r="48" spans="1:10" ht="18.899999999999999" customHeight="1" thickBot="1">
      <c r="A48" s="10"/>
      <c r="B48" s="11"/>
      <c r="C48" s="11"/>
      <c r="D48" s="12"/>
      <c r="E48" s="175">
        <f>SUM(E33:F47)</f>
        <v>29</v>
      </c>
      <c r="F48" s="179"/>
      <c r="G48" s="48">
        <f>SUM(G33:G47)</f>
        <v>2.2789999999999999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2"/>
      <c r="J50" s="103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9">
    <pageSetUpPr fitToPage="1"/>
  </sheetPr>
  <dimension ref="A2:J1048576"/>
  <sheetViews>
    <sheetView topLeftCell="A14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00" t="s">
        <v>10</v>
      </c>
      <c r="G12" s="100"/>
      <c r="H12" s="10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00" t="s">
        <v>12</v>
      </c>
      <c r="G13" s="100"/>
      <c r="H13" s="100"/>
      <c r="I13" s="11"/>
      <c r="J13" s="12"/>
    </row>
    <row r="14" spans="1:10">
      <c r="A14" s="10"/>
      <c r="B14" s="11"/>
      <c r="C14" s="11"/>
      <c r="D14" s="11"/>
      <c r="E14" s="12"/>
      <c r="F14" s="100" t="s">
        <v>13</v>
      </c>
      <c r="G14" s="100"/>
      <c r="H14" s="100"/>
      <c r="I14" s="11"/>
      <c r="J14" s="12"/>
    </row>
    <row r="15" spans="1:10">
      <c r="A15" s="10"/>
      <c r="B15" s="11"/>
      <c r="C15" s="11"/>
      <c r="D15" s="11"/>
      <c r="E15" s="12"/>
      <c r="F15" s="100" t="s">
        <v>14</v>
      </c>
      <c r="G15" s="100"/>
      <c r="H15" s="10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00" t="s">
        <v>15</v>
      </c>
      <c r="G16" s="100"/>
      <c r="H16" s="100"/>
      <c r="I16" s="11"/>
      <c r="J16" s="12"/>
    </row>
    <row r="17" spans="1:10">
      <c r="A17" s="10"/>
      <c r="B17" s="11"/>
      <c r="C17" s="11"/>
      <c r="D17" s="11"/>
      <c r="E17" s="12"/>
      <c r="F17" s="100" t="s">
        <v>16</v>
      </c>
      <c r="G17" s="100"/>
      <c r="H17" s="10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193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189</v>
      </c>
      <c r="H29" s="165"/>
      <c r="I29" s="166" t="s">
        <v>190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12" t="s">
        <v>196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01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97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97">
        <v>1</v>
      </c>
      <c r="B34" s="15" t="s">
        <v>192</v>
      </c>
      <c r="C34" s="15" t="s">
        <v>65</v>
      </c>
      <c r="D34" s="37"/>
      <c r="E34" s="147">
        <f>308+64</f>
        <v>372</v>
      </c>
      <c r="F34" s="148"/>
      <c r="G34" s="37">
        <f>21.887+5.395</f>
        <v>27.282</v>
      </c>
      <c r="H34" s="40"/>
      <c r="I34" s="149"/>
      <c r="J34" s="150"/>
    </row>
    <row r="35" spans="1:10" ht="18.899999999999999" customHeight="1">
      <c r="A35" s="97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9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9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97"/>
      <c r="B38" s="15"/>
      <c r="C38" s="15"/>
      <c r="D38" s="37"/>
      <c r="E38" s="147"/>
      <c r="F38" s="148"/>
      <c r="G38" s="37"/>
      <c r="H38" s="40"/>
      <c r="I38" s="98"/>
      <c r="J38" s="99"/>
    </row>
    <row r="39" spans="1:10" ht="18.899999999999999" customHeight="1">
      <c r="A39" s="97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97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97"/>
      <c r="B41" s="15"/>
      <c r="C41" s="15"/>
      <c r="D41" s="37"/>
      <c r="E41" s="147"/>
      <c r="F41" s="148"/>
      <c r="G41" s="37"/>
      <c r="H41" s="40"/>
      <c r="I41" s="98"/>
      <c r="J41" s="99"/>
    </row>
    <row r="42" spans="1:10" ht="18.899999999999999" customHeight="1">
      <c r="A42" s="97"/>
      <c r="B42" s="15"/>
      <c r="C42" s="15"/>
      <c r="D42" s="37"/>
      <c r="E42" s="147"/>
      <c r="F42" s="148"/>
      <c r="G42" s="43"/>
      <c r="H42" s="40"/>
      <c r="I42" s="98"/>
      <c r="J42" s="99"/>
    </row>
    <row r="43" spans="1:10" ht="18.899999999999999" customHeight="1">
      <c r="A43" s="97"/>
      <c r="B43" s="15"/>
      <c r="C43" s="15"/>
      <c r="D43" s="37"/>
      <c r="E43" s="147"/>
      <c r="F43" s="148"/>
      <c r="G43" s="43"/>
      <c r="H43" s="104"/>
      <c r="I43" s="98"/>
      <c r="J43" s="99"/>
    </row>
    <row r="44" spans="1:10" ht="18.899999999999999" customHeight="1">
      <c r="A44" s="97"/>
      <c r="B44" s="15"/>
      <c r="C44" s="15"/>
      <c r="D44" s="45"/>
      <c r="E44" s="147"/>
      <c r="F44" s="148"/>
      <c r="G44" s="43"/>
      <c r="H44" s="104"/>
      <c r="I44" s="98"/>
      <c r="J44" s="99"/>
    </row>
    <row r="45" spans="1:10" ht="18.75" customHeight="1">
      <c r="A45" s="97"/>
      <c r="B45" s="15"/>
      <c r="C45" s="15"/>
      <c r="D45" s="12"/>
      <c r="E45" s="147"/>
      <c r="F45" s="148"/>
      <c r="G45" s="43"/>
      <c r="H45" s="46"/>
      <c r="I45" s="98"/>
      <c r="J45" s="99"/>
    </row>
    <row r="46" spans="1:10" ht="18.899999999999999" customHeight="1">
      <c r="A46" s="97"/>
      <c r="B46" s="15"/>
      <c r="C46" s="15"/>
      <c r="D46" s="12"/>
      <c r="E46" s="147"/>
      <c r="F46" s="148"/>
      <c r="G46" s="43"/>
      <c r="H46" s="46"/>
      <c r="I46" s="98"/>
      <c r="J46" s="99"/>
    </row>
    <row r="47" spans="1:10" ht="18.899999999999999" customHeight="1" thickBot="1">
      <c r="A47" s="97"/>
      <c r="B47" s="15"/>
      <c r="C47" s="15"/>
      <c r="D47" s="12"/>
      <c r="E47" s="147"/>
      <c r="F47" s="148"/>
      <c r="G47" s="37"/>
      <c r="H47" s="47"/>
      <c r="I47" s="98"/>
      <c r="J47" s="99"/>
    </row>
    <row r="48" spans="1:10" ht="18.899999999999999" customHeight="1" thickBot="1">
      <c r="A48" s="10"/>
      <c r="B48" s="11"/>
      <c r="C48" s="11"/>
      <c r="D48" s="12"/>
      <c r="E48" s="175">
        <f>SUM(E33:F47)</f>
        <v>372</v>
      </c>
      <c r="F48" s="179"/>
      <c r="G48" s="48">
        <f>SUM(G33:G47)</f>
        <v>27.282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2"/>
      <c r="J50" s="103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0">
    <pageSetUpPr fitToPage="1"/>
  </sheetPr>
  <dimension ref="A2:J1048576"/>
  <sheetViews>
    <sheetView topLeftCell="A17" workbookViewId="0">
      <selection activeCell="E38" sqref="E38:F38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00" t="s">
        <v>10</v>
      </c>
      <c r="G12" s="100"/>
      <c r="H12" s="10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00" t="s">
        <v>12</v>
      </c>
      <c r="G13" s="100"/>
      <c r="H13" s="100"/>
      <c r="I13" s="11"/>
      <c r="J13" s="12"/>
    </row>
    <row r="14" spans="1:10">
      <c r="A14" s="10"/>
      <c r="B14" s="11"/>
      <c r="C14" s="11"/>
      <c r="D14" s="11"/>
      <c r="E14" s="12"/>
      <c r="F14" s="100" t="s">
        <v>13</v>
      </c>
      <c r="G14" s="100"/>
      <c r="H14" s="100"/>
      <c r="I14" s="11"/>
      <c r="J14" s="12"/>
    </row>
    <row r="15" spans="1:10">
      <c r="A15" s="10"/>
      <c r="B15" s="11"/>
      <c r="C15" s="11"/>
      <c r="D15" s="11"/>
      <c r="E15" s="12"/>
      <c r="F15" s="100" t="s">
        <v>14</v>
      </c>
      <c r="G15" s="100"/>
      <c r="H15" s="10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00" t="s">
        <v>15</v>
      </c>
      <c r="G16" s="100"/>
      <c r="H16" s="100"/>
      <c r="I16" s="11"/>
      <c r="J16" s="12"/>
    </row>
    <row r="17" spans="1:10">
      <c r="A17" s="10"/>
      <c r="B17" s="11"/>
      <c r="C17" s="11"/>
      <c r="D17" s="11"/>
      <c r="E17" s="12"/>
      <c r="F17" s="100" t="s">
        <v>16</v>
      </c>
      <c r="G17" s="100"/>
      <c r="H17" s="100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194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27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30</v>
      </c>
      <c r="B29" s="29"/>
      <c r="C29" s="11"/>
      <c r="D29" s="12"/>
      <c r="E29" s="15" t="s">
        <v>31</v>
      </c>
      <c r="F29" s="11" t="s">
        <v>32</v>
      </c>
      <c r="G29" s="165" t="s">
        <v>189</v>
      </c>
      <c r="H29" s="165"/>
      <c r="I29" s="166" t="s">
        <v>190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12" t="s">
        <v>195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01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97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97">
        <v>1</v>
      </c>
      <c r="B34" s="15" t="s">
        <v>197</v>
      </c>
      <c r="C34" s="15" t="s">
        <v>65</v>
      </c>
      <c r="D34" s="37"/>
      <c r="E34" s="147">
        <v>5</v>
      </c>
      <c r="F34" s="148"/>
      <c r="G34" s="37">
        <v>2.6030000000000002</v>
      </c>
      <c r="H34" s="40"/>
      <c r="I34" s="149"/>
      <c r="J34" s="150"/>
    </row>
    <row r="35" spans="1:10" ht="18.899999999999999" customHeight="1">
      <c r="A35" s="97">
        <v>2</v>
      </c>
      <c r="B35" s="15" t="s">
        <v>198</v>
      </c>
      <c r="C35" s="15" t="s">
        <v>65</v>
      </c>
      <c r="D35" s="37"/>
      <c r="E35" s="147">
        <v>2</v>
      </c>
      <c r="F35" s="148"/>
      <c r="G35" s="37">
        <v>0.86</v>
      </c>
      <c r="H35" s="40"/>
      <c r="I35" s="149" t="s">
        <v>3</v>
      </c>
      <c r="J35" s="150"/>
    </row>
    <row r="36" spans="1:10" ht="18.899999999999999" customHeight="1">
      <c r="A36" s="9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9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97"/>
      <c r="B38" s="15"/>
      <c r="C38" s="15"/>
      <c r="D38" s="37"/>
      <c r="E38" s="147"/>
      <c r="F38" s="148"/>
      <c r="G38" s="37"/>
      <c r="H38" s="40"/>
      <c r="I38" s="98"/>
      <c r="J38" s="99"/>
    </row>
    <row r="39" spans="1:10" ht="18.899999999999999" customHeight="1">
      <c r="A39" s="97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97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97"/>
      <c r="B41" s="15"/>
      <c r="C41" s="15"/>
      <c r="D41" s="37"/>
      <c r="E41" s="147"/>
      <c r="F41" s="148"/>
      <c r="G41" s="37"/>
      <c r="H41" s="40"/>
      <c r="I41" s="98"/>
      <c r="J41" s="99"/>
    </row>
    <row r="42" spans="1:10" ht="18.899999999999999" customHeight="1">
      <c r="A42" s="97"/>
      <c r="B42" s="15"/>
      <c r="C42" s="15"/>
      <c r="D42" s="37"/>
      <c r="E42" s="147"/>
      <c r="F42" s="148"/>
      <c r="G42" s="43"/>
      <c r="H42" s="40"/>
      <c r="I42" s="98"/>
      <c r="J42" s="99"/>
    </row>
    <row r="43" spans="1:10" ht="18.899999999999999" customHeight="1">
      <c r="A43" s="97"/>
      <c r="B43" s="15"/>
      <c r="C43" s="15"/>
      <c r="D43" s="37"/>
      <c r="E43" s="147"/>
      <c r="F43" s="148"/>
      <c r="G43" s="43"/>
      <c r="H43" s="104"/>
      <c r="I43" s="98"/>
      <c r="J43" s="99"/>
    </row>
    <row r="44" spans="1:10" ht="18.899999999999999" customHeight="1">
      <c r="A44" s="97"/>
      <c r="B44" s="15"/>
      <c r="C44" s="15"/>
      <c r="D44" s="45"/>
      <c r="E44" s="147"/>
      <c r="F44" s="148"/>
      <c r="G44" s="43"/>
      <c r="H44" s="104"/>
      <c r="I44" s="98"/>
      <c r="J44" s="99"/>
    </row>
    <row r="45" spans="1:10" ht="18.75" customHeight="1">
      <c r="A45" s="97"/>
      <c r="B45" s="15"/>
      <c r="C45" s="15"/>
      <c r="D45" s="12"/>
      <c r="E45" s="147"/>
      <c r="F45" s="148"/>
      <c r="G45" s="43"/>
      <c r="H45" s="46"/>
      <c r="I45" s="98"/>
      <c r="J45" s="99"/>
    </row>
    <row r="46" spans="1:10" ht="18.899999999999999" customHeight="1">
      <c r="A46" s="97"/>
      <c r="B46" s="15"/>
      <c r="C46" s="15"/>
      <c r="D46" s="12"/>
      <c r="E46" s="147"/>
      <c r="F46" s="148"/>
      <c r="G46" s="43"/>
      <c r="H46" s="46"/>
      <c r="I46" s="98"/>
      <c r="J46" s="99"/>
    </row>
    <row r="47" spans="1:10" ht="18.899999999999999" customHeight="1" thickBot="1">
      <c r="A47" s="97"/>
      <c r="B47" s="15"/>
      <c r="C47" s="15"/>
      <c r="D47" s="12"/>
      <c r="E47" s="147"/>
      <c r="F47" s="148"/>
      <c r="G47" s="37"/>
      <c r="H47" s="47"/>
      <c r="I47" s="98"/>
      <c r="J47" s="99"/>
    </row>
    <row r="48" spans="1:10" ht="18.899999999999999" customHeight="1" thickBot="1">
      <c r="A48" s="10"/>
      <c r="B48" s="11"/>
      <c r="C48" s="11"/>
      <c r="D48" s="12"/>
      <c r="E48" s="175">
        <f>SUM(E33:F47)</f>
        <v>7</v>
      </c>
      <c r="F48" s="179"/>
      <c r="G48" s="48">
        <f>SUM(G33:G47)</f>
        <v>3.4630000000000001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2"/>
      <c r="J50" s="103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23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10" t="s">
        <v>10</v>
      </c>
      <c r="G12" s="110"/>
      <c r="H12" s="11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10" t="s">
        <v>12</v>
      </c>
      <c r="G13" s="110"/>
      <c r="H13" s="110"/>
      <c r="I13" s="11"/>
      <c r="J13" s="12"/>
    </row>
    <row r="14" spans="1:10">
      <c r="A14" s="10"/>
      <c r="B14" s="11"/>
      <c r="C14" s="11"/>
      <c r="D14" s="11"/>
      <c r="E14" s="12"/>
      <c r="F14" s="110" t="s">
        <v>13</v>
      </c>
      <c r="G14" s="110"/>
      <c r="H14" s="110"/>
      <c r="I14" s="11"/>
      <c r="J14" s="12"/>
    </row>
    <row r="15" spans="1:10">
      <c r="A15" s="10"/>
      <c r="B15" s="11"/>
      <c r="C15" s="11"/>
      <c r="D15" s="11"/>
      <c r="E15" s="12"/>
      <c r="F15" s="110" t="s">
        <v>14</v>
      </c>
      <c r="G15" s="110"/>
      <c r="H15" s="11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10" t="s">
        <v>15</v>
      </c>
      <c r="G16" s="110"/>
      <c r="H16" s="110"/>
      <c r="I16" s="11"/>
      <c r="J16" s="12"/>
    </row>
    <row r="17" spans="1:12">
      <c r="A17" s="10"/>
      <c r="B17" s="11"/>
      <c r="C17" s="11"/>
      <c r="D17" s="11"/>
      <c r="E17" s="12"/>
      <c r="F17" s="110" t="s">
        <v>16</v>
      </c>
      <c r="G17" s="110"/>
      <c r="H17" s="110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200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179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201</v>
      </c>
      <c r="H29" s="165"/>
      <c r="I29" s="166" t="s">
        <v>202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12" t="s">
        <v>203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11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07">
        <v>1</v>
      </c>
      <c r="B34" s="15" t="s">
        <v>80</v>
      </c>
      <c r="C34" s="15" t="s">
        <v>115</v>
      </c>
      <c r="D34" s="37"/>
      <c r="E34" s="147">
        <v>58</v>
      </c>
      <c r="F34" s="148"/>
      <c r="G34" s="37">
        <v>6.39</v>
      </c>
      <c r="H34" s="38"/>
      <c r="I34" s="149"/>
      <c r="J34" s="150"/>
      <c r="L34" s="37"/>
    </row>
    <row r="35" spans="1:12" ht="18.899999999999999" customHeight="1">
      <c r="A35" s="107">
        <v>2</v>
      </c>
      <c r="B35" s="15" t="s">
        <v>204</v>
      </c>
      <c r="C35" s="15" t="s">
        <v>115</v>
      </c>
      <c r="D35" s="37"/>
      <c r="E35" s="147">
        <v>65</v>
      </c>
      <c r="F35" s="148"/>
      <c r="G35" s="37">
        <v>6.8150000000000004</v>
      </c>
      <c r="H35" s="40"/>
      <c r="I35" s="149"/>
      <c r="J35" s="150"/>
    </row>
    <row r="36" spans="1:12" ht="18.899999999999999" customHeight="1">
      <c r="A36" s="107">
        <v>3</v>
      </c>
      <c r="B36" s="15" t="s">
        <v>78</v>
      </c>
      <c r="C36" s="15" t="s">
        <v>115</v>
      </c>
      <c r="D36" s="37"/>
      <c r="E36" s="147">
        <v>14</v>
      </c>
      <c r="F36" s="148"/>
      <c r="G36" s="37">
        <v>1.726</v>
      </c>
      <c r="H36" s="40"/>
      <c r="I36" s="149"/>
      <c r="J36" s="150"/>
    </row>
    <row r="37" spans="1:12" ht="18.899999999999999" customHeight="1">
      <c r="A37" s="107">
        <v>4</v>
      </c>
      <c r="B37" s="15" t="s">
        <v>205</v>
      </c>
      <c r="C37" s="15" t="s">
        <v>115</v>
      </c>
      <c r="D37" s="37"/>
      <c r="E37" s="147">
        <v>28</v>
      </c>
      <c r="F37" s="148"/>
      <c r="G37" s="37">
        <v>4.734</v>
      </c>
      <c r="H37" s="40"/>
      <c r="I37" s="149"/>
      <c r="J37" s="150"/>
    </row>
    <row r="38" spans="1:12" ht="18.899999999999999" customHeight="1">
      <c r="A38" s="107">
        <v>5</v>
      </c>
      <c r="B38" s="15" t="s">
        <v>206</v>
      </c>
      <c r="C38" s="15" t="s">
        <v>115</v>
      </c>
      <c r="D38" s="90"/>
      <c r="E38" s="147">
        <f>16+48</f>
        <v>64</v>
      </c>
      <c r="F38" s="148"/>
      <c r="G38" s="37">
        <f>1.999+5.954</f>
        <v>7.9529999999999994</v>
      </c>
      <c r="H38" s="40"/>
      <c r="I38" s="149"/>
      <c r="J38" s="150"/>
    </row>
    <row r="39" spans="1:12" ht="18.899999999999999" customHeight="1">
      <c r="A39" s="107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07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07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07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07"/>
      <c r="B43" s="15"/>
      <c r="C43" s="15"/>
      <c r="D43" s="90"/>
      <c r="E43" s="147"/>
      <c r="F43" s="148"/>
      <c r="G43" s="37"/>
      <c r="H43" s="40"/>
      <c r="I43" s="108"/>
      <c r="J43" s="109"/>
    </row>
    <row r="44" spans="1:12" ht="18.899999999999999" customHeight="1">
      <c r="A44" s="107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07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229</v>
      </c>
      <c r="F46" s="179"/>
      <c r="G46" s="48">
        <f>SUM(G33:G45)</f>
        <v>27.617999999999999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11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5"/>
      <c r="J50" s="106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7" workbookViewId="0">
      <selection activeCell="A29" sqref="A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10" t="s">
        <v>10</v>
      </c>
      <c r="G12" s="110"/>
      <c r="H12" s="11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10" t="s">
        <v>12</v>
      </c>
      <c r="G13" s="110"/>
      <c r="H13" s="110"/>
      <c r="I13" s="11"/>
      <c r="J13" s="12"/>
    </row>
    <row r="14" spans="1:10">
      <c r="A14" s="10"/>
      <c r="B14" s="11"/>
      <c r="C14" s="11"/>
      <c r="D14" s="11"/>
      <c r="E14" s="12"/>
      <c r="F14" s="110" t="s">
        <v>13</v>
      </c>
      <c r="G14" s="110"/>
      <c r="H14" s="110"/>
      <c r="I14" s="11"/>
      <c r="J14" s="12"/>
    </row>
    <row r="15" spans="1:10">
      <c r="A15" s="10"/>
      <c r="B15" s="11"/>
      <c r="C15" s="11"/>
      <c r="D15" s="11"/>
      <c r="E15" s="12"/>
      <c r="F15" s="110" t="s">
        <v>14</v>
      </c>
      <c r="G15" s="110"/>
      <c r="H15" s="11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10" t="s">
        <v>15</v>
      </c>
      <c r="G16" s="110"/>
      <c r="H16" s="110"/>
      <c r="I16" s="11"/>
      <c r="J16" s="12"/>
    </row>
    <row r="17" spans="1:12">
      <c r="A17" s="10"/>
      <c r="B17" s="11"/>
      <c r="C17" s="11"/>
      <c r="D17" s="11"/>
      <c r="E17" s="12"/>
      <c r="F17" s="110" t="s">
        <v>16</v>
      </c>
      <c r="G17" s="110"/>
      <c r="H17" s="110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208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179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142</v>
      </c>
      <c r="B29" s="88"/>
      <c r="C29" s="11"/>
      <c r="D29" s="12"/>
      <c r="E29" s="15" t="s">
        <v>31</v>
      </c>
      <c r="F29" s="11" t="s">
        <v>32</v>
      </c>
      <c r="G29" s="165" t="s">
        <v>201</v>
      </c>
      <c r="H29" s="165"/>
      <c r="I29" s="166" t="s">
        <v>202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12" t="s">
        <v>207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11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07">
        <v>1</v>
      </c>
      <c r="B34" s="15" t="s">
        <v>90</v>
      </c>
      <c r="C34" s="15" t="s">
        <v>115</v>
      </c>
      <c r="D34" s="37"/>
      <c r="E34" s="147">
        <v>21</v>
      </c>
      <c r="F34" s="148"/>
      <c r="G34" s="37">
        <v>1.206</v>
      </c>
      <c r="H34" s="38"/>
      <c r="I34" s="149"/>
      <c r="J34" s="150"/>
      <c r="L34" s="37"/>
    </row>
    <row r="35" spans="1:12" ht="18.899999999999999" customHeight="1">
      <c r="A35" s="107">
        <v>2</v>
      </c>
      <c r="B35" s="15" t="s">
        <v>209</v>
      </c>
      <c r="C35" s="15" t="s">
        <v>115</v>
      </c>
      <c r="D35" s="37"/>
      <c r="E35" s="147">
        <v>23</v>
      </c>
      <c r="F35" s="148"/>
      <c r="G35" s="37">
        <v>1.7909999999999999</v>
      </c>
      <c r="H35" s="40"/>
      <c r="I35" s="149"/>
      <c r="J35" s="150"/>
    </row>
    <row r="36" spans="1:12" ht="18.899999999999999" customHeight="1">
      <c r="A36" s="107">
        <v>3</v>
      </c>
      <c r="B36" s="15" t="s">
        <v>79</v>
      </c>
      <c r="C36" s="15" t="s">
        <v>115</v>
      </c>
      <c r="D36" s="37"/>
      <c r="E36" s="147">
        <v>20</v>
      </c>
      <c r="F36" s="148"/>
      <c r="G36" s="37">
        <v>1.8360000000000001</v>
      </c>
      <c r="H36" s="40"/>
      <c r="I36" s="149"/>
      <c r="J36" s="150"/>
    </row>
    <row r="37" spans="1:12" ht="18.899999999999999" customHeight="1">
      <c r="A37" s="10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07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07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07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07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07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07"/>
      <c r="B43" s="15"/>
      <c r="C43" s="15"/>
      <c r="D43" s="90"/>
      <c r="E43" s="147"/>
      <c r="F43" s="148"/>
      <c r="G43" s="37"/>
      <c r="H43" s="40"/>
      <c r="I43" s="108"/>
      <c r="J43" s="109"/>
    </row>
    <row r="44" spans="1:12" ht="18.899999999999999" customHeight="1">
      <c r="A44" s="107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07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64</v>
      </c>
      <c r="F46" s="179"/>
      <c r="G46" s="48">
        <f>SUM(G33:G45)</f>
        <v>4.8330000000000002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11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5"/>
      <c r="J50" s="106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6" workbookViewId="0">
      <selection activeCell="G33" sqref="G33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10" t="s">
        <v>10</v>
      </c>
      <c r="G12" s="110"/>
      <c r="H12" s="11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10" t="s">
        <v>12</v>
      </c>
      <c r="G13" s="110"/>
      <c r="H13" s="110"/>
      <c r="I13" s="11"/>
      <c r="J13" s="12"/>
    </row>
    <row r="14" spans="1:10">
      <c r="A14" s="10"/>
      <c r="B14" s="11"/>
      <c r="C14" s="11"/>
      <c r="D14" s="11"/>
      <c r="E14" s="12"/>
      <c r="F14" s="110" t="s">
        <v>13</v>
      </c>
      <c r="G14" s="110"/>
      <c r="H14" s="110"/>
      <c r="I14" s="11"/>
      <c r="J14" s="12"/>
    </row>
    <row r="15" spans="1:10">
      <c r="A15" s="10"/>
      <c r="B15" s="11"/>
      <c r="C15" s="11"/>
      <c r="D15" s="11"/>
      <c r="E15" s="12"/>
      <c r="F15" s="110" t="s">
        <v>14</v>
      </c>
      <c r="G15" s="110"/>
      <c r="H15" s="11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10" t="s">
        <v>15</v>
      </c>
      <c r="G16" s="110"/>
      <c r="H16" s="110"/>
      <c r="I16" s="11"/>
      <c r="J16" s="12"/>
    </row>
    <row r="17" spans="1:12">
      <c r="A17" s="10"/>
      <c r="B17" s="11"/>
      <c r="C17" s="11"/>
      <c r="D17" s="11"/>
      <c r="E17" s="12"/>
      <c r="F17" s="110" t="s">
        <v>16</v>
      </c>
      <c r="G17" s="110"/>
      <c r="H17" s="110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210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127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211</v>
      </c>
      <c r="B29" s="88"/>
      <c r="C29" s="11"/>
      <c r="D29" s="12"/>
      <c r="E29" s="15" t="s">
        <v>31</v>
      </c>
      <c r="F29" s="11" t="s">
        <v>32</v>
      </c>
      <c r="G29" s="165" t="s">
        <v>201</v>
      </c>
      <c r="H29" s="165"/>
      <c r="I29" s="166" t="s">
        <v>202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10" t="s">
        <v>207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11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07">
        <v>1</v>
      </c>
      <c r="B34" s="15" t="s">
        <v>79</v>
      </c>
      <c r="C34" s="15" t="s">
        <v>65</v>
      </c>
      <c r="D34" s="37"/>
      <c r="E34" s="147">
        <v>4</v>
      </c>
      <c r="F34" s="148"/>
      <c r="G34" s="37">
        <v>0.25</v>
      </c>
      <c r="H34" s="38"/>
      <c r="I34" s="149"/>
      <c r="J34" s="150"/>
      <c r="L34" s="37"/>
    </row>
    <row r="35" spans="1:12" ht="18.899999999999999" customHeight="1">
      <c r="A35" s="107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0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0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07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07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07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07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07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07"/>
      <c r="B43" s="15"/>
      <c r="C43" s="15"/>
      <c r="D43" s="90"/>
      <c r="E43" s="147"/>
      <c r="F43" s="148"/>
      <c r="G43" s="37"/>
      <c r="H43" s="40"/>
      <c r="I43" s="108"/>
      <c r="J43" s="109"/>
    </row>
    <row r="44" spans="1:12" ht="18.899999999999999" customHeight="1">
      <c r="A44" s="107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07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4</v>
      </c>
      <c r="F46" s="179"/>
      <c r="G46" s="48">
        <f>SUM(G33:G45)</f>
        <v>0.25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11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5"/>
      <c r="J50" s="106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27">
    <pageSetUpPr fitToPage="1"/>
  </sheetPr>
  <dimension ref="A2:L1048576"/>
  <sheetViews>
    <sheetView topLeftCell="A14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00" t="s">
        <v>10</v>
      </c>
      <c r="G12" s="100"/>
      <c r="H12" s="100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00" t="s">
        <v>12</v>
      </c>
      <c r="G13" s="100"/>
      <c r="H13" s="100"/>
      <c r="I13" s="11"/>
      <c r="J13" s="12"/>
    </row>
    <row r="14" spans="1:10">
      <c r="A14" s="10"/>
      <c r="B14" s="11"/>
      <c r="C14" s="11"/>
      <c r="D14" s="11"/>
      <c r="E14" s="12"/>
      <c r="F14" s="100" t="s">
        <v>13</v>
      </c>
      <c r="G14" s="100"/>
      <c r="H14" s="100"/>
      <c r="I14" s="11"/>
      <c r="J14" s="12"/>
    </row>
    <row r="15" spans="1:10">
      <c r="A15" s="10"/>
      <c r="B15" s="11"/>
      <c r="C15" s="11"/>
      <c r="D15" s="11"/>
      <c r="E15" s="12"/>
      <c r="F15" s="100" t="s">
        <v>14</v>
      </c>
      <c r="G15" s="100"/>
      <c r="H15" s="100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00" t="s">
        <v>15</v>
      </c>
      <c r="G16" s="100"/>
      <c r="H16" s="100"/>
      <c r="I16" s="11"/>
      <c r="J16" s="12"/>
    </row>
    <row r="17" spans="1:12">
      <c r="A17" s="10"/>
      <c r="B17" s="11"/>
      <c r="C17" s="11"/>
      <c r="D17" s="11"/>
      <c r="E17" s="12"/>
      <c r="F17" s="100" t="s">
        <v>16</v>
      </c>
      <c r="G17" s="100"/>
      <c r="H17" s="100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212</v>
      </c>
      <c r="B19" s="22"/>
      <c r="C19" s="22"/>
      <c r="D19" s="23"/>
      <c r="E19" s="22" t="s">
        <v>18</v>
      </c>
      <c r="F19" s="22"/>
      <c r="G19" s="22" t="s">
        <v>171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27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184</v>
      </c>
      <c r="B29" s="88"/>
      <c r="C29" s="11"/>
      <c r="D29" s="12"/>
      <c r="E29" s="15" t="s">
        <v>31</v>
      </c>
      <c r="F29" s="11" t="s">
        <v>32</v>
      </c>
      <c r="G29" s="165" t="s">
        <v>185</v>
      </c>
      <c r="H29" s="165"/>
      <c r="I29" s="166" t="s">
        <v>199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12" t="s">
        <v>186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01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97">
        <v>1</v>
      </c>
      <c r="B34" s="15" t="s">
        <v>187</v>
      </c>
      <c r="C34" s="15" t="s">
        <v>188</v>
      </c>
      <c r="D34" s="37"/>
      <c r="E34" s="147">
        <v>132</v>
      </c>
      <c r="F34" s="148"/>
      <c r="G34" s="37">
        <v>32.411999999999999</v>
      </c>
      <c r="H34" s="38"/>
      <c r="I34" s="149"/>
      <c r="J34" s="150"/>
      <c r="L34" s="37"/>
    </row>
    <row r="35" spans="1:12" ht="18.899999999999999" customHeight="1">
      <c r="A35" s="97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97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97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97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97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97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97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97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97"/>
      <c r="B43" s="15"/>
      <c r="C43" s="15"/>
      <c r="D43" s="90"/>
      <c r="E43" s="147"/>
      <c r="F43" s="148"/>
      <c r="G43" s="37"/>
      <c r="H43" s="40"/>
      <c r="I43" s="98"/>
      <c r="J43" s="99"/>
    </row>
    <row r="44" spans="1:12" ht="18.899999999999999" customHeight="1">
      <c r="A44" s="97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97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132</v>
      </c>
      <c r="F46" s="179"/>
      <c r="G46" s="48">
        <f>SUM(G33:G45)</f>
        <v>32.411999999999999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01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02"/>
      <c r="J50" s="103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17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18" t="s">
        <v>10</v>
      </c>
      <c r="G12" s="118"/>
      <c r="H12" s="118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18" t="s">
        <v>12</v>
      </c>
      <c r="G13" s="118"/>
      <c r="H13" s="118"/>
      <c r="I13" s="11"/>
      <c r="J13" s="12"/>
    </row>
    <row r="14" spans="1:10">
      <c r="A14" s="10"/>
      <c r="B14" s="11"/>
      <c r="C14" s="11"/>
      <c r="D14" s="11"/>
      <c r="E14" s="12"/>
      <c r="F14" s="118" t="s">
        <v>13</v>
      </c>
      <c r="G14" s="118"/>
      <c r="H14" s="118"/>
      <c r="I14" s="11"/>
      <c r="J14" s="12"/>
    </row>
    <row r="15" spans="1:10">
      <c r="A15" s="10"/>
      <c r="B15" s="11"/>
      <c r="C15" s="11"/>
      <c r="D15" s="11"/>
      <c r="E15" s="12"/>
      <c r="F15" s="118" t="s">
        <v>14</v>
      </c>
      <c r="G15" s="118"/>
      <c r="H15" s="118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18" t="s">
        <v>15</v>
      </c>
      <c r="G16" s="118"/>
      <c r="H16" s="118"/>
      <c r="I16" s="11"/>
      <c r="J16" s="12"/>
    </row>
    <row r="17" spans="1:10">
      <c r="A17" s="10"/>
      <c r="B17" s="11"/>
      <c r="C17" s="11"/>
      <c r="D17" s="11"/>
      <c r="E17" s="12"/>
      <c r="F17" s="118" t="s">
        <v>16</v>
      </c>
      <c r="G17" s="118"/>
      <c r="H17" s="118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213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215</v>
      </c>
      <c r="H29" s="165"/>
      <c r="I29" s="166" t="s">
        <v>217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29" t="s">
        <v>216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19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15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15">
        <v>1</v>
      </c>
      <c r="B34" s="15" t="s">
        <v>205</v>
      </c>
      <c r="C34" s="15" t="s">
        <v>65</v>
      </c>
      <c r="D34" s="37"/>
      <c r="E34" s="147">
        <v>77</v>
      </c>
      <c r="F34" s="148"/>
      <c r="G34" s="37">
        <v>9.9429999999999996</v>
      </c>
      <c r="H34" s="40"/>
      <c r="I34" s="149"/>
      <c r="J34" s="150"/>
    </row>
    <row r="35" spans="1:10" ht="18.899999999999999" customHeight="1">
      <c r="A35" s="115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115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115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115"/>
      <c r="B38" s="15"/>
      <c r="C38" s="15"/>
      <c r="D38" s="37"/>
      <c r="E38" s="147"/>
      <c r="F38" s="148"/>
      <c r="G38" s="37"/>
      <c r="H38" s="40"/>
      <c r="I38" s="116"/>
      <c r="J38" s="117"/>
    </row>
    <row r="39" spans="1:10" ht="18.899999999999999" customHeight="1">
      <c r="A39" s="115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15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15"/>
      <c r="B41" s="15"/>
      <c r="C41" s="15"/>
      <c r="D41" s="37"/>
      <c r="E41" s="147"/>
      <c r="F41" s="148"/>
      <c r="G41" s="37"/>
      <c r="H41" s="40"/>
      <c r="I41" s="116"/>
      <c r="J41" s="117"/>
    </row>
    <row r="42" spans="1:10" ht="18.899999999999999" customHeight="1">
      <c r="A42" s="115"/>
      <c r="B42" s="15"/>
      <c r="C42" s="15"/>
      <c r="D42" s="37"/>
      <c r="E42" s="147"/>
      <c r="F42" s="148"/>
      <c r="G42" s="43"/>
      <c r="H42" s="40"/>
      <c r="I42" s="116"/>
      <c r="J42" s="117"/>
    </row>
    <row r="43" spans="1:10" ht="18.899999999999999" customHeight="1">
      <c r="A43" s="115"/>
      <c r="B43" s="15"/>
      <c r="C43" s="15"/>
      <c r="D43" s="37"/>
      <c r="E43" s="147"/>
      <c r="F43" s="148"/>
      <c r="G43" s="43"/>
      <c r="H43" s="120"/>
      <c r="I43" s="116"/>
      <c r="J43" s="117"/>
    </row>
    <row r="44" spans="1:10" ht="18.899999999999999" customHeight="1">
      <c r="A44" s="115"/>
      <c r="B44" s="15"/>
      <c r="C44" s="15"/>
      <c r="D44" s="45"/>
      <c r="E44" s="147"/>
      <c r="F44" s="148"/>
      <c r="G44" s="43"/>
      <c r="H44" s="120"/>
      <c r="I44" s="116"/>
      <c r="J44" s="117"/>
    </row>
    <row r="45" spans="1:10" ht="18.75" customHeight="1">
      <c r="A45" s="115"/>
      <c r="B45" s="15"/>
      <c r="C45" s="15"/>
      <c r="D45" s="12"/>
      <c r="E45" s="147"/>
      <c r="F45" s="148"/>
      <c r="G45" s="43"/>
      <c r="H45" s="46"/>
      <c r="I45" s="116"/>
      <c r="J45" s="117"/>
    </row>
    <row r="46" spans="1:10" ht="18.899999999999999" customHeight="1">
      <c r="A46" s="115"/>
      <c r="B46" s="15"/>
      <c r="C46" s="15"/>
      <c r="D46" s="12"/>
      <c r="E46" s="147"/>
      <c r="F46" s="148"/>
      <c r="G46" s="43"/>
      <c r="H46" s="46"/>
      <c r="I46" s="116"/>
      <c r="J46" s="117"/>
    </row>
    <row r="47" spans="1:10" ht="18.899999999999999" customHeight="1" thickBot="1">
      <c r="A47" s="115"/>
      <c r="B47" s="15"/>
      <c r="C47" s="15"/>
      <c r="D47" s="12"/>
      <c r="E47" s="147"/>
      <c r="F47" s="148"/>
      <c r="G47" s="37"/>
      <c r="H47" s="47"/>
      <c r="I47" s="116"/>
      <c r="J47" s="117"/>
    </row>
    <row r="48" spans="1:10" ht="18.899999999999999" customHeight="1" thickBot="1">
      <c r="A48" s="10"/>
      <c r="B48" s="11"/>
      <c r="C48" s="11"/>
      <c r="D48" s="12"/>
      <c r="E48" s="175">
        <f>SUM(E33:F47)</f>
        <v>77</v>
      </c>
      <c r="F48" s="179"/>
      <c r="G48" s="48">
        <f>SUM(G33:G47)</f>
        <v>9.9429999999999996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13"/>
      <c r="J50" s="114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20" workbookViewId="0">
      <selection activeCell="A29" sqref="A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18" t="s">
        <v>10</v>
      </c>
      <c r="G12" s="118"/>
      <c r="H12" s="118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18" t="s">
        <v>12</v>
      </c>
      <c r="G13" s="118"/>
      <c r="H13" s="118"/>
      <c r="I13" s="11"/>
      <c r="J13" s="12"/>
    </row>
    <row r="14" spans="1:10">
      <c r="A14" s="10"/>
      <c r="B14" s="11"/>
      <c r="C14" s="11"/>
      <c r="D14" s="11"/>
      <c r="E14" s="12"/>
      <c r="F14" s="118" t="s">
        <v>13</v>
      </c>
      <c r="G14" s="118"/>
      <c r="H14" s="118"/>
      <c r="I14" s="11"/>
      <c r="J14" s="12"/>
    </row>
    <row r="15" spans="1:10">
      <c r="A15" s="10"/>
      <c r="B15" s="11"/>
      <c r="C15" s="11"/>
      <c r="D15" s="11"/>
      <c r="E15" s="12"/>
      <c r="F15" s="118" t="s">
        <v>14</v>
      </c>
      <c r="G15" s="118"/>
      <c r="H15" s="118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18" t="s">
        <v>15</v>
      </c>
      <c r="G16" s="118"/>
      <c r="H16" s="118"/>
      <c r="I16" s="11"/>
      <c r="J16" s="12"/>
    </row>
    <row r="17" spans="1:10">
      <c r="A17" s="10"/>
      <c r="B17" s="11"/>
      <c r="C17" s="11"/>
      <c r="D17" s="11"/>
      <c r="E17" s="12"/>
      <c r="F17" s="118" t="s">
        <v>16</v>
      </c>
      <c r="G17" s="118"/>
      <c r="H17" s="118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218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219</v>
      </c>
      <c r="H29" s="165"/>
      <c r="I29" s="166" t="s">
        <v>220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29" t="s">
        <v>221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19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15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15">
        <v>1</v>
      </c>
      <c r="B34" s="15" t="s">
        <v>83</v>
      </c>
      <c r="C34" s="15" t="s">
        <v>42</v>
      </c>
      <c r="D34" s="37"/>
      <c r="E34" s="147">
        <v>67</v>
      </c>
      <c r="F34" s="148"/>
      <c r="G34" s="37">
        <v>5.9340000000000002</v>
      </c>
      <c r="H34" s="40"/>
      <c r="I34" s="149"/>
      <c r="J34" s="150"/>
    </row>
    <row r="35" spans="1:10" ht="18.899999999999999" customHeight="1">
      <c r="A35" s="115">
        <v>2</v>
      </c>
      <c r="B35" s="15" t="s">
        <v>82</v>
      </c>
      <c r="C35" s="15" t="s">
        <v>42</v>
      </c>
      <c r="D35" s="37"/>
      <c r="E35" s="147">
        <v>53</v>
      </c>
      <c r="F35" s="148"/>
      <c r="G35" s="37">
        <v>3.2109999999999999</v>
      </c>
      <c r="H35" s="40"/>
      <c r="I35" s="149" t="s">
        <v>3</v>
      </c>
      <c r="J35" s="150"/>
    </row>
    <row r="36" spans="1:10" ht="18.899999999999999" customHeight="1">
      <c r="A36" s="115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115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115"/>
      <c r="B38" s="15"/>
      <c r="C38" s="15"/>
      <c r="D38" s="37"/>
      <c r="E38" s="147"/>
      <c r="F38" s="148"/>
      <c r="G38" s="37"/>
      <c r="H38" s="40"/>
      <c r="I38" s="116"/>
      <c r="J38" s="117"/>
    </row>
    <row r="39" spans="1:10" ht="18.899999999999999" customHeight="1">
      <c r="A39" s="115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15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15"/>
      <c r="B41" s="15"/>
      <c r="C41" s="15"/>
      <c r="D41" s="37"/>
      <c r="E41" s="147"/>
      <c r="F41" s="148"/>
      <c r="G41" s="37"/>
      <c r="H41" s="40"/>
      <c r="I41" s="116"/>
      <c r="J41" s="117"/>
    </row>
    <row r="42" spans="1:10" ht="18.899999999999999" customHeight="1">
      <c r="A42" s="115"/>
      <c r="B42" s="15"/>
      <c r="C42" s="15"/>
      <c r="D42" s="37"/>
      <c r="E42" s="147"/>
      <c r="F42" s="148"/>
      <c r="G42" s="43"/>
      <c r="H42" s="40"/>
      <c r="I42" s="116"/>
      <c r="J42" s="117"/>
    </row>
    <row r="43" spans="1:10" ht="18.899999999999999" customHeight="1">
      <c r="A43" s="115"/>
      <c r="B43" s="15"/>
      <c r="C43" s="15"/>
      <c r="D43" s="37"/>
      <c r="E43" s="147"/>
      <c r="F43" s="148"/>
      <c r="G43" s="43"/>
      <c r="H43" s="120"/>
      <c r="I43" s="116"/>
      <c r="J43" s="117"/>
    </row>
    <row r="44" spans="1:10" ht="18.899999999999999" customHeight="1">
      <c r="A44" s="115"/>
      <c r="B44" s="15"/>
      <c r="C44" s="15"/>
      <c r="D44" s="45"/>
      <c r="E44" s="147"/>
      <c r="F44" s="148"/>
      <c r="G44" s="43"/>
      <c r="H44" s="120"/>
      <c r="I44" s="116"/>
      <c r="J44" s="117"/>
    </row>
    <row r="45" spans="1:10" ht="18.75" customHeight="1">
      <c r="A45" s="115"/>
      <c r="B45" s="15"/>
      <c r="C45" s="15"/>
      <c r="D45" s="12"/>
      <c r="E45" s="147"/>
      <c r="F45" s="148"/>
      <c r="G45" s="43"/>
      <c r="H45" s="46"/>
      <c r="I45" s="116"/>
      <c r="J45" s="117"/>
    </row>
    <row r="46" spans="1:10" ht="18.899999999999999" customHeight="1">
      <c r="A46" s="115"/>
      <c r="B46" s="15"/>
      <c r="C46" s="15"/>
      <c r="D46" s="12"/>
      <c r="E46" s="147"/>
      <c r="F46" s="148"/>
      <c r="G46" s="43"/>
      <c r="H46" s="46"/>
      <c r="I46" s="116"/>
      <c r="J46" s="117"/>
    </row>
    <row r="47" spans="1:10" ht="18.899999999999999" customHeight="1" thickBot="1">
      <c r="A47" s="115"/>
      <c r="B47" s="15"/>
      <c r="C47" s="15"/>
      <c r="D47" s="12"/>
      <c r="E47" s="147"/>
      <c r="F47" s="148"/>
      <c r="G47" s="37"/>
      <c r="H47" s="47"/>
      <c r="I47" s="116"/>
      <c r="J47" s="117"/>
    </row>
    <row r="48" spans="1:10" ht="18.899999999999999" customHeight="1" thickBot="1">
      <c r="A48" s="10"/>
      <c r="B48" s="11"/>
      <c r="C48" s="11"/>
      <c r="D48" s="12"/>
      <c r="E48" s="175">
        <f>SUM(E33:F47)</f>
        <v>120</v>
      </c>
      <c r="F48" s="179"/>
      <c r="G48" s="48">
        <f>SUM(G33:G47)</f>
        <v>9.1449999999999996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13"/>
      <c r="J50" s="114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22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18" t="s">
        <v>10</v>
      </c>
      <c r="G12" s="118"/>
      <c r="H12" s="118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18" t="s">
        <v>12</v>
      </c>
      <c r="G13" s="118"/>
      <c r="H13" s="118"/>
      <c r="I13" s="11"/>
      <c r="J13" s="12"/>
    </row>
    <row r="14" spans="1:10">
      <c r="A14" s="10"/>
      <c r="B14" s="11"/>
      <c r="C14" s="11"/>
      <c r="D14" s="11"/>
      <c r="E14" s="12"/>
      <c r="F14" s="118" t="s">
        <v>13</v>
      </c>
      <c r="G14" s="118"/>
      <c r="H14" s="118"/>
      <c r="I14" s="11"/>
      <c r="J14" s="12"/>
    </row>
    <row r="15" spans="1:10">
      <c r="A15" s="10"/>
      <c r="B15" s="11"/>
      <c r="C15" s="11"/>
      <c r="D15" s="11"/>
      <c r="E15" s="12"/>
      <c r="F15" s="118" t="s">
        <v>14</v>
      </c>
      <c r="G15" s="118"/>
      <c r="H15" s="118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18" t="s">
        <v>15</v>
      </c>
      <c r="G16" s="118"/>
      <c r="H16" s="118"/>
      <c r="I16" s="11"/>
      <c r="J16" s="12"/>
    </row>
    <row r="17" spans="1:10">
      <c r="A17" s="10"/>
      <c r="B17" s="11"/>
      <c r="C17" s="11"/>
      <c r="D17" s="11"/>
      <c r="E17" s="12"/>
      <c r="F17" s="118" t="s">
        <v>16</v>
      </c>
      <c r="G17" s="118"/>
      <c r="H17" s="118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222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219</v>
      </c>
      <c r="H29" s="165"/>
      <c r="I29" s="166" t="s">
        <v>220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29" t="s">
        <v>223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19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15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15">
        <v>1</v>
      </c>
      <c r="B34" s="15" t="s">
        <v>83</v>
      </c>
      <c r="C34" s="15" t="s">
        <v>42</v>
      </c>
      <c r="D34" s="37"/>
      <c r="E34" s="147">
        <f>28+123+50</f>
        <v>201</v>
      </c>
      <c r="F34" s="148"/>
      <c r="G34" s="37">
        <f>2.57+11.5+5.043</f>
        <v>19.113</v>
      </c>
      <c r="H34" s="40"/>
      <c r="I34" s="149"/>
      <c r="J34" s="150"/>
    </row>
    <row r="35" spans="1:10" ht="18.899999999999999" customHeight="1">
      <c r="A35" s="115">
        <v>2</v>
      </c>
      <c r="B35" s="15" t="s">
        <v>82</v>
      </c>
      <c r="C35" s="15" t="s">
        <v>42</v>
      </c>
      <c r="D35" s="37"/>
      <c r="E35" s="147">
        <v>84</v>
      </c>
      <c r="F35" s="148"/>
      <c r="G35" s="37">
        <v>4.3550000000000004</v>
      </c>
      <c r="H35" s="40"/>
      <c r="I35" s="149" t="s">
        <v>3</v>
      </c>
      <c r="J35" s="150"/>
    </row>
    <row r="36" spans="1:10" ht="18.899999999999999" customHeight="1">
      <c r="A36" s="115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115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115"/>
      <c r="B38" s="15"/>
      <c r="C38" s="15"/>
      <c r="D38" s="37"/>
      <c r="E38" s="147"/>
      <c r="F38" s="148"/>
      <c r="G38" s="37"/>
      <c r="H38" s="40"/>
      <c r="I38" s="116"/>
      <c r="J38" s="117"/>
    </row>
    <row r="39" spans="1:10" ht="18.899999999999999" customHeight="1">
      <c r="A39" s="115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15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15"/>
      <c r="B41" s="15"/>
      <c r="C41" s="15"/>
      <c r="D41" s="37"/>
      <c r="E41" s="147"/>
      <c r="F41" s="148"/>
      <c r="G41" s="37"/>
      <c r="H41" s="40"/>
      <c r="I41" s="116"/>
      <c r="J41" s="117"/>
    </row>
    <row r="42" spans="1:10" ht="18.899999999999999" customHeight="1">
      <c r="A42" s="115"/>
      <c r="B42" s="15"/>
      <c r="C42" s="15"/>
      <c r="D42" s="37"/>
      <c r="E42" s="147"/>
      <c r="F42" s="148"/>
      <c r="G42" s="43"/>
      <c r="H42" s="40"/>
      <c r="I42" s="116"/>
      <c r="J42" s="117"/>
    </row>
    <row r="43" spans="1:10" ht="18.899999999999999" customHeight="1">
      <c r="A43" s="115"/>
      <c r="B43" s="15"/>
      <c r="C43" s="15"/>
      <c r="D43" s="37"/>
      <c r="E43" s="147"/>
      <c r="F43" s="148"/>
      <c r="G43" s="43"/>
      <c r="H43" s="120"/>
      <c r="I43" s="116"/>
      <c r="J43" s="117"/>
    </row>
    <row r="44" spans="1:10" ht="18.899999999999999" customHeight="1">
      <c r="A44" s="115"/>
      <c r="B44" s="15"/>
      <c r="C44" s="15"/>
      <c r="D44" s="45"/>
      <c r="E44" s="147"/>
      <c r="F44" s="148"/>
      <c r="G44" s="43"/>
      <c r="H44" s="120"/>
      <c r="I44" s="116"/>
      <c r="J44" s="117"/>
    </row>
    <row r="45" spans="1:10" ht="18.75" customHeight="1">
      <c r="A45" s="115"/>
      <c r="B45" s="15"/>
      <c r="C45" s="15"/>
      <c r="D45" s="12"/>
      <c r="E45" s="147"/>
      <c r="F45" s="148"/>
      <c r="G45" s="43"/>
      <c r="H45" s="46"/>
      <c r="I45" s="116"/>
      <c r="J45" s="117"/>
    </row>
    <row r="46" spans="1:10" ht="18.899999999999999" customHeight="1">
      <c r="A46" s="115"/>
      <c r="B46" s="15"/>
      <c r="C46" s="15"/>
      <c r="D46" s="12"/>
      <c r="E46" s="147"/>
      <c r="F46" s="148"/>
      <c r="G46" s="43"/>
      <c r="H46" s="46"/>
      <c r="I46" s="116"/>
      <c r="J46" s="117"/>
    </row>
    <row r="47" spans="1:10" ht="18.899999999999999" customHeight="1" thickBot="1">
      <c r="A47" s="115"/>
      <c r="B47" s="15"/>
      <c r="C47" s="15"/>
      <c r="D47" s="12"/>
      <c r="E47" s="147"/>
      <c r="F47" s="148"/>
      <c r="G47" s="37"/>
      <c r="H47" s="47"/>
      <c r="I47" s="116"/>
      <c r="J47" s="117"/>
    </row>
    <row r="48" spans="1:10" ht="18.899999999999999" customHeight="1" thickBot="1">
      <c r="A48" s="10"/>
      <c r="B48" s="11"/>
      <c r="C48" s="11"/>
      <c r="D48" s="12"/>
      <c r="E48" s="175">
        <f>SUM(E33:F47)</f>
        <v>285</v>
      </c>
      <c r="F48" s="179"/>
      <c r="G48" s="48">
        <f>SUM(G33:G47)</f>
        <v>23.468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13"/>
      <c r="J50" s="114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28" workbookViewId="0">
      <selection activeCell="G38" sqref="G38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224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228</v>
      </c>
      <c r="E28" s="25" t="s">
        <v>28</v>
      </c>
      <c r="F28" s="8"/>
      <c r="G28" s="191" t="s">
        <v>29</v>
      </c>
      <c r="H28" s="192"/>
      <c r="I28" s="192"/>
      <c r="J28" s="9"/>
    </row>
    <row r="29" spans="1:12">
      <c r="A29" s="28" t="s">
        <v>225</v>
      </c>
      <c r="B29" s="88"/>
      <c r="C29" s="11"/>
      <c r="D29" s="12"/>
      <c r="E29" s="15" t="s">
        <v>31</v>
      </c>
      <c r="F29" s="11" t="s">
        <v>32</v>
      </c>
      <c r="G29" s="165" t="s">
        <v>226</v>
      </c>
      <c r="H29" s="165"/>
      <c r="I29" s="166" t="s">
        <v>227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229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118</v>
      </c>
      <c r="C34" s="15" t="s">
        <v>115</v>
      </c>
      <c r="D34" s="37"/>
      <c r="E34" s="147">
        <v>26</v>
      </c>
      <c r="F34" s="148"/>
      <c r="G34" s="37">
        <v>1.498</v>
      </c>
      <c r="H34" s="38"/>
      <c r="I34" s="149"/>
      <c r="J34" s="150"/>
      <c r="L34" s="37"/>
    </row>
    <row r="35" spans="1:12" ht="18.899999999999999" customHeight="1">
      <c r="A35" s="121">
        <v>2</v>
      </c>
      <c r="B35" s="15" t="s">
        <v>230</v>
      </c>
      <c r="C35" s="15" t="s">
        <v>115</v>
      </c>
      <c r="D35" s="37"/>
      <c r="E35" s="147">
        <v>39</v>
      </c>
      <c r="F35" s="148"/>
      <c r="G35" s="37">
        <v>2.8849999999999998</v>
      </c>
      <c r="H35" s="40"/>
      <c r="I35" s="149"/>
      <c r="J35" s="150"/>
    </row>
    <row r="36" spans="1:12" ht="18.899999999999999" customHeight="1">
      <c r="A36" s="121">
        <v>3</v>
      </c>
      <c r="B36" s="15" t="s">
        <v>231</v>
      </c>
      <c r="C36" s="15" t="s">
        <v>115</v>
      </c>
      <c r="D36" s="37"/>
      <c r="E36" s="147">
        <f>44+67</f>
        <v>111</v>
      </c>
      <c r="F36" s="148"/>
      <c r="G36" s="37">
        <f>2.737+5.85</f>
        <v>8.5869999999999997</v>
      </c>
      <c r="H36" s="40"/>
      <c r="I36" s="149"/>
      <c r="J36" s="150"/>
    </row>
    <row r="37" spans="1:12" ht="18.899999999999999" customHeight="1">
      <c r="A37" s="121">
        <v>4</v>
      </c>
      <c r="B37" s="15" t="s">
        <v>232</v>
      </c>
      <c r="C37" s="15" t="s">
        <v>115</v>
      </c>
      <c r="D37" s="37"/>
      <c r="E37" s="147">
        <v>25</v>
      </c>
      <c r="F37" s="148"/>
      <c r="G37" s="37">
        <v>2.0489999999999999</v>
      </c>
      <c r="H37" s="40"/>
      <c r="I37" s="149"/>
      <c r="J37" s="150"/>
    </row>
    <row r="38" spans="1:12" ht="18.899999999999999" customHeight="1">
      <c r="A38" s="121">
        <v>5</v>
      </c>
      <c r="B38" s="15" t="s">
        <v>233</v>
      </c>
      <c r="C38" s="15" t="s">
        <v>120</v>
      </c>
      <c r="D38" s="90"/>
      <c r="E38" s="147">
        <v>14</v>
      </c>
      <c r="F38" s="148"/>
      <c r="G38" s="37">
        <v>0.52400000000000002</v>
      </c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215</v>
      </c>
      <c r="F46" s="179"/>
      <c r="G46" s="48">
        <f>SUM(G33:G45)</f>
        <v>15.542999999999999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20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234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235</v>
      </c>
      <c r="E28" s="25" t="s">
        <v>28</v>
      </c>
      <c r="F28" s="8"/>
      <c r="G28" s="191" t="s">
        <v>29</v>
      </c>
      <c r="H28" s="192"/>
      <c r="I28" s="192"/>
      <c r="J28" s="9"/>
    </row>
    <row r="29" spans="1:12">
      <c r="A29" s="28" t="s">
        <v>239</v>
      </c>
      <c r="B29" s="88"/>
      <c r="C29" s="11"/>
      <c r="D29" s="12"/>
      <c r="E29" s="15" t="s">
        <v>31</v>
      </c>
      <c r="F29" s="11" t="s">
        <v>32</v>
      </c>
      <c r="G29" s="165" t="s">
        <v>226</v>
      </c>
      <c r="H29" s="165"/>
      <c r="I29" s="166" t="s">
        <v>227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236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237</v>
      </c>
      <c r="C34" s="15" t="s">
        <v>42</v>
      </c>
      <c r="D34" s="37"/>
      <c r="E34" s="147">
        <v>65</v>
      </c>
      <c r="F34" s="148"/>
      <c r="G34" s="37">
        <v>4.8860000000000001</v>
      </c>
      <c r="H34" s="38"/>
      <c r="I34" s="149"/>
      <c r="J34" s="150"/>
      <c r="L34" s="37"/>
    </row>
    <row r="35" spans="1:12" ht="18.899999999999999" customHeight="1">
      <c r="A35" s="121">
        <v>2</v>
      </c>
      <c r="B35" s="15" t="s">
        <v>238</v>
      </c>
      <c r="C35" s="15" t="s">
        <v>65</v>
      </c>
      <c r="D35" s="37"/>
      <c r="E35" s="147">
        <f>62+47</f>
        <v>109</v>
      </c>
      <c r="F35" s="148"/>
      <c r="G35" s="37">
        <f>4.41+3.623</f>
        <v>8.0330000000000013</v>
      </c>
      <c r="H35" s="40"/>
      <c r="I35" s="149"/>
      <c r="J35" s="150"/>
    </row>
    <row r="36" spans="1:12" ht="18.899999999999999" customHeight="1">
      <c r="A36" s="121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174</v>
      </c>
      <c r="F46" s="179"/>
      <c r="G46" s="48">
        <f>SUM(G33:G45)</f>
        <v>12.919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7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240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242</v>
      </c>
      <c r="E28" s="25" t="s">
        <v>28</v>
      </c>
      <c r="F28" s="8"/>
      <c r="G28" s="191" t="s">
        <v>29</v>
      </c>
      <c r="H28" s="192"/>
      <c r="I28" s="192"/>
      <c r="J28" s="9"/>
    </row>
    <row r="29" spans="1:12">
      <c r="A29" s="28" t="s">
        <v>241</v>
      </c>
      <c r="B29" s="88"/>
      <c r="C29" s="11"/>
      <c r="D29" s="12"/>
      <c r="E29" s="15" t="s">
        <v>31</v>
      </c>
      <c r="F29" s="11" t="s">
        <v>32</v>
      </c>
      <c r="G29" s="165" t="s">
        <v>226</v>
      </c>
      <c r="H29" s="165"/>
      <c r="I29" s="166" t="s">
        <v>227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243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244</v>
      </c>
      <c r="C34" s="15" t="s">
        <v>115</v>
      </c>
      <c r="D34" s="37"/>
      <c r="E34" s="147">
        <v>53</v>
      </c>
      <c r="F34" s="148"/>
      <c r="G34" s="37">
        <v>2.653</v>
      </c>
      <c r="H34" s="38"/>
      <c r="I34" s="149"/>
      <c r="J34" s="150"/>
      <c r="L34" s="37"/>
    </row>
    <row r="35" spans="1:12" ht="18.899999999999999" customHeight="1">
      <c r="A35" s="121">
        <v>2</v>
      </c>
      <c r="B35" s="15" t="s">
        <v>245</v>
      </c>
      <c r="C35" s="15" t="s">
        <v>120</v>
      </c>
      <c r="D35" s="37"/>
      <c r="E35" s="147">
        <v>23</v>
      </c>
      <c r="F35" s="148"/>
      <c r="G35" s="37">
        <v>1.482</v>
      </c>
      <c r="H35" s="40"/>
      <c r="I35" s="149"/>
      <c r="J35" s="150"/>
    </row>
    <row r="36" spans="1:12" ht="18.899999999999999" customHeight="1">
      <c r="A36" s="121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76</v>
      </c>
      <c r="F46" s="179"/>
      <c r="G46" s="48">
        <f>SUM(G33:G45)</f>
        <v>4.1349999999999998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7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246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179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142</v>
      </c>
      <c r="B29" s="88"/>
      <c r="C29" s="11"/>
      <c r="D29" s="12"/>
      <c r="E29" s="15" t="s">
        <v>31</v>
      </c>
      <c r="F29" s="11" t="s">
        <v>32</v>
      </c>
      <c r="G29" s="165" t="s">
        <v>185</v>
      </c>
      <c r="H29" s="165"/>
      <c r="I29" s="166" t="s">
        <v>247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248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249</v>
      </c>
      <c r="C34" s="15" t="s">
        <v>115</v>
      </c>
      <c r="D34" s="37"/>
      <c r="E34" s="147">
        <v>91</v>
      </c>
      <c r="F34" s="148"/>
      <c r="G34" s="37">
        <v>7.0140000000000002</v>
      </c>
      <c r="H34" s="38"/>
      <c r="I34" s="149"/>
      <c r="J34" s="150"/>
      <c r="L34" s="37"/>
    </row>
    <row r="35" spans="1:12" ht="18.899999999999999" customHeight="1">
      <c r="A35" s="121">
        <v>2</v>
      </c>
      <c r="B35" s="15" t="s">
        <v>231</v>
      </c>
      <c r="C35" s="15" t="s">
        <v>115</v>
      </c>
      <c r="D35" s="37"/>
      <c r="E35" s="147">
        <v>110</v>
      </c>
      <c r="F35" s="148"/>
      <c r="G35" s="37">
        <v>9.2040000000000006</v>
      </c>
      <c r="H35" s="40"/>
      <c r="I35" s="149"/>
      <c r="J35" s="150"/>
    </row>
    <row r="36" spans="1:12" ht="18.899999999999999" customHeight="1">
      <c r="A36" s="121">
        <v>3</v>
      </c>
      <c r="B36" s="15" t="s">
        <v>146</v>
      </c>
      <c r="C36" s="15" t="s">
        <v>115</v>
      </c>
      <c r="D36" s="37"/>
      <c r="E36" s="147">
        <v>38</v>
      </c>
      <c r="F36" s="148"/>
      <c r="G36" s="37">
        <v>2.032</v>
      </c>
      <c r="H36" s="40"/>
      <c r="I36" s="149"/>
      <c r="J36" s="150"/>
    </row>
    <row r="37" spans="1:12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239</v>
      </c>
      <c r="F46" s="179"/>
      <c r="G46" s="48">
        <f>SUM(G33:G45)</f>
        <v>18.25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6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250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179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185</v>
      </c>
      <c r="H29" s="165"/>
      <c r="I29" s="166" t="s">
        <v>247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254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251</v>
      </c>
      <c r="C34" s="15" t="s">
        <v>115</v>
      </c>
      <c r="D34" s="37"/>
      <c r="E34" s="147">
        <f>28+13</f>
        <v>41</v>
      </c>
      <c r="F34" s="148"/>
      <c r="G34" s="37">
        <f>3.404+2.076</f>
        <v>5.48</v>
      </c>
      <c r="H34" s="38"/>
      <c r="I34" s="149"/>
      <c r="J34" s="150"/>
      <c r="L34" s="37"/>
    </row>
    <row r="35" spans="1:12" ht="18.899999999999999" customHeight="1">
      <c r="A35" s="121">
        <v>2</v>
      </c>
      <c r="B35" s="15" t="s">
        <v>147</v>
      </c>
      <c r="C35" s="15" t="s">
        <v>115</v>
      </c>
      <c r="D35" s="37"/>
      <c r="E35" s="147">
        <v>14</v>
      </c>
      <c r="F35" s="148"/>
      <c r="G35" s="37">
        <v>2.4079999999999999</v>
      </c>
      <c r="H35" s="40"/>
      <c r="I35" s="149"/>
      <c r="J35" s="150"/>
    </row>
    <row r="36" spans="1:12" ht="18.899999999999999" customHeight="1">
      <c r="A36" s="121">
        <v>3</v>
      </c>
      <c r="B36" s="15" t="s">
        <v>252</v>
      </c>
      <c r="C36" s="15" t="s">
        <v>115</v>
      </c>
      <c r="D36" s="37"/>
      <c r="E36" s="147">
        <v>24</v>
      </c>
      <c r="F36" s="148"/>
      <c r="G36" s="37">
        <v>2.4809999999999999</v>
      </c>
      <c r="H36" s="40"/>
      <c r="I36" s="149"/>
      <c r="J36" s="150"/>
    </row>
    <row r="37" spans="1:12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79</v>
      </c>
      <c r="F46" s="179"/>
      <c r="G46" s="48">
        <f>SUM(G33:G45)</f>
        <v>10.369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23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253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72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110</v>
      </c>
      <c r="B29" s="88"/>
      <c r="C29" s="11"/>
      <c r="D29" s="12"/>
      <c r="E29" s="15" t="s">
        <v>31</v>
      </c>
      <c r="F29" s="11" t="s">
        <v>32</v>
      </c>
      <c r="G29" s="165" t="s">
        <v>185</v>
      </c>
      <c r="H29" s="165"/>
      <c r="I29" s="166" t="s">
        <v>247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259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255</v>
      </c>
      <c r="C34" s="15" t="s">
        <v>115</v>
      </c>
      <c r="D34" s="37"/>
      <c r="E34" s="147">
        <v>2</v>
      </c>
      <c r="F34" s="148"/>
      <c r="G34" s="37">
        <v>0.28499999999999998</v>
      </c>
      <c r="H34" s="38"/>
      <c r="I34" s="149"/>
      <c r="J34" s="150"/>
      <c r="L34" s="37"/>
    </row>
    <row r="35" spans="1:12" ht="18.899999999999999" customHeight="1">
      <c r="A35" s="121">
        <v>2</v>
      </c>
      <c r="B35" s="15" t="s">
        <v>256</v>
      </c>
      <c r="C35" s="15" t="s">
        <v>115</v>
      </c>
      <c r="D35" s="37"/>
      <c r="E35" s="147">
        <v>3</v>
      </c>
      <c r="F35" s="148"/>
      <c r="G35" s="37">
        <v>0.64400000000000002</v>
      </c>
      <c r="H35" s="40"/>
      <c r="I35" s="149"/>
      <c r="J35" s="150"/>
    </row>
    <row r="36" spans="1:12" ht="18.899999999999999" customHeight="1">
      <c r="A36" s="121">
        <v>3</v>
      </c>
      <c r="B36" s="15" t="s">
        <v>232</v>
      </c>
      <c r="C36" s="15" t="s">
        <v>115</v>
      </c>
      <c r="D36" s="37"/>
      <c r="E36" s="147">
        <v>7</v>
      </c>
      <c r="F36" s="148"/>
      <c r="G36" s="37">
        <v>0.51100000000000001</v>
      </c>
      <c r="H36" s="40"/>
      <c r="I36" s="149"/>
      <c r="J36" s="150"/>
    </row>
    <row r="37" spans="1:12" ht="18.899999999999999" customHeight="1">
      <c r="A37" s="121">
        <v>4</v>
      </c>
      <c r="B37" s="15" t="s">
        <v>257</v>
      </c>
      <c r="C37" s="15" t="s">
        <v>120</v>
      </c>
      <c r="D37" s="37"/>
      <c r="E37" s="147">
        <v>2</v>
      </c>
      <c r="F37" s="148"/>
      <c r="G37" s="37">
        <v>0.17</v>
      </c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14</v>
      </c>
      <c r="F46" s="179"/>
      <c r="G46" s="48">
        <f>SUM(G33:G45)</f>
        <v>1.6099999999999999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20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258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127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126</v>
      </c>
      <c r="B29" s="88"/>
      <c r="C29" s="11"/>
      <c r="D29" s="12"/>
      <c r="E29" s="15" t="s">
        <v>31</v>
      </c>
      <c r="F29" s="11" t="s">
        <v>32</v>
      </c>
      <c r="G29" s="165" t="s">
        <v>185</v>
      </c>
      <c r="H29" s="165"/>
      <c r="I29" s="166" t="s">
        <v>247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260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261</v>
      </c>
      <c r="C34" s="15" t="s">
        <v>262</v>
      </c>
      <c r="D34" s="37"/>
      <c r="E34" s="147">
        <v>6</v>
      </c>
      <c r="F34" s="148"/>
      <c r="G34" s="37">
        <v>0.84299999999999997</v>
      </c>
      <c r="H34" s="38"/>
      <c r="I34" s="149"/>
      <c r="J34" s="150"/>
      <c r="L34" s="37"/>
    </row>
    <row r="35" spans="1:12" ht="18.899999999999999" customHeight="1">
      <c r="A35" s="121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21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6</v>
      </c>
      <c r="F46" s="179"/>
      <c r="G46" s="48">
        <f>SUM(G33:G45)</f>
        <v>0.84299999999999997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21" workbookViewId="0">
      <selection activeCell="G34" sqref="G34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263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242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264</v>
      </c>
      <c r="B29" s="88"/>
      <c r="C29" s="11"/>
      <c r="D29" s="12"/>
      <c r="E29" s="15" t="s">
        <v>31</v>
      </c>
      <c r="F29" s="11" t="s">
        <v>32</v>
      </c>
      <c r="G29" s="165" t="s">
        <v>185</v>
      </c>
      <c r="H29" s="165"/>
      <c r="I29" s="166" t="s">
        <v>247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4" t="s">
        <v>260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244</v>
      </c>
      <c r="C34" s="15" t="s">
        <v>115</v>
      </c>
      <c r="D34" s="37"/>
      <c r="E34" s="147">
        <v>30</v>
      </c>
      <c r="F34" s="148"/>
      <c r="G34" s="37">
        <v>1.9330000000000001</v>
      </c>
      <c r="H34" s="38"/>
      <c r="I34" s="149"/>
      <c r="J34" s="150"/>
      <c r="L34" s="37"/>
    </row>
    <row r="35" spans="1:12" ht="18.899999999999999" customHeight="1">
      <c r="A35" s="121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21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30</v>
      </c>
      <c r="F46" s="179"/>
      <c r="G46" s="48">
        <f>SUM(G33:G45)</f>
        <v>1.9330000000000001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3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2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265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179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266</v>
      </c>
      <c r="H29" s="165"/>
      <c r="I29" s="166" t="s">
        <v>267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29" t="s">
        <v>268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21">
        <v>1</v>
      </c>
      <c r="B34" s="15" t="s">
        <v>132</v>
      </c>
      <c r="C34" s="15" t="s">
        <v>115</v>
      </c>
      <c r="D34" s="37"/>
      <c r="E34" s="147">
        <v>98</v>
      </c>
      <c r="F34" s="148"/>
      <c r="G34" s="37">
        <v>33.374000000000002</v>
      </c>
      <c r="H34" s="38"/>
      <c r="I34" s="149"/>
      <c r="J34" s="150"/>
      <c r="L34" s="37"/>
    </row>
    <row r="35" spans="1:12" ht="18.899999999999999" customHeight="1">
      <c r="A35" s="121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21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21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21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21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21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21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21"/>
      <c r="B43" s="15"/>
      <c r="C43" s="15"/>
      <c r="D43" s="90"/>
      <c r="E43" s="147"/>
      <c r="F43" s="148"/>
      <c r="G43" s="37"/>
      <c r="H43" s="40"/>
      <c r="I43" s="122"/>
      <c r="J43" s="123"/>
    </row>
    <row r="44" spans="1:12" ht="18.899999999999999" customHeight="1">
      <c r="A44" s="121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21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98</v>
      </c>
      <c r="F46" s="179"/>
      <c r="G46" s="48">
        <f>SUM(G33:G45)</f>
        <v>33.374000000000002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25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I49:J49"/>
    <mergeCell ref="I51:J51"/>
    <mergeCell ref="I52:J52"/>
    <mergeCell ref="I53:J53"/>
    <mergeCell ref="E54:H54"/>
    <mergeCell ref="I54:J54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16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0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269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270</v>
      </c>
      <c r="H29" s="165"/>
      <c r="I29" s="166" t="s">
        <v>271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29" t="s">
        <v>272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21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21">
        <v>1</v>
      </c>
      <c r="B34" s="15" t="s">
        <v>175</v>
      </c>
      <c r="C34" s="15" t="s">
        <v>65</v>
      </c>
      <c r="D34" s="37"/>
      <c r="E34" s="147">
        <f>14+111</f>
        <v>125</v>
      </c>
      <c r="F34" s="148"/>
      <c r="G34" s="37">
        <f>0.86+7.292</f>
        <v>8.1519999999999992</v>
      </c>
      <c r="H34" s="40"/>
      <c r="I34" s="149"/>
      <c r="J34" s="150"/>
    </row>
    <row r="35" spans="1:10" ht="18.899999999999999" customHeight="1">
      <c r="A35" s="121">
        <v>2</v>
      </c>
      <c r="B35" s="15" t="s">
        <v>192</v>
      </c>
      <c r="C35" s="15" t="s">
        <v>65</v>
      </c>
      <c r="D35" s="37"/>
      <c r="E35" s="147">
        <v>295</v>
      </c>
      <c r="F35" s="148"/>
      <c r="G35" s="37">
        <v>21.31</v>
      </c>
      <c r="H35" s="40"/>
      <c r="I35" s="149" t="s">
        <v>3</v>
      </c>
      <c r="J35" s="150"/>
    </row>
    <row r="36" spans="1:10" ht="18.899999999999999" customHeight="1">
      <c r="A36" s="121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121"/>
      <c r="B38" s="15"/>
      <c r="C38" s="15"/>
      <c r="D38" s="37"/>
      <c r="E38" s="147"/>
      <c r="F38" s="148"/>
      <c r="G38" s="37"/>
      <c r="H38" s="40"/>
      <c r="I38" s="122"/>
      <c r="J38" s="123"/>
    </row>
    <row r="39" spans="1:10" ht="18.899999999999999" customHeight="1">
      <c r="A39" s="121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21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21"/>
      <c r="B41" s="15"/>
      <c r="C41" s="15"/>
      <c r="D41" s="37"/>
      <c r="E41" s="147"/>
      <c r="F41" s="148"/>
      <c r="G41" s="37"/>
      <c r="H41" s="40"/>
      <c r="I41" s="122"/>
      <c r="J41" s="123"/>
    </row>
    <row r="42" spans="1:10" ht="18.899999999999999" customHeight="1">
      <c r="A42" s="121"/>
      <c r="B42" s="15"/>
      <c r="C42" s="15"/>
      <c r="D42" s="37"/>
      <c r="E42" s="147"/>
      <c r="F42" s="148"/>
      <c r="G42" s="43"/>
      <c r="H42" s="40"/>
      <c r="I42" s="122"/>
      <c r="J42" s="123"/>
    </row>
    <row r="43" spans="1:10" ht="18.899999999999999" customHeight="1">
      <c r="A43" s="121"/>
      <c r="B43" s="15"/>
      <c r="C43" s="15"/>
      <c r="D43" s="37"/>
      <c r="E43" s="147"/>
      <c r="F43" s="148"/>
      <c r="G43" s="43"/>
      <c r="H43" s="128"/>
      <c r="I43" s="122"/>
      <c r="J43" s="123"/>
    </row>
    <row r="44" spans="1:10" ht="18.899999999999999" customHeight="1">
      <c r="A44" s="121"/>
      <c r="B44" s="15"/>
      <c r="C44" s="15"/>
      <c r="D44" s="45"/>
      <c r="E44" s="147"/>
      <c r="F44" s="148"/>
      <c r="G44" s="43"/>
      <c r="H44" s="128"/>
      <c r="I44" s="122"/>
      <c r="J44" s="123"/>
    </row>
    <row r="45" spans="1:10" ht="18.75" customHeight="1">
      <c r="A45" s="121"/>
      <c r="B45" s="15"/>
      <c r="C45" s="15"/>
      <c r="D45" s="12"/>
      <c r="E45" s="147"/>
      <c r="F45" s="148"/>
      <c r="G45" s="43"/>
      <c r="H45" s="46"/>
      <c r="I45" s="122"/>
      <c r="J45" s="123"/>
    </row>
    <row r="46" spans="1:10" ht="18.899999999999999" customHeight="1">
      <c r="A46" s="121"/>
      <c r="B46" s="15"/>
      <c r="C46" s="15"/>
      <c r="D46" s="12"/>
      <c r="E46" s="147"/>
      <c r="F46" s="148"/>
      <c r="G46" s="43"/>
      <c r="H46" s="46"/>
      <c r="I46" s="122"/>
      <c r="J46" s="123"/>
    </row>
    <row r="47" spans="1:10" ht="18.899999999999999" customHeight="1" thickBot="1">
      <c r="A47" s="121"/>
      <c r="B47" s="15"/>
      <c r="C47" s="15"/>
      <c r="D47" s="12"/>
      <c r="E47" s="147"/>
      <c r="F47" s="148"/>
      <c r="G47" s="37"/>
      <c r="H47" s="47"/>
      <c r="I47" s="122"/>
      <c r="J47" s="123"/>
    </row>
    <row r="48" spans="1:10" ht="18.899999999999999" customHeight="1" thickBot="1">
      <c r="A48" s="10"/>
      <c r="B48" s="11"/>
      <c r="C48" s="11"/>
      <c r="D48" s="12"/>
      <c r="E48" s="175">
        <f>SUM(E33:F47)</f>
        <v>420</v>
      </c>
      <c r="F48" s="179"/>
      <c r="G48" s="48">
        <f>SUM(G33:G47)</f>
        <v>29.461999999999996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19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24" t="s">
        <v>10</v>
      </c>
      <c r="G12" s="124"/>
      <c r="H12" s="124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24" t="s">
        <v>12</v>
      </c>
      <c r="G13" s="124"/>
      <c r="H13" s="124"/>
      <c r="I13" s="11"/>
      <c r="J13" s="12"/>
    </row>
    <row r="14" spans="1:10">
      <c r="A14" s="10"/>
      <c r="B14" s="11"/>
      <c r="C14" s="11"/>
      <c r="D14" s="11"/>
      <c r="E14" s="12"/>
      <c r="F14" s="124" t="s">
        <v>13</v>
      </c>
      <c r="G14" s="124"/>
      <c r="H14" s="124"/>
      <c r="I14" s="11"/>
      <c r="J14" s="12"/>
    </row>
    <row r="15" spans="1:10">
      <c r="A15" s="10"/>
      <c r="B15" s="11"/>
      <c r="C15" s="11"/>
      <c r="D15" s="11"/>
      <c r="E15" s="12"/>
      <c r="F15" s="124" t="s">
        <v>14</v>
      </c>
      <c r="G15" s="124"/>
      <c r="H15" s="124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24" t="s">
        <v>15</v>
      </c>
      <c r="G16" s="124"/>
      <c r="H16" s="124"/>
      <c r="I16" s="11"/>
      <c r="J16" s="12"/>
    </row>
    <row r="17" spans="1:10">
      <c r="A17" s="10"/>
      <c r="B17" s="11"/>
      <c r="C17" s="11"/>
      <c r="D17" s="11"/>
      <c r="E17" s="12"/>
      <c r="F17" s="124" t="s">
        <v>16</v>
      </c>
      <c r="G17" s="124"/>
      <c r="H17" s="124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273</v>
      </c>
      <c r="B19" s="22"/>
      <c r="C19" s="22"/>
      <c r="D19" s="23"/>
      <c r="E19" s="22" t="s">
        <v>18</v>
      </c>
      <c r="F19" s="22"/>
      <c r="G19" s="22" t="s">
        <v>214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270</v>
      </c>
      <c r="H29" s="165"/>
      <c r="I29" s="166" t="s">
        <v>271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29" t="s">
        <v>274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25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21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21">
        <v>1</v>
      </c>
      <c r="B34" s="15" t="s">
        <v>192</v>
      </c>
      <c r="C34" s="15" t="s">
        <v>65</v>
      </c>
      <c r="D34" s="37"/>
      <c r="E34" s="147">
        <f>8+29</f>
        <v>37</v>
      </c>
      <c r="F34" s="148"/>
      <c r="G34" s="37">
        <f>0.682+2.507</f>
        <v>3.1890000000000001</v>
      </c>
      <c r="H34" s="40"/>
      <c r="I34" s="149"/>
      <c r="J34" s="150"/>
    </row>
    <row r="35" spans="1:10" ht="18.899999999999999" customHeight="1">
      <c r="A35" s="121"/>
      <c r="B35" s="15"/>
      <c r="C35" s="15"/>
      <c r="D35" s="37"/>
      <c r="E35" s="147"/>
      <c r="F35" s="148"/>
      <c r="G35" s="37"/>
      <c r="H35" s="40"/>
      <c r="I35" s="149" t="s">
        <v>3</v>
      </c>
      <c r="J35" s="150"/>
    </row>
    <row r="36" spans="1:10" ht="18.899999999999999" customHeight="1">
      <c r="A36" s="121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121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121"/>
      <c r="B38" s="15"/>
      <c r="C38" s="15"/>
      <c r="D38" s="37"/>
      <c r="E38" s="147"/>
      <c r="F38" s="148"/>
      <c r="G38" s="37"/>
      <c r="H38" s="40"/>
      <c r="I38" s="122"/>
      <c r="J38" s="123"/>
    </row>
    <row r="39" spans="1:10" ht="18.899999999999999" customHeight="1">
      <c r="A39" s="121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21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21"/>
      <c r="B41" s="15"/>
      <c r="C41" s="15"/>
      <c r="D41" s="37"/>
      <c r="E41" s="147"/>
      <c r="F41" s="148"/>
      <c r="G41" s="37"/>
      <c r="H41" s="40"/>
      <c r="I41" s="122"/>
      <c r="J41" s="123"/>
    </row>
    <row r="42" spans="1:10" ht="18.899999999999999" customHeight="1">
      <c r="A42" s="121"/>
      <c r="B42" s="15"/>
      <c r="C42" s="15"/>
      <c r="D42" s="37"/>
      <c r="E42" s="147"/>
      <c r="F42" s="148"/>
      <c r="G42" s="43"/>
      <c r="H42" s="40"/>
      <c r="I42" s="122"/>
      <c r="J42" s="123"/>
    </row>
    <row r="43" spans="1:10" ht="18.899999999999999" customHeight="1">
      <c r="A43" s="121"/>
      <c r="B43" s="15"/>
      <c r="C43" s="15"/>
      <c r="D43" s="37"/>
      <c r="E43" s="147"/>
      <c r="F43" s="148"/>
      <c r="G43" s="43"/>
      <c r="H43" s="128"/>
      <c r="I43" s="122"/>
      <c r="J43" s="123"/>
    </row>
    <row r="44" spans="1:10" ht="18.899999999999999" customHeight="1">
      <c r="A44" s="121"/>
      <c r="B44" s="15"/>
      <c r="C44" s="15"/>
      <c r="D44" s="45"/>
      <c r="E44" s="147"/>
      <c r="F44" s="148"/>
      <c r="G44" s="43"/>
      <c r="H44" s="128"/>
      <c r="I44" s="122"/>
      <c r="J44" s="123"/>
    </row>
    <row r="45" spans="1:10" ht="18.75" customHeight="1">
      <c r="A45" s="121"/>
      <c r="B45" s="15"/>
      <c r="C45" s="15"/>
      <c r="D45" s="12"/>
      <c r="E45" s="147"/>
      <c r="F45" s="148"/>
      <c r="G45" s="43"/>
      <c r="H45" s="46"/>
      <c r="I45" s="122"/>
      <c r="J45" s="123"/>
    </row>
    <row r="46" spans="1:10" ht="18.899999999999999" customHeight="1">
      <c r="A46" s="121"/>
      <c r="B46" s="15"/>
      <c r="C46" s="15"/>
      <c r="D46" s="12"/>
      <c r="E46" s="147"/>
      <c r="F46" s="148"/>
      <c r="G46" s="43"/>
      <c r="H46" s="46"/>
      <c r="I46" s="122"/>
      <c r="J46" s="123"/>
    </row>
    <row r="47" spans="1:10" ht="18.899999999999999" customHeight="1" thickBot="1">
      <c r="A47" s="121"/>
      <c r="B47" s="15"/>
      <c r="C47" s="15"/>
      <c r="D47" s="12"/>
      <c r="E47" s="147"/>
      <c r="F47" s="148"/>
      <c r="G47" s="37"/>
      <c r="H47" s="47"/>
      <c r="I47" s="122"/>
      <c r="J47" s="123"/>
    </row>
    <row r="48" spans="1:10" ht="18.899999999999999" customHeight="1" thickBot="1">
      <c r="A48" s="10"/>
      <c r="B48" s="11"/>
      <c r="C48" s="11"/>
      <c r="D48" s="12"/>
      <c r="E48" s="175">
        <f>SUM(E33:F47)</f>
        <v>37</v>
      </c>
      <c r="F48" s="179"/>
      <c r="G48" s="48">
        <f>SUM(G33:G47)</f>
        <v>3.1890000000000001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26"/>
      <c r="J50" s="127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19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33" t="s">
        <v>10</v>
      </c>
      <c r="G12" s="133"/>
      <c r="H12" s="13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33" t="s">
        <v>12</v>
      </c>
      <c r="G13" s="133"/>
      <c r="H13" s="133"/>
      <c r="I13" s="11"/>
      <c r="J13" s="12"/>
    </row>
    <row r="14" spans="1:10">
      <c r="A14" s="10"/>
      <c r="B14" s="11"/>
      <c r="C14" s="11"/>
      <c r="D14" s="11"/>
      <c r="E14" s="12"/>
      <c r="F14" s="133" t="s">
        <v>13</v>
      </c>
      <c r="G14" s="133"/>
      <c r="H14" s="133"/>
      <c r="I14" s="11"/>
      <c r="J14" s="12"/>
    </row>
    <row r="15" spans="1:10">
      <c r="A15" s="10"/>
      <c r="B15" s="11"/>
      <c r="C15" s="11"/>
      <c r="D15" s="11"/>
      <c r="E15" s="12"/>
      <c r="F15" s="133" t="s">
        <v>14</v>
      </c>
      <c r="G15" s="133"/>
      <c r="H15" s="13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33" t="s">
        <v>15</v>
      </c>
      <c r="G16" s="133"/>
      <c r="H16" s="133"/>
      <c r="I16" s="11"/>
      <c r="J16" s="12"/>
    </row>
    <row r="17" spans="1:10">
      <c r="A17" s="10"/>
      <c r="B17" s="11"/>
      <c r="C17" s="11"/>
      <c r="D17" s="11"/>
      <c r="E17" s="12"/>
      <c r="F17" s="133" t="s">
        <v>16</v>
      </c>
      <c r="G17" s="133"/>
      <c r="H17" s="133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275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277</v>
      </c>
      <c r="H29" s="165"/>
      <c r="I29" s="166" t="s">
        <v>280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46" t="s">
        <v>278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34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30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30">
        <v>1</v>
      </c>
      <c r="B34" s="15" t="s">
        <v>157</v>
      </c>
      <c r="C34" s="15" t="s">
        <v>65</v>
      </c>
      <c r="D34" s="37"/>
      <c r="E34" s="147">
        <v>100</v>
      </c>
      <c r="F34" s="148"/>
      <c r="G34" s="37">
        <v>14.558</v>
      </c>
      <c r="H34" s="40"/>
      <c r="I34" s="149"/>
      <c r="J34" s="150"/>
    </row>
    <row r="35" spans="1:10" ht="18.899999999999999" customHeight="1">
      <c r="A35" s="130">
        <v>2</v>
      </c>
      <c r="B35" s="15" t="s">
        <v>279</v>
      </c>
      <c r="C35" s="15" t="s">
        <v>65</v>
      </c>
      <c r="D35" s="37"/>
      <c r="E35" s="147">
        <v>25</v>
      </c>
      <c r="F35" s="148"/>
      <c r="G35" s="37">
        <v>4.5999999999999996</v>
      </c>
      <c r="H35" s="40"/>
      <c r="I35" s="149" t="s">
        <v>3</v>
      </c>
      <c r="J35" s="150"/>
    </row>
    <row r="36" spans="1:10" ht="18.899999999999999" customHeight="1">
      <c r="A36" s="130">
        <v>3</v>
      </c>
      <c r="B36" s="15" t="s">
        <v>98</v>
      </c>
      <c r="C36" s="15" t="s">
        <v>65</v>
      </c>
      <c r="D36" s="37"/>
      <c r="E36" s="147">
        <v>45</v>
      </c>
      <c r="F36" s="148"/>
      <c r="G36" s="37">
        <v>5.9859999999999998</v>
      </c>
      <c r="H36" s="40"/>
      <c r="I36" s="149"/>
      <c r="J36" s="150"/>
    </row>
    <row r="37" spans="1:10" ht="18.899999999999999" customHeight="1">
      <c r="A37" s="130">
        <v>4</v>
      </c>
      <c r="B37" s="15" t="s">
        <v>100</v>
      </c>
      <c r="C37" s="15" t="s">
        <v>65</v>
      </c>
      <c r="D37" s="37"/>
      <c r="E37" s="147">
        <f>18+48</f>
        <v>66</v>
      </c>
      <c r="F37" s="148"/>
      <c r="G37" s="37">
        <f>1.623+5.444</f>
        <v>7.0670000000000002</v>
      </c>
      <c r="H37" s="40"/>
      <c r="I37" s="149"/>
      <c r="J37" s="150"/>
    </row>
    <row r="38" spans="1:10" ht="18.899999999999999" customHeight="1">
      <c r="A38" s="130"/>
      <c r="B38" s="15"/>
      <c r="C38" s="15"/>
      <c r="D38" s="37"/>
      <c r="E38" s="147"/>
      <c r="F38" s="148"/>
      <c r="G38" s="37"/>
      <c r="H38" s="40"/>
      <c r="I38" s="131"/>
      <c r="J38" s="132"/>
    </row>
    <row r="39" spans="1:10" ht="18.899999999999999" customHeight="1">
      <c r="A39" s="130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30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30"/>
      <c r="B41" s="15"/>
      <c r="C41" s="15"/>
      <c r="D41" s="37"/>
      <c r="E41" s="147"/>
      <c r="F41" s="148"/>
      <c r="G41" s="37"/>
      <c r="H41" s="40"/>
      <c r="I41" s="131"/>
      <c r="J41" s="132"/>
    </row>
    <row r="42" spans="1:10" ht="18.899999999999999" customHeight="1">
      <c r="A42" s="130"/>
      <c r="B42" s="15"/>
      <c r="C42" s="15"/>
      <c r="D42" s="37"/>
      <c r="E42" s="147"/>
      <c r="F42" s="148"/>
      <c r="G42" s="43"/>
      <c r="H42" s="40"/>
      <c r="I42" s="131"/>
      <c r="J42" s="132"/>
    </row>
    <row r="43" spans="1:10" ht="18.899999999999999" customHeight="1">
      <c r="A43" s="130"/>
      <c r="B43" s="15"/>
      <c r="C43" s="15"/>
      <c r="D43" s="37"/>
      <c r="E43" s="147"/>
      <c r="F43" s="148"/>
      <c r="G43" s="43"/>
      <c r="H43" s="137"/>
      <c r="I43" s="131"/>
      <c r="J43" s="132"/>
    </row>
    <row r="44" spans="1:10" ht="18.899999999999999" customHeight="1">
      <c r="A44" s="130"/>
      <c r="B44" s="15"/>
      <c r="C44" s="15"/>
      <c r="D44" s="45"/>
      <c r="E44" s="147"/>
      <c r="F44" s="148"/>
      <c r="G44" s="43"/>
      <c r="H44" s="137"/>
      <c r="I44" s="131"/>
      <c r="J44" s="132"/>
    </row>
    <row r="45" spans="1:10" ht="18.75" customHeight="1">
      <c r="A45" s="130"/>
      <c r="B45" s="15"/>
      <c r="C45" s="15"/>
      <c r="D45" s="12"/>
      <c r="E45" s="147"/>
      <c r="F45" s="148"/>
      <c r="G45" s="43"/>
      <c r="H45" s="46"/>
      <c r="I45" s="131"/>
      <c r="J45" s="132"/>
    </row>
    <row r="46" spans="1:10" ht="18.899999999999999" customHeight="1">
      <c r="A46" s="130"/>
      <c r="B46" s="15"/>
      <c r="C46" s="15"/>
      <c r="D46" s="12"/>
      <c r="E46" s="147"/>
      <c r="F46" s="148"/>
      <c r="G46" s="43"/>
      <c r="H46" s="46"/>
      <c r="I46" s="131"/>
      <c r="J46" s="132"/>
    </row>
    <row r="47" spans="1:10" ht="18.899999999999999" customHeight="1" thickBot="1">
      <c r="A47" s="130"/>
      <c r="B47" s="15"/>
      <c r="C47" s="15"/>
      <c r="D47" s="12"/>
      <c r="E47" s="147"/>
      <c r="F47" s="148"/>
      <c r="G47" s="37"/>
      <c r="H47" s="47"/>
      <c r="I47" s="131"/>
      <c r="J47" s="132"/>
    </row>
    <row r="48" spans="1:10" ht="18.899999999999999" customHeight="1" thickBot="1">
      <c r="A48" s="10"/>
      <c r="B48" s="11"/>
      <c r="C48" s="11"/>
      <c r="D48" s="12"/>
      <c r="E48" s="175">
        <f>SUM(E33:F47)</f>
        <v>236</v>
      </c>
      <c r="F48" s="179"/>
      <c r="G48" s="48">
        <f>SUM(G33:G47)</f>
        <v>32.210999999999999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5"/>
      <c r="J50" s="136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  <mergeCell ref="E35:F35"/>
    <mergeCell ref="I35:J35"/>
    <mergeCell ref="E36:F36"/>
    <mergeCell ref="I36:J36"/>
    <mergeCell ref="E37:F37"/>
    <mergeCell ref="I37:J37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54:H54"/>
    <mergeCell ref="I54:J54"/>
    <mergeCell ref="E48:F48"/>
    <mergeCell ref="I48:J48"/>
    <mergeCell ref="I49:J49"/>
    <mergeCell ref="I51:J51"/>
    <mergeCell ref="I52:J52"/>
    <mergeCell ref="I53:J5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6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2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281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72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110</v>
      </c>
      <c r="B29" s="88"/>
      <c r="C29" s="11"/>
      <c r="D29" s="12"/>
      <c r="E29" s="15" t="s">
        <v>31</v>
      </c>
      <c r="F29" s="11" t="s">
        <v>32</v>
      </c>
      <c r="G29" s="165" t="s">
        <v>282</v>
      </c>
      <c r="H29" s="165"/>
      <c r="I29" s="166" t="s">
        <v>283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46" t="s">
        <v>284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40">
        <v>1</v>
      </c>
      <c r="B34" s="15" t="s">
        <v>285</v>
      </c>
      <c r="C34" s="15" t="s">
        <v>115</v>
      </c>
      <c r="D34" s="37"/>
      <c r="E34" s="147">
        <v>11</v>
      </c>
      <c r="F34" s="148"/>
      <c r="G34" s="37">
        <v>0.93899999999999995</v>
      </c>
      <c r="H34" s="38"/>
      <c r="I34" s="149"/>
      <c r="J34" s="150"/>
      <c r="L34" s="37"/>
    </row>
    <row r="35" spans="1:12" ht="18.899999999999999" customHeight="1">
      <c r="A35" s="140">
        <v>2</v>
      </c>
      <c r="B35" s="15" t="s">
        <v>286</v>
      </c>
      <c r="C35" s="15" t="s">
        <v>115</v>
      </c>
      <c r="D35" s="37"/>
      <c r="E35" s="147">
        <v>1</v>
      </c>
      <c r="F35" s="148"/>
      <c r="G35" s="37">
        <v>6.0999999999999999E-2</v>
      </c>
      <c r="H35" s="40"/>
      <c r="I35" s="149"/>
      <c r="J35" s="150"/>
    </row>
    <row r="36" spans="1:12" ht="18.899999999999999" customHeight="1">
      <c r="A36" s="140">
        <v>3</v>
      </c>
      <c r="B36" s="15" t="s">
        <v>251</v>
      </c>
      <c r="C36" s="15" t="s">
        <v>115</v>
      </c>
      <c r="D36" s="37"/>
      <c r="E36" s="147">
        <v>3</v>
      </c>
      <c r="F36" s="148"/>
      <c r="G36" s="37">
        <v>0.59499999999999997</v>
      </c>
      <c r="H36" s="40"/>
      <c r="I36" s="149"/>
      <c r="J36" s="150"/>
    </row>
    <row r="37" spans="1:12" ht="18.899999999999999" customHeight="1">
      <c r="A37" s="140">
        <v>4</v>
      </c>
      <c r="B37" s="15" t="s">
        <v>287</v>
      </c>
      <c r="C37" s="15" t="s">
        <v>115</v>
      </c>
      <c r="D37" s="37"/>
      <c r="E37" s="147">
        <v>8</v>
      </c>
      <c r="F37" s="148"/>
      <c r="G37" s="37">
        <v>1.28</v>
      </c>
      <c r="H37" s="40"/>
      <c r="I37" s="149"/>
      <c r="J37" s="150"/>
    </row>
    <row r="38" spans="1:12" ht="18.899999999999999" customHeight="1">
      <c r="A38" s="140">
        <v>5</v>
      </c>
      <c r="B38" s="15" t="s">
        <v>288</v>
      </c>
      <c r="C38" s="15" t="s">
        <v>115</v>
      </c>
      <c r="D38" s="90"/>
      <c r="E38" s="147">
        <v>1</v>
      </c>
      <c r="F38" s="148"/>
      <c r="G38" s="37">
        <v>0.111</v>
      </c>
      <c r="H38" s="40"/>
      <c r="I38" s="149"/>
      <c r="J38" s="150"/>
    </row>
    <row r="39" spans="1:12" ht="18.899999999999999" customHeight="1">
      <c r="A39" s="140">
        <v>6</v>
      </c>
      <c r="B39" s="15" t="s">
        <v>292</v>
      </c>
      <c r="C39" s="15" t="s">
        <v>120</v>
      </c>
      <c r="D39" s="90"/>
      <c r="E39" s="147">
        <v>8</v>
      </c>
      <c r="F39" s="148"/>
      <c r="G39" s="37">
        <v>0.41699999999999998</v>
      </c>
      <c r="H39" s="40"/>
      <c r="I39" s="149"/>
      <c r="J39" s="150"/>
    </row>
    <row r="40" spans="1:12" ht="18.899999999999999" customHeight="1">
      <c r="A40" s="140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40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40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40"/>
      <c r="B43" s="15"/>
      <c r="C43" s="15"/>
      <c r="D43" s="90"/>
      <c r="E43" s="147"/>
      <c r="F43" s="148"/>
      <c r="G43" s="37"/>
      <c r="H43" s="40"/>
      <c r="I43" s="141"/>
      <c r="J43" s="142"/>
    </row>
    <row r="44" spans="1:12" ht="18.899999999999999" customHeight="1">
      <c r="A44" s="140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40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32</v>
      </c>
      <c r="F46" s="179"/>
      <c r="G46" s="48">
        <f>SUM(G33:G45)</f>
        <v>3.403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44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0" workbookViewId="0">
      <selection activeCell="G29" sqref="G29:H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2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289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290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264</v>
      </c>
      <c r="B29" s="88"/>
      <c r="C29" s="11"/>
      <c r="D29" s="12"/>
      <c r="E29" s="15" t="s">
        <v>31</v>
      </c>
      <c r="F29" s="11" t="s">
        <v>32</v>
      </c>
      <c r="G29" s="165" t="s">
        <v>282</v>
      </c>
      <c r="H29" s="165"/>
      <c r="I29" s="166" t="s">
        <v>283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43" t="s">
        <v>284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40">
        <v>1</v>
      </c>
      <c r="B34" s="15" t="s">
        <v>291</v>
      </c>
      <c r="C34" s="15" t="s">
        <v>115</v>
      </c>
      <c r="D34" s="37"/>
      <c r="E34" s="147">
        <v>3</v>
      </c>
      <c r="F34" s="148"/>
      <c r="G34" s="37">
        <v>0.23</v>
      </c>
      <c r="H34" s="38"/>
      <c r="I34" s="149"/>
      <c r="J34" s="150"/>
      <c r="L34" s="37"/>
    </row>
    <row r="35" spans="1:12" ht="18.899999999999999" customHeight="1">
      <c r="A35" s="140">
        <v>2</v>
      </c>
      <c r="B35" s="15" t="s">
        <v>245</v>
      </c>
      <c r="C35" s="15" t="s">
        <v>120</v>
      </c>
      <c r="D35" s="37"/>
      <c r="E35" s="147">
        <v>11</v>
      </c>
      <c r="F35" s="148"/>
      <c r="G35" s="37">
        <v>0.67900000000000005</v>
      </c>
      <c r="H35" s="40"/>
      <c r="I35" s="149"/>
      <c r="J35" s="150"/>
    </row>
    <row r="36" spans="1:12" ht="18.899999999999999" customHeight="1">
      <c r="A36" s="140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40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40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40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40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40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40"/>
      <c r="B43" s="15"/>
      <c r="C43" s="15"/>
      <c r="D43" s="90"/>
      <c r="E43" s="147"/>
      <c r="F43" s="148"/>
      <c r="G43" s="37"/>
      <c r="H43" s="40"/>
      <c r="I43" s="141"/>
      <c r="J43" s="142"/>
    </row>
    <row r="44" spans="1:12" ht="18.899999999999999" customHeight="1">
      <c r="A44" s="140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40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14</v>
      </c>
      <c r="F46" s="179"/>
      <c r="G46" s="48">
        <f>SUM(G33:G45)</f>
        <v>0.90900000000000003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44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22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2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293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131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282</v>
      </c>
      <c r="H29" s="165"/>
      <c r="I29" s="166" t="s">
        <v>283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46" t="s">
        <v>284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40">
        <v>1</v>
      </c>
      <c r="B34" s="15" t="s">
        <v>132</v>
      </c>
      <c r="C34" s="15" t="s">
        <v>115</v>
      </c>
      <c r="D34" s="37"/>
      <c r="E34" s="147">
        <v>76</v>
      </c>
      <c r="F34" s="148"/>
      <c r="G34" s="37">
        <v>22.113</v>
      </c>
      <c r="H34" s="38"/>
      <c r="I34" s="149"/>
      <c r="J34" s="150"/>
      <c r="L34" s="37"/>
    </row>
    <row r="35" spans="1:12" ht="18.899999999999999" customHeight="1">
      <c r="A35" s="140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40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40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40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40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40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40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40"/>
      <c r="B43" s="15"/>
      <c r="C43" s="15"/>
      <c r="D43" s="90"/>
      <c r="E43" s="147"/>
      <c r="F43" s="148"/>
      <c r="G43" s="37"/>
      <c r="H43" s="40"/>
      <c r="I43" s="141"/>
      <c r="J43" s="142"/>
    </row>
    <row r="44" spans="1:12" ht="18.899999999999999" customHeight="1">
      <c r="A44" s="140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40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76</v>
      </c>
      <c r="F46" s="179"/>
      <c r="G46" s="48">
        <f>SUM(G33:G45)</f>
        <v>22.113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44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7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2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294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131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142</v>
      </c>
      <c r="B29" s="88"/>
      <c r="C29" s="11"/>
      <c r="D29" s="12"/>
      <c r="E29" s="15" t="s">
        <v>31</v>
      </c>
      <c r="F29" s="11" t="s">
        <v>32</v>
      </c>
      <c r="G29" s="165" t="s">
        <v>282</v>
      </c>
      <c r="H29" s="165"/>
      <c r="I29" s="166" t="s">
        <v>283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46" t="s">
        <v>284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40">
        <v>1</v>
      </c>
      <c r="B34" s="15" t="s">
        <v>291</v>
      </c>
      <c r="C34" s="15" t="s">
        <v>115</v>
      </c>
      <c r="D34" s="37"/>
      <c r="E34" s="147">
        <v>72</v>
      </c>
      <c r="F34" s="148"/>
      <c r="G34" s="37">
        <v>5.3529999999999998</v>
      </c>
      <c r="H34" s="38"/>
      <c r="I34" s="149"/>
      <c r="J34" s="150"/>
      <c r="L34" s="37"/>
    </row>
    <row r="35" spans="1:12" ht="18.899999999999999" customHeight="1">
      <c r="A35" s="140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40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40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40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40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40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40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40"/>
      <c r="B43" s="15"/>
      <c r="C43" s="15"/>
      <c r="D43" s="90"/>
      <c r="E43" s="147"/>
      <c r="F43" s="148"/>
      <c r="G43" s="37"/>
      <c r="H43" s="40"/>
      <c r="I43" s="141"/>
      <c r="J43" s="142"/>
    </row>
    <row r="44" spans="1:12" ht="18.899999999999999" customHeight="1">
      <c r="A44" s="140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40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72</v>
      </c>
      <c r="F46" s="179"/>
      <c r="G46" s="48">
        <f>SUM(G33:G45)</f>
        <v>5.3529999999999998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44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34" workbookViewId="0">
      <selection activeCell="I29" sqref="I29:J29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0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295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59</v>
      </c>
      <c r="B29" s="29"/>
      <c r="C29" s="11"/>
      <c r="D29" s="12"/>
      <c r="E29" s="15" t="s">
        <v>31</v>
      </c>
      <c r="F29" s="11" t="s">
        <v>32</v>
      </c>
      <c r="G29" s="165" t="s">
        <v>296</v>
      </c>
      <c r="H29" s="165"/>
      <c r="I29" s="166" t="s">
        <v>297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46" t="s">
        <v>300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40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40">
        <v>1</v>
      </c>
      <c r="B34" s="15" t="s">
        <v>82</v>
      </c>
      <c r="C34" s="15" t="s">
        <v>42</v>
      </c>
      <c r="D34" s="37"/>
      <c r="E34" s="147">
        <v>30</v>
      </c>
      <c r="F34" s="148"/>
      <c r="G34" s="37">
        <v>1.8180000000000001</v>
      </c>
      <c r="H34" s="40"/>
      <c r="I34" s="149"/>
      <c r="J34" s="150"/>
    </row>
    <row r="35" spans="1:10" ht="18.899999999999999" customHeight="1">
      <c r="A35" s="140">
        <v>2</v>
      </c>
      <c r="B35" s="15" t="s">
        <v>298</v>
      </c>
      <c r="C35" s="15" t="s">
        <v>42</v>
      </c>
      <c r="D35" s="37"/>
      <c r="E35" s="147">
        <v>148</v>
      </c>
      <c r="F35" s="148"/>
      <c r="G35" s="37">
        <v>10.664999999999999</v>
      </c>
      <c r="H35" s="40"/>
      <c r="I35" s="149" t="s">
        <v>3</v>
      </c>
      <c r="J35" s="150"/>
    </row>
    <row r="36" spans="1:10" ht="18.899999999999999" customHeight="1">
      <c r="A36" s="140">
        <v>3</v>
      </c>
      <c r="B36" s="15" t="s">
        <v>205</v>
      </c>
      <c r="C36" s="15" t="s">
        <v>65</v>
      </c>
      <c r="D36" s="37"/>
      <c r="E36" s="147">
        <f>34+5</f>
        <v>39</v>
      </c>
      <c r="F36" s="148"/>
      <c r="G36" s="37">
        <f>5.435+0.777</f>
        <v>6.2119999999999997</v>
      </c>
      <c r="H36" s="40"/>
      <c r="I36" s="149"/>
      <c r="J36" s="150"/>
    </row>
    <row r="37" spans="1:10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140"/>
      <c r="B38" s="15"/>
      <c r="C38" s="15"/>
      <c r="D38" s="37"/>
      <c r="E38" s="147"/>
      <c r="F38" s="148"/>
      <c r="G38" s="37"/>
      <c r="H38" s="40"/>
      <c r="I38" s="141"/>
      <c r="J38" s="142"/>
    </row>
    <row r="39" spans="1:10" ht="18.899999999999999" customHeight="1">
      <c r="A39" s="140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40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40"/>
      <c r="B41" s="15"/>
      <c r="C41" s="15"/>
      <c r="D41" s="37"/>
      <c r="E41" s="147"/>
      <c r="F41" s="148"/>
      <c r="G41" s="37"/>
      <c r="H41" s="40"/>
      <c r="I41" s="141"/>
      <c r="J41" s="142"/>
    </row>
    <row r="42" spans="1:10" ht="18.899999999999999" customHeight="1">
      <c r="A42" s="140"/>
      <c r="B42" s="15"/>
      <c r="C42" s="15"/>
      <c r="D42" s="37"/>
      <c r="E42" s="147"/>
      <c r="F42" s="148"/>
      <c r="G42" s="43"/>
      <c r="H42" s="40"/>
      <c r="I42" s="141"/>
      <c r="J42" s="142"/>
    </row>
    <row r="43" spans="1:10" ht="18.899999999999999" customHeight="1">
      <c r="A43" s="140"/>
      <c r="B43" s="15"/>
      <c r="C43" s="15"/>
      <c r="D43" s="37"/>
      <c r="E43" s="147"/>
      <c r="F43" s="148"/>
      <c r="G43" s="43"/>
      <c r="H43" s="145"/>
      <c r="I43" s="141"/>
      <c r="J43" s="142"/>
    </row>
    <row r="44" spans="1:10" ht="18.899999999999999" customHeight="1">
      <c r="A44" s="140"/>
      <c r="B44" s="15"/>
      <c r="C44" s="15"/>
      <c r="D44" s="45"/>
      <c r="E44" s="147"/>
      <c r="F44" s="148"/>
      <c r="G44" s="43"/>
      <c r="H44" s="145"/>
      <c r="I44" s="141"/>
      <c r="J44" s="142"/>
    </row>
    <row r="45" spans="1:10" ht="18.75" customHeight="1">
      <c r="A45" s="140"/>
      <c r="B45" s="15"/>
      <c r="C45" s="15"/>
      <c r="D45" s="12"/>
      <c r="E45" s="147"/>
      <c r="F45" s="148"/>
      <c r="G45" s="43"/>
      <c r="H45" s="46"/>
      <c r="I45" s="141"/>
      <c r="J45" s="142"/>
    </row>
    <row r="46" spans="1:10" ht="18.899999999999999" customHeight="1">
      <c r="A46" s="140"/>
      <c r="B46" s="15"/>
      <c r="C46" s="15"/>
      <c r="D46" s="12"/>
      <c r="E46" s="147"/>
      <c r="F46" s="148"/>
      <c r="G46" s="43"/>
      <c r="H46" s="46"/>
      <c r="I46" s="141"/>
      <c r="J46" s="142"/>
    </row>
    <row r="47" spans="1:10" ht="18.899999999999999" customHeight="1" thickBot="1">
      <c r="A47" s="140"/>
      <c r="B47" s="15"/>
      <c r="C47" s="15"/>
      <c r="D47" s="12"/>
      <c r="E47" s="147"/>
      <c r="F47" s="148"/>
      <c r="G47" s="37"/>
      <c r="H47" s="47"/>
      <c r="I47" s="141"/>
      <c r="J47" s="142"/>
    </row>
    <row r="48" spans="1:10" ht="18.899999999999999" customHeight="1" thickBot="1">
      <c r="A48" s="10"/>
      <c r="B48" s="11"/>
      <c r="C48" s="11"/>
      <c r="D48" s="12"/>
      <c r="E48" s="175">
        <f>SUM(E33:F47)</f>
        <v>217</v>
      </c>
      <c r="F48" s="179"/>
      <c r="G48" s="48">
        <f>SUM(G33:G47)</f>
        <v>18.695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048576"/>
  <sheetViews>
    <sheetView topLeftCell="A19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1.554687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0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0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0" ht="18" customHeight="1" thickBot="1">
      <c r="A19" s="21" t="s">
        <v>299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0">
      <c r="A20" s="24" t="s">
        <v>19</v>
      </c>
      <c r="B20" s="25"/>
      <c r="C20" s="8"/>
      <c r="D20" s="9"/>
      <c r="E20" s="24" t="s">
        <v>19</v>
      </c>
      <c r="F20" s="25"/>
      <c r="G20" s="25"/>
      <c r="H20" s="8"/>
      <c r="I20" s="8"/>
      <c r="J20" s="9"/>
    </row>
    <row r="21" spans="1:10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0" s="26" customFormat="1">
      <c r="A22" s="14" t="s">
        <v>21</v>
      </c>
      <c r="B22" s="15"/>
      <c r="C22" s="15"/>
      <c r="D22" s="13"/>
      <c r="E22" s="14" t="s">
        <v>21</v>
      </c>
      <c r="F22" s="15"/>
      <c r="G22" s="15"/>
      <c r="H22" s="15"/>
      <c r="I22" s="15"/>
      <c r="J22" s="13"/>
    </row>
    <row r="23" spans="1:10" s="26" customFormat="1">
      <c r="A23" s="14" t="s">
        <v>22</v>
      </c>
      <c r="B23" s="15"/>
      <c r="C23" s="15"/>
      <c r="D23" s="13"/>
      <c r="E23" s="14" t="s">
        <v>22</v>
      </c>
      <c r="F23" s="15"/>
      <c r="G23" s="15"/>
      <c r="H23" s="15"/>
      <c r="I23" s="15"/>
      <c r="J23" s="13"/>
    </row>
    <row r="24" spans="1:10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0">
      <c r="A25" s="14" t="s">
        <v>23</v>
      </c>
      <c r="B25" s="11"/>
      <c r="C25" s="11"/>
      <c r="D25" s="12"/>
      <c r="E25" s="14" t="s">
        <v>23</v>
      </c>
      <c r="F25" s="11"/>
      <c r="G25" s="11"/>
      <c r="H25" s="11"/>
      <c r="I25" s="11"/>
      <c r="J25" s="12"/>
    </row>
    <row r="26" spans="1:10">
      <c r="A26" s="14" t="s">
        <v>24</v>
      </c>
      <c r="B26" s="11"/>
      <c r="C26" s="11"/>
      <c r="D26" s="12"/>
      <c r="E26" s="14" t="s">
        <v>24</v>
      </c>
      <c r="F26" s="11"/>
      <c r="G26" s="11"/>
      <c r="H26" s="11"/>
      <c r="I26" s="11"/>
      <c r="J26" s="12"/>
    </row>
    <row r="27" spans="1:10" ht="15" thickBot="1">
      <c r="A27" s="22" t="s">
        <v>25</v>
      </c>
      <c r="B27" s="18"/>
      <c r="C27" s="18"/>
      <c r="D27" s="19"/>
      <c r="E27" s="22" t="s">
        <v>25</v>
      </c>
      <c r="F27" s="18"/>
      <c r="G27" s="18"/>
      <c r="H27" s="18"/>
      <c r="I27" s="18"/>
      <c r="J27" s="19"/>
    </row>
    <row r="28" spans="1:10">
      <c r="A28" s="24" t="s">
        <v>26</v>
      </c>
      <c r="B28" s="8"/>
      <c r="C28" s="8"/>
      <c r="D28" s="27" t="s">
        <v>60</v>
      </c>
      <c r="E28" s="25" t="s">
        <v>28</v>
      </c>
      <c r="F28" s="8"/>
      <c r="G28" s="164" t="s">
        <v>29</v>
      </c>
      <c r="H28" s="164"/>
      <c r="I28" s="164"/>
      <c r="J28" s="9"/>
    </row>
    <row r="29" spans="1:10" ht="15.6">
      <c r="A29" s="28" t="s">
        <v>67</v>
      </c>
      <c r="B29" s="29"/>
      <c r="C29" s="11"/>
      <c r="D29" s="12"/>
      <c r="E29" s="15" t="s">
        <v>31</v>
      </c>
      <c r="F29" s="11" t="s">
        <v>32</v>
      </c>
      <c r="G29" s="165" t="s">
        <v>296</v>
      </c>
      <c r="H29" s="165"/>
      <c r="I29" s="166" t="s">
        <v>297</v>
      </c>
      <c r="J29" s="167"/>
    </row>
    <row r="30" spans="1:10">
      <c r="A30" s="10"/>
      <c r="B30" s="11"/>
      <c r="C30" s="11"/>
      <c r="D30" s="12"/>
      <c r="E30" s="15" t="s">
        <v>33</v>
      </c>
      <c r="F30" s="11"/>
      <c r="G30" s="146" t="s">
        <v>301</v>
      </c>
      <c r="H30" s="11"/>
      <c r="I30" s="15"/>
      <c r="J30" s="12"/>
    </row>
    <row r="31" spans="1:10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0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34" t="s">
        <v>40</v>
      </c>
      <c r="I32" s="171" t="s">
        <v>41</v>
      </c>
      <c r="J32" s="172"/>
    </row>
    <row r="33" spans="1:10" ht="18.899999999999999" customHeight="1">
      <c r="A33" s="140"/>
      <c r="D33" s="36"/>
      <c r="E33" s="173"/>
      <c r="F33" s="174"/>
      <c r="G33" s="37"/>
      <c r="H33" s="38"/>
      <c r="I33" s="149"/>
      <c r="J33" s="150"/>
    </row>
    <row r="34" spans="1:10" ht="18.899999999999999" customHeight="1">
      <c r="A34" s="140">
        <v>1</v>
      </c>
      <c r="B34" s="15" t="s">
        <v>205</v>
      </c>
      <c r="C34" s="15" t="s">
        <v>65</v>
      </c>
      <c r="D34" s="37"/>
      <c r="E34" s="147">
        <v>28</v>
      </c>
      <c r="F34" s="148"/>
      <c r="G34" s="37">
        <v>3.1429999999999998</v>
      </c>
      <c r="H34" s="40"/>
      <c r="I34" s="149"/>
      <c r="J34" s="150"/>
    </row>
    <row r="35" spans="1:10" ht="18.899999999999999" customHeight="1">
      <c r="A35" s="140">
        <v>2</v>
      </c>
      <c r="B35" s="15" t="s">
        <v>204</v>
      </c>
      <c r="C35" s="15" t="s">
        <v>65</v>
      </c>
      <c r="D35" s="37"/>
      <c r="E35" s="147">
        <v>108</v>
      </c>
      <c r="F35" s="148"/>
      <c r="G35" s="37">
        <v>10.394</v>
      </c>
      <c r="H35" s="40"/>
      <c r="I35" s="149" t="s">
        <v>3</v>
      </c>
      <c r="J35" s="150"/>
    </row>
    <row r="36" spans="1:10" ht="18.899999999999999" customHeight="1">
      <c r="A36" s="140"/>
      <c r="B36" s="15"/>
      <c r="C36" s="15"/>
      <c r="D36" s="37"/>
      <c r="E36" s="147"/>
      <c r="F36" s="148"/>
      <c r="G36" s="37"/>
      <c r="H36" s="40"/>
      <c r="I36" s="149"/>
      <c r="J36" s="150"/>
    </row>
    <row r="37" spans="1:10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0" ht="18.899999999999999" customHeight="1">
      <c r="A38" s="140"/>
      <c r="B38" s="15"/>
      <c r="C38" s="15"/>
      <c r="D38" s="37"/>
      <c r="E38" s="147"/>
      <c r="F38" s="148"/>
      <c r="G38" s="37"/>
      <c r="H38" s="40"/>
      <c r="I38" s="141"/>
      <c r="J38" s="142"/>
    </row>
    <row r="39" spans="1:10" ht="18.899999999999999" customHeight="1">
      <c r="A39" s="140"/>
      <c r="B39" s="15"/>
      <c r="C39" s="15"/>
      <c r="D39" s="37"/>
      <c r="E39" s="147"/>
      <c r="F39" s="148"/>
      <c r="G39" s="37"/>
      <c r="H39" s="40"/>
      <c r="I39" s="149"/>
      <c r="J39" s="150"/>
    </row>
    <row r="40" spans="1:10" ht="18.899999999999999" customHeight="1">
      <c r="A40" s="140"/>
      <c r="B40" s="15"/>
      <c r="C40" s="15"/>
      <c r="D40" s="37"/>
      <c r="E40" s="147"/>
      <c r="F40" s="148"/>
      <c r="G40" s="37"/>
      <c r="H40" s="40"/>
      <c r="I40" s="149"/>
      <c r="J40" s="150"/>
    </row>
    <row r="41" spans="1:10" ht="18.899999999999999" customHeight="1">
      <c r="A41" s="140"/>
      <c r="B41" s="15"/>
      <c r="C41" s="15"/>
      <c r="D41" s="37"/>
      <c r="E41" s="147"/>
      <c r="F41" s="148"/>
      <c r="G41" s="37"/>
      <c r="H41" s="40"/>
      <c r="I41" s="141"/>
      <c r="J41" s="142"/>
    </row>
    <row r="42" spans="1:10" ht="18.899999999999999" customHeight="1">
      <c r="A42" s="140"/>
      <c r="B42" s="15"/>
      <c r="C42" s="15"/>
      <c r="D42" s="37"/>
      <c r="E42" s="147"/>
      <c r="F42" s="148"/>
      <c r="G42" s="43"/>
      <c r="H42" s="40"/>
      <c r="I42" s="141"/>
      <c r="J42" s="142"/>
    </row>
    <row r="43" spans="1:10" ht="18.899999999999999" customHeight="1">
      <c r="A43" s="140"/>
      <c r="B43" s="15"/>
      <c r="C43" s="15"/>
      <c r="D43" s="37"/>
      <c r="E43" s="147"/>
      <c r="F43" s="148"/>
      <c r="G43" s="43"/>
      <c r="H43" s="145"/>
      <c r="I43" s="141"/>
      <c r="J43" s="142"/>
    </row>
    <row r="44" spans="1:10" ht="18.899999999999999" customHeight="1">
      <c r="A44" s="140"/>
      <c r="B44" s="15"/>
      <c r="C44" s="15"/>
      <c r="D44" s="45"/>
      <c r="E44" s="147"/>
      <c r="F44" s="148"/>
      <c r="G44" s="43"/>
      <c r="H44" s="145"/>
      <c r="I44" s="141"/>
      <c r="J44" s="142"/>
    </row>
    <row r="45" spans="1:10" ht="18.75" customHeight="1">
      <c r="A45" s="140"/>
      <c r="B45" s="15"/>
      <c r="C45" s="15"/>
      <c r="D45" s="12"/>
      <c r="E45" s="147"/>
      <c r="F45" s="148"/>
      <c r="G45" s="43"/>
      <c r="H45" s="46"/>
      <c r="I45" s="141"/>
      <c r="J45" s="142"/>
    </row>
    <row r="46" spans="1:10" ht="18.899999999999999" customHeight="1">
      <c r="A46" s="140"/>
      <c r="B46" s="15"/>
      <c r="C46" s="15"/>
      <c r="D46" s="12"/>
      <c r="E46" s="147"/>
      <c r="F46" s="148"/>
      <c r="G46" s="43"/>
      <c r="H46" s="46"/>
      <c r="I46" s="141"/>
      <c r="J46" s="142"/>
    </row>
    <row r="47" spans="1:10" ht="18.899999999999999" customHeight="1" thickBot="1">
      <c r="A47" s="140"/>
      <c r="B47" s="15"/>
      <c r="C47" s="15"/>
      <c r="D47" s="12"/>
      <c r="E47" s="147"/>
      <c r="F47" s="148"/>
      <c r="G47" s="37"/>
      <c r="H47" s="47"/>
      <c r="I47" s="141"/>
      <c r="J47" s="142"/>
    </row>
    <row r="48" spans="1:10" ht="18.899999999999999" customHeight="1" thickBot="1">
      <c r="A48" s="10"/>
      <c r="B48" s="11"/>
      <c r="C48" s="11"/>
      <c r="D48" s="12"/>
      <c r="E48" s="175">
        <f>SUM(E33:F47)</f>
        <v>136</v>
      </c>
      <c r="F48" s="179"/>
      <c r="G48" s="48">
        <f>SUM(G33:G47)</f>
        <v>13.536999999999999</v>
      </c>
      <c r="H48" s="49"/>
      <c r="I48" s="180"/>
      <c r="J48" s="17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 t="s">
        <v>56</v>
      </c>
    </row>
  </sheetData>
  <mergeCells count="40">
    <mergeCell ref="E54:H54"/>
    <mergeCell ref="I54:J54"/>
    <mergeCell ref="E48:F48"/>
    <mergeCell ref="I48:J48"/>
    <mergeCell ref="I49:J49"/>
    <mergeCell ref="I51:J51"/>
    <mergeCell ref="I52:J52"/>
    <mergeCell ref="I53:J53"/>
    <mergeCell ref="E47:F47"/>
    <mergeCell ref="E38:F38"/>
    <mergeCell ref="E39:F39"/>
    <mergeCell ref="I39:J39"/>
    <mergeCell ref="E40:F40"/>
    <mergeCell ref="I40:J40"/>
    <mergeCell ref="E41:F41"/>
    <mergeCell ref="E42:F42"/>
    <mergeCell ref="E43:F43"/>
    <mergeCell ref="E44:F44"/>
    <mergeCell ref="E45:F45"/>
    <mergeCell ref="E46:F46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3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7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2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304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131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142</v>
      </c>
      <c r="B29" s="88"/>
      <c r="C29" s="11"/>
      <c r="D29" s="12"/>
      <c r="E29" s="15" t="s">
        <v>31</v>
      </c>
      <c r="F29" s="11" t="s">
        <v>32</v>
      </c>
      <c r="G29" s="165" t="s">
        <v>111</v>
      </c>
      <c r="H29" s="165"/>
      <c r="I29" s="166" t="s">
        <v>302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46" t="s">
        <v>303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40">
        <v>1</v>
      </c>
      <c r="B34" s="15" t="s">
        <v>291</v>
      </c>
      <c r="C34" s="15" t="s">
        <v>115</v>
      </c>
      <c r="D34" s="37"/>
      <c r="E34" s="147">
        <v>426</v>
      </c>
      <c r="F34" s="148"/>
      <c r="G34" s="37">
        <v>29.355</v>
      </c>
      <c r="H34" s="38"/>
      <c r="I34" s="149"/>
      <c r="J34" s="150"/>
      <c r="L34" s="37"/>
    </row>
    <row r="35" spans="1:12" ht="18.899999999999999" customHeight="1">
      <c r="A35" s="140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40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40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40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40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40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40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40"/>
      <c r="B43" s="15"/>
      <c r="C43" s="15"/>
      <c r="D43" s="90"/>
      <c r="E43" s="147"/>
      <c r="F43" s="148"/>
      <c r="G43" s="37"/>
      <c r="H43" s="40"/>
      <c r="I43" s="141"/>
      <c r="J43" s="142"/>
    </row>
    <row r="44" spans="1:12" ht="18.899999999999999" customHeight="1">
      <c r="A44" s="140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40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426</v>
      </c>
      <c r="F46" s="179"/>
      <c r="G46" s="48">
        <f>SUM(G33:G45)</f>
        <v>29.355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44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opLeftCell="A17" workbookViewId="0">
      <selection activeCell="G30" sqref="G30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2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305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131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130</v>
      </c>
      <c r="B29" s="88"/>
      <c r="C29" s="11"/>
      <c r="D29" s="12"/>
      <c r="E29" s="15" t="s">
        <v>31</v>
      </c>
      <c r="F29" s="11" t="s">
        <v>32</v>
      </c>
      <c r="G29" s="165" t="s">
        <v>185</v>
      </c>
      <c r="H29" s="165"/>
      <c r="I29" s="166" t="s">
        <v>307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46" t="s">
        <v>306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40">
        <v>1</v>
      </c>
      <c r="B34" s="15" t="s">
        <v>132</v>
      </c>
      <c r="C34" s="15" t="s">
        <v>115</v>
      </c>
      <c r="D34" s="37"/>
      <c r="E34" s="147">
        <v>94</v>
      </c>
      <c r="F34" s="148"/>
      <c r="G34" s="37">
        <v>32.719000000000001</v>
      </c>
      <c r="H34" s="38"/>
      <c r="I34" s="149"/>
      <c r="J34" s="150"/>
      <c r="L34" s="37"/>
    </row>
    <row r="35" spans="1:12" ht="18.899999999999999" customHeight="1">
      <c r="A35" s="140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40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40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40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40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40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40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40"/>
      <c r="B43" s="15"/>
      <c r="C43" s="15"/>
      <c r="D43" s="90"/>
      <c r="E43" s="147"/>
      <c r="F43" s="148"/>
      <c r="G43" s="37"/>
      <c r="H43" s="40"/>
      <c r="I43" s="141"/>
      <c r="J43" s="142"/>
    </row>
    <row r="44" spans="1:12" ht="18.899999999999999" customHeight="1">
      <c r="A44" s="140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40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94</v>
      </c>
      <c r="F46" s="179"/>
      <c r="G46" s="48">
        <f>SUM(G33:G45)</f>
        <v>32.719000000000001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44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048576"/>
  <sheetViews>
    <sheetView tabSelected="1" workbookViewId="0">
      <selection activeCell="B38" sqref="B38"/>
    </sheetView>
  </sheetViews>
  <sheetFormatPr defaultColWidth="9.109375" defaultRowHeight="14.4"/>
  <cols>
    <col min="1" max="1" width="6.33203125" style="1" customWidth="1"/>
    <col min="2" max="2" width="27.6640625" style="1" customWidth="1"/>
    <col min="3" max="3" width="15.109375" style="1" customWidth="1"/>
    <col min="4" max="4" width="18.109375" style="1" customWidth="1"/>
    <col min="5" max="5" width="10.6640625" style="1" customWidth="1"/>
    <col min="6" max="6" width="13.109375" style="1" customWidth="1"/>
    <col min="7" max="7" width="14.5546875" style="1" customWidth="1"/>
    <col min="8" max="8" width="15.88671875" style="1" customWidth="1"/>
    <col min="9" max="9" width="13.5546875" style="1" customWidth="1"/>
    <col min="10" max="10" width="20.6640625" style="1" customWidth="1"/>
    <col min="11" max="16384" width="9.109375" style="1"/>
  </cols>
  <sheetData>
    <row r="2" spans="1:10" ht="15" thickBot="1"/>
    <row r="3" spans="1:10" ht="28.2" thickBot="1">
      <c r="A3" s="151" t="s">
        <v>0</v>
      </c>
      <c r="B3" s="152"/>
      <c r="C3" s="152"/>
      <c r="D3" s="152"/>
      <c r="E3" s="152"/>
      <c r="F3" s="152"/>
      <c r="G3" s="152"/>
      <c r="H3" s="152"/>
      <c r="I3" s="152"/>
      <c r="J3" s="153"/>
    </row>
    <row r="4" spans="1:10" ht="28.2" thickBot="1">
      <c r="A4" s="2"/>
      <c r="B4" s="3"/>
      <c r="C4" s="3"/>
      <c r="D4" s="3"/>
      <c r="E4" s="3"/>
      <c r="F4" s="3"/>
      <c r="G4" s="3"/>
      <c r="H4" s="4" t="s">
        <v>1</v>
      </c>
      <c r="I4" s="3"/>
      <c r="J4" s="5"/>
    </row>
    <row r="5" spans="1:10" ht="28.2" thickBot="1">
      <c r="A5" s="2"/>
      <c r="B5" s="3"/>
      <c r="C5" s="3"/>
      <c r="D5" s="3"/>
      <c r="E5" s="3"/>
      <c r="F5" s="3"/>
      <c r="G5" s="3"/>
      <c r="H5" s="6" t="s">
        <v>2</v>
      </c>
      <c r="I5" s="3"/>
      <c r="J5" s="5" t="s">
        <v>3</v>
      </c>
    </row>
    <row r="6" spans="1:10" ht="28.2" thickBot="1">
      <c r="A6" s="2"/>
      <c r="B6" s="3"/>
      <c r="C6" s="3"/>
      <c r="D6" s="3"/>
      <c r="E6" s="3"/>
      <c r="F6" s="3"/>
      <c r="G6" s="3"/>
      <c r="H6" s="4" t="s">
        <v>4</v>
      </c>
      <c r="I6" s="3"/>
      <c r="J6" s="5" t="s">
        <v>3</v>
      </c>
    </row>
    <row r="7" spans="1:10" ht="15" thickBot="1">
      <c r="A7" s="154"/>
      <c r="B7" s="155"/>
      <c r="C7" s="155"/>
      <c r="D7" s="155"/>
      <c r="E7" s="155"/>
      <c r="F7" s="156"/>
      <c r="G7" s="156"/>
      <c r="H7" s="156"/>
      <c r="I7" s="156"/>
      <c r="J7" s="157"/>
    </row>
    <row r="8" spans="1:10" ht="15" customHeight="1">
      <c r="A8" s="7"/>
      <c r="B8" s="8"/>
      <c r="C8" s="158" t="s">
        <v>5</v>
      </c>
      <c r="D8" s="158"/>
      <c r="E8" s="159"/>
      <c r="F8" s="8" t="s">
        <v>6</v>
      </c>
      <c r="G8" s="8"/>
      <c r="H8" s="8"/>
      <c r="I8" s="8"/>
      <c r="J8" s="9"/>
    </row>
    <row r="9" spans="1:10" ht="15" customHeight="1">
      <c r="A9" s="10"/>
      <c r="B9" s="11"/>
      <c r="C9" s="160"/>
      <c r="D9" s="160"/>
      <c r="E9" s="161"/>
      <c r="F9" s="11" t="s">
        <v>7</v>
      </c>
      <c r="G9" s="11"/>
      <c r="H9" s="11"/>
      <c r="I9" s="11"/>
      <c r="J9" s="12"/>
    </row>
    <row r="10" spans="1:10" ht="15" customHeight="1">
      <c r="A10" s="10"/>
      <c r="B10" s="11"/>
      <c r="C10" s="162"/>
      <c r="D10" s="162"/>
      <c r="E10" s="163"/>
      <c r="F10" s="11" t="s">
        <v>8</v>
      </c>
      <c r="G10" s="11"/>
      <c r="H10" s="11"/>
      <c r="I10" s="11"/>
      <c r="J10" s="12"/>
    </row>
    <row r="11" spans="1:10" ht="15" customHeight="1">
      <c r="A11" s="10"/>
      <c r="B11" s="11"/>
      <c r="C11" s="162"/>
      <c r="D11" s="162"/>
      <c r="E11" s="163"/>
      <c r="F11" s="11" t="s">
        <v>9</v>
      </c>
      <c r="G11" s="11"/>
      <c r="H11" s="11"/>
      <c r="I11" s="11"/>
      <c r="J11" s="13"/>
    </row>
    <row r="12" spans="1:10">
      <c r="A12" s="14"/>
      <c r="B12" s="15"/>
      <c r="C12" s="15"/>
      <c r="D12" s="15"/>
      <c r="E12" s="12"/>
      <c r="F12" s="143" t="s">
        <v>10</v>
      </c>
      <c r="G12" s="143"/>
      <c r="H12" s="143"/>
      <c r="I12" s="11"/>
      <c r="J12" s="12"/>
    </row>
    <row r="13" spans="1:10">
      <c r="A13" s="14" t="s">
        <v>11</v>
      </c>
      <c r="B13" s="11"/>
      <c r="C13" s="11"/>
      <c r="D13" s="11"/>
      <c r="E13" s="12"/>
      <c r="F13" s="143" t="s">
        <v>12</v>
      </c>
      <c r="G13" s="143"/>
      <c r="H13" s="143"/>
      <c r="I13" s="11"/>
      <c r="J13" s="12"/>
    </row>
    <row r="14" spans="1:10">
      <c r="A14" s="10"/>
      <c r="B14" s="11"/>
      <c r="C14" s="11"/>
      <c r="D14" s="11"/>
      <c r="E14" s="12"/>
      <c r="F14" s="143" t="s">
        <v>13</v>
      </c>
      <c r="G14" s="143"/>
      <c r="H14" s="143"/>
      <c r="I14" s="11"/>
      <c r="J14" s="12"/>
    </row>
    <row r="15" spans="1:10">
      <c r="A15" s="10"/>
      <c r="B15" s="11"/>
      <c r="C15" s="11"/>
      <c r="D15" s="11"/>
      <c r="E15" s="12"/>
      <c r="F15" s="143" t="s">
        <v>14</v>
      </c>
      <c r="G15" s="143"/>
      <c r="H15" s="143"/>
      <c r="I15" s="11"/>
      <c r="J15" s="12"/>
    </row>
    <row r="16" spans="1:10">
      <c r="A16" s="10" t="s">
        <v>3</v>
      </c>
      <c r="B16" s="11"/>
      <c r="C16" s="11"/>
      <c r="D16" s="11"/>
      <c r="E16" s="12"/>
      <c r="F16" s="143" t="s">
        <v>15</v>
      </c>
      <c r="G16" s="143"/>
      <c r="H16" s="143"/>
      <c r="I16" s="11"/>
      <c r="J16" s="12"/>
    </row>
    <row r="17" spans="1:12">
      <c r="A17" s="10"/>
      <c r="B17" s="11"/>
      <c r="C17" s="11"/>
      <c r="D17" s="11"/>
      <c r="E17" s="12"/>
      <c r="F17" s="143" t="s">
        <v>16</v>
      </c>
      <c r="G17" s="143"/>
      <c r="H17" s="143"/>
      <c r="I17" s="11"/>
      <c r="J17" s="12"/>
    </row>
    <row r="18" spans="1:12" ht="15" thickBot="1">
      <c r="A18" s="17"/>
      <c r="B18" s="18"/>
      <c r="C18" s="18"/>
      <c r="D18" s="18"/>
      <c r="E18" s="19"/>
      <c r="F18" s="20" t="s">
        <v>17</v>
      </c>
      <c r="G18" s="20"/>
      <c r="H18" s="20"/>
      <c r="I18" s="18"/>
      <c r="J18" s="19"/>
    </row>
    <row r="19" spans="1:12" ht="15" thickBot="1">
      <c r="A19" s="21" t="s">
        <v>308</v>
      </c>
      <c r="B19" s="22"/>
      <c r="C19" s="22"/>
      <c r="D19" s="23"/>
      <c r="E19" s="22" t="s">
        <v>18</v>
      </c>
      <c r="F19" s="22"/>
      <c r="G19" s="22" t="s">
        <v>276</v>
      </c>
      <c r="H19" s="15"/>
      <c r="I19" s="22"/>
      <c r="J19" s="19"/>
    </row>
    <row r="20" spans="1:12">
      <c r="A20" s="24" t="s">
        <v>19</v>
      </c>
      <c r="B20" s="25"/>
      <c r="C20" s="8"/>
      <c r="D20" s="9"/>
      <c r="E20" s="24" t="s">
        <v>101</v>
      </c>
      <c r="F20" s="25"/>
      <c r="G20" s="25"/>
      <c r="H20" s="8"/>
      <c r="I20" s="8"/>
      <c r="J20" s="9"/>
    </row>
    <row r="21" spans="1:12" s="26" customFormat="1">
      <c r="A21" s="14" t="s">
        <v>20</v>
      </c>
      <c r="B21" s="15"/>
      <c r="C21" s="15"/>
      <c r="D21" s="13"/>
      <c r="E21" s="14" t="s">
        <v>20</v>
      </c>
      <c r="F21" s="15"/>
      <c r="G21" s="15"/>
      <c r="H21" s="15"/>
      <c r="I21" s="15"/>
      <c r="J21" s="13"/>
    </row>
    <row r="22" spans="1:12" s="26" customFormat="1">
      <c r="A22" s="14" t="s">
        <v>102</v>
      </c>
      <c r="B22" s="15"/>
      <c r="C22" s="15"/>
      <c r="D22" s="13"/>
      <c r="E22" s="14" t="s">
        <v>102</v>
      </c>
      <c r="F22" s="15"/>
      <c r="G22" s="15"/>
      <c r="H22" s="15"/>
      <c r="I22" s="15"/>
      <c r="J22" s="13"/>
    </row>
    <row r="23" spans="1:12" s="26" customFormat="1">
      <c r="A23" s="14" t="s">
        <v>103</v>
      </c>
      <c r="B23" s="15"/>
      <c r="C23" s="15"/>
      <c r="D23" s="13"/>
      <c r="E23" s="14" t="s">
        <v>103</v>
      </c>
      <c r="F23" s="15"/>
      <c r="G23" s="15"/>
      <c r="H23" s="15"/>
      <c r="I23" s="15"/>
      <c r="J23" s="13"/>
    </row>
    <row r="24" spans="1:12">
      <c r="A24" s="10"/>
      <c r="B24" s="11"/>
      <c r="C24" s="11"/>
      <c r="D24" s="12"/>
      <c r="E24" s="10"/>
      <c r="F24" s="11"/>
      <c r="G24" s="11"/>
      <c r="H24" s="11"/>
      <c r="I24" s="11"/>
      <c r="J24" s="12"/>
    </row>
    <row r="25" spans="1:12">
      <c r="A25" s="14" t="s">
        <v>104</v>
      </c>
      <c r="B25" s="11"/>
      <c r="C25" s="11"/>
      <c r="D25" s="12"/>
      <c r="E25" s="14" t="s">
        <v>104</v>
      </c>
      <c r="F25" s="11"/>
      <c r="G25" s="11"/>
      <c r="H25" s="11"/>
      <c r="I25" s="11"/>
      <c r="J25" s="12"/>
    </row>
    <row r="26" spans="1:12">
      <c r="A26" s="14" t="s">
        <v>105</v>
      </c>
      <c r="B26" s="11"/>
      <c r="C26" s="11"/>
      <c r="D26" s="12"/>
      <c r="E26" s="14" t="s">
        <v>105</v>
      </c>
      <c r="F26" s="11"/>
      <c r="G26" s="11"/>
      <c r="H26" s="11"/>
      <c r="I26" s="11"/>
      <c r="J26" s="12"/>
    </row>
    <row r="27" spans="1:12" ht="15" thickBot="1">
      <c r="A27" s="22" t="s">
        <v>106</v>
      </c>
      <c r="B27" s="18"/>
      <c r="C27" s="18"/>
      <c r="D27" s="19"/>
      <c r="E27" s="22" t="s">
        <v>106</v>
      </c>
      <c r="F27" s="18"/>
      <c r="G27" s="18"/>
      <c r="H27" s="18"/>
      <c r="I27" s="18"/>
      <c r="J27" s="19"/>
    </row>
    <row r="28" spans="1:12" ht="15" customHeight="1">
      <c r="A28" s="24" t="s">
        <v>26</v>
      </c>
      <c r="B28" s="8"/>
      <c r="C28" s="8"/>
      <c r="D28" s="27" t="s">
        <v>123</v>
      </c>
      <c r="E28" s="25" t="s">
        <v>28</v>
      </c>
      <c r="F28" s="8"/>
      <c r="G28" s="191" t="s">
        <v>107</v>
      </c>
      <c r="H28" s="192"/>
      <c r="I28" s="192"/>
      <c r="J28" s="9"/>
    </row>
    <row r="29" spans="1:12">
      <c r="A29" s="28" t="s">
        <v>184</v>
      </c>
      <c r="B29" s="88"/>
      <c r="C29" s="11"/>
      <c r="D29" s="12"/>
      <c r="E29" s="15" t="s">
        <v>31</v>
      </c>
      <c r="F29" s="11" t="s">
        <v>32</v>
      </c>
      <c r="G29" s="165" t="s">
        <v>312</v>
      </c>
      <c r="H29" s="165"/>
      <c r="I29" s="166" t="s">
        <v>309</v>
      </c>
      <c r="J29" s="167"/>
      <c r="L29" s="26"/>
    </row>
    <row r="30" spans="1:12">
      <c r="A30" s="10"/>
      <c r="B30" s="11"/>
      <c r="C30" s="11"/>
      <c r="D30" s="12"/>
      <c r="E30" s="15" t="s">
        <v>33</v>
      </c>
      <c r="F30" s="11"/>
      <c r="G30" s="146" t="s">
        <v>310</v>
      </c>
      <c r="H30" s="11"/>
      <c r="I30" s="15"/>
      <c r="J30" s="12"/>
    </row>
    <row r="31" spans="1:12" ht="15" thickBot="1">
      <c r="A31" s="17"/>
      <c r="B31" s="18"/>
      <c r="C31" s="18"/>
      <c r="D31" s="19"/>
      <c r="E31" s="15" t="s">
        <v>34</v>
      </c>
      <c r="F31" s="18"/>
      <c r="G31" s="18"/>
      <c r="H31" s="18"/>
      <c r="I31" s="18"/>
      <c r="J31" s="19"/>
    </row>
    <row r="32" spans="1:12" ht="15" thickBot="1">
      <c r="A32" s="31" t="s">
        <v>35</v>
      </c>
      <c r="B32" s="168" t="s">
        <v>36</v>
      </c>
      <c r="C32" s="169"/>
      <c r="D32" s="32" t="s">
        <v>37</v>
      </c>
      <c r="E32" s="170" t="s">
        <v>38</v>
      </c>
      <c r="F32" s="169"/>
      <c r="G32" s="144" t="s">
        <v>39</v>
      </c>
      <c r="H32" s="89" t="s">
        <v>40</v>
      </c>
      <c r="I32" s="171" t="s">
        <v>41</v>
      </c>
      <c r="J32" s="172"/>
    </row>
    <row r="33" spans="1:12" ht="18.899999999999999" customHeight="1">
      <c r="A33" s="10" t="s">
        <v>3</v>
      </c>
      <c r="B33" s="11" t="s">
        <v>3</v>
      </c>
      <c r="C33" s="11" t="s">
        <v>3</v>
      </c>
      <c r="D33" s="90"/>
      <c r="E33" s="154"/>
      <c r="F33" s="193"/>
      <c r="G33" s="90" t="s">
        <v>3</v>
      </c>
      <c r="H33" s="92"/>
      <c r="I33" s="194" t="s">
        <v>3</v>
      </c>
      <c r="J33" s="195"/>
      <c r="K33" s="1" t="s">
        <v>3</v>
      </c>
    </row>
    <row r="34" spans="1:12" ht="18.899999999999999" customHeight="1">
      <c r="A34" s="140">
        <v>1</v>
      </c>
      <c r="B34" s="15" t="s">
        <v>116</v>
      </c>
      <c r="C34" s="15" t="s">
        <v>311</v>
      </c>
      <c r="D34" s="37"/>
      <c r="E34" s="147">
        <v>223</v>
      </c>
      <c r="F34" s="148"/>
      <c r="G34" s="37">
        <v>32.570999999999998</v>
      </c>
      <c r="H34" s="38"/>
      <c r="I34" s="149"/>
      <c r="J34" s="150"/>
      <c r="L34" s="37"/>
    </row>
    <row r="35" spans="1:12" ht="18.899999999999999" customHeight="1">
      <c r="A35" s="140"/>
      <c r="B35" s="15"/>
      <c r="C35" s="15"/>
      <c r="D35" s="37"/>
      <c r="E35" s="147"/>
      <c r="F35" s="148"/>
      <c r="G35" s="37"/>
      <c r="H35" s="40"/>
      <c r="I35" s="149"/>
      <c r="J35" s="150"/>
    </row>
    <row r="36" spans="1:12" ht="18.899999999999999" customHeight="1">
      <c r="A36" s="140"/>
      <c r="B36" s="15"/>
      <c r="C36" s="15"/>
      <c r="D36" s="37"/>
      <c r="E36" s="147"/>
      <c r="F36" s="148"/>
      <c r="G36" s="37"/>
      <c r="H36" s="40"/>
      <c r="I36" s="149"/>
      <c r="J36" s="150"/>
    </row>
    <row r="37" spans="1:12" ht="18.899999999999999" customHeight="1">
      <c r="A37" s="140"/>
      <c r="B37" s="15"/>
      <c r="C37" s="15"/>
      <c r="D37" s="37"/>
      <c r="E37" s="147"/>
      <c r="F37" s="148"/>
      <c r="G37" s="37"/>
      <c r="H37" s="40"/>
      <c r="I37" s="149"/>
      <c r="J37" s="150"/>
    </row>
    <row r="38" spans="1:12" ht="18.899999999999999" customHeight="1">
      <c r="A38" s="140"/>
      <c r="B38" s="15"/>
      <c r="C38" s="15"/>
      <c r="D38" s="90"/>
      <c r="E38" s="147"/>
      <c r="F38" s="148"/>
      <c r="G38" s="37"/>
      <c r="H38" s="40"/>
      <c r="I38" s="149"/>
      <c r="J38" s="150"/>
    </row>
    <row r="39" spans="1:12" ht="18.899999999999999" customHeight="1">
      <c r="A39" s="140"/>
      <c r="B39" s="15"/>
      <c r="C39" s="15"/>
      <c r="D39" s="90"/>
      <c r="E39" s="147"/>
      <c r="F39" s="148"/>
      <c r="G39" s="37"/>
      <c r="H39" s="40"/>
      <c r="I39" s="149"/>
      <c r="J39" s="150"/>
    </row>
    <row r="40" spans="1:12" ht="18.899999999999999" customHeight="1">
      <c r="A40" s="140"/>
      <c r="B40" s="15"/>
      <c r="C40" s="15"/>
      <c r="D40" s="90"/>
      <c r="E40" s="147"/>
      <c r="F40" s="148"/>
      <c r="G40" s="37"/>
      <c r="H40" s="40"/>
      <c r="I40" s="149"/>
      <c r="J40" s="150"/>
    </row>
    <row r="41" spans="1:12" ht="18.899999999999999" customHeight="1">
      <c r="A41" s="140"/>
      <c r="B41" s="15"/>
      <c r="C41" s="15"/>
      <c r="D41" s="90"/>
      <c r="E41" s="147"/>
      <c r="F41" s="148"/>
      <c r="G41" s="37"/>
      <c r="H41" s="40"/>
      <c r="I41" s="149"/>
      <c r="J41" s="150"/>
    </row>
    <row r="42" spans="1:12" ht="18.899999999999999" customHeight="1">
      <c r="A42" s="140"/>
      <c r="B42" s="15"/>
      <c r="C42" s="15"/>
      <c r="D42" s="90"/>
      <c r="E42" s="147"/>
      <c r="F42" s="148"/>
      <c r="G42" s="37"/>
      <c r="H42" s="40"/>
      <c r="I42" s="149"/>
      <c r="J42" s="150"/>
    </row>
    <row r="43" spans="1:12" ht="18.899999999999999" customHeight="1">
      <c r="A43" s="140"/>
      <c r="B43" s="15"/>
      <c r="C43" s="15"/>
      <c r="D43" s="90"/>
      <c r="E43" s="147"/>
      <c r="F43" s="148"/>
      <c r="G43" s="37"/>
      <c r="H43" s="40"/>
      <c r="I43" s="141"/>
      <c r="J43" s="142"/>
    </row>
    <row r="44" spans="1:12" ht="18.899999999999999" customHeight="1">
      <c r="A44" s="140"/>
      <c r="B44" s="15"/>
      <c r="C44" s="15"/>
      <c r="D44" s="90"/>
      <c r="E44" s="147"/>
      <c r="F44" s="148"/>
      <c r="G44" s="93"/>
      <c r="H44" s="40"/>
      <c r="I44" s="149"/>
      <c r="J44" s="150"/>
    </row>
    <row r="45" spans="1:12" ht="15" thickBot="1">
      <c r="A45" s="140"/>
      <c r="B45" s="15"/>
      <c r="C45" s="15"/>
      <c r="D45" s="90"/>
      <c r="E45" s="189"/>
      <c r="F45" s="190"/>
      <c r="G45" s="93"/>
      <c r="H45" s="94"/>
      <c r="I45" s="149"/>
      <c r="J45" s="150"/>
    </row>
    <row r="46" spans="1:12" ht="18.899999999999999" customHeight="1" thickBot="1">
      <c r="A46" s="10"/>
      <c r="B46" s="11"/>
      <c r="C46" s="11"/>
      <c r="D46" s="11"/>
      <c r="E46" s="175">
        <f>SUM(E33:F45)</f>
        <v>223</v>
      </c>
      <c r="F46" s="179"/>
      <c r="G46" s="48">
        <f>SUM(G33:G45)</f>
        <v>32.570999999999998</v>
      </c>
      <c r="H46" s="49"/>
      <c r="I46" s="180"/>
      <c r="J46" s="178"/>
    </row>
    <row r="47" spans="1:12" ht="18.899999999999999" customHeight="1" thickBot="1">
      <c r="A47" s="10"/>
      <c r="B47" s="11"/>
      <c r="C47" s="11"/>
      <c r="D47" s="12"/>
      <c r="E47" s="95"/>
      <c r="F47" s="96"/>
      <c r="G47" s="96"/>
      <c r="H47" s="96"/>
      <c r="I47" s="187"/>
      <c r="J47" s="188"/>
    </row>
    <row r="48" spans="1:12" ht="18.899999999999999" customHeight="1" thickBot="1">
      <c r="A48" s="10"/>
      <c r="B48" s="11"/>
      <c r="C48" s="11"/>
      <c r="D48" s="12"/>
      <c r="E48" s="95"/>
      <c r="F48" s="144" t="s">
        <v>108</v>
      </c>
      <c r="G48" s="96"/>
      <c r="H48" s="96"/>
      <c r="I48" s="187">
        <f>+I46</f>
        <v>0</v>
      </c>
      <c r="J48" s="188"/>
    </row>
    <row r="49" spans="1:10">
      <c r="A49" s="10"/>
      <c r="B49" s="11"/>
      <c r="C49" s="11"/>
      <c r="D49" s="12"/>
      <c r="E49" s="50"/>
      <c r="F49" s="51"/>
      <c r="G49" s="52" t="s">
        <v>3</v>
      </c>
      <c r="H49" s="53" t="s">
        <v>3</v>
      </c>
      <c r="I49" s="181">
        <v>0</v>
      </c>
      <c r="J49" s="182"/>
    </row>
    <row r="50" spans="1:10">
      <c r="A50" s="10"/>
      <c r="B50" s="11"/>
      <c r="C50" s="11"/>
      <c r="D50" s="12"/>
      <c r="E50" s="50"/>
      <c r="F50" s="51"/>
      <c r="G50" s="52"/>
      <c r="H50" s="53"/>
      <c r="I50" s="138"/>
      <c r="J50" s="139"/>
    </row>
    <row r="51" spans="1:10">
      <c r="A51" s="10"/>
      <c r="B51" s="11"/>
      <c r="C51" s="11"/>
      <c r="D51" s="12"/>
      <c r="E51" s="50"/>
      <c r="F51" s="51"/>
      <c r="G51" s="52" t="s">
        <v>3</v>
      </c>
      <c r="H51" s="53" t="s">
        <v>3</v>
      </c>
      <c r="I51" s="181">
        <v>0</v>
      </c>
      <c r="J51" s="182"/>
    </row>
    <row r="52" spans="1:10">
      <c r="A52" s="10"/>
      <c r="B52" s="11"/>
      <c r="C52" s="11"/>
      <c r="D52" s="12"/>
      <c r="E52" s="50"/>
      <c r="F52" s="51"/>
      <c r="G52" s="52" t="s">
        <v>3</v>
      </c>
      <c r="H52" s="53" t="s">
        <v>3</v>
      </c>
      <c r="I52" s="183"/>
      <c r="J52" s="184"/>
    </row>
    <row r="53" spans="1:10" ht="15" thickBot="1">
      <c r="A53" s="14"/>
      <c r="B53" s="11"/>
      <c r="C53" s="11"/>
      <c r="D53" s="12"/>
      <c r="E53" s="56"/>
      <c r="F53" s="57"/>
      <c r="G53" s="58" t="s">
        <v>3</v>
      </c>
      <c r="H53" s="59" t="s">
        <v>3</v>
      </c>
      <c r="I53" s="185">
        <v>0</v>
      </c>
      <c r="J53" s="186"/>
    </row>
    <row r="54" spans="1:10" ht="15" thickBot="1">
      <c r="A54" s="17"/>
      <c r="B54" s="18"/>
      <c r="C54" s="18"/>
      <c r="D54" s="19"/>
      <c r="E54" s="175" t="s">
        <v>43</v>
      </c>
      <c r="F54" s="176"/>
      <c r="G54" s="176"/>
      <c r="H54" s="176"/>
      <c r="I54" s="177">
        <f>+I48</f>
        <v>0</v>
      </c>
      <c r="J54" s="178"/>
    </row>
    <row r="55" spans="1:10" ht="15" thickBot="1">
      <c r="A55" s="60" t="s">
        <v>44</v>
      </c>
      <c r="B55" s="61"/>
      <c r="C55" s="8"/>
      <c r="D55" s="8"/>
      <c r="E55" s="8"/>
      <c r="F55" s="8"/>
      <c r="G55" s="8"/>
      <c r="H55" s="8"/>
      <c r="I55" s="8"/>
      <c r="J55" s="9"/>
    </row>
    <row r="56" spans="1:10">
      <c r="A56" s="24" t="s">
        <v>45</v>
      </c>
      <c r="B56" s="62"/>
      <c r="C56" s="8"/>
      <c r="D56" s="8"/>
      <c r="E56" s="8"/>
      <c r="F56" s="8"/>
      <c r="G56" s="25"/>
      <c r="H56" s="8"/>
      <c r="I56" s="8"/>
      <c r="J56" s="9"/>
    </row>
    <row r="57" spans="1:10">
      <c r="A57" s="10"/>
      <c r="B57" s="11"/>
      <c r="C57" s="11"/>
      <c r="D57" s="11"/>
      <c r="E57" s="11"/>
      <c r="F57" s="11"/>
      <c r="G57" s="11"/>
      <c r="H57" s="11"/>
      <c r="I57" s="11"/>
      <c r="J57" s="12"/>
    </row>
    <row r="58" spans="1:10">
      <c r="A58" s="14" t="s">
        <v>46</v>
      </c>
      <c r="B58" s="11"/>
      <c r="C58" s="11"/>
      <c r="D58" s="11"/>
      <c r="E58" s="11"/>
      <c r="F58" s="11"/>
      <c r="G58" s="15"/>
      <c r="H58" s="15"/>
      <c r="I58" s="11"/>
      <c r="J58" s="12"/>
    </row>
    <row r="59" spans="1:10">
      <c r="A59" s="14"/>
      <c r="B59" s="11"/>
      <c r="C59" s="11"/>
      <c r="D59" s="11"/>
      <c r="E59" s="11"/>
      <c r="F59" s="11"/>
      <c r="G59" s="15"/>
      <c r="H59" s="15"/>
      <c r="I59" s="11"/>
      <c r="J59" s="12"/>
    </row>
    <row r="60" spans="1:10">
      <c r="A60" s="14"/>
      <c r="B60" s="11"/>
      <c r="C60" s="11"/>
      <c r="D60" s="11"/>
      <c r="E60" s="11"/>
      <c r="F60" s="11"/>
      <c r="G60" s="15"/>
      <c r="H60" s="15"/>
      <c r="I60" s="11"/>
      <c r="J60" s="12"/>
    </row>
    <row r="61" spans="1:10">
      <c r="A61" s="14"/>
      <c r="B61" s="11"/>
      <c r="C61" s="11"/>
      <c r="D61" s="11"/>
      <c r="E61" s="11"/>
      <c r="F61" s="11"/>
      <c r="G61" s="15"/>
      <c r="H61" s="15"/>
      <c r="I61" s="11"/>
      <c r="J61" s="12"/>
    </row>
    <row r="62" spans="1:10">
      <c r="A62" s="14"/>
      <c r="B62" s="11"/>
      <c r="C62" s="11"/>
      <c r="D62" s="11"/>
      <c r="E62" s="11"/>
      <c r="F62" s="11"/>
      <c r="G62" s="15"/>
      <c r="H62" s="15"/>
      <c r="I62" s="11"/>
      <c r="J62" s="12"/>
    </row>
    <row r="63" spans="1:10" ht="15" thickBot="1">
      <c r="A63" s="17"/>
      <c r="B63" s="18"/>
      <c r="C63" s="18"/>
      <c r="D63" s="18"/>
      <c r="E63" s="18"/>
      <c r="F63" s="18"/>
      <c r="G63" s="18"/>
      <c r="H63" s="18"/>
      <c r="I63" s="18"/>
      <c r="J63" s="19"/>
    </row>
    <row r="64" spans="1:10" ht="15" thickBot="1">
      <c r="A64" s="17" t="s">
        <v>47</v>
      </c>
      <c r="B64" s="63"/>
      <c r="C64" s="18"/>
      <c r="D64" s="22" t="s">
        <v>48</v>
      </c>
      <c r="E64" s="18"/>
      <c r="F64" s="18"/>
      <c r="G64" s="18"/>
      <c r="H64" s="18"/>
      <c r="I64" s="18"/>
      <c r="J64" s="19"/>
    </row>
    <row r="65" spans="1:10" ht="15" thickBot="1">
      <c r="A65" s="64" t="s">
        <v>49</v>
      </c>
      <c r="B65" s="65"/>
      <c r="C65" s="65"/>
      <c r="D65" s="66" t="s">
        <v>50</v>
      </c>
      <c r="E65" s="65"/>
      <c r="F65" s="65"/>
      <c r="G65" s="65"/>
      <c r="H65" s="65"/>
      <c r="I65" s="65"/>
      <c r="J65" s="67"/>
    </row>
    <row r="66" spans="1:10" ht="17.399999999999999">
      <c r="A66" s="7" t="s">
        <v>51</v>
      </c>
      <c r="B66" s="8"/>
      <c r="C66" s="8"/>
      <c r="D66" s="8"/>
      <c r="E66" s="8"/>
      <c r="F66" s="8"/>
      <c r="G66" s="68"/>
      <c r="H66" s="68" t="s">
        <v>52</v>
      </c>
      <c r="I66" s="68"/>
      <c r="J66" s="69"/>
    </row>
    <row r="67" spans="1:10">
      <c r="A67" s="10"/>
      <c r="B67" s="11"/>
      <c r="C67" s="11"/>
      <c r="D67" s="11"/>
      <c r="E67" s="11"/>
      <c r="F67" s="11"/>
      <c r="G67" s="11"/>
      <c r="H67" s="11"/>
      <c r="I67" s="11"/>
      <c r="J67" s="12"/>
    </row>
    <row r="68" spans="1:10">
      <c r="A68" s="10"/>
      <c r="B68" s="11"/>
      <c r="C68" s="11"/>
      <c r="D68" s="11"/>
      <c r="E68" s="11"/>
      <c r="F68" s="11"/>
      <c r="G68" s="11"/>
      <c r="H68" s="11"/>
      <c r="I68" s="11"/>
      <c r="J68" s="12"/>
    </row>
    <row r="69" spans="1:10">
      <c r="A69" s="10"/>
      <c r="B69" s="11"/>
      <c r="C69" s="11"/>
      <c r="D69" s="11"/>
      <c r="E69" s="11"/>
      <c r="F69" s="11"/>
      <c r="G69" s="11"/>
      <c r="H69" s="11"/>
      <c r="I69" s="11"/>
      <c r="J69" s="12"/>
    </row>
    <row r="70" spans="1:10">
      <c r="A70" s="10"/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18" thickBot="1">
      <c r="A71" s="17" t="s">
        <v>53</v>
      </c>
      <c r="B71" s="18"/>
      <c r="C71" s="18"/>
      <c r="D71" s="18"/>
      <c r="E71" s="18" t="s">
        <v>54</v>
      </c>
      <c r="F71" s="18"/>
      <c r="G71" s="70"/>
      <c r="H71" s="70" t="s">
        <v>55</v>
      </c>
      <c r="I71" s="70"/>
      <c r="J71" s="71"/>
    </row>
    <row r="102" spans="6:6">
      <c r="F102" s="72"/>
    </row>
    <row r="1048576" spans="3:3">
      <c r="C1048576" s="11"/>
    </row>
  </sheetData>
  <mergeCells count="45">
    <mergeCell ref="I49:J49"/>
    <mergeCell ref="I51:J51"/>
    <mergeCell ref="I52:J52"/>
    <mergeCell ref="I53:J53"/>
    <mergeCell ref="E54:H54"/>
    <mergeCell ref="I54:J54"/>
    <mergeCell ref="I48:J48"/>
    <mergeCell ref="E41:F41"/>
    <mergeCell ref="I41:J41"/>
    <mergeCell ref="E42:F42"/>
    <mergeCell ref="I42:J42"/>
    <mergeCell ref="E43:F43"/>
    <mergeCell ref="E44:F44"/>
    <mergeCell ref="I44:J44"/>
    <mergeCell ref="E45:F45"/>
    <mergeCell ref="I45:J45"/>
    <mergeCell ref="E46:F46"/>
    <mergeCell ref="I46:J46"/>
    <mergeCell ref="I47:J47"/>
    <mergeCell ref="E38:F38"/>
    <mergeCell ref="I38:J38"/>
    <mergeCell ref="E39:F39"/>
    <mergeCell ref="I39:J39"/>
    <mergeCell ref="E40:F40"/>
    <mergeCell ref="I40:J40"/>
    <mergeCell ref="E35:F35"/>
    <mergeCell ref="I35:J35"/>
    <mergeCell ref="E36:F36"/>
    <mergeCell ref="I36:J36"/>
    <mergeCell ref="E37:F37"/>
    <mergeCell ref="I37:J37"/>
    <mergeCell ref="E34:F34"/>
    <mergeCell ref="I34:J34"/>
    <mergeCell ref="A3:J3"/>
    <mergeCell ref="A7:J7"/>
    <mergeCell ref="C8:E9"/>
    <mergeCell ref="C10:E11"/>
    <mergeCell ref="G28:I28"/>
    <mergeCell ref="G29:H29"/>
    <mergeCell ref="I29:J29"/>
    <mergeCell ref="B32:C32"/>
    <mergeCell ref="E32:F32"/>
    <mergeCell ref="I32:J32"/>
    <mergeCell ref="E33:F33"/>
    <mergeCell ref="I33:J33"/>
  </mergeCells>
  <pageMargins left="0.2" right="0.22" top="0.37" bottom="0.35" header="0.3" footer="0.3"/>
  <pageSetup paperSize="9" scale="6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57</vt:i4>
      </vt:variant>
    </vt:vector>
  </HeadingPairs>
  <TitlesOfParts>
    <vt:vector size="114" baseType="lpstr">
      <vt:lpstr>DEL JBP (1805)</vt:lpstr>
      <vt:lpstr>DEL JBP (1806)</vt:lpstr>
      <vt:lpstr>DEL JBP (1807)</vt:lpstr>
      <vt:lpstr>DEL JBP (1808)</vt:lpstr>
      <vt:lpstr>DEL JBP (1809)</vt:lpstr>
      <vt:lpstr>DEL JBP (1810)</vt:lpstr>
      <vt:lpstr>DEL JBP (1811)</vt:lpstr>
      <vt:lpstr>DEL JBP (1812)</vt:lpstr>
      <vt:lpstr>DEL JBP (1813)</vt:lpstr>
      <vt:lpstr>DEL BB  (1814)</vt:lpstr>
      <vt:lpstr>DEL BB (1815)</vt:lpstr>
      <vt:lpstr>DEL BB (1816)</vt:lpstr>
      <vt:lpstr>DEL BB (1817)</vt:lpstr>
      <vt:lpstr>DEL JBP (1818)</vt:lpstr>
      <vt:lpstr>DEL JBP (1819)</vt:lpstr>
      <vt:lpstr>DEL JBP (1820)</vt:lpstr>
      <vt:lpstr>DEL BB (1821)</vt:lpstr>
      <vt:lpstr>DEL BB (1822)</vt:lpstr>
      <vt:lpstr>DEL BB (1823)</vt:lpstr>
      <vt:lpstr>DEL JBP (1824)</vt:lpstr>
      <vt:lpstr>DEL JBP (1825)</vt:lpstr>
      <vt:lpstr>DEL JBP (1826)</vt:lpstr>
      <vt:lpstr>DEL JBP (1827)</vt:lpstr>
      <vt:lpstr>DEL JBP (1828)</vt:lpstr>
      <vt:lpstr>DEL JBP (1829)</vt:lpstr>
      <vt:lpstr>DEL BB (1830)</vt:lpstr>
      <vt:lpstr>DEL JBP (1831)</vt:lpstr>
      <vt:lpstr>DEL JBP (1832)</vt:lpstr>
      <vt:lpstr>DEL JBP (1833)</vt:lpstr>
      <vt:lpstr>DEL BB (1834)</vt:lpstr>
      <vt:lpstr>DEL BB (1835)</vt:lpstr>
      <vt:lpstr>DEL BB (1836)</vt:lpstr>
      <vt:lpstr>DEL BB (1837)</vt:lpstr>
      <vt:lpstr>DEL JBP (1838)</vt:lpstr>
      <vt:lpstr>DEL JBP (1839)</vt:lpstr>
      <vt:lpstr>DEL JBP (1840)</vt:lpstr>
      <vt:lpstr>DEL BB (1841)</vt:lpstr>
      <vt:lpstr>DEL BB (1842)</vt:lpstr>
      <vt:lpstr>DEL BB (1843)</vt:lpstr>
      <vt:lpstr>DEL BB (1844)</vt:lpstr>
      <vt:lpstr>DEL BB (1845)</vt:lpstr>
      <vt:lpstr>DEL BB (1846)</vt:lpstr>
      <vt:lpstr>DEL BB (1847)</vt:lpstr>
      <vt:lpstr>DEL BB (1848)</vt:lpstr>
      <vt:lpstr>DEL BB (1849)</vt:lpstr>
      <vt:lpstr>DEL JBP (1850)</vt:lpstr>
      <vt:lpstr>DEL JBP (1851)</vt:lpstr>
      <vt:lpstr>DEL JBP (1852)</vt:lpstr>
      <vt:lpstr>DEL BB (1853)</vt:lpstr>
      <vt:lpstr>DEL BB (1854)</vt:lpstr>
      <vt:lpstr>DEL BB (1855)</vt:lpstr>
      <vt:lpstr>DEL BB (1856)</vt:lpstr>
      <vt:lpstr>DEL JBP (1857)</vt:lpstr>
      <vt:lpstr>DEL JBP (1858)</vt:lpstr>
      <vt:lpstr>DEL BB (1859)</vt:lpstr>
      <vt:lpstr>DEL BB (1860)</vt:lpstr>
      <vt:lpstr>DEL BB (1861)</vt:lpstr>
      <vt:lpstr>'DEL BB  (1814)'!Print_Area</vt:lpstr>
      <vt:lpstr>'DEL BB (1815)'!Print_Area</vt:lpstr>
      <vt:lpstr>'DEL BB (1816)'!Print_Area</vt:lpstr>
      <vt:lpstr>'DEL BB (1817)'!Print_Area</vt:lpstr>
      <vt:lpstr>'DEL BB (1821)'!Print_Area</vt:lpstr>
      <vt:lpstr>'DEL BB (1822)'!Print_Area</vt:lpstr>
      <vt:lpstr>'DEL BB (1823)'!Print_Area</vt:lpstr>
      <vt:lpstr>'DEL BB (1830)'!Print_Area</vt:lpstr>
      <vt:lpstr>'DEL BB (1834)'!Print_Area</vt:lpstr>
      <vt:lpstr>'DEL BB (1835)'!Print_Area</vt:lpstr>
      <vt:lpstr>'DEL BB (1836)'!Print_Area</vt:lpstr>
      <vt:lpstr>'DEL BB (1837)'!Print_Area</vt:lpstr>
      <vt:lpstr>'DEL BB (1841)'!Print_Area</vt:lpstr>
      <vt:lpstr>'DEL BB (1842)'!Print_Area</vt:lpstr>
      <vt:lpstr>'DEL BB (1843)'!Print_Area</vt:lpstr>
      <vt:lpstr>'DEL BB (1844)'!Print_Area</vt:lpstr>
      <vt:lpstr>'DEL BB (1845)'!Print_Area</vt:lpstr>
      <vt:lpstr>'DEL BB (1846)'!Print_Area</vt:lpstr>
      <vt:lpstr>'DEL BB (1847)'!Print_Area</vt:lpstr>
      <vt:lpstr>'DEL BB (1848)'!Print_Area</vt:lpstr>
      <vt:lpstr>'DEL BB (1849)'!Print_Area</vt:lpstr>
      <vt:lpstr>'DEL BB (1853)'!Print_Area</vt:lpstr>
      <vt:lpstr>'DEL BB (1854)'!Print_Area</vt:lpstr>
      <vt:lpstr>'DEL BB (1855)'!Print_Area</vt:lpstr>
      <vt:lpstr>'DEL BB (1856)'!Print_Area</vt:lpstr>
      <vt:lpstr>'DEL BB (1859)'!Print_Area</vt:lpstr>
      <vt:lpstr>'DEL BB (1860)'!Print_Area</vt:lpstr>
      <vt:lpstr>'DEL BB (1861)'!Print_Area</vt:lpstr>
      <vt:lpstr>'DEL JBP (1805)'!Print_Area</vt:lpstr>
      <vt:lpstr>'DEL JBP (1806)'!Print_Area</vt:lpstr>
      <vt:lpstr>'DEL JBP (1807)'!Print_Area</vt:lpstr>
      <vt:lpstr>'DEL JBP (1808)'!Print_Area</vt:lpstr>
      <vt:lpstr>'DEL JBP (1809)'!Print_Area</vt:lpstr>
      <vt:lpstr>'DEL JBP (1810)'!Print_Area</vt:lpstr>
      <vt:lpstr>'DEL JBP (1811)'!Print_Area</vt:lpstr>
      <vt:lpstr>'DEL JBP (1812)'!Print_Area</vt:lpstr>
      <vt:lpstr>'DEL JBP (1813)'!Print_Area</vt:lpstr>
      <vt:lpstr>'DEL JBP (1818)'!Print_Area</vt:lpstr>
      <vt:lpstr>'DEL JBP (1819)'!Print_Area</vt:lpstr>
      <vt:lpstr>'DEL JBP (1820)'!Print_Area</vt:lpstr>
      <vt:lpstr>'DEL JBP (1824)'!Print_Area</vt:lpstr>
      <vt:lpstr>'DEL JBP (1825)'!Print_Area</vt:lpstr>
      <vt:lpstr>'DEL JBP (1826)'!Print_Area</vt:lpstr>
      <vt:lpstr>'DEL JBP (1827)'!Print_Area</vt:lpstr>
      <vt:lpstr>'DEL JBP (1828)'!Print_Area</vt:lpstr>
      <vt:lpstr>'DEL JBP (1829)'!Print_Area</vt:lpstr>
      <vt:lpstr>'DEL JBP (1831)'!Print_Area</vt:lpstr>
      <vt:lpstr>'DEL JBP (1832)'!Print_Area</vt:lpstr>
      <vt:lpstr>'DEL JBP (1833)'!Print_Area</vt:lpstr>
      <vt:lpstr>'DEL JBP (1838)'!Print_Area</vt:lpstr>
      <vt:lpstr>'DEL JBP (1839)'!Print_Area</vt:lpstr>
      <vt:lpstr>'DEL JBP (1840)'!Print_Area</vt:lpstr>
      <vt:lpstr>'DEL JBP (1850)'!Print_Area</vt:lpstr>
      <vt:lpstr>'DEL JBP (1851)'!Print_Area</vt:lpstr>
      <vt:lpstr>'DEL JBP (1852)'!Print_Area</vt:lpstr>
      <vt:lpstr>'DEL JBP (1857)'!Print_Area</vt:lpstr>
      <vt:lpstr>'DEL JBP (1858)'!Print_Area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2024-01-06T12:26:28Z</dcterms:modified>
</cp:coreProperties>
</file>