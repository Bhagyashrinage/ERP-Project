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10" yWindow="810" windowWidth="10800" windowHeight="3090" activeTab="2"/>
  </bookViews>
  <sheets>
    <sheet name="SUMMARY" sheetId="5" r:id="rId1"/>
    <sheet name="KEC BB JOB WORK " sheetId="1" r:id="rId2"/>
    <sheet name="KEC JBP JOB WORK  " sheetId="6" r:id="rId3"/>
    <sheet name="KEC BB JOB WORK  (returnable c)" sheetId="7" r:id="rId4"/>
    <sheet name="Sheet1" sheetId="8" r:id="rId5"/>
    <sheet name="Sheet2" sheetId="9" r:id="rId6"/>
  </sheets>
  <definedNames>
    <definedName name="_xlnm._FilterDatabase" localSheetId="1" hidden="1">'KEC BB JOB WORK '!$A$4:$AA$4</definedName>
    <definedName name="_xlnm._FilterDatabase" localSheetId="3" hidden="1">'KEC BB JOB WORK  (returnable c)'!$A$4:$AA$4</definedName>
    <definedName name="_xlnm._FilterDatabase" localSheetId="2" hidden="1">'KEC JBP JOB WORK  '!$A$4:$AA$4</definedName>
    <definedName name="_xlnm.Print_Area" localSheetId="1">'KEC BB JOB WORK '!$B$329:$I$1261</definedName>
    <definedName name="_xlnm.Print_Area" localSheetId="3">'KEC BB JOB WORK  (returnable c)'!#REF!</definedName>
    <definedName name="_xlnm.Print_Area" localSheetId="2">'KEC JBP JOB WORK  '!$B$31:$I$88</definedName>
  </definedNames>
  <calcPr calcId="124519"/>
</workbook>
</file>

<file path=xl/calcChain.xml><?xml version="1.0" encoding="utf-8"?>
<calcChain xmlns="http://schemas.openxmlformats.org/spreadsheetml/2006/main">
  <c r="N1170" i="1"/>
  <c r="N1169"/>
  <c r="N1168" l="1"/>
  <c r="N1167"/>
  <c r="N296" i="6" l="1"/>
  <c r="N295" l="1"/>
  <c r="N293" l="1"/>
  <c r="N1166" i="1"/>
  <c r="N1165"/>
  <c r="R1163" l="1"/>
  <c r="N1162" l="1"/>
  <c r="N291" i="6" l="1"/>
  <c r="N1160" i="1"/>
  <c r="N290" i="6"/>
  <c r="N1159" i="1" l="1"/>
  <c r="N1164"/>
  <c r="N1158" l="1"/>
  <c r="N1157"/>
  <c r="N289" i="6" l="1"/>
  <c r="N287" l="1"/>
  <c r="N286" l="1"/>
  <c r="N285" l="1"/>
  <c r="N284" l="1"/>
  <c r="N283" l="1"/>
  <c r="N282" l="1"/>
  <c r="N281" l="1"/>
  <c r="R280"/>
  <c r="N280" l="1"/>
  <c r="N279"/>
  <c r="N277" l="1"/>
  <c r="N276" l="1"/>
  <c r="N275" l="1"/>
  <c r="N274" l="1"/>
  <c r="N1156" i="1"/>
  <c r="N273" i="6" l="1"/>
  <c r="N272"/>
  <c r="N271" l="1"/>
  <c r="N270" l="1"/>
  <c r="N269" l="1"/>
  <c r="N1155" i="1" l="1"/>
  <c r="N268" i="6" l="1"/>
  <c r="N267" l="1"/>
  <c r="N265"/>
  <c r="N264" l="1"/>
  <c r="L1254" i="1"/>
  <c r="L1253"/>
  <c r="L1252"/>
  <c r="L1251"/>
  <c r="L1250"/>
  <c r="L1249"/>
  <c r="L1247"/>
  <c r="L1246"/>
  <c r="L1245"/>
  <c r="L1244"/>
  <c r="L1243"/>
  <c r="L1242"/>
  <c r="L1241"/>
  <c r="L1240"/>
  <c r="L1239"/>
  <c r="L1238"/>
  <c r="L1237"/>
  <c r="L1236"/>
  <c r="L1235"/>
  <c r="L1234"/>
  <c r="L1233"/>
  <c r="L1232"/>
  <c r="L1231"/>
  <c r="L1230"/>
  <c r="D1247"/>
  <c r="C1247"/>
  <c r="D1245" l="1"/>
  <c r="D1243"/>
  <c r="D1241"/>
  <c r="D1239"/>
  <c r="D1237"/>
  <c r="D1235"/>
  <c r="D1233"/>
  <c r="D1231"/>
  <c r="C1245"/>
  <c r="C1243"/>
  <c r="C1241"/>
  <c r="C1239"/>
  <c r="C1237"/>
  <c r="C1235"/>
  <c r="C1233"/>
  <c r="C1231"/>
  <c r="R1240"/>
  <c r="Q1240"/>
  <c r="P1240"/>
  <c r="I1240"/>
  <c r="R1239"/>
  <c r="Q1239"/>
  <c r="P1239"/>
  <c r="I1239"/>
  <c r="R1238"/>
  <c r="Q1238"/>
  <c r="P1238"/>
  <c r="I1238"/>
  <c r="R1237"/>
  <c r="Q1237"/>
  <c r="P1237"/>
  <c r="I1237"/>
  <c r="R1236"/>
  <c r="Q1236"/>
  <c r="P1236"/>
  <c r="I1236"/>
  <c r="R1235"/>
  <c r="Q1235"/>
  <c r="P1235"/>
  <c r="I1235"/>
  <c r="R1234"/>
  <c r="Q1234"/>
  <c r="P1234"/>
  <c r="I1234"/>
  <c r="R1251"/>
  <c r="Q1251"/>
  <c r="P1251"/>
  <c r="I1251"/>
  <c r="R1250"/>
  <c r="Q1250"/>
  <c r="P1250"/>
  <c r="I1250"/>
  <c r="R1249"/>
  <c r="Q1249"/>
  <c r="P1249"/>
  <c r="I1249"/>
  <c r="R1248"/>
  <c r="Q1248"/>
  <c r="P1248"/>
  <c r="I1248"/>
  <c r="R1247"/>
  <c r="Q1247"/>
  <c r="P1247"/>
  <c r="I1247"/>
  <c r="R1246"/>
  <c r="Q1246"/>
  <c r="P1246"/>
  <c r="I1246"/>
  <c r="R1245"/>
  <c r="Q1245"/>
  <c r="P1245"/>
  <c r="I1245"/>
  <c r="R1244"/>
  <c r="Q1244"/>
  <c r="P1244"/>
  <c r="I1244"/>
  <c r="R1243"/>
  <c r="Q1243"/>
  <c r="P1243"/>
  <c r="I1243"/>
  <c r="R1242"/>
  <c r="Q1242"/>
  <c r="P1242"/>
  <c r="I1242"/>
  <c r="R1241"/>
  <c r="Q1241"/>
  <c r="P1241"/>
  <c r="I1241"/>
  <c r="R1233"/>
  <c r="Q1233"/>
  <c r="P1233"/>
  <c r="I1233"/>
  <c r="R1257"/>
  <c r="Q1257"/>
  <c r="P1257"/>
  <c r="I1257"/>
  <c r="R1256"/>
  <c r="Q1256"/>
  <c r="P1256"/>
  <c r="I1256"/>
  <c r="R1255"/>
  <c r="Q1255"/>
  <c r="P1255"/>
  <c r="I1255"/>
  <c r="R1254"/>
  <c r="Q1254"/>
  <c r="P1254"/>
  <c r="I1254"/>
  <c r="R1253"/>
  <c r="Q1253"/>
  <c r="P1253"/>
  <c r="I1253"/>
  <c r="R1252"/>
  <c r="Q1252"/>
  <c r="P1252"/>
  <c r="I1252"/>
  <c r="R1232"/>
  <c r="Q1232"/>
  <c r="P1232"/>
  <c r="I1232"/>
  <c r="R1231"/>
  <c r="Q1231"/>
  <c r="P1231"/>
  <c r="I1231"/>
  <c r="R1230"/>
  <c r="Q1230"/>
  <c r="P1230"/>
  <c r="I1230"/>
  <c r="T1230" l="1"/>
  <c r="T1231"/>
  <c r="T1232"/>
  <c r="T1252"/>
  <c r="T1253"/>
  <c r="T1254"/>
  <c r="T1255"/>
  <c r="T1256"/>
  <c r="T1257"/>
  <c r="T1233"/>
  <c r="T1241"/>
  <c r="T1242"/>
  <c r="T1243"/>
  <c r="T1244"/>
  <c r="T1245"/>
  <c r="T1246"/>
  <c r="T1247"/>
  <c r="T1248"/>
  <c r="T1249"/>
  <c r="T1250"/>
  <c r="T1251"/>
  <c r="T1234"/>
  <c r="T1235"/>
  <c r="T1236"/>
  <c r="T1237"/>
  <c r="T1238"/>
  <c r="T1239"/>
  <c r="T1240"/>
  <c r="N1154"/>
  <c r="N1153" l="1"/>
  <c r="L1228" l="1"/>
  <c r="L1227"/>
  <c r="L1226"/>
  <c r="L1225"/>
  <c r="L1224"/>
  <c r="L1223"/>
  <c r="L1222"/>
  <c r="N1152"/>
  <c r="N1150" l="1"/>
  <c r="N1151"/>
  <c r="N1149"/>
  <c r="N1148"/>
  <c r="N1147"/>
  <c r="N1146" l="1"/>
  <c r="N1145"/>
  <c r="N1143"/>
  <c r="N1138" l="1"/>
  <c r="N1137"/>
  <c r="N1119"/>
  <c r="L389" i="6" l="1"/>
  <c r="L388"/>
  <c r="L387"/>
  <c r="L386"/>
  <c r="L385"/>
  <c r="L384"/>
  <c r="L383"/>
  <c r="L382"/>
  <c r="L381"/>
  <c r="L380"/>
  <c r="L379"/>
  <c r="L378"/>
  <c r="L377"/>
  <c r="L376"/>
  <c r="L375"/>
  <c r="L374"/>
  <c r="L373"/>
  <c r="L372"/>
  <c r="L371"/>
  <c r="L370"/>
  <c r="L369"/>
  <c r="L368"/>
  <c r="L367"/>
  <c r="L366"/>
  <c r="L365"/>
  <c r="L364"/>
  <c r="L363"/>
  <c r="L362"/>
  <c r="L361"/>
  <c r="L360"/>
  <c r="L359"/>
  <c r="L358"/>
  <c r="L357"/>
  <c r="L356"/>
  <c r="L355"/>
  <c r="L354"/>
  <c r="L353"/>
  <c r="L352"/>
  <c r="L351"/>
  <c r="L350"/>
  <c r="R361" l="1"/>
  <c r="Q361"/>
  <c r="P361"/>
  <c r="I361"/>
  <c r="R360"/>
  <c r="Q360"/>
  <c r="P360"/>
  <c r="I360"/>
  <c r="R359"/>
  <c r="Q359"/>
  <c r="P359"/>
  <c r="I359"/>
  <c r="R358"/>
  <c r="Q358"/>
  <c r="P358"/>
  <c r="I358"/>
  <c r="R357"/>
  <c r="Q357"/>
  <c r="P357"/>
  <c r="I357"/>
  <c r="R356"/>
  <c r="Q356"/>
  <c r="P356"/>
  <c r="I356"/>
  <c r="R355"/>
  <c r="Q355"/>
  <c r="P355"/>
  <c r="I355"/>
  <c r="R354"/>
  <c r="Q354"/>
  <c r="P354"/>
  <c r="I354"/>
  <c r="R353"/>
  <c r="Q353"/>
  <c r="P353"/>
  <c r="I353"/>
  <c r="R352"/>
  <c r="Q352"/>
  <c r="P352"/>
  <c r="I352"/>
  <c r="R399"/>
  <c r="Q399"/>
  <c r="P399"/>
  <c r="I399"/>
  <c r="R398"/>
  <c r="Q398"/>
  <c r="P398"/>
  <c r="I398"/>
  <c r="R397"/>
  <c r="Q397"/>
  <c r="P397"/>
  <c r="I397"/>
  <c r="R396"/>
  <c r="Q396"/>
  <c r="P396"/>
  <c r="I396"/>
  <c r="R395"/>
  <c r="Q395"/>
  <c r="P395"/>
  <c r="I395"/>
  <c r="R394"/>
  <c r="Q394"/>
  <c r="P394"/>
  <c r="I394"/>
  <c r="R393"/>
  <c r="Q393"/>
  <c r="P393"/>
  <c r="I393"/>
  <c r="R392"/>
  <c r="Q392"/>
  <c r="P392"/>
  <c r="I392"/>
  <c r="R391"/>
  <c r="Q391"/>
  <c r="P391"/>
  <c r="I391"/>
  <c r="R390"/>
  <c r="Q390"/>
  <c r="P390"/>
  <c r="I390"/>
  <c r="R389"/>
  <c r="Q389"/>
  <c r="P389"/>
  <c r="I389"/>
  <c r="R388"/>
  <c r="Q388"/>
  <c r="P388"/>
  <c r="I388"/>
  <c r="R387"/>
  <c r="Q387"/>
  <c r="P387"/>
  <c r="I387"/>
  <c r="R386"/>
  <c r="Q386"/>
  <c r="P386"/>
  <c r="I386"/>
  <c r="R385"/>
  <c r="Q385"/>
  <c r="P385"/>
  <c r="I385"/>
  <c r="R384"/>
  <c r="Q384"/>
  <c r="P384"/>
  <c r="I384"/>
  <c r="R383"/>
  <c r="Q383"/>
  <c r="P383"/>
  <c r="I383"/>
  <c r="R382"/>
  <c r="Q382"/>
  <c r="P382"/>
  <c r="I382"/>
  <c r="R381"/>
  <c r="Q381"/>
  <c r="P381"/>
  <c r="I381"/>
  <c r="R380"/>
  <c r="Q380"/>
  <c r="P380"/>
  <c r="I380"/>
  <c r="R379"/>
  <c r="Q379"/>
  <c r="P379"/>
  <c r="I379"/>
  <c r="R378"/>
  <c r="Q378"/>
  <c r="P378"/>
  <c r="I378"/>
  <c r="R377"/>
  <c r="Q377"/>
  <c r="P377"/>
  <c r="I377"/>
  <c r="R376"/>
  <c r="Q376"/>
  <c r="P376"/>
  <c r="I376"/>
  <c r="R375"/>
  <c r="Q375"/>
  <c r="P375"/>
  <c r="I375"/>
  <c r="R374"/>
  <c r="Q374"/>
  <c r="P374"/>
  <c r="I374"/>
  <c r="R373"/>
  <c r="Q373"/>
  <c r="P373"/>
  <c r="I373"/>
  <c r="R372"/>
  <c r="Q372"/>
  <c r="P372"/>
  <c r="I372"/>
  <c r="R371"/>
  <c r="Q371"/>
  <c r="P371"/>
  <c r="I371"/>
  <c r="R370"/>
  <c r="Q370"/>
  <c r="P370"/>
  <c r="I370"/>
  <c r="R369"/>
  <c r="Q369"/>
  <c r="P369"/>
  <c r="I369"/>
  <c r="R368"/>
  <c r="Q368"/>
  <c r="P368"/>
  <c r="I368"/>
  <c r="R367"/>
  <c r="Q367"/>
  <c r="P367"/>
  <c r="I367"/>
  <c r="R366"/>
  <c r="Q366"/>
  <c r="P366"/>
  <c r="I366"/>
  <c r="R365"/>
  <c r="Q365"/>
  <c r="P365"/>
  <c r="I365"/>
  <c r="R364"/>
  <c r="Q364"/>
  <c r="P364"/>
  <c r="I364"/>
  <c r="R363"/>
  <c r="Q363"/>
  <c r="P363"/>
  <c r="I363"/>
  <c r="R362"/>
  <c r="Q362"/>
  <c r="P362"/>
  <c r="I362"/>
  <c r="N263"/>
  <c r="N1142" i="1"/>
  <c r="T364" i="6" l="1"/>
  <c r="T366"/>
  <c r="T367"/>
  <c r="T368"/>
  <c r="T379"/>
  <c r="T380"/>
  <c r="T381"/>
  <c r="T382"/>
  <c r="T383"/>
  <c r="T384"/>
  <c r="T385"/>
  <c r="T386"/>
  <c r="T387"/>
  <c r="T388"/>
  <c r="T389"/>
  <c r="T390"/>
  <c r="T391"/>
  <c r="T392"/>
  <c r="T393"/>
  <c r="T394"/>
  <c r="T395"/>
  <c r="T396"/>
  <c r="T397"/>
  <c r="T398"/>
  <c r="T399"/>
  <c r="T352"/>
  <c r="T353"/>
  <c r="T354"/>
  <c r="T355"/>
  <c r="T356"/>
  <c r="T357"/>
  <c r="T358"/>
  <c r="T359"/>
  <c r="T360"/>
  <c r="T361"/>
  <c r="T362"/>
  <c r="T363"/>
  <c r="T365"/>
  <c r="T369"/>
  <c r="T370"/>
  <c r="T371"/>
  <c r="T372"/>
  <c r="T373"/>
  <c r="T374"/>
  <c r="T375"/>
  <c r="T376"/>
  <c r="T377"/>
  <c r="T378"/>
  <c r="N262"/>
  <c r="N261"/>
  <c r="N260" l="1"/>
  <c r="N259"/>
  <c r="N258" l="1"/>
  <c r="N1133" i="1" l="1"/>
  <c r="N1112"/>
  <c r="N257" i="6" l="1"/>
  <c r="N256"/>
  <c r="N254" l="1"/>
  <c r="N248" l="1"/>
  <c r="N255"/>
  <c r="N252" l="1"/>
  <c r="N250" l="1"/>
  <c r="N249"/>
  <c r="N247"/>
  <c r="R249"/>
  <c r="Q249"/>
  <c r="P249"/>
  <c r="N243"/>
  <c r="N1132" i="1"/>
  <c r="I407" i="6" l="1"/>
  <c r="I406"/>
  <c r="I405"/>
  <c r="N1128" i="1" l="1"/>
  <c r="N1125"/>
  <c r="N1122"/>
  <c r="R1128"/>
  <c r="Q1128"/>
  <c r="P1128"/>
  <c r="R1126"/>
  <c r="Q1126"/>
  <c r="P1126"/>
  <c r="R1125"/>
  <c r="R1122"/>
  <c r="Q1122"/>
  <c r="Q1125"/>
  <c r="P1125"/>
  <c r="P1122"/>
  <c r="N246" i="6" l="1"/>
  <c r="N245" l="1"/>
  <c r="R243" l="1"/>
  <c r="Q243"/>
  <c r="P243"/>
  <c r="N242"/>
  <c r="R1212" i="1" l="1"/>
  <c r="Q1212"/>
  <c r="P1212"/>
  <c r="L1212"/>
  <c r="I1208"/>
  <c r="R1211"/>
  <c r="Q1211"/>
  <c r="P1211"/>
  <c r="L1211"/>
  <c r="I1207"/>
  <c r="R1210"/>
  <c r="Q1210"/>
  <c r="P1210"/>
  <c r="L1210"/>
  <c r="I1218"/>
  <c r="R1209"/>
  <c r="Q1209"/>
  <c r="P1209"/>
  <c r="L1209"/>
  <c r="I1217"/>
  <c r="R1208"/>
  <c r="Q1208"/>
  <c r="P1208"/>
  <c r="L1208"/>
  <c r="I1216"/>
  <c r="R1207"/>
  <c r="Q1207"/>
  <c r="P1207"/>
  <c r="L1207"/>
  <c r="I1215"/>
  <c r="R1215"/>
  <c r="Q1215"/>
  <c r="P1215"/>
  <c r="L1215"/>
  <c r="I1212"/>
  <c r="R1214"/>
  <c r="Q1214"/>
  <c r="P1214"/>
  <c r="L1214"/>
  <c r="I1210"/>
  <c r="R1213"/>
  <c r="Q1213"/>
  <c r="P1213"/>
  <c r="L1213"/>
  <c r="I1209"/>
  <c r="R1221"/>
  <c r="Q1221"/>
  <c r="P1221"/>
  <c r="L1221"/>
  <c r="I1221"/>
  <c r="R1220"/>
  <c r="Q1220"/>
  <c r="P1220"/>
  <c r="L1220"/>
  <c r="I1206"/>
  <c r="R1219"/>
  <c r="Q1219"/>
  <c r="P1219"/>
  <c r="L1219"/>
  <c r="I1205"/>
  <c r="R1218"/>
  <c r="Q1218"/>
  <c r="P1218"/>
  <c r="L1218"/>
  <c r="I1220"/>
  <c r="R1217"/>
  <c r="Q1217"/>
  <c r="P1217"/>
  <c r="L1217"/>
  <c r="I1219"/>
  <c r="R1216"/>
  <c r="Q1216"/>
  <c r="P1216"/>
  <c r="L1216"/>
  <c r="I1211"/>
  <c r="R1206"/>
  <c r="Q1206"/>
  <c r="P1206"/>
  <c r="L1206"/>
  <c r="I1214"/>
  <c r="R1205"/>
  <c r="Q1205"/>
  <c r="P1205"/>
  <c r="L1205"/>
  <c r="I1213"/>
  <c r="I1222"/>
  <c r="P1222"/>
  <c r="Q1222"/>
  <c r="R1222"/>
  <c r="I1223"/>
  <c r="P1223"/>
  <c r="Q1223"/>
  <c r="R1223"/>
  <c r="I1224"/>
  <c r="P1224"/>
  <c r="Q1224"/>
  <c r="R1224"/>
  <c r="I1225"/>
  <c r="P1225"/>
  <c r="Q1225"/>
  <c r="R1225"/>
  <c r="I1226"/>
  <c r="P1226"/>
  <c r="Q1226"/>
  <c r="R1226"/>
  <c r="I1227"/>
  <c r="P1227"/>
  <c r="Q1227"/>
  <c r="R1227"/>
  <c r="G1228"/>
  <c r="I1228" s="1"/>
  <c r="I1229"/>
  <c r="P1229"/>
  <c r="Q1229"/>
  <c r="R1229"/>
  <c r="I1258"/>
  <c r="P1258"/>
  <c r="Q1258"/>
  <c r="R1258"/>
  <c r="I1259"/>
  <c r="P1259"/>
  <c r="Q1259"/>
  <c r="R1259"/>
  <c r="I1260"/>
  <c r="P1260"/>
  <c r="Q1260"/>
  <c r="R1260"/>
  <c r="I1261"/>
  <c r="P1261"/>
  <c r="Q1261"/>
  <c r="R1261"/>
  <c r="I1262"/>
  <c r="P1262"/>
  <c r="Q1262"/>
  <c r="R1262"/>
  <c r="T1209" l="1"/>
  <c r="T1261"/>
  <c r="W1261" s="1"/>
  <c r="T1260"/>
  <c r="R1228"/>
  <c r="T1259"/>
  <c r="P1228"/>
  <c r="T1212"/>
  <c r="T1258"/>
  <c r="T1229"/>
  <c r="Q1228"/>
  <c r="T1228" s="1"/>
  <c r="T1227"/>
  <c r="T1226"/>
  <c r="T1225"/>
  <c r="T1224"/>
  <c r="T1223"/>
  <c r="T1222"/>
  <c r="T1206"/>
  <c r="T1214"/>
  <c r="T1215"/>
  <c r="T1208"/>
  <c r="T1262"/>
  <c r="W1262" s="1"/>
  <c r="T1216"/>
  <c r="T1217"/>
  <c r="T1220"/>
  <c r="T1221"/>
  <c r="T1213"/>
  <c r="T1207"/>
  <c r="T1210"/>
  <c r="T1211"/>
  <c r="T1205"/>
  <c r="T1218"/>
  <c r="T1219"/>
  <c r="N241" i="6" l="1"/>
  <c r="N240"/>
  <c r="N239" l="1"/>
  <c r="N238"/>
  <c r="L1204" i="1" l="1"/>
  <c r="L1203"/>
  <c r="L1202"/>
  <c r="L1201"/>
  <c r="L1200"/>
  <c r="L1199"/>
  <c r="L1198"/>
  <c r="L1197"/>
  <c r="L1196"/>
  <c r="L1195"/>
  <c r="L1194"/>
  <c r="L1193"/>
  <c r="L1192"/>
  <c r="L1191"/>
  <c r="L1190"/>
  <c r="L1189"/>
  <c r="L1188"/>
  <c r="L1187"/>
  <c r="L1186"/>
  <c r="L1185"/>
  <c r="L1184"/>
  <c r="L1183"/>
  <c r="L1182"/>
  <c r="L1181"/>
  <c r="L1180"/>
  <c r="L1179"/>
  <c r="L1178"/>
  <c r="L1177"/>
  <c r="L1176"/>
  <c r="L1175"/>
  <c r="L1174"/>
  <c r="L1173"/>
  <c r="L1172"/>
  <c r="L1171"/>
  <c r="L1170"/>
  <c r="L1169"/>
  <c r="L1168"/>
  <c r="L1167"/>
  <c r="L1166"/>
  <c r="L1165"/>
  <c r="L1164"/>
  <c r="L1163"/>
  <c r="L1162"/>
  <c r="L1161"/>
  <c r="L1160"/>
  <c r="L1159"/>
  <c r="L1158"/>
  <c r="L1157"/>
  <c r="L1156"/>
  <c r="L1155"/>
  <c r="L1154"/>
  <c r="L1153"/>
  <c r="L1152"/>
  <c r="L1151"/>
  <c r="L1150"/>
  <c r="L1149"/>
  <c r="L1148"/>
  <c r="L1147"/>
  <c r="L1146"/>
  <c r="L1145"/>
  <c r="Q1192"/>
  <c r="Q1191"/>
  <c r="Q1190"/>
  <c r="Q1189"/>
  <c r="Q1188"/>
  <c r="G1174" l="1"/>
  <c r="R1174" s="1"/>
  <c r="G1162"/>
  <c r="R1162" s="1"/>
  <c r="G1161"/>
  <c r="R1161" s="1"/>
  <c r="R1202"/>
  <c r="Q1202"/>
  <c r="P1202"/>
  <c r="I1196"/>
  <c r="R1201"/>
  <c r="Q1201"/>
  <c r="P1201"/>
  <c r="I1195"/>
  <c r="R1200"/>
  <c r="Q1200"/>
  <c r="P1200"/>
  <c r="I1198"/>
  <c r="R1199"/>
  <c r="Q1199"/>
  <c r="P1199"/>
  <c r="I1197"/>
  <c r="R1198"/>
  <c r="Q1198"/>
  <c r="P1198"/>
  <c r="I1200"/>
  <c r="R1197"/>
  <c r="Q1197"/>
  <c r="P1197"/>
  <c r="I1199"/>
  <c r="R1196"/>
  <c r="Q1196"/>
  <c r="P1196"/>
  <c r="I1204"/>
  <c r="R1195"/>
  <c r="Q1195"/>
  <c r="P1195"/>
  <c r="I1203"/>
  <c r="R1194"/>
  <c r="Q1194"/>
  <c r="P1194"/>
  <c r="I1194"/>
  <c r="R1193"/>
  <c r="Q1193"/>
  <c r="P1193"/>
  <c r="I1193"/>
  <c r="R1192"/>
  <c r="P1192"/>
  <c r="I1188"/>
  <c r="R1191"/>
  <c r="P1191"/>
  <c r="I1187"/>
  <c r="R1190"/>
  <c r="P1190"/>
  <c r="I1192"/>
  <c r="R1189"/>
  <c r="P1189"/>
  <c r="I1191"/>
  <c r="R1188"/>
  <c r="P1188"/>
  <c r="I1190"/>
  <c r="R1187"/>
  <c r="Q1187"/>
  <c r="P1187"/>
  <c r="I1189"/>
  <c r="R1186"/>
  <c r="Q1186"/>
  <c r="P1186"/>
  <c r="I1186"/>
  <c r="R1185"/>
  <c r="Q1185"/>
  <c r="P1185"/>
  <c r="I1185"/>
  <c r="R1184"/>
  <c r="Q1184"/>
  <c r="P1184"/>
  <c r="I1184"/>
  <c r="R1183"/>
  <c r="Q1183"/>
  <c r="P1183"/>
  <c r="I1183"/>
  <c r="R1182"/>
  <c r="Q1182"/>
  <c r="P1182"/>
  <c r="I1182"/>
  <c r="R1181"/>
  <c r="Q1181"/>
  <c r="P1181"/>
  <c r="I1181"/>
  <c r="R1180"/>
  <c r="Q1180"/>
  <c r="P1180"/>
  <c r="I1180"/>
  <c r="R1179"/>
  <c r="Q1179"/>
  <c r="P1179"/>
  <c r="I1179"/>
  <c r="R1178"/>
  <c r="Q1178"/>
  <c r="P1178"/>
  <c r="I1178"/>
  <c r="R1177"/>
  <c r="Q1177"/>
  <c r="P1177"/>
  <c r="I1177"/>
  <c r="R1176"/>
  <c r="Q1176"/>
  <c r="P1176"/>
  <c r="I1176"/>
  <c r="R1175"/>
  <c r="Q1175"/>
  <c r="P1175"/>
  <c r="I1175"/>
  <c r="Q1174"/>
  <c r="R1173"/>
  <c r="Q1173"/>
  <c r="P1173"/>
  <c r="I1173"/>
  <c r="R1172"/>
  <c r="Q1172"/>
  <c r="P1172"/>
  <c r="I1172"/>
  <c r="R1171"/>
  <c r="Q1171"/>
  <c r="P1171"/>
  <c r="I1171"/>
  <c r="R1170"/>
  <c r="Q1170"/>
  <c r="P1170"/>
  <c r="I1170"/>
  <c r="R1169"/>
  <c r="Q1169"/>
  <c r="P1169"/>
  <c r="I1169"/>
  <c r="R1168"/>
  <c r="Q1168"/>
  <c r="P1168"/>
  <c r="I1168"/>
  <c r="R1167"/>
  <c r="Q1167"/>
  <c r="P1167"/>
  <c r="I1167"/>
  <c r="R1166"/>
  <c r="Q1166"/>
  <c r="P1166"/>
  <c r="I1166"/>
  <c r="R1165"/>
  <c r="Q1165"/>
  <c r="P1165"/>
  <c r="I1165"/>
  <c r="R1164"/>
  <c r="Q1164"/>
  <c r="P1164"/>
  <c r="I1164"/>
  <c r="Q1163"/>
  <c r="P1163"/>
  <c r="I1163"/>
  <c r="I1162"/>
  <c r="I1161"/>
  <c r="R1160"/>
  <c r="Q1160"/>
  <c r="P1160"/>
  <c r="I1160"/>
  <c r="R1159"/>
  <c r="Q1159"/>
  <c r="P1159"/>
  <c r="I1159"/>
  <c r="R1158"/>
  <c r="Q1158"/>
  <c r="P1158"/>
  <c r="I1158"/>
  <c r="R1157"/>
  <c r="Q1157"/>
  <c r="P1157"/>
  <c r="I1157"/>
  <c r="R1156"/>
  <c r="Q1156"/>
  <c r="P1156"/>
  <c r="I1156"/>
  <c r="R1155"/>
  <c r="Q1155"/>
  <c r="P1155"/>
  <c r="I1155"/>
  <c r="R1154"/>
  <c r="Q1154"/>
  <c r="P1154"/>
  <c r="I1154"/>
  <c r="R1153"/>
  <c r="Q1153"/>
  <c r="P1153"/>
  <c r="I1153"/>
  <c r="R1152"/>
  <c r="Q1152"/>
  <c r="P1152"/>
  <c r="I1152"/>
  <c r="R1151"/>
  <c r="Q1151"/>
  <c r="P1151"/>
  <c r="I1151"/>
  <c r="R1150"/>
  <c r="Q1150"/>
  <c r="P1150"/>
  <c r="I1150"/>
  <c r="R1149"/>
  <c r="Q1149"/>
  <c r="P1149"/>
  <c r="I1149"/>
  <c r="R1148"/>
  <c r="Q1148"/>
  <c r="P1148"/>
  <c r="I1148"/>
  <c r="R1147"/>
  <c r="Q1147"/>
  <c r="P1147"/>
  <c r="I1147"/>
  <c r="R1146"/>
  <c r="Q1146"/>
  <c r="P1146"/>
  <c r="I1146"/>
  <c r="R1145"/>
  <c r="Q1145"/>
  <c r="P1145"/>
  <c r="I1145"/>
  <c r="Q1161" l="1"/>
  <c r="I1174"/>
  <c r="T1145"/>
  <c r="Q1162"/>
  <c r="P1162"/>
  <c r="P1161"/>
  <c r="P1174"/>
  <c r="T1146"/>
  <c r="T1147"/>
  <c r="T1148"/>
  <c r="T1149"/>
  <c r="T1150"/>
  <c r="T1151"/>
  <c r="T1152"/>
  <c r="T1187"/>
  <c r="T1188"/>
  <c r="T1189"/>
  <c r="T1190"/>
  <c r="T1191"/>
  <c r="T1192"/>
  <c r="T1193"/>
  <c r="T1194"/>
  <c r="T1195"/>
  <c r="T1196"/>
  <c r="T1197"/>
  <c r="T1198"/>
  <c r="T1199"/>
  <c r="T1200"/>
  <c r="T1201"/>
  <c r="T1202"/>
  <c r="T1153"/>
  <c r="T1154"/>
  <c r="T1155"/>
  <c r="T1156"/>
  <c r="T1157"/>
  <c r="T1158"/>
  <c r="T1159"/>
  <c r="T1160"/>
  <c r="T1161"/>
  <c r="T1162"/>
  <c r="T1163"/>
  <c r="T1164"/>
  <c r="T1165"/>
  <c r="T1166"/>
  <c r="T1167"/>
  <c r="T1168"/>
  <c r="T1169"/>
  <c r="T1170"/>
  <c r="T1171"/>
  <c r="T1172"/>
  <c r="T1173"/>
  <c r="T1174"/>
  <c r="T1175"/>
  <c r="T1176"/>
  <c r="T1177"/>
  <c r="T1178"/>
  <c r="T1179"/>
  <c r="T1180"/>
  <c r="T1181"/>
  <c r="T1182"/>
  <c r="T1183"/>
  <c r="T1184"/>
  <c r="T1185"/>
  <c r="T1186"/>
  <c r="N1116" l="1"/>
  <c r="N236" i="6" l="1"/>
  <c r="N233"/>
  <c r="L233"/>
  <c r="L348" l="1"/>
  <c r="L347"/>
  <c r="L346"/>
  <c r="L345"/>
  <c r="L344"/>
  <c r="L343"/>
  <c r="L342"/>
  <c r="L341"/>
  <c r="L340"/>
  <c r="L339"/>
  <c r="L338"/>
  <c r="L337"/>
  <c r="L336"/>
  <c r="L335"/>
  <c r="L334"/>
  <c r="L333"/>
  <c r="L332"/>
  <c r="L331"/>
  <c r="L330"/>
  <c r="L329"/>
  <c r="L328"/>
  <c r="L327"/>
  <c r="L326"/>
  <c r="L325"/>
  <c r="L324"/>
  <c r="L323"/>
  <c r="L322"/>
  <c r="L321"/>
  <c r="L320"/>
  <c r="L319"/>
  <c r="L318"/>
  <c r="L317"/>
  <c r="L316"/>
  <c r="L315"/>
  <c r="L314"/>
  <c r="L313"/>
  <c r="L312"/>
  <c r="L311"/>
  <c r="L310"/>
  <c r="L309"/>
  <c r="L308"/>
  <c r="L307"/>
  <c r="L306"/>
  <c r="L305"/>
  <c r="L304"/>
  <c r="L303"/>
  <c r="L302"/>
  <c r="L301"/>
  <c r="L300"/>
  <c r="L299"/>
  <c r="L298"/>
  <c r="L297"/>
  <c r="L296"/>
  <c r="L295"/>
  <c r="L294"/>
  <c r="L293"/>
  <c r="L292"/>
  <c r="L291"/>
  <c r="L290"/>
  <c r="L289"/>
  <c r="L288"/>
  <c r="L287"/>
  <c r="L286"/>
  <c r="L285"/>
  <c r="L284"/>
  <c r="L283"/>
  <c r="L282"/>
  <c r="L281"/>
  <c r="L280"/>
  <c r="L279"/>
  <c r="L278"/>
  <c r="L277"/>
  <c r="L276"/>
  <c r="L275"/>
  <c r="L274"/>
  <c r="L273"/>
  <c r="L272"/>
  <c r="L271"/>
  <c r="L270"/>
  <c r="L269"/>
  <c r="L268"/>
  <c r="L267"/>
  <c r="L266"/>
  <c r="L265"/>
  <c r="L264"/>
  <c r="L263"/>
  <c r="L262"/>
  <c r="L261"/>
  <c r="L260"/>
  <c r="L259"/>
  <c r="L258"/>
  <c r="L257"/>
  <c r="L256"/>
  <c r="L255"/>
  <c r="L254"/>
  <c r="L253"/>
  <c r="L252"/>
  <c r="L251"/>
  <c r="L250"/>
  <c r="L249"/>
  <c r="L248"/>
  <c r="L247"/>
  <c r="L246"/>
  <c r="L245"/>
  <c r="L244"/>
  <c r="L243"/>
  <c r="L242"/>
  <c r="L241"/>
  <c r="L240"/>
  <c r="L239"/>
  <c r="L238"/>
  <c r="R404"/>
  <c r="Q404"/>
  <c r="P404"/>
  <c r="I404"/>
  <c r="R403"/>
  <c r="Q403"/>
  <c r="P403"/>
  <c r="I403"/>
  <c r="R402"/>
  <c r="Q402"/>
  <c r="P402"/>
  <c r="I402"/>
  <c r="R401"/>
  <c r="Q401"/>
  <c r="P401"/>
  <c r="I401"/>
  <c r="R400"/>
  <c r="Q400"/>
  <c r="P400"/>
  <c r="I400"/>
  <c r="R351"/>
  <c r="Q351"/>
  <c r="P351"/>
  <c r="I351"/>
  <c r="R350"/>
  <c r="Q350"/>
  <c r="P350"/>
  <c r="I350"/>
  <c r="R407"/>
  <c r="Q407"/>
  <c r="P407"/>
  <c r="R406"/>
  <c r="Q406"/>
  <c r="P406"/>
  <c r="R405"/>
  <c r="Q405"/>
  <c r="P405"/>
  <c r="R348"/>
  <c r="Q348"/>
  <c r="P348"/>
  <c r="I348"/>
  <c r="R347"/>
  <c r="Q347"/>
  <c r="P347"/>
  <c r="I347"/>
  <c r="R346"/>
  <c r="Q346"/>
  <c r="P346"/>
  <c r="I346"/>
  <c r="R345"/>
  <c r="Q345"/>
  <c r="P345"/>
  <c r="I345"/>
  <c r="R344"/>
  <c r="Q344"/>
  <c r="P344"/>
  <c r="I344"/>
  <c r="R343"/>
  <c r="Q343"/>
  <c r="P343"/>
  <c r="I343"/>
  <c r="R342"/>
  <c r="Q342"/>
  <c r="P342"/>
  <c r="I342"/>
  <c r="R341"/>
  <c r="Q341"/>
  <c r="P341"/>
  <c r="I341"/>
  <c r="R340"/>
  <c r="Q340"/>
  <c r="P340"/>
  <c r="I340"/>
  <c r="R339"/>
  <c r="Q339"/>
  <c r="P339"/>
  <c r="I339"/>
  <c r="R338"/>
  <c r="Q338"/>
  <c r="P338"/>
  <c r="I338"/>
  <c r="S408"/>
  <c r="W408"/>
  <c r="G332"/>
  <c r="G326"/>
  <c r="G321"/>
  <c r="G293"/>
  <c r="G408" l="1"/>
  <c r="T350"/>
  <c r="T351"/>
  <c r="T400"/>
  <c r="T401"/>
  <c r="T402"/>
  <c r="T403"/>
  <c r="T404"/>
  <c r="T338"/>
  <c r="T339"/>
  <c r="T340"/>
  <c r="T341"/>
  <c r="T342"/>
  <c r="T343"/>
  <c r="T344"/>
  <c r="T345"/>
  <c r="T346"/>
  <c r="T347"/>
  <c r="T348"/>
  <c r="T405"/>
  <c r="T406"/>
  <c r="T407"/>
  <c r="W340" l="1"/>
  <c r="W339"/>
  <c r="W338"/>
  <c r="R337"/>
  <c r="Q337"/>
  <c r="P337"/>
  <c r="I337"/>
  <c r="R336"/>
  <c r="Q336"/>
  <c r="P336"/>
  <c r="I336"/>
  <c r="R335"/>
  <c r="Q335"/>
  <c r="P335"/>
  <c r="I335"/>
  <c r="R334"/>
  <c r="Q334"/>
  <c r="P334"/>
  <c r="I334"/>
  <c r="R333"/>
  <c r="Q333"/>
  <c r="P333"/>
  <c r="I333"/>
  <c r="R332"/>
  <c r="Q332"/>
  <c r="P332"/>
  <c r="I332"/>
  <c r="R331"/>
  <c r="Q331"/>
  <c r="P331"/>
  <c r="I331"/>
  <c r="R330"/>
  <c r="Q330"/>
  <c r="P330"/>
  <c r="I330"/>
  <c r="R329"/>
  <c r="Q329"/>
  <c r="P329"/>
  <c r="I329"/>
  <c r="R328"/>
  <c r="Q328"/>
  <c r="P328"/>
  <c r="I328"/>
  <c r="R327"/>
  <c r="Q327"/>
  <c r="P327"/>
  <c r="I327"/>
  <c r="R326"/>
  <c r="Q326"/>
  <c r="P326"/>
  <c r="I326"/>
  <c r="R325"/>
  <c r="Q325"/>
  <c r="P325"/>
  <c r="I325"/>
  <c r="R324"/>
  <c r="Q324"/>
  <c r="P324"/>
  <c r="I324"/>
  <c r="R323"/>
  <c r="Q323"/>
  <c r="P323"/>
  <c r="I323"/>
  <c r="R322"/>
  <c r="Q322"/>
  <c r="P322"/>
  <c r="I322"/>
  <c r="R321"/>
  <c r="Q321"/>
  <c r="P321"/>
  <c r="I321"/>
  <c r="R320"/>
  <c r="Q320"/>
  <c r="P320"/>
  <c r="I320"/>
  <c r="R319"/>
  <c r="Q319"/>
  <c r="P319"/>
  <c r="I319"/>
  <c r="R318"/>
  <c r="Q318"/>
  <c r="P318"/>
  <c r="I318"/>
  <c r="R317"/>
  <c r="Q317"/>
  <c r="P317"/>
  <c r="I317"/>
  <c r="R316"/>
  <c r="Q316"/>
  <c r="P316"/>
  <c r="I316"/>
  <c r="R315"/>
  <c r="Q315"/>
  <c r="P315"/>
  <c r="I315"/>
  <c r="R314"/>
  <c r="Q314"/>
  <c r="P314"/>
  <c r="I314"/>
  <c r="R313"/>
  <c r="Q313"/>
  <c r="P313"/>
  <c r="I313"/>
  <c r="R312"/>
  <c r="Q312"/>
  <c r="P312"/>
  <c r="I312"/>
  <c r="R311"/>
  <c r="Q311"/>
  <c r="P311"/>
  <c r="I311"/>
  <c r="R310"/>
  <c r="Q310"/>
  <c r="P310"/>
  <c r="I310"/>
  <c r="R309"/>
  <c r="Q309"/>
  <c r="P309"/>
  <c r="I309"/>
  <c r="R308"/>
  <c r="Q308"/>
  <c r="P308"/>
  <c r="I308"/>
  <c r="R307"/>
  <c r="Q307"/>
  <c r="P307"/>
  <c r="I307"/>
  <c r="R306"/>
  <c r="Q306"/>
  <c r="P306"/>
  <c r="I306"/>
  <c r="R305"/>
  <c r="Q305"/>
  <c r="P305"/>
  <c r="I305"/>
  <c r="R304"/>
  <c r="Q304"/>
  <c r="P304"/>
  <c r="I304"/>
  <c r="R303"/>
  <c r="Q303"/>
  <c r="P303"/>
  <c r="I303"/>
  <c r="R302"/>
  <c r="Q302"/>
  <c r="P302"/>
  <c r="I302"/>
  <c r="R301"/>
  <c r="Q301"/>
  <c r="P301"/>
  <c r="I301"/>
  <c r="R300"/>
  <c r="Q300"/>
  <c r="P300"/>
  <c r="I300"/>
  <c r="R299"/>
  <c r="Q299"/>
  <c r="P299"/>
  <c r="I299"/>
  <c r="R298"/>
  <c r="Q298"/>
  <c r="P298"/>
  <c r="I298"/>
  <c r="R297"/>
  <c r="Q297"/>
  <c r="P297"/>
  <c r="I297"/>
  <c r="R296"/>
  <c r="Q296"/>
  <c r="P296"/>
  <c r="I296"/>
  <c r="R295"/>
  <c r="Q295"/>
  <c r="P295"/>
  <c r="I295"/>
  <c r="R294"/>
  <c r="Q294"/>
  <c r="P294"/>
  <c r="I294"/>
  <c r="R293"/>
  <c r="Q293"/>
  <c r="P293"/>
  <c r="I293"/>
  <c r="R292"/>
  <c r="Q292"/>
  <c r="P292"/>
  <c r="I292"/>
  <c r="C291"/>
  <c r="C284"/>
  <c r="C289"/>
  <c r="C286"/>
  <c r="C287" s="1"/>
  <c r="C271"/>
  <c r="C273"/>
  <c r="C276"/>
  <c r="C263"/>
  <c r="C261"/>
  <c r="C269"/>
  <c r="C277"/>
  <c r="C267"/>
  <c r="C265"/>
  <c r="C259"/>
  <c r="C279"/>
  <c r="C280" s="1"/>
  <c r="C245"/>
  <c r="C249"/>
  <c r="C253"/>
  <c r="C255"/>
  <c r="C251"/>
  <c r="C247"/>
  <c r="C257"/>
  <c r="C240"/>
  <c r="C241" s="1"/>
  <c r="C243"/>
  <c r="R284"/>
  <c r="Q284"/>
  <c r="P284"/>
  <c r="I284"/>
  <c r="R283"/>
  <c r="Q283"/>
  <c r="P283"/>
  <c r="I283"/>
  <c r="R289"/>
  <c r="Q289"/>
  <c r="P289"/>
  <c r="I289"/>
  <c r="R288"/>
  <c r="Q288"/>
  <c r="P288"/>
  <c r="I288"/>
  <c r="R287"/>
  <c r="Q287"/>
  <c r="P287"/>
  <c r="I287"/>
  <c r="R282"/>
  <c r="Q282"/>
  <c r="P282"/>
  <c r="I282"/>
  <c r="Q280"/>
  <c r="P280"/>
  <c r="I280"/>
  <c r="R281"/>
  <c r="Q281"/>
  <c r="P281"/>
  <c r="I281"/>
  <c r="R286"/>
  <c r="Q286"/>
  <c r="P286"/>
  <c r="I286"/>
  <c r="R285"/>
  <c r="Q285"/>
  <c r="P285"/>
  <c r="I285"/>
  <c r="R271"/>
  <c r="Q271"/>
  <c r="P271"/>
  <c r="I271"/>
  <c r="R270"/>
  <c r="Q270"/>
  <c r="P270"/>
  <c r="I270"/>
  <c r="R273"/>
  <c r="Q273"/>
  <c r="P273"/>
  <c r="I273"/>
  <c r="R272"/>
  <c r="Q272"/>
  <c r="P272"/>
  <c r="I272"/>
  <c r="R276"/>
  <c r="Q276"/>
  <c r="P276"/>
  <c r="I276"/>
  <c r="R275"/>
  <c r="Q275"/>
  <c r="P275"/>
  <c r="I275"/>
  <c r="R263"/>
  <c r="Q263"/>
  <c r="P263"/>
  <c r="I263"/>
  <c r="R262"/>
  <c r="Q262"/>
  <c r="P262"/>
  <c r="I262"/>
  <c r="R261"/>
  <c r="Q261"/>
  <c r="P261"/>
  <c r="I261"/>
  <c r="R260"/>
  <c r="Q260"/>
  <c r="P260"/>
  <c r="I260"/>
  <c r="R269"/>
  <c r="Q269"/>
  <c r="P269"/>
  <c r="I269"/>
  <c r="R268"/>
  <c r="Q268"/>
  <c r="P268"/>
  <c r="I268"/>
  <c r="R277"/>
  <c r="Q277"/>
  <c r="P277"/>
  <c r="I277"/>
  <c r="R274"/>
  <c r="Q274"/>
  <c r="P274"/>
  <c r="I274"/>
  <c r="R267"/>
  <c r="Q267"/>
  <c r="P267"/>
  <c r="I267"/>
  <c r="R266"/>
  <c r="Q266"/>
  <c r="P266"/>
  <c r="I266"/>
  <c r="R265"/>
  <c r="Q265"/>
  <c r="P265"/>
  <c r="I265"/>
  <c r="R264"/>
  <c r="Q264"/>
  <c r="P264"/>
  <c r="I264"/>
  <c r="R259"/>
  <c r="Q259"/>
  <c r="P259"/>
  <c r="I259"/>
  <c r="R258"/>
  <c r="Q258"/>
  <c r="P258"/>
  <c r="I258"/>
  <c r="R279"/>
  <c r="Q279"/>
  <c r="P279"/>
  <c r="I279"/>
  <c r="R278"/>
  <c r="Q278"/>
  <c r="P278"/>
  <c r="I278"/>
  <c r="R245"/>
  <c r="Q245"/>
  <c r="P245"/>
  <c r="I245"/>
  <c r="R244"/>
  <c r="Q244"/>
  <c r="P244"/>
  <c r="I244"/>
  <c r="I249"/>
  <c r="R248"/>
  <c r="Q248"/>
  <c r="P248"/>
  <c r="I248"/>
  <c r="R253"/>
  <c r="Q253"/>
  <c r="P253"/>
  <c r="I253"/>
  <c r="R252"/>
  <c r="Q252"/>
  <c r="P252"/>
  <c r="I252"/>
  <c r="R255"/>
  <c r="Q255"/>
  <c r="P255"/>
  <c r="I255"/>
  <c r="R254"/>
  <c r="Q254"/>
  <c r="P254"/>
  <c r="I254"/>
  <c r="R251"/>
  <c r="Q251"/>
  <c r="P251"/>
  <c r="I251"/>
  <c r="R250"/>
  <c r="Q250"/>
  <c r="P250"/>
  <c r="I250"/>
  <c r="R247"/>
  <c r="Q247"/>
  <c r="P247"/>
  <c r="I247"/>
  <c r="R246"/>
  <c r="Q246"/>
  <c r="P246"/>
  <c r="I246"/>
  <c r="R257"/>
  <c r="Q257"/>
  <c r="P257"/>
  <c r="I257"/>
  <c r="R256"/>
  <c r="Q256"/>
  <c r="P256"/>
  <c r="I256"/>
  <c r="R240"/>
  <c r="Q240"/>
  <c r="P240"/>
  <c r="I240"/>
  <c r="R239"/>
  <c r="Q239"/>
  <c r="P239"/>
  <c r="I239"/>
  <c r="I243"/>
  <c r="R242"/>
  <c r="Q242"/>
  <c r="P242"/>
  <c r="I242"/>
  <c r="R241"/>
  <c r="Q241"/>
  <c r="P241"/>
  <c r="I241"/>
  <c r="R238"/>
  <c r="Q238"/>
  <c r="P238"/>
  <c r="I238"/>
  <c r="R237"/>
  <c r="Q237"/>
  <c r="P237"/>
  <c r="T292" l="1"/>
  <c r="W292" s="1"/>
  <c r="T293"/>
  <c r="W293" s="1"/>
  <c r="T294"/>
  <c r="W294" s="1"/>
  <c r="T295"/>
  <c r="W295" s="1"/>
  <c r="T296"/>
  <c r="W296" s="1"/>
  <c r="T297"/>
  <c r="W297" s="1"/>
  <c r="T298"/>
  <c r="W298" s="1"/>
  <c r="T299"/>
  <c r="W299" s="1"/>
  <c r="T300"/>
  <c r="W300" s="1"/>
  <c r="T301"/>
  <c r="W301" s="1"/>
  <c r="T302"/>
  <c r="W302" s="1"/>
  <c r="T303"/>
  <c r="W303" s="1"/>
  <c r="T304"/>
  <c r="W304" s="1"/>
  <c r="T305"/>
  <c r="W305" s="1"/>
  <c r="T306"/>
  <c r="W306" s="1"/>
  <c r="T307"/>
  <c r="W307" s="1"/>
  <c r="T308"/>
  <c r="W308" s="1"/>
  <c r="T309"/>
  <c r="W309" s="1"/>
  <c r="T310"/>
  <c r="W310" s="1"/>
  <c r="T311"/>
  <c r="W311" s="1"/>
  <c r="T312"/>
  <c r="W312" s="1"/>
  <c r="T313"/>
  <c r="W313" s="1"/>
  <c r="T314"/>
  <c r="W314" s="1"/>
  <c r="T315"/>
  <c r="W315" s="1"/>
  <c r="T316"/>
  <c r="W316" s="1"/>
  <c r="T317"/>
  <c r="W317" s="1"/>
  <c r="T318"/>
  <c r="W318" s="1"/>
  <c r="T319"/>
  <c r="W319" s="1"/>
  <c r="T320"/>
  <c r="W320" s="1"/>
  <c r="T321"/>
  <c r="W321" s="1"/>
  <c r="T322"/>
  <c r="W322" s="1"/>
  <c r="T323"/>
  <c r="W323" s="1"/>
  <c r="T324"/>
  <c r="W324" s="1"/>
  <c r="T325"/>
  <c r="W325" s="1"/>
  <c r="T326"/>
  <c r="W326" s="1"/>
  <c r="T327"/>
  <c r="W327" s="1"/>
  <c r="T328"/>
  <c r="W328" s="1"/>
  <c r="T329"/>
  <c r="W329" s="1"/>
  <c r="T330"/>
  <c r="W330" s="1"/>
  <c r="T331"/>
  <c r="W331" s="1"/>
  <c r="T332"/>
  <c r="W332" s="1"/>
  <c r="T333"/>
  <c r="W333" s="1"/>
  <c r="T334"/>
  <c r="W334" s="1"/>
  <c r="T335"/>
  <c r="W335" s="1"/>
  <c r="T336"/>
  <c r="W336" s="1"/>
  <c r="T337"/>
  <c r="W337" s="1"/>
  <c r="T237"/>
  <c r="W237" s="1"/>
  <c r="T246"/>
  <c r="W246" s="1"/>
  <c r="T247"/>
  <c r="W247" s="1"/>
  <c r="T245"/>
  <c r="W245" s="1"/>
  <c r="T284"/>
  <c r="W284" s="1"/>
  <c r="W341"/>
  <c r="T289"/>
  <c r="W289" s="1"/>
  <c r="T288"/>
  <c r="W288" s="1"/>
  <c r="T287"/>
  <c r="W287" s="1"/>
  <c r="T286"/>
  <c r="W286" s="1"/>
  <c r="T285"/>
  <c r="W285" s="1"/>
  <c r="T283"/>
  <c r="W283" s="1"/>
  <c r="T282"/>
  <c r="W282" s="1"/>
  <c r="T280"/>
  <c r="W280" s="1"/>
  <c r="T281"/>
  <c r="W281" s="1"/>
  <c r="T279"/>
  <c r="W279" s="1"/>
  <c r="T278"/>
  <c r="W278" s="1"/>
  <c r="T277"/>
  <c r="W277" s="1"/>
  <c r="T276"/>
  <c r="W276" s="1"/>
  <c r="T275"/>
  <c r="W275" s="1"/>
  <c r="T274"/>
  <c r="W274" s="1"/>
  <c r="T273"/>
  <c r="W273" s="1"/>
  <c r="T272"/>
  <c r="W272" s="1"/>
  <c r="T271"/>
  <c r="W271" s="1"/>
  <c r="T270"/>
  <c r="W270" s="1"/>
  <c r="T269"/>
  <c r="W269" s="1"/>
  <c r="T268"/>
  <c r="W268" s="1"/>
  <c r="T267"/>
  <c r="W267" s="1"/>
  <c r="T266"/>
  <c r="W266" s="1"/>
  <c r="T265"/>
  <c r="W265" s="1"/>
  <c r="T264"/>
  <c r="W264" s="1"/>
  <c r="T263"/>
  <c r="W263" s="1"/>
  <c r="T262"/>
  <c r="W262" s="1"/>
  <c r="T261"/>
  <c r="W261" s="1"/>
  <c r="T260"/>
  <c r="W260" s="1"/>
  <c r="T259"/>
  <c r="W259" s="1"/>
  <c r="T258"/>
  <c r="W258" s="1"/>
  <c r="T257"/>
  <c r="W257" s="1"/>
  <c r="T256"/>
  <c r="W256" s="1"/>
  <c r="T255"/>
  <c r="W255" s="1"/>
  <c r="T254"/>
  <c r="W254" s="1"/>
  <c r="T253"/>
  <c r="W253" s="1"/>
  <c r="T252"/>
  <c r="W252" s="1"/>
  <c r="T251"/>
  <c r="W251" s="1"/>
  <c r="T250"/>
  <c r="W250" s="1"/>
  <c r="T249"/>
  <c r="W249" s="1"/>
  <c r="T248"/>
  <c r="W248" s="1"/>
  <c r="T244"/>
  <c r="W244" s="1"/>
  <c r="T243"/>
  <c r="W243" s="1"/>
  <c r="T242"/>
  <c r="W242" s="1"/>
  <c r="T241"/>
  <c r="W241" s="1"/>
  <c r="T240"/>
  <c r="W240" s="1"/>
  <c r="T239"/>
  <c r="W239" s="1"/>
  <c r="T238"/>
  <c r="W238" s="1"/>
  <c r="N231" l="1"/>
  <c r="N229" l="1"/>
  <c r="N228" l="1"/>
  <c r="N227"/>
  <c r="N226"/>
  <c r="N1107" i="1" l="1"/>
  <c r="R1108"/>
  <c r="P1109"/>
  <c r="Q1109"/>
  <c r="R1109"/>
  <c r="P1110"/>
  <c r="Q1110"/>
  <c r="R1110"/>
  <c r="P1113"/>
  <c r="Q1113"/>
  <c r="R1113"/>
  <c r="Q1108" l="1"/>
  <c r="P1108"/>
  <c r="L225" i="6"/>
  <c r="N223"/>
  <c r="N1106" i="1"/>
  <c r="N1103" l="1"/>
  <c r="N1099"/>
  <c r="N1101" l="1"/>
  <c r="N222" i="6" l="1"/>
  <c r="N1098" i="1"/>
  <c r="N1097"/>
  <c r="N1095" l="1"/>
  <c r="N1094"/>
  <c r="N221" i="6" l="1"/>
  <c r="N1093" i="1" l="1"/>
  <c r="N220" i="6" l="1"/>
  <c r="N218" l="1"/>
  <c r="N217" l="1"/>
  <c r="N1092" i="1" l="1"/>
  <c r="N1091" l="1"/>
  <c r="N1090"/>
  <c r="N1088"/>
  <c r="N1086"/>
  <c r="N1084"/>
  <c r="N1081" l="1"/>
  <c r="N1080" l="1"/>
  <c r="N1079"/>
  <c r="N1078"/>
  <c r="N1077" l="1"/>
  <c r="N1075"/>
  <c r="N216" i="6" l="1"/>
  <c r="N215" l="1"/>
  <c r="P1076" i="1"/>
  <c r="N1074" l="1"/>
  <c r="N1073"/>
  <c r="N1072"/>
  <c r="N1071"/>
  <c r="N1070" l="1"/>
  <c r="N1069"/>
  <c r="N1068"/>
  <c r="N213" i="6"/>
  <c r="N1067" i="1" l="1"/>
  <c r="N1066"/>
  <c r="N1065" l="1"/>
  <c r="N1064" l="1"/>
  <c r="N1062" l="1"/>
  <c r="N1061" l="1"/>
  <c r="N1060" l="1"/>
  <c r="N1057"/>
  <c r="N1055"/>
  <c r="N1054" l="1"/>
  <c r="N1053" l="1"/>
  <c r="N1052"/>
  <c r="N1051" l="1"/>
  <c r="N1050"/>
  <c r="N212" i="6"/>
  <c r="N211"/>
  <c r="N1049" i="1" l="1"/>
  <c r="N1047"/>
  <c r="N1045" l="1"/>
  <c r="N1044"/>
  <c r="N1043" l="1"/>
  <c r="N1042" l="1"/>
  <c r="N1041"/>
  <c r="N1038" l="1"/>
  <c r="N1039"/>
  <c r="N1037"/>
  <c r="N1036" l="1"/>
  <c r="N1035"/>
  <c r="N1034"/>
  <c r="N1033" l="1"/>
  <c r="N1032"/>
  <c r="N1030" l="1"/>
  <c r="N1029" l="1"/>
  <c r="N1026" l="1"/>
  <c r="N1025" l="1"/>
  <c r="N1023" l="1"/>
  <c r="N1022" l="1"/>
  <c r="Q1019" l="1"/>
  <c r="N1021" l="1"/>
  <c r="N1020"/>
  <c r="N1019"/>
  <c r="N1018"/>
  <c r="N210" i="6" l="1"/>
  <c r="N209"/>
  <c r="N1017" i="1" l="1"/>
  <c r="N1016" l="1"/>
  <c r="N1015" l="1"/>
  <c r="N1014" l="1"/>
  <c r="N1013"/>
  <c r="N1012"/>
  <c r="N1010" l="1"/>
  <c r="L1143"/>
  <c r="L1142"/>
  <c r="L1141"/>
  <c r="L1139"/>
  <c r="L1138"/>
  <c r="L1137"/>
  <c r="L1136"/>
  <c r="L1135"/>
  <c r="L1134"/>
  <c r="L1133"/>
  <c r="L1132"/>
  <c r="L1131"/>
  <c r="L1130"/>
  <c r="L1129"/>
  <c r="L1128"/>
  <c r="L1127"/>
  <c r="L1126"/>
  <c r="L1125"/>
  <c r="L1124"/>
  <c r="L1123"/>
  <c r="L1122"/>
  <c r="L1121"/>
  <c r="L1120"/>
  <c r="L1119"/>
  <c r="L1118"/>
  <c r="L1117"/>
  <c r="L1116"/>
  <c r="L1115"/>
  <c r="L1114"/>
  <c r="L1113"/>
  <c r="L1112"/>
  <c r="L1111"/>
  <c r="L1110"/>
  <c r="L1109"/>
  <c r="L1108"/>
  <c r="L1107"/>
  <c r="L1106"/>
  <c r="L1105"/>
  <c r="L1104"/>
  <c r="L1103"/>
  <c r="L1102"/>
  <c r="L1101"/>
  <c r="L1100"/>
  <c r="L1099"/>
  <c r="L1098"/>
  <c r="L1097"/>
  <c r="L1096"/>
  <c r="L1095"/>
  <c r="L1094"/>
  <c r="L1093"/>
  <c r="L1092"/>
  <c r="L1091"/>
  <c r="L1090"/>
  <c r="L1089"/>
  <c r="L1088"/>
  <c r="L1087"/>
  <c r="L1086"/>
  <c r="L1085"/>
  <c r="L1084"/>
  <c r="L1083"/>
  <c r="L1081"/>
  <c r="L1080"/>
  <c r="L1079"/>
  <c r="L1078"/>
  <c r="L1077"/>
  <c r="L1076"/>
  <c r="L1075"/>
  <c r="L1074"/>
  <c r="L1073"/>
  <c r="L1072"/>
  <c r="L1071"/>
  <c r="L1070"/>
  <c r="L1069"/>
  <c r="L1068"/>
  <c r="L1067"/>
  <c r="L1066"/>
  <c r="L1065"/>
  <c r="L1064"/>
  <c r="L1063"/>
  <c r="L1062"/>
  <c r="L1061"/>
  <c r="L1060"/>
  <c r="L1059"/>
  <c r="L1057"/>
  <c r="L1056"/>
  <c r="L1055"/>
  <c r="L1054"/>
  <c r="L1053"/>
  <c r="L1052"/>
  <c r="L1051"/>
  <c r="L1050"/>
  <c r="L1049"/>
  <c r="L1048"/>
  <c r="L1047"/>
  <c r="L1046"/>
  <c r="L1045"/>
  <c r="L1044"/>
  <c r="L1043"/>
  <c r="L1042"/>
  <c r="L1041"/>
  <c r="L1040"/>
  <c r="L1039"/>
  <c r="L1038"/>
  <c r="L1037"/>
  <c r="L1036"/>
  <c r="L1035"/>
  <c r="L1034"/>
  <c r="L1033"/>
  <c r="L1032"/>
  <c r="L1031"/>
  <c r="L1030"/>
  <c r="L1029"/>
  <c r="G1081"/>
  <c r="Q1081" s="1"/>
  <c r="G1057"/>
  <c r="I1057" s="1"/>
  <c r="R1036"/>
  <c r="Q1036"/>
  <c r="P1036"/>
  <c r="I1036"/>
  <c r="R1035"/>
  <c r="Q1035"/>
  <c r="P1035"/>
  <c r="I1035"/>
  <c r="R1034"/>
  <c r="Q1034"/>
  <c r="P1034"/>
  <c r="I1034"/>
  <c r="R1033"/>
  <c r="Q1033"/>
  <c r="P1033"/>
  <c r="I1033"/>
  <c r="R1032"/>
  <c r="Q1032"/>
  <c r="P1032"/>
  <c r="I1032"/>
  <c r="R1031"/>
  <c r="Q1031"/>
  <c r="P1031"/>
  <c r="I1031"/>
  <c r="R1030"/>
  <c r="Q1030"/>
  <c r="P1030"/>
  <c r="I1030"/>
  <c r="R1029"/>
  <c r="Q1029"/>
  <c r="P1029"/>
  <c r="I1029"/>
  <c r="R1048"/>
  <c r="Q1048"/>
  <c r="P1048"/>
  <c r="I1048"/>
  <c r="R1047"/>
  <c r="Q1047"/>
  <c r="P1047"/>
  <c r="I1047"/>
  <c r="R1046"/>
  <c r="Q1046"/>
  <c r="P1046"/>
  <c r="I1046"/>
  <c r="R1045"/>
  <c r="Q1045"/>
  <c r="P1045"/>
  <c r="I1045"/>
  <c r="R1044"/>
  <c r="Q1044"/>
  <c r="P1044"/>
  <c r="I1044"/>
  <c r="R1043"/>
  <c r="Q1043"/>
  <c r="P1043"/>
  <c r="I1043"/>
  <c r="R1042"/>
  <c r="Q1042"/>
  <c r="P1042"/>
  <c r="I1042"/>
  <c r="R1041"/>
  <c r="Q1041"/>
  <c r="P1041"/>
  <c r="I1041"/>
  <c r="R1040"/>
  <c r="Q1040"/>
  <c r="P1040"/>
  <c r="I1040"/>
  <c r="R1039"/>
  <c r="Q1039"/>
  <c r="P1039"/>
  <c r="I1039"/>
  <c r="R1038"/>
  <c r="Q1038"/>
  <c r="P1038"/>
  <c r="I1038"/>
  <c r="R1037"/>
  <c r="Q1037"/>
  <c r="P1037"/>
  <c r="I1037"/>
  <c r="R1068"/>
  <c r="Q1068"/>
  <c r="P1068"/>
  <c r="I1068"/>
  <c r="R1067"/>
  <c r="Q1067"/>
  <c r="P1067"/>
  <c r="I1067"/>
  <c r="R1066"/>
  <c r="Q1066"/>
  <c r="P1066"/>
  <c r="I1066"/>
  <c r="R1065"/>
  <c r="Q1065"/>
  <c r="P1065"/>
  <c r="I1065"/>
  <c r="R1064"/>
  <c r="Q1064"/>
  <c r="P1064"/>
  <c r="I1064"/>
  <c r="R1063"/>
  <c r="Q1063"/>
  <c r="P1063"/>
  <c r="I1063"/>
  <c r="R1062"/>
  <c r="Q1062"/>
  <c r="P1062"/>
  <c r="I1062"/>
  <c r="R1061"/>
  <c r="Q1061"/>
  <c r="P1061"/>
  <c r="I1061"/>
  <c r="R1060"/>
  <c r="Q1060"/>
  <c r="P1060"/>
  <c r="I1060"/>
  <c r="R1059"/>
  <c r="Q1059"/>
  <c r="P1059"/>
  <c r="I1059"/>
  <c r="R1056"/>
  <c r="Q1056"/>
  <c r="P1056"/>
  <c r="I1056"/>
  <c r="R1055"/>
  <c r="Q1055"/>
  <c r="P1055"/>
  <c r="I1055"/>
  <c r="R1054"/>
  <c r="Q1054"/>
  <c r="P1054"/>
  <c r="I1054"/>
  <c r="R1053"/>
  <c r="Q1053"/>
  <c r="P1053"/>
  <c r="I1053"/>
  <c r="R1052"/>
  <c r="Q1052"/>
  <c r="P1052"/>
  <c r="I1052"/>
  <c r="R1051"/>
  <c r="Q1051"/>
  <c r="P1051"/>
  <c r="I1051"/>
  <c r="R1050"/>
  <c r="Q1050"/>
  <c r="P1050"/>
  <c r="I1050"/>
  <c r="R1049"/>
  <c r="Q1049"/>
  <c r="P1049"/>
  <c r="I1049"/>
  <c r="I1110"/>
  <c r="I1109"/>
  <c r="I1108"/>
  <c r="R1107"/>
  <c r="Q1107"/>
  <c r="P1107"/>
  <c r="I1107"/>
  <c r="R1106"/>
  <c r="Q1106"/>
  <c r="P1106"/>
  <c r="I1106"/>
  <c r="R1105"/>
  <c r="Q1105"/>
  <c r="P1105"/>
  <c r="I1105"/>
  <c r="R1104"/>
  <c r="Q1104"/>
  <c r="P1104"/>
  <c r="I1104"/>
  <c r="R1103"/>
  <c r="Q1103"/>
  <c r="P1103"/>
  <c r="I1103"/>
  <c r="R1102"/>
  <c r="Q1102"/>
  <c r="P1102"/>
  <c r="I1102"/>
  <c r="R1101"/>
  <c r="Q1101"/>
  <c r="P1101"/>
  <c r="I1101"/>
  <c r="R1100"/>
  <c r="Q1100"/>
  <c r="P1100"/>
  <c r="I1100"/>
  <c r="R1099"/>
  <c r="Q1099"/>
  <c r="P1099"/>
  <c r="I1099"/>
  <c r="R1098"/>
  <c r="Q1098"/>
  <c r="P1098"/>
  <c r="I1098"/>
  <c r="R1097"/>
  <c r="Q1097"/>
  <c r="P1097"/>
  <c r="I1097"/>
  <c r="R1096"/>
  <c r="Q1096"/>
  <c r="P1096"/>
  <c r="I1096"/>
  <c r="R1095"/>
  <c r="Q1095"/>
  <c r="P1095"/>
  <c r="I1095"/>
  <c r="R1094"/>
  <c r="Q1094"/>
  <c r="P1094"/>
  <c r="I1094"/>
  <c r="R1093"/>
  <c r="Q1093"/>
  <c r="P1093"/>
  <c r="I1093"/>
  <c r="R1092"/>
  <c r="Q1092"/>
  <c r="P1092"/>
  <c r="I1092"/>
  <c r="R1091"/>
  <c r="Q1091"/>
  <c r="P1091"/>
  <c r="I1091"/>
  <c r="R1090"/>
  <c r="Q1090"/>
  <c r="P1090"/>
  <c r="I1090"/>
  <c r="R1089"/>
  <c r="Q1089"/>
  <c r="P1089"/>
  <c r="I1089"/>
  <c r="R1088"/>
  <c r="Q1088"/>
  <c r="P1088"/>
  <c r="I1088"/>
  <c r="R1087"/>
  <c r="Q1087"/>
  <c r="P1087"/>
  <c r="I1087"/>
  <c r="R1086"/>
  <c r="Q1086"/>
  <c r="P1086"/>
  <c r="I1086"/>
  <c r="R1085"/>
  <c r="Q1085"/>
  <c r="P1085"/>
  <c r="I1085"/>
  <c r="R1084"/>
  <c r="Q1084"/>
  <c r="P1084"/>
  <c r="I1084"/>
  <c r="R1083"/>
  <c r="Q1083"/>
  <c r="P1083"/>
  <c r="I1083"/>
  <c r="R1080"/>
  <c r="Q1080"/>
  <c r="P1080"/>
  <c r="I1080"/>
  <c r="R1079"/>
  <c r="Q1079"/>
  <c r="P1079"/>
  <c r="I1079"/>
  <c r="R1078"/>
  <c r="Q1078"/>
  <c r="P1078"/>
  <c r="I1078"/>
  <c r="R1077"/>
  <c r="Q1077"/>
  <c r="P1077"/>
  <c r="I1077"/>
  <c r="I1076"/>
  <c r="R1075"/>
  <c r="Q1075"/>
  <c r="P1075"/>
  <c r="I1075"/>
  <c r="R1074"/>
  <c r="Q1074"/>
  <c r="P1074"/>
  <c r="I1074"/>
  <c r="R1073"/>
  <c r="Q1073"/>
  <c r="P1073"/>
  <c r="I1073"/>
  <c r="R1072"/>
  <c r="Q1072"/>
  <c r="P1072"/>
  <c r="I1072"/>
  <c r="R1071"/>
  <c r="Q1071"/>
  <c r="P1071"/>
  <c r="I1071"/>
  <c r="R1070"/>
  <c r="Q1070"/>
  <c r="P1070"/>
  <c r="I1070"/>
  <c r="R1069"/>
  <c r="Q1069"/>
  <c r="P1069"/>
  <c r="I1069"/>
  <c r="R1138"/>
  <c r="Q1138"/>
  <c r="P1138"/>
  <c r="I1138"/>
  <c r="R1137"/>
  <c r="Q1137"/>
  <c r="P1137"/>
  <c r="I1137"/>
  <c r="R1136"/>
  <c r="Q1136"/>
  <c r="P1136"/>
  <c r="I1136"/>
  <c r="R1135"/>
  <c r="Q1135"/>
  <c r="P1135"/>
  <c r="I1135"/>
  <c r="R1134"/>
  <c r="Q1134"/>
  <c r="P1134"/>
  <c r="I1134"/>
  <c r="R1133"/>
  <c r="Q1133"/>
  <c r="P1133"/>
  <c r="I1133"/>
  <c r="R1132"/>
  <c r="Q1132"/>
  <c r="P1132"/>
  <c r="I1132"/>
  <c r="R1131"/>
  <c r="Q1131"/>
  <c r="P1131"/>
  <c r="I1131"/>
  <c r="R1130"/>
  <c r="Q1130"/>
  <c r="P1130"/>
  <c r="I1130"/>
  <c r="R1129"/>
  <c r="Q1129"/>
  <c r="P1129"/>
  <c r="I1129"/>
  <c r="I1128"/>
  <c r="R1127"/>
  <c r="Q1127"/>
  <c r="P1127"/>
  <c r="I1127"/>
  <c r="I1126"/>
  <c r="I1125"/>
  <c r="R1124"/>
  <c r="Q1124"/>
  <c r="P1124"/>
  <c r="I1124"/>
  <c r="R1123"/>
  <c r="Q1123"/>
  <c r="P1123"/>
  <c r="I1123"/>
  <c r="I1122"/>
  <c r="R1121"/>
  <c r="Q1121"/>
  <c r="P1121"/>
  <c r="I1121"/>
  <c r="R1120"/>
  <c r="Q1120"/>
  <c r="P1120"/>
  <c r="I1120"/>
  <c r="R1119"/>
  <c r="Q1119"/>
  <c r="P1119"/>
  <c r="I1119"/>
  <c r="R1118"/>
  <c r="Q1118"/>
  <c r="P1118"/>
  <c r="I1118"/>
  <c r="R1117"/>
  <c r="Q1117"/>
  <c r="P1117"/>
  <c r="I1117"/>
  <c r="R1116"/>
  <c r="Q1116"/>
  <c r="P1116"/>
  <c r="I1116"/>
  <c r="R1115"/>
  <c r="Q1115"/>
  <c r="P1115"/>
  <c r="I1115"/>
  <c r="R1114"/>
  <c r="Q1114"/>
  <c r="P1114"/>
  <c r="I1114"/>
  <c r="I1113"/>
  <c r="R1112"/>
  <c r="Q1112"/>
  <c r="P1112"/>
  <c r="I1112"/>
  <c r="R1111"/>
  <c r="Q1111"/>
  <c r="P1111"/>
  <c r="I1111"/>
  <c r="P1081" l="1"/>
  <c r="T1135"/>
  <c r="R1081"/>
  <c r="T1081" s="1"/>
  <c r="I1081"/>
  <c r="T1122"/>
  <c r="T1123"/>
  <c r="T1124"/>
  <c r="T1125"/>
  <c r="T1126"/>
  <c r="T1127"/>
  <c r="T1128"/>
  <c r="T1129"/>
  <c r="T1130"/>
  <c r="T1131"/>
  <c r="T1132"/>
  <c r="T1133"/>
  <c r="T1134"/>
  <c r="T1136"/>
  <c r="T1137"/>
  <c r="T1138"/>
  <c r="T1069"/>
  <c r="T1077"/>
  <c r="T1078"/>
  <c r="T1079"/>
  <c r="T1080"/>
  <c r="Q1057"/>
  <c r="T1083"/>
  <c r="T1084"/>
  <c r="T1085"/>
  <c r="T1086"/>
  <c r="T1087"/>
  <c r="T1088"/>
  <c r="T1089"/>
  <c r="T1090"/>
  <c r="T1091"/>
  <c r="T1092"/>
  <c r="T1093"/>
  <c r="T1094"/>
  <c r="T1049"/>
  <c r="T1050"/>
  <c r="T1051"/>
  <c r="T1052"/>
  <c r="T1053"/>
  <c r="T1054"/>
  <c r="T1055"/>
  <c r="T1056"/>
  <c r="T1047"/>
  <c r="T1048"/>
  <c r="T1029"/>
  <c r="T1030"/>
  <c r="T1031"/>
  <c r="T1032"/>
  <c r="T1033"/>
  <c r="T1034"/>
  <c r="T1035"/>
  <c r="T1036"/>
  <c r="P1057"/>
  <c r="R1057"/>
  <c r="T1111"/>
  <c r="T1112"/>
  <c r="T1113"/>
  <c r="T1114"/>
  <c r="T1115"/>
  <c r="T1116"/>
  <c r="T1117"/>
  <c r="T1118"/>
  <c r="T1119"/>
  <c r="T1120"/>
  <c r="T1121"/>
  <c r="T1070"/>
  <c r="T1071"/>
  <c r="T1072"/>
  <c r="T1073"/>
  <c r="T1074"/>
  <c r="T1075"/>
  <c r="T1076"/>
  <c r="T1095"/>
  <c r="T1096"/>
  <c r="T1097"/>
  <c r="T1098"/>
  <c r="T1099"/>
  <c r="T1100"/>
  <c r="T1101"/>
  <c r="T1102"/>
  <c r="T1103"/>
  <c r="T1104"/>
  <c r="T1105"/>
  <c r="T1106"/>
  <c r="T1107"/>
  <c r="T1108"/>
  <c r="T1109"/>
  <c r="T1110"/>
  <c r="T1059"/>
  <c r="T1060"/>
  <c r="T1061"/>
  <c r="T1062"/>
  <c r="T1063"/>
  <c r="T1064"/>
  <c r="T1065"/>
  <c r="T1066"/>
  <c r="T1067"/>
  <c r="T1068"/>
  <c r="T1037"/>
  <c r="T1038"/>
  <c r="T1039"/>
  <c r="T1040"/>
  <c r="T1041"/>
  <c r="T1042"/>
  <c r="T1043"/>
  <c r="T1044"/>
  <c r="T1045"/>
  <c r="T1046"/>
  <c r="N208" i="6"/>
  <c r="T1057" i="1" l="1"/>
  <c r="N207" i="6"/>
  <c r="N206"/>
  <c r="N205"/>
  <c r="N1009" i="1"/>
  <c r="Q206" i="6" l="1"/>
  <c r="N204" l="1"/>
  <c r="N1008" i="1" l="1"/>
  <c r="N1007"/>
  <c r="N1006" l="1"/>
  <c r="L1006"/>
  <c r="N1005" l="1"/>
  <c r="N200" i="6" l="1"/>
  <c r="N1004" i="1" l="1"/>
  <c r="N1003"/>
  <c r="N1002" l="1"/>
  <c r="N1001"/>
  <c r="N998"/>
  <c r="N1000" l="1"/>
  <c r="R999"/>
  <c r="N999"/>
  <c r="N199" i="6"/>
  <c r="N997" i="1" l="1"/>
  <c r="N996" l="1"/>
  <c r="N995"/>
  <c r="L995"/>
  <c r="N994"/>
  <c r="N993" l="1"/>
  <c r="N992" l="1"/>
  <c r="N198" i="6"/>
  <c r="N197" l="1"/>
  <c r="N991" i="1"/>
  <c r="N196" i="6" l="1"/>
  <c r="N195"/>
  <c r="N194"/>
  <c r="N990" i="1" l="1"/>
  <c r="N984" l="1"/>
  <c r="N983" l="1"/>
  <c r="N982"/>
  <c r="N988" l="1"/>
  <c r="N986"/>
  <c r="N985"/>
  <c r="R192" i="6" l="1"/>
  <c r="N192" l="1"/>
  <c r="N981" i="1" l="1"/>
  <c r="N191" i="6"/>
  <c r="N190"/>
  <c r="N980" i="1" l="1"/>
  <c r="N189" i="6"/>
  <c r="N188" l="1"/>
  <c r="N979" i="1" l="1"/>
  <c r="N978" l="1"/>
  <c r="N977" l="1"/>
  <c r="N187" i="6" l="1"/>
  <c r="N186"/>
  <c r="N976" i="1"/>
  <c r="N975" l="1"/>
  <c r="N974"/>
  <c r="N973"/>
  <c r="R972" l="1"/>
  <c r="N972"/>
  <c r="N971" l="1"/>
  <c r="N969"/>
  <c r="N968" l="1"/>
  <c r="N185" i="6" l="1"/>
  <c r="N183" l="1"/>
  <c r="N182" l="1"/>
  <c r="N181"/>
  <c r="N967" i="1" l="1"/>
  <c r="N966" l="1"/>
  <c r="N965"/>
  <c r="N964" l="1"/>
  <c r="N963"/>
  <c r="N962"/>
  <c r="N961" l="1"/>
  <c r="N960"/>
  <c r="L236" i="6" l="1"/>
  <c r="L235"/>
  <c r="L234"/>
  <c r="L231"/>
  <c r="L230"/>
  <c r="L229"/>
  <c r="L228"/>
  <c r="L227"/>
  <c r="L226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R216"/>
  <c r="Q216"/>
  <c r="P216"/>
  <c r="I216"/>
  <c r="R215"/>
  <c r="Q215"/>
  <c r="P215"/>
  <c r="I215"/>
  <c r="R214"/>
  <c r="Q214"/>
  <c r="P214"/>
  <c r="I214"/>
  <c r="R213"/>
  <c r="Q213"/>
  <c r="P213"/>
  <c r="I213"/>
  <c r="R212"/>
  <c r="Q212"/>
  <c r="P212"/>
  <c r="I212"/>
  <c r="R211"/>
  <c r="Q211"/>
  <c r="P211"/>
  <c r="I211"/>
  <c r="R210"/>
  <c r="Q210"/>
  <c r="P210"/>
  <c r="I210"/>
  <c r="R209"/>
  <c r="Q209"/>
  <c r="P209"/>
  <c r="I209"/>
  <c r="R208"/>
  <c r="Q208"/>
  <c r="P208"/>
  <c r="I208"/>
  <c r="R207"/>
  <c r="Q207"/>
  <c r="P207"/>
  <c r="I207"/>
  <c r="R206"/>
  <c r="P206"/>
  <c r="I206"/>
  <c r="R205"/>
  <c r="Q205"/>
  <c r="P205"/>
  <c r="I205"/>
  <c r="R231"/>
  <c r="Q231"/>
  <c r="P231"/>
  <c r="I231"/>
  <c r="R230"/>
  <c r="Q230"/>
  <c r="P230"/>
  <c r="I230"/>
  <c r="R229"/>
  <c r="Q229"/>
  <c r="P229"/>
  <c r="I229"/>
  <c r="R228"/>
  <c r="Q228"/>
  <c r="P228"/>
  <c r="I228"/>
  <c r="R227"/>
  <c r="Q227"/>
  <c r="P227"/>
  <c r="I227"/>
  <c r="R226"/>
  <c r="Q226"/>
  <c r="P226"/>
  <c r="I226"/>
  <c r="R225"/>
  <c r="Q225"/>
  <c r="P225"/>
  <c r="I225"/>
  <c r="R224"/>
  <c r="Q224"/>
  <c r="P224"/>
  <c r="I224"/>
  <c r="R223"/>
  <c r="Q223"/>
  <c r="P223"/>
  <c r="I223"/>
  <c r="R222"/>
  <c r="Q222"/>
  <c r="P222"/>
  <c r="I222"/>
  <c r="R221"/>
  <c r="Q221"/>
  <c r="P221"/>
  <c r="I221"/>
  <c r="R220"/>
  <c r="Q220"/>
  <c r="P220"/>
  <c r="I220"/>
  <c r="R219"/>
  <c r="Q219"/>
  <c r="P219"/>
  <c r="I219"/>
  <c r="R218"/>
  <c r="Q218"/>
  <c r="P218"/>
  <c r="I218"/>
  <c r="R217"/>
  <c r="Q217"/>
  <c r="P217"/>
  <c r="I217"/>
  <c r="R204"/>
  <c r="Q204"/>
  <c r="P204"/>
  <c r="I204"/>
  <c r="R203"/>
  <c r="Q203"/>
  <c r="P203"/>
  <c r="I203"/>
  <c r="N180"/>
  <c r="T203" l="1"/>
  <c r="W203" s="1"/>
  <c r="T204"/>
  <c r="W204" s="1"/>
  <c r="T217"/>
  <c r="W217" s="1"/>
  <c r="T218"/>
  <c r="W218" s="1"/>
  <c r="T219"/>
  <c r="W219" s="1"/>
  <c r="T220"/>
  <c r="W220" s="1"/>
  <c r="T221"/>
  <c r="W221" s="1"/>
  <c r="T222"/>
  <c r="W222" s="1"/>
  <c r="T223"/>
  <c r="W223" s="1"/>
  <c r="T224"/>
  <c r="W224" s="1"/>
  <c r="T225"/>
  <c r="W225" s="1"/>
  <c r="T226"/>
  <c r="W226" s="1"/>
  <c r="T227"/>
  <c r="W227" s="1"/>
  <c r="T228"/>
  <c r="W228" s="1"/>
  <c r="T229"/>
  <c r="W229" s="1"/>
  <c r="T230"/>
  <c r="W230" s="1"/>
  <c r="T231"/>
  <c r="W231" s="1"/>
  <c r="T205"/>
  <c r="W205" s="1"/>
  <c r="T206"/>
  <c r="W206" s="1"/>
  <c r="T207"/>
  <c r="W207" s="1"/>
  <c r="T208"/>
  <c r="W208" s="1"/>
  <c r="T209"/>
  <c r="W209" s="1"/>
  <c r="T210"/>
  <c r="W210" s="1"/>
  <c r="T211"/>
  <c r="W211" s="1"/>
  <c r="T212"/>
  <c r="W212" s="1"/>
  <c r="T213"/>
  <c r="W213" s="1"/>
  <c r="T214"/>
  <c r="W214" s="1"/>
  <c r="T215"/>
  <c r="W215" s="1"/>
  <c r="T216"/>
  <c r="W216" s="1"/>
  <c r="N959" i="1"/>
  <c r="N958"/>
  <c r="N955"/>
  <c r="N179" i="6" l="1"/>
  <c r="N178" l="1"/>
  <c r="N176" l="1"/>
  <c r="L1027" i="1"/>
  <c r="L1026"/>
  <c r="L1025"/>
  <c r="L1024"/>
  <c r="L1023"/>
  <c r="L1022"/>
  <c r="L1021"/>
  <c r="L1020"/>
  <c r="L1019"/>
  <c r="L1018"/>
  <c r="L1017"/>
  <c r="L1016"/>
  <c r="L1015"/>
  <c r="L1014"/>
  <c r="L1013"/>
  <c r="L1012"/>
  <c r="L1011"/>
  <c r="L1010"/>
  <c r="L1009"/>
  <c r="L1008"/>
  <c r="L1007"/>
  <c r="L1005"/>
  <c r="L1004"/>
  <c r="L1003"/>
  <c r="L1002"/>
  <c r="L1001"/>
  <c r="L1000"/>
  <c r="L999"/>
  <c r="L998"/>
  <c r="L997"/>
  <c r="L996"/>
  <c r="L994"/>
  <c r="L993"/>
  <c r="L992"/>
  <c r="L991"/>
  <c r="L990"/>
  <c r="L989"/>
  <c r="L988"/>
  <c r="L987"/>
  <c r="L986"/>
  <c r="L985"/>
  <c r="L984"/>
  <c r="L983"/>
  <c r="L982"/>
  <c r="L981"/>
  <c r="L980"/>
  <c r="L979"/>
  <c r="L978"/>
  <c r="L977"/>
  <c r="L976"/>
  <c r="L975"/>
  <c r="L974"/>
  <c r="L973"/>
  <c r="L972"/>
  <c r="L971"/>
  <c r="L970"/>
  <c r="L969"/>
  <c r="L968"/>
  <c r="L967"/>
  <c r="L966"/>
  <c r="L965"/>
  <c r="L964"/>
  <c r="L963"/>
  <c r="L962"/>
  <c r="L961"/>
  <c r="L960"/>
  <c r="L959"/>
  <c r="L958"/>
  <c r="L201" i="6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G1026" i="1"/>
  <c r="Q1026" s="1"/>
  <c r="G1023"/>
  <c r="G1022"/>
  <c r="I1022" s="1"/>
  <c r="R1142"/>
  <c r="Q1142"/>
  <c r="P1142"/>
  <c r="I1142"/>
  <c r="R1141"/>
  <c r="Q1141"/>
  <c r="P1141"/>
  <c r="I1141"/>
  <c r="R1139"/>
  <c r="Q1139"/>
  <c r="P1139"/>
  <c r="I1139"/>
  <c r="R1027"/>
  <c r="Q1027"/>
  <c r="P1027"/>
  <c r="I1027"/>
  <c r="R1025"/>
  <c r="Q1025"/>
  <c r="P1025"/>
  <c r="I1025"/>
  <c r="R1024"/>
  <c r="Q1024"/>
  <c r="P1024"/>
  <c r="I1024"/>
  <c r="Q1023"/>
  <c r="Q1022"/>
  <c r="R1021"/>
  <c r="Q1021"/>
  <c r="P1021"/>
  <c r="I1021"/>
  <c r="R1020"/>
  <c r="Q1020"/>
  <c r="P1020"/>
  <c r="I1020"/>
  <c r="R1019"/>
  <c r="P1019"/>
  <c r="I1019"/>
  <c r="R1018"/>
  <c r="Q1018"/>
  <c r="P1018"/>
  <c r="I1018"/>
  <c r="R1017"/>
  <c r="Q1017"/>
  <c r="P1017"/>
  <c r="I1017"/>
  <c r="R1016"/>
  <c r="Q1016"/>
  <c r="P1016"/>
  <c r="I1016"/>
  <c r="R1015"/>
  <c r="Q1015"/>
  <c r="P1015"/>
  <c r="I1015"/>
  <c r="R1014"/>
  <c r="Q1014"/>
  <c r="P1014"/>
  <c r="I1014"/>
  <c r="G1011"/>
  <c r="T1139" l="1"/>
  <c r="I1026"/>
  <c r="T1142"/>
  <c r="T1019"/>
  <c r="T1020"/>
  <c r="T1021"/>
  <c r="I1023"/>
  <c r="T1025"/>
  <c r="T1027"/>
  <c r="T1141"/>
  <c r="T1014"/>
  <c r="T1015"/>
  <c r="T1016"/>
  <c r="T1017"/>
  <c r="T1018"/>
  <c r="P1022"/>
  <c r="R1022"/>
  <c r="P1023"/>
  <c r="R1023"/>
  <c r="T1023" s="1"/>
  <c r="T1024"/>
  <c r="P1026"/>
  <c r="R1026"/>
  <c r="T1026" s="1"/>
  <c r="T1022"/>
  <c r="N953"/>
  <c r="R1204" l="1"/>
  <c r="Q1204"/>
  <c r="P1204"/>
  <c r="I1202"/>
  <c r="R1203"/>
  <c r="Q1203"/>
  <c r="P1203"/>
  <c r="I1201"/>
  <c r="R1144"/>
  <c r="Q1144"/>
  <c r="P1144"/>
  <c r="I1144"/>
  <c r="R1143"/>
  <c r="Q1143"/>
  <c r="P1143"/>
  <c r="I1143"/>
  <c r="R1013"/>
  <c r="Q1013"/>
  <c r="P1013"/>
  <c r="I1013"/>
  <c r="R1012"/>
  <c r="Q1012"/>
  <c r="P1012"/>
  <c r="I1012"/>
  <c r="R1011"/>
  <c r="Q1011"/>
  <c r="P1011"/>
  <c r="I1011"/>
  <c r="R1010"/>
  <c r="Q1010"/>
  <c r="P1010"/>
  <c r="I1010"/>
  <c r="R1009"/>
  <c r="Q1009"/>
  <c r="P1009"/>
  <c r="I1009"/>
  <c r="R1008"/>
  <c r="Q1008"/>
  <c r="P1008"/>
  <c r="I1008"/>
  <c r="R1007"/>
  <c r="Q1007"/>
  <c r="P1007"/>
  <c r="I1007"/>
  <c r="R1006"/>
  <c r="Q1006"/>
  <c r="P1006"/>
  <c r="I1006"/>
  <c r="R1005"/>
  <c r="Q1005"/>
  <c r="P1005"/>
  <c r="I1005"/>
  <c r="R1004"/>
  <c r="Q1004"/>
  <c r="P1004"/>
  <c r="I1004"/>
  <c r="R1003"/>
  <c r="Q1003"/>
  <c r="P1003"/>
  <c r="I1003"/>
  <c r="R1002"/>
  <c r="Q1002"/>
  <c r="P1002"/>
  <c r="I1002"/>
  <c r="R1001"/>
  <c r="Q1001"/>
  <c r="P1001"/>
  <c r="I1001"/>
  <c r="R1000"/>
  <c r="Q1000"/>
  <c r="P1000"/>
  <c r="I1000"/>
  <c r="Q999"/>
  <c r="P999"/>
  <c r="I999"/>
  <c r="R998"/>
  <c r="Q998"/>
  <c r="P998"/>
  <c r="I998"/>
  <c r="R997"/>
  <c r="Q997"/>
  <c r="P997"/>
  <c r="I997"/>
  <c r="R996"/>
  <c r="Q996"/>
  <c r="P996"/>
  <c r="I996"/>
  <c r="R995"/>
  <c r="Q995"/>
  <c r="P995"/>
  <c r="I995"/>
  <c r="R994"/>
  <c r="Q994"/>
  <c r="P994"/>
  <c r="I994"/>
  <c r="R993"/>
  <c r="Q993"/>
  <c r="P993"/>
  <c r="I993"/>
  <c r="R992"/>
  <c r="Q992"/>
  <c r="P992"/>
  <c r="I992"/>
  <c r="R991"/>
  <c r="Q991"/>
  <c r="P991"/>
  <c r="I991"/>
  <c r="R990"/>
  <c r="Q990"/>
  <c r="P990"/>
  <c r="I990"/>
  <c r="R989"/>
  <c r="Q989"/>
  <c r="P989"/>
  <c r="I989"/>
  <c r="R988"/>
  <c r="Q988"/>
  <c r="P988"/>
  <c r="I988"/>
  <c r="R987"/>
  <c r="Q987"/>
  <c r="P987"/>
  <c r="I987"/>
  <c r="R986"/>
  <c r="Q986"/>
  <c r="P986"/>
  <c r="I986"/>
  <c r="R985"/>
  <c r="Q985"/>
  <c r="P985"/>
  <c r="I985"/>
  <c r="R984"/>
  <c r="Q984"/>
  <c r="P984"/>
  <c r="I984"/>
  <c r="R983"/>
  <c r="Q983"/>
  <c r="P983"/>
  <c r="I983"/>
  <c r="R982"/>
  <c r="Q982"/>
  <c r="P982"/>
  <c r="I982"/>
  <c r="R981"/>
  <c r="Q981"/>
  <c r="P981"/>
  <c r="I981"/>
  <c r="R980"/>
  <c r="Q980"/>
  <c r="P980"/>
  <c r="I980"/>
  <c r="R979"/>
  <c r="Q979"/>
  <c r="P979"/>
  <c r="I979"/>
  <c r="R978"/>
  <c r="Q978"/>
  <c r="P978"/>
  <c r="I978"/>
  <c r="R977"/>
  <c r="Q977"/>
  <c r="P977"/>
  <c r="I977"/>
  <c r="R976"/>
  <c r="Q976"/>
  <c r="P976"/>
  <c r="I976"/>
  <c r="R975"/>
  <c r="Q975"/>
  <c r="P975"/>
  <c r="I975"/>
  <c r="R974"/>
  <c r="Q974"/>
  <c r="P974"/>
  <c r="I974"/>
  <c r="R973"/>
  <c r="Q973"/>
  <c r="P973"/>
  <c r="I973"/>
  <c r="Q972"/>
  <c r="P972"/>
  <c r="I972"/>
  <c r="R971"/>
  <c r="Q971"/>
  <c r="P971"/>
  <c r="I971"/>
  <c r="R970"/>
  <c r="Q970"/>
  <c r="P970"/>
  <c r="I970"/>
  <c r="R969"/>
  <c r="Q969"/>
  <c r="P969"/>
  <c r="I969"/>
  <c r="R968"/>
  <c r="Q968"/>
  <c r="P968"/>
  <c r="I968"/>
  <c r="R967"/>
  <c r="Q967"/>
  <c r="P967"/>
  <c r="I967"/>
  <c r="R966"/>
  <c r="Q966"/>
  <c r="P966"/>
  <c r="I966"/>
  <c r="R965"/>
  <c r="Q965"/>
  <c r="P965"/>
  <c r="I965"/>
  <c r="R964"/>
  <c r="Q964"/>
  <c r="P964"/>
  <c r="I964"/>
  <c r="R963"/>
  <c r="Q963"/>
  <c r="P963"/>
  <c r="I963"/>
  <c r="R962"/>
  <c r="Q962"/>
  <c r="P962"/>
  <c r="I962"/>
  <c r="R961"/>
  <c r="Q961"/>
  <c r="P961"/>
  <c r="I961"/>
  <c r="R960"/>
  <c r="Q960"/>
  <c r="P960"/>
  <c r="I960"/>
  <c r="R959"/>
  <c r="Q959"/>
  <c r="P959"/>
  <c r="I959"/>
  <c r="T974" l="1"/>
  <c r="T962"/>
  <c r="T963"/>
  <c r="T964"/>
  <c r="T965"/>
  <c r="T966"/>
  <c r="T967"/>
  <c r="T968"/>
  <c r="T969"/>
  <c r="T970"/>
  <c r="T971"/>
  <c r="T972"/>
  <c r="T973"/>
  <c r="T975"/>
  <c r="T976"/>
  <c r="T977"/>
  <c r="T978"/>
  <c r="T979"/>
  <c r="T980"/>
  <c r="T981"/>
  <c r="T982"/>
  <c r="T983"/>
  <c r="T984"/>
  <c r="T985"/>
  <c r="T986"/>
  <c r="T987"/>
  <c r="T988"/>
  <c r="T989"/>
  <c r="T990"/>
  <c r="T991"/>
  <c r="T992"/>
  <c r="T993"/>
  <c r="T994"/>
  <c r="T995"/>
  <c r="T996"/>
  <c r="T997"/>
  <c r="T998"/>
  <c r="T999"/>
  <c r="T1000"/>
  <c r="T1001"/>
  <c r="T1002"/>
  <c r="T1003"/>
  <c r="T1004"/>
  <c r="T1005"/>
  <c r="T1006"/>
  <c r="T1007"/>
  <c r="T1008"/>
  <c r="T1009"/>
  <c r="T1010"/>
  <c r="T1011"/>
  <c r="T1012"/>
  <c r="T1013"/>
  <c r="T1143"/>
  <c r="T1144"/>
  <c r="T1203"/>
  <c r="T1204"/>
  <c r="T959"/>
  <c r="T960"/>
  <c r="T961"/>
  <c r="N952"/>
  <c r="N175" i="6"/>
  <c r="N949" i="1" l="1"/>
  <c r="N948"/>
  <c r="N947" l="1"/>
  <c r="N174" i="6" l="1"/>
  <c r="N946" i="1" l="1"/>
  <c r="N945"/>
  <c r="P946" l="1"/>
  <c r="R191" i="6" l="1"/>
  <c r="Q191"/>
  <c r="P191"/>
  <c r="I191"/>
  <c r="R190"/>
  <c r="Q190"/>
  <c r="P190"/>
  <c r="I190"/>
  <c r="R189"/>
  <c r="Q189"/>
  <c r="P189"/>
  <c r="I189"/>
  <c r="R188"/>
  <c r="Q188"/>
  <c r="P188"/>
  <c r="I188"/>
  <c r="R187"/>
  <c r="Q187"/>
  <c r="P187"/>
  <c r="I187"/>
  <c r="R186"/>
  <c r="Q186"/>
  <c r="P186"/>
  <c r="I186"/>
  <c r="R185"/>
  <c r="Q185"/>
  <c r="P185"/>
  <c r="I185"/>
  <c r="R184"/>
  <c r="Q184"/>
  <c r="P184"/>
  <c r="I184"/>
  <c r="R183"/>
  <c r="Q183"/>
  <c r="P183"/>
  <c r="I183"/>
  <c r="R182"/>
  <c r="Q182"/>
  <c r="P182"/>
  <c r="I182"/>
  <c r="R181"/>
  <c r="Q181"/>
  <c r="P181"/>
  <c r="I181"/>
  <c r="R180"/>
  <c r="Q180"/>
  <c r="P180"/>
  <c r="I180"/>
  <c r="T180" l="1"/>
  <c r="W180" s="1"/>
  <c r="T181"/>
  <c r="W181" s="1"/>
  <c r="T182"/>
  <c r="W182" s="1"/>
  <c r="T183"/>
  <c r="W183" s="1"/>
  <c r="T184"/>
  <c r="W184" s="1"/>
  <c r="T185"/>
  <c r="W185" s="1"/>
  <c r="T186"/>
  <c r="W186" s="1"/>
  <c r="T187"/>
  <c r="W187" s="1"/>
  <c r="T188"/>
  <c r="W188" s="1"/>
  <c r="T189"/>
  <c r="W189" s="1"/>
  <c r="T190"/>
  <c r="W190" s="1"/>
  <c r="T191"/>
  <c r="W191" s="1"/>
  <c r="R173" l="1"/>
  <c r="N944" i="1" l="1"/>
  <c r="N173" i="6"/>
  <c r="R200" l="1"/>
  <c r="Q200"/>
  <c r="P200"/>
  <c r="I200"/>
  <c r="R199"/>
  <c r="Q199"/>
  <c r="P199"/>
  <c r="I199"/>
  <c r="R198"/>
  <c r="Q198"/>
  <c r="P198"/>
  <c r="I198"/>
  <c r="R197"/>
  <c r="Q197"/>
  <c r="P197"/>
  <c r="I197"/>
  <c r="R196"/>
  <c r="Q196"/>
  <c r="P196"/>
  <c r="I196"/>
  <c r="R195"/>
  <c r="Q195"/>
  <c r="P195"/>
  <c r="I195"/>
  <c r="R194"/>
  <c r="Q194"/>
  <c r="P194"/>
  <c r="I194"/>
  <c r="R193"/>
  <c r="Q193"/>
  <c r="P193"/>
  <c r="I193"/>
  <c r="Q192"/>
  <c r="T192" s="1"/>
  <c r="W192" s="1"/>
  <c r="P192"/>
  <c r="I192"/>
  <c r="R179"/>
  <c r="Q179"/>
  <c r="P179"/>
  <c r="I179"/>
  <c r="N172"/>
  <c r="T179" l="1"/>
  <c r="W179" s="1"/>
  <c r="T193"/>
  <c r="W193" s="1"/>
  <c r="T194"/>
  <c r="W194" s="1"/>
  <c r="T195"/>
  <c r="W195" s="1"/>
  <c r="T196"/>
  <c r="W196" s="1"/>
  <c r="T197"/>
  <c r="W197" s="1"/>
  <c r="T198"/>
  <c r="W198" s="1"/>
  <c r="T199"/>
  <c r="W199" s="1"/>
  <c r="T200"/>
  <c r="W200" s="1"/>
  <c r="N171"/>
  <c r="N170"/>
  <c r="N169" l="1"/>
  <c r="N943" i="1" l="1"/>
  <c r="N942" l="1"/>
  <c r="N941"/>
  <c r="N939" l="1"/>
  <c r="N936"/>
  <c r="N168" i="6"/>
  <c r="N934" i="1"/>
  <c r="N933" l="1"/>
  <c r="L956"/>
  <c r="L955"/>
  <c r="L954"/>
  <c r="L953"/>
  <c r="L952"/>
  <c r="L951"/>
  <c r="L950"/>
  <c r="L949"/>
  <c r="L948"/>
  <c r="L947"/>
  <c r="L946"/>
  <c r="L945"/>
  <c r="L944"/>
  <c r="L943"/>
  <c r="L942"/>
  <c r="L941"/>
  <c r="L940"/>
  <c r="L939"/>
  <c r="L938"/>
  <c r="L937"/>
  <c r="L936"/>
  <c r="L935"/>
  <c r="L934"/>
  <c r="L933"/>
  <c r="L932"/>
  <c r="N940"/>
  <c r="N938"/>
  <c r="N931"/>
  <c r="N167" i="6" l="1"/>
  <c r="N166" l="1"/>
  <c r="N165"/>
  <c r="N164" l="1"/>
  <c r="N162" l="1"/>
  <c r="N930" i="1"/>
  <c r="N929"/>
  <c r="N161" i="6"/>
  <c r="N160"/>
  <c r="R161"/>
  <c r="Q161"/>
  <c r="P161"/>
  <c r="N159" l="1"/>
  <c r="N158" l="1"/>
  <c r="N157"/>
  <c r="N156"/>
  <c r="N155" l="1"/>
  <c r="N154" l="1"/>
  <c r="N153"/>
  <c r="N926" i="1" l="1"/>
  <c r="N152" i="6" l="1"/>
  <c r="N151" l="1"/>
  <c r="N150"/>
  <c r="N149"/>
  <c r="N148" l="1"/>
  <c r="N147"/>
  <c r="N146"/>
  <c r="N145" l="1"/>
  <c r="N144"/>
  <c r="N143"/>
  <c r="N142" l="1"/>
  <c r="N141"/>
  <c r="N140" l="1"/>
  <c r="N138"/>
  <c r="Q928" i="1"/>
  <c r="N927"/>
  <c r="N924"/>
  <c r="N923"/>
  <c r="N135" i="6" l="1"/>
  <c r="T937" i="1"/>
  <c r="N922"/>
  <c r="N921" l="1"/>
  <c r="N920"/>
  <c r="L931" l="1"/>
  <c r="L930"/>
  <c r="L929"/>
  <c r="L928"/>
  <c r="L927"/>
  <c r="L926"/>
  <c r="L925"/>
  <c r="L924"/>
  <c r="L923"/>
  <c r="L922"/>
  <c r="N137" i="6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R162"/>
  <c r="Q162"/>
  <c r="P162"/>
  <c r="I162"/>
  <c r="T161"/>
  <c r="W161" s="1"/>
  <c r="I161"/>
  <c r="R160"/>
  <c r="Q160"/>
  <c r="P160"/>
  <c r="I160"/>
  <c r="R159"/>
  <c r="Q159"/>
  <c r="P159"/>
  <c r="I159"/>
  <c r="R158"/>
  <c r="Q158"/>
  <c r="P158"/>
  <c r="I158"/>
  <c r="R157"/>
  <c r="Q157"/>
  <c r="P157"/>
  <c r="I157"/>
  <c r="R156"/>
  <c r="Q156"/>
  <c r="P156"/>
  <c r="I156"/>
  <c r="R155"/>
  <c r="Q155"/>
  <c r="P155"/>
  <c r="I155"/>
  <c r="R154"/>
  <c r="Q154"/>
  <c r="P154"/>
  <c r="I154"/>
  <c r="R153"/>
  <c r="Q153"/>
  <c r="P153"/>
  <c r="I153"/>
  <c r="R152"/>
  <c r="Q152"/>
  <c r="P152"/>
  <c r="I152"/>
  <c r="Q173"/>
  <c r="P173"/>
  <c r="I173"/>
  <c r="R172"/>
  <c r="Q172"/>
  <c r="P172"/>
  <c r="I172"/>
  <c r="R171"/>
  <c r="Q171"/>
  <c r="P171"/>
  <c r="I171"/>
  <c r="R170"/>
  <c r="Q170"/>
  <c r="P170"/>
  <c r="I170"/>
  <c r="R169"/>
  <c r="Q169"/>
  <c r="P169"/>
  <c r="I169"/>
  <c r="R168"/>
  <c r="Q168"/>
  <c r="P168"/>
  <c r="I168"/>
  <c r="R167"/>
  <c r="Q167"/>
  <c r="P167"/>
  <c r="I167"/>
  <c r="R166"/>
  <c r="Q166"/>
  <c r="P166"/>
  <c r="I166"/>
  <c r="R165"/>
  <c r="Q165"/>
  <c r="P165"/>
  <c r="I165"/>
  <c r="R164"/>
  <c r="Q164"/>
  <c r="P164"/>
  <c r="I164"/>
  <c r="R163"/>
  <c r="Q163"/>
  <c r="P163"/>
  <c r="I163"/>
  <c r="R151"/>
  <c r="Q151"/>
  <c r="P151"/>
  <c r="I151"/>
  <c r="T151" l="1"/>
  <c r="W151" s="1"/>
  <c r="T163"/>
  <c r="W163" s="1"/>
  <c r="T164"/>
  <c r="W164" s="1"/>
  <c r="T165"/>
  <c r="W165" s="1"/>
  <c r="T166"/>
  <c r="W166" s="1"/>
  <c r="T167"/>
  <c r="W167" s="1"/>
  <c r="T168"/>
  <c r="W168" s="1"/>
  <c r="T169"/>
  <c r="W169" s="1"/>
  <c r="T170"/>
  <c r="W170" s="1"/>
  <c r="T171"/>
  <c r="W171" s="1"/>
  <c r="T172"/>
  <c r="W172" s="1"/>
  <c r="T173"/>
  <c r="W173" s="1"/>
  <c r="T152"/>
  <c r="W152" s="1"/>
  <c r="T153"/>
  <c r="W153" s="1"/>
  <c r="T154"/>
  <c r="W154" s="1"/>
  <c r="T155"/>
  <c r="W155" s="1"/>
  <c r="T156"/>
  <c r="W156" s="1"/>
  <c r="T157"/>
  <c r="W157" s="1"/>
  <c r="T158"/>
  <c r="W158" s="1"/>
  <c r="T159"/>
  <c r="W159" s="1"/>
  <c r="T160"/>
  <c r="W160" s="1"/>
  <c r="T162"/>
  <c r="W162" s="1"/>
  <c r="N919" i="1"/>
  <c r="N134" i="6" l="1"/>
  <c r="N918" i="1" l="1"/>
  <c r="N133" i="6" l="1"/>
  <c r="N132" l="1"/>
  <c r="N917" i="1" l="1"/>
  <c r="L917"/>
  <c r="N916" l="1"/>
  <c r="N915" l="1"/>
  <c r="N914"/>
  <c r="N131" i="6" l="1"/>
  <c r="N130"/>
  <c r="N128"/>
  <c r="N127"/>
  <c r="N126"/>
  <c r="N125"/>
  <c r="L921" i="1" l="1"/>
  <c r="L920"/>
  <c r="L919"/>
  <c r="L918"/>
  <c r="L916"/>
  <c r="L915"/>
  <c r="L914"/>
  <c r="L913"/>
  <c r="L912"/>
  <c r="L911"/>
  <c r="L910"/>
  <c r="L909"/>
  <c r="L908"/>
  <c r="N913"/>
  <c r="N912" l="1"/>
  <c r="N911"/>
  <c r="N910"/>
  <c r="N909"/>
  <c r="N906"/>
  <c r="N908" l="1"/>
  <c r="N907"/>
  <c r="L148" i="6" l="1"/>
  <c r="L147"/>
  <c r="L146"/>
  <c r="L145"/>
  <c r="L144"/>
  <c r="L143"/>
  <c r="L142"/>
  <c r="L141"/>
  <c r="L140"/>
  <c r="L139"/>
  <c r="L138"/>
  <c r="L137"/>
  <c r="N904" i="1"/>
  <c r="N902"/>
  <c r="N901"/>
  <c r="L901"/>
  <c r="N900" l="1"/>
  <c r="N899" l="1"/>
  <c r="N898" l="1"/>
  <c r="N896" l="1"/>
  <c r="R895"/>
  <c r="N895" l="1"/>
  <c r="L895"/>
  <c r="N894" l="1"/>
  <c r="N893"/>
  <c r="L907" l="1"/>
  <c r="L906"/>
  <c r="L905"/>
  <c r="L904"/>
  <c r="L903"/>
  <c r="L902"/>
  <c r="L900"/>
  <c r="L899"/>
  <c r="L898"/>
  <c r="L897"/>
  <c r="L896"/>
  <c r="L894"/>
  <c r="L893"/>
  <c r="L892"/>
  <c r="L891"/>
  <c r="N891"/>
  <c r="N890" l="1"/>
  <c r="L890" l="1"/>
  <c r="N887"/>
  <c r="N886" l="1"/>
  <c r="N885"/>
  <c r="N884" l="1"/>
  <c r="N883" l="1"/>
  <c r="L889"/>
  <c r="L888"/>
  <c r="L887"/>
  <c r="L886"/>
  <c r="N882"/>
  <c r="N880" l="1"/>
  <c r="N881" l="1"/>
  <c r="N879" l="1"/>
  <c r="N878" l="1"/>
  <c r="N877"/>
  <c r="N876" l="1"/>
  <c r="L885" l="1"/>
  <c r="L884"/>
  <c r="L883"/>
  <c r="L882"/>
  <c r="L881"/>
  <c r="L880"/>
  <c r="L879"/>
  <c r="L878"/>
  <c r="L877"/>
  <c r="L876"/>
  <c r="N874"/>
  <c r="N873"/>
  <c r="L136" i="6"/>
  <c r="L135"/>
  <c r="L134"/>
  <c r="L133"/>
  <c r="L132"/>
  <c r="L131"/>
  <c r="L130"/>
  <c r="L129"/>
  <c r="R233"/>
  <c r="Q233"/>
  <c r="P233"/>
  <c r="I233"/>
  <c r="W202"/>
  <c r="R201"/>
  <c r="Q201"/>
  <c r="P201"/>
  <c r="I201"/>
  <c r="R178"/>
  <c r="Q178"/>
  <c r="P178"/>
  <c r="I178"/>
  <c r="R176"/>
  <c r="Q176"/>
  <c r="P176"/>
  <c r="I176"/>
  <c r="R175"/>
  <c r="Q175"/>
  <c r="P175"/>
  <c r="I175"/>
  <c r="R174"/>
  <c r="Q174"/>
  <c r="P174"/>
  <c r="I174"/>
  <c r="R150"/>
  <c r="Q150"/>
  <c r="P150"/>
  <c r="I150"/>
  <c r="R149"/>
  <c r="Q149"/>
  <c r="P149"/>
  <c r="I149"/>
  <c r="R148"/>
  <c r="Q148"/>
  <c r="P148"/>
  <c r="I148"/>
  <c r="R147"/>
  <c r="Q147"/>
  <c r="P147"/>
  <c r="I147"/>
  <c r="R146"/>
  <c r="Q146"/>
  <c r="P146"/>
  <c r="I146"/>
  <c r="R145"/>
  <c r="Q145"/>
  <c r="P145"/>
  <c r="I145"/>
  <c r="R144"/>
  <c r="Q144"/>
  <c r="P144"/>
  <c r="I144"/>
  <c r="R143"/>
  <c r="Q143"/>
  <c r="P143"/>
  <c r="I143"/>
  <c r="R142"/>
  <c r="Q142"/>
  <c r="P142"/>
  <c r="I142"/>
  <c r="R141"/>
  <c r="Q141"/>
  <c r="P141"/>
  <c r="I141"/>
  <c r="R140"/>
  <c r="Q140"/>
  <c r="P140"/>
  <c r="I140"/>
  <c r="R139"/>
  <c r="Q139"/>
  <c r="P139"/>
  <c r="I139"/>
  <c r="R138"/>
  <c r="Q138"/>
  <c r="P138"/>
  <c r="I138"/>
  <c r="R137"/>
  <c r="Q137"/>
  <c r="P137"/>
  <c r="I137"/>
  <c r="R136"/>
  <c r="Q136"/>
  <c r="P136"/>
  <c r="I130"/>
  <c r="R135"/>
  <c r="Q135"/>
  <c r="P135"/>
  <c r="I136"/>
  <c r="R134"/>
  <c r="Q134"/>
  <c r="P134"/>
  <c r="I131"/>
  <c r="R133"/>
  <c r="Q133"/>
  <c r="P133"/>
  <c r="I135"/>
  <c r="R132"/>
  <c r="Q132"/>
  <c r="P132"/>
  <c r="I132"/>
  <c r="R131"/>
  <c r="Q131"/>
  <c r="P131"/>
  <c r="I133"/>
  <c r="T131" l="1"/>
  <c r="W131" s="1"/>
  <c r="T132"/>
  <c r="W132" s="1"/>
  <c r="T133"/>
  <c r="W133" s="1"/>
  <c r="T134"/>
  <c r="W134" s="1"/>
  <c r="T135"/>
  <c r="W135" s="1"/>
  <c r="T136"/>
  <c r="W136" s="1"/>
  <c r="T137"/>
  <c r="W137" s="1"/>
  <c r="T138"/>
  <c r="W138" s="1"/>
  <c r="T139"/>
  <c r="W139" s="1"/>
  <c r="T140"/>
  <c r="W140" s="1"/>
  <c r="T141"/>
  <c r="W141" s="1"/>
  <c r="T142"/>
  <c r="W142" s="1"/>
  <c r="T143"/>
  <c r="W143" s="1"/>
  <c r="T144"/>
  <c r="W144" s="1"/>
  <c r="T145"/>
  <c r="W145" s="1"/>
  <c r="T146"/>
  <c r="W146" s="1"/>
  <c r="T147"/>
  <c r="W147" s="1"/>
  <c r="T148"/>
  <c r="W148" s="1"/>
  <c r="T149"/>
  <c r="W149" s="1"/>
  <c r="T233"/>
  <c r="W233" s="1"/>
  <c r="T150"/>
  <c r="W150" s="1"/>
  <c r="T174"/>
  <c r="W174" s="1"/>
  <c r="T175"/>
  <c r="W175" s="1"/>
  <c r="T176"/>
  <c r="W176" s="1"/>
  <c r="T178"/>
  <c r="W178" s="1"/>
  <c r="T201"/>
  <c r="W201" s="1"/>
  <c r="N871" i="1"/>
  <c r="N870" l="1"/>
  <c r="N868" l="1"/>
  <c r="N867"/>
  <c r="N866" l="1"/>
  <c r="N124" i="6" l="1"/>
  <c r="R122" l="1"/>
  <c r="N122" l="1"/>
  <c r="N864" i="1"/>
  <c r="N865"/>
  <c r="N121" i="6" l="1"/>
  <c r="N120" l="1"/>
  <c r="N863" i="1"/>
  <c r="N862" l="1"/>
  <c r="N119" i="6" l="1"/>
  <c r="N118" l="1"/>
  <c r="N117"/>
  <c r="N861" i="1"/>
  <c r="N860" l="1"/>
  <c r="N859"/>
  <c r="N116" i="6" l="1"/>
  <c r="N858" i="1" l="1"/>
  <c r="N857"/>
  <c r="L858"/>
  <c r="N856" l="1"/>
  <c r="N855" l="1"/>
  <c r="N115" i="6" l="1"/>
  <c r="N114"/>
  <c r="L128"/>
  <c r="L127"/>
  <c r="L126"/>
  <c r="L125"/>
  <c r="L124"/>
  <c r="L123"/>
  <c r="L122"/>
  <c r="L121"/>
  <c r="L120"/>
  <c r="L114"/>
  <c r="N113"/>
  <c r="N112"/>
  <c r="N111"/>
  <c r="N854" i="1"/>
  <c r="N853"/>
  <c r="N816"/>
  <c r="R816" l="1"/>
  <c r="Q816"/>
  <c r="P816"/>
  <c r="I816"/>
  <c r="T816" l="1"/>
  <c r="N110" i="6"/>
  <c r="N852" i="1" l="1"/>
  <c r="N851" l="1"/>
  <c r="N850"/>
  <c r="N849"/>
  <c r="N848"/>
  <c r="N847" l="1"/>
  <c r="N846"/>
  <c r="N845" l="1"/>
  <c r="N844"/>
  <c r="N843" l="1"/>
  <c r="N842" l="1"/>
  <c r="N841" l="1"/>
  <c r="N840" l="1"/>
  <c r="N109" i="6"/>
  <c r="N108"/>
  <c r="N107"/>
  <c r="N839" i="1"/>
  <c r="N838" l="1"/>
  <c r="L119" i="6" l="1"/>
  <c r="L118"/>
  <c r="L117"/>
  <c r="L116"/>
  <c r="L115"/>
  <c r="L113"/>
  <c r="L112"/>
  <c r="L111"/>
  <c r="L110"/>
  <c r="L109"/>
  <c r="L108"/>
  <c r="L107"/>
  <c r="L106"/>
  <c r="N106"/>
  <c r="N837" i="1" l="1"/>
  <c r="N836" l="1"/>
  <c r="N835" l="1"/>
  <c r="N834" l="1"/>
  <c r="N833" l="1"/>
  <c r="N832" l="1"/>
  <c r="N831"/>
  <c r="N830" l="1"/>
  <c r="L830" l="1"/>
  <c r="N829"/>
  <c r="N828" l="1"/>
  <c r="N826"/>
  <c r="N825"/>
  <c r="N824"/>
  <c r="N823"/>
  <c r="R822" l="1"/>
  <c r="N822"/>
  <c r="N818"/>
  <c r="N104" i="6" l="1"/>
  <c r="N821" i="1"/>
  <c r="N820" l="1"/>
  <c r="N819" l="1"/>
  <c r="N817" l="1"/>
  <c r="N815"/>
  <c r="N814"/>
  <c r="N103" i="6"/>
  <c r="N102"/>
  <c r="N813" i="1"/>
  <c r="N812" l="1"/>
  <c r="R956"/>
  <c r="Q956"/>
  <c r="P956"/>
  <c r="I956"/>
  <c r="R955"/>
  <c r="Q955"/>
  <c r="P955"/>
  <c r="I955"/>
  <c r="R954"/>
  <c r="Q954"/>
  <c r="P954"/>
  <c r="I954"/>
  <c r="R953"/>
  <c r="Q953"/>
  <c r="P953"/>
  <c r="I953"/>
  <c r="R952"/>
  <c r="Q952"/>
  <c r="P952"/>
  <c r="I952"/>
  <c r="R951"/>
  <c r="Q951"/>
  <c r="P951"/>
  <c r="I951"/>
  <c r="R950"/>
  <c r="Q950"/>
  <c r="P950"/>
  <c r="I950"/>
  <c r="R949"/>
  <c r="Q949"/>
  <c r="P949"/>
  <c r="I949"/>
  <c r="R948"/>
  <c r="Q948"/>
  <c r="P948"/>
  <c r="I948"/>
  <c r="R947"/>
  <c r="Q947"/>
  <c r="P947"/>
  <c r="I947"/>
  <c r="I946"/>
  <c r="R945"/>
  <c r="Q945"/>
  <c r="P945"/>
  <c r="I945"/>
  <c r="R944"/>
  <c r="Q944"/>
  <c r="P944"/>
  <c r="I944"/>
  <c r="R943"/>
  <c r="Q943"/>
  <c r="P943"/>
  <c r="I943"/>
  <c r="R942"/>
  <c r="Q942"/>
  <c r="P942"/>
  <c r="I942"/>
  <c r="R941"/>
  <c r="Q941"/>
  <c r="P941"/>
  <c r="I941"/>
  <c r="R940"/>
  <c r="Q940"/>
  <c r="P940"/>
  <c r="I940"/>
  <c r="R939"/>
  <c r="Q939"/>
  <c r="P939"/>
  <c r="I939"/>
  <c r="R938"/>
  <c r="Q938"/>
  <c r="P938"/>
  <c r="I938"/>
  <c r="I937"/>
  <c r="R936"/>
  <c r="Q936"/>
  <c r="P936"/>
  <c r="I936"/>
  <c r="R935"/>
  <c r="Q935"/>
  <c r="P935"/>
  <c r="I935"/>
  <c r="R934"/>
  <c r="Q934"/>
  <c r="P934"/>
  <c r="I934"/>
  <c r="R933"/>
  <c r="Q933"/>
  <c r="P933"/>
  <c r="I933"/>
  <c r="R932"/>
  <c r="Q932"/>
  <c r="P932"/>
  <c r="I932"/>
  <c r="R931"/>
  <c r="Q931"/>
  <c r="P931"/>
  <c r="I931"/>
  <c r="R930"/>
  <c r="Q930"/>
  <c r="P930"/>
  <c r="I930"/>
  <c r="R929"/>
  <c r="Q929"/>
  <c r="P929"/>
  <c r="I929"/>
  <c r="R928"/>
  <c r="P928"/>
  <c r="I928"/>
  <c r="R927"/>
  <c r="Q927"/>
  <c r="P927"/>
  <c r="I927"/>
  <c r="R926"/>
  <c r="Q926"/>
  <c r="P926"/>
  <c r="I926"/>
  <c r="R925"/>
  <c r="Q925"/>
  <c r="P925"/>
  <c r="I925"/>
  <c r="R924"/>
  <c r="Q924"/>
  <c r="P924"/>
  <c r="I924"/>
  <c r="R923"/>
  <c r="Q923"/>
  <c r="P923"/>
  <c r="I923"/>
  <c r="R922"/>
  <c r="Q922"/>
  <c r="P922"/>
  <c r="I922"/>
  <c r="R921"/>
  <c r="Q921"/>
  <c r="P921"/>
  <c r="I921"/>
  <c r="R920"/>
  <c r="Q920"/>
  <c r="P920"/>
  <c r="I920"/>
  <c r="R919"/>
  <c r="Q919"/>
  <c r="P919"/>
  <c r="I919"/>
  <c r="R918"/>
  <c r="Q918"/>
  <c r="P918"/>
  <c r="I918"/>
  <c r="R917"/>
  <c r="Q917"/>
  <c r="P917"/>
  <c r="I917"/>
  <c r="R916"/>
  <c r="Q916"/>
  <c r="P916"/>
  <c r="I916"/>
  <c r="R915"/>
  <c r="Q915"/>
  <c r="P915"/>
  <c r="I915"/>
  <c r="R914"/>
  <c r="Q914"/>
  <c r="P914"/>
  <c r="I914"/>
  <c r="R913"/>
  <c r="Q913"/>
  <c r="P913"/>
  <c r="I913"/>
  <c r="R912"/>
  <c r="Q912"/>
  <c r="P912"/>
  <c r="I912"/>
  <c r="R911"/>
  <c r="Q911"/>
  <c r="P911"/>
  <c r="I911"/>
  <c r="R910"/>
  <c r="Q910"/>
  <c r="P910"/>
  <c r="I910"/>
  <c r="R909"/>
  <c r="Q909"/>
  <c r="P909"/>
  <c r="I909"/>
  <c r="R908"/>
  <c r="Q908"/>
  <c r="P908"/>
  <c r="I908"/>
  <c r="R907"/>
  <c r="Q907"/>
  <c r="P907"/>
  <c r="I907"/>
  <c r="R906"/>
  <c r="Q906"/>
  <c r="P906"/>
  <c r="I906"/>
  <c r="R905"/>
  <c r="Q905"/>
  <c r="P905"/>
  <c r="I905"/>
  <c r="R904"/>
  <c r="Q904"/>
  <c r="P904"/>
  <c r="I904"/>
  <c r="R903"/>
  <c r="Q903"/>
  <c r="P903"/>
  <c r="I903"/>
  <c r="R902"/>
  <c r="Q902"/>
  <c r="P902"/>
  <c r="I902"/>
  <c r="R901"/>
  <c r="Q901"/>
  <c r="P901"/>
  <c r="I901"/>
  <c r="R900"/>
  <c r="Q900"/>
  <c r="P900"/>
  <c r="I900"/>
  <c r="R899"/>
  <c r="Q899"/>
  <c r="P899"/>
  <c r="I899"/>
  <c r="R898"/>
  <c r="Q898"/>
  <c r="P898"/>
  <c r="I898"/>
  <c r="R897"/>
  <c r="Q897"/>
  <c r="P897"/>
  <c r="I897"/>
  <c r="R896"/>
  <c r="Q896"/>
  <c r="P896"/>
  <c r="I896"/>
  <c r="Q895"/>
  <c r="P895"/>
  <c r="I895"/>
  <c r="R894"/>
  <c r="Q894"/>
  <c r="P894"/>
  <c r="I894"/>
  <c r="R893"/>
  <c r="Q893"/>
  <c r="P893"/>
  <c r="I893"/>
  <c r="R892"/>
  <c r="Q892"/>
  <c r="P892"/>
  <c r="I892"/>
  <c r="R891"/>
  <c r="Q891"/>
  <c r="P891"/>
  <c r="I891"/>
  <c r="R890"/>
  <c r="Q890"/>
  <c r="P890"/>
  <c r="I890"/>
  <c r="R889"/>
  <c r="Q889"/>
  <c r="P889"/>
  <c r="I889"/>
  <c r="L874"/>
  <c r="L873"/>
  <c r="L872"/>
  <c r="L871"/>
  <c r="L870"/>
  <c r="L869"/>
  <c r="L868"/>
  <c r="L867"/>
  <c r="L866"/>
  <c r="L865"/>
  <c r="L864"/>
  <c r="L863"/>
  <c r="L862"/>
  <c r="L861"/>
  <c r="L860"/>
  <c r="L859"/>
  <c r="L857"/>
  <c r="L856"/>
  <c r="L855"/>
  <c r="L854"/>
  <c r="L853"/>
  <c r="L852"/>
  <c r="L851"/>
  <c r="L850"/>
  <c r="L849"/>
  <c r="L848"/>
  <c r="L847"/>
  <c r="L846"/>
  <c r="L845"/>
  <c r="L844"/>
  <c r="L843"/>
  <c r="L842"/>
  <c r="L841"/>
  <c r="L840"/>
  <c r="L839"/>
  <c r="L838"/>
  <c r="L837"/>
  <c r="L836"/>
  <c r="L835"/>
  <c r="L834"/>
  <c r="L833"/>
  <c r="L832"/>
  <c r="L831"/>
  <c r="L829"/>
  <c r="L828"/>
  <c r="L827"/>
  <c r="L826"/>
  <c r="L825"/>
  <c r="L824"/>
  <c r="L823"/>
  <c r="L822"/>
  <c r="L821"/>
  <c r="L820"/>
  <c r="L819"/>
  <c r="L818"/>
  <c r="L817"/>
  <c r="R958"/>
  <c r="Q958"/>
  <c r="P958"/>
  <c r="I958"/>
  <c r="R888"/>
  <c r="Q888"/>
  <c r="P888"/>
  <c r="I888"/>
  <c r="R887"/>
  <c r="Q887"/>
  <c r="P887"/>
  <c r="I887"/>
  <c r="R886"/>
  <c r="Q886"/>
  <c r="P886"/>
  <c r="I886"/>
  <c r="R885"/>
  <c r="Q885"/>
  <c r="P885"/>
  <c r="I885"/>
  <c r="R884"/>
  <c r="Q884"/>
  <c r="P884"/>
  <c r="I884"/>
  <c r="R883"/>
  <c r="Q883"/>
  <c r="P883"/>
  <c r="I883"/>
  <c r="R882"/>
  <c r="Q882"/>
  <c r="P882"/>
  <c r="I882"/>
  <c r="R881"/>
  <c r="Q881"/>
  <c r="P881"/>
  <c r="I881"/>
  <c r="R880"/>
  <c r="Q880"/>
  <c r="P880"/>
  <c r="I880"/>
  <c r="R879"/>
  <c r="Q879"/>
  <c r="P879"/>
  <c r="I879"/>
  <c r="R878"/>
  <c r="Q878"/>
  <c r="P878"/>
  <c r="I878"/>
  <c r="R877"/>
  <c r="Q877"/>
  <c r="P877"/>
  <c r="I877"/>
  <c r="R876"/>
  <c r="Q876"/>
  <c r="P876"/>
  <c r="I876"/>
  <c r="R874"/>
  <c r="Q874"/>
  <c r="P874"/>
  <c r="I874"/>
  <c r="R873"/>
  <c r="Q873"/>
  <c r="P873"/>
  <c r="I873"/>
  <c r="R872"/>
  <c r="Q872"/>
  <c r="P872"/>
  <c r="I872"/>
  <c r="R871"/>
  <c r="Q871"/>
  <c r="P871"/>
  <c r="I871"/>
  <c r="R870"/>
  <c r="Q870"/>
  <c r="P870"/>
  <c r="I870"/>
  <c r="R869"/>
  <c r="Q869"/>
  <c r="P869"/>
  <c r="I869"/>
  <c r="R868"/>
  <c r="Q868"/>
  <c r="P868"/>
  <c r="I868"/>
  <c r="R867"/>
  <c r="Q867"/>
  <c r="P867"/>
  <c r="I867"/>
  <c r="R866"/>
  <c r="Q866"/>
  <c r="P866"/>
  <c r="I866"/>
  <c r="R865"/>
  <c r="Q865"/>
  <c r="P865"/>
  <c r="I865"/>
  <c r="R864"/>
  <c r="Q864"/>
  <c r="P864"/>
  <c r="I864"/>
  <c r="R863"/>
  <c r="Q863"/>
  <c r="P863"/>
  <c r="I863"/>
  <c r="R848"/>
  <c r="Q848"/>
  <c r="P848"/>
  <c r="I848"/>
  <c r="R847"/>
  <c r="Q847"/>
  <c r="P847"/>
  <c r="I847"/>
  <c r="R846"/>
  <c r="Q846"/>
  <c r="P846"/>
  <c r="I846"/>
  <c r="R845"/>
  <c r="Q845"/>
  <c r="P845"/>
  <c r="I845"/>
  <c r="R844"/>
  <c r="Q844"/>
  <c r="P844"/>
  <c r="I844"/>
  <c r="R843"/>
  <c r="Q843"/>
  <c r="P843"/>
  <c r="I843"/>
  <c r="R842"/>
  <c r="Q842"/>
  <c r="P842"/>
  <c r="I842"/>
  <c r="R841"/>
  <c r="Q841"/>
  <c r="P841"/>
  <c r="I841"/>
  <c r="R840"/>
  <c r="Q840"/>
  <c r="P840"/>
  <c r="I840"/>
  <c r="R839"/>
  <c r="Q839"/>
  <c r="P839"/>
  <c r="I839"/>
  <c r="R838"/>
  <c r="Q838"/>
  <c r="P838"/>
  <c r="I838"/>
  <c r="R837"/>
  <c r="Q837"/>
  <c r="P837"/>
  <c r="I837"/>
  <c r="R836"/>
  <c r="Q836"/>
  <c r="P836"/>
  <c r="I836"/>
  <c r="R835"/>
  <c r="Q835"/>
  <c r="P835"/>
  <c r="I835"/>
  <c r="R834"/>
  <c r="Q834"/>
  <c r="P834"/>
  <c r="I834"/>
  <c r="R833"/>
  <c r="Q833"/>
  <c r="P833"/>
  <c r="I833"/>
  <c r="R832"/>
  <c r="Q832"/>
  <c r="P832"/>
  <c r="I832"/>
  <c r="R831"/>
  <c r="Q831"/>
  <c r="P831"/>
  <c r="I831"/>
  <c r="R830"/>
  <c r="Q830"/>
  <c r="P830"/>
  <c r="I830"/>
  <c r="R829"/>
  <c r="Q829"/>
  <c r="P829"/>
  <c r="I829"/>
  <c r="R828"/>
  <c r="Q828"/>
  <c r="P828"/>
  <c r="I828"/>
  <c r="R827"/>
  <c r="Q827"/>
  <c r="P827"/>
  <c r="I827"/>
  <c r="R826"/>
  <c r="Q826"/>
  <c r="P826"/>
  <c r="I826"/>
  <c r="R825"/>
  <c r="Q825"/>
  <c r="P825"/>
  <c r="I825"/>
  <c r="R824"/>
  <c r="Q824"/>
  <c r="P824"/>
  <c r="I824"/>
  <c r="R823"/>
  <c r="Q823"/>
  <c r="P823"/>
  <c r="I823"/>
  <c r="Q822"/>
  <c r="P822"/>
  <c r="I822"/>
  <c r="R821"/>
  <c r="Q821"/>
  <c r="P821"/>
  <c r="I821"/>
  <c r="T838" l="1"/>
  <c r="T839"/>
  <c r="T840"/>
  <c r="T841"/>
  <c r="T842"/>
  <c r="T843"/>
  <c r="T844"/>
  <c r="T845"/>
  <c r="T846"/>
  <c r="T847"/>
  <c r="T848"/>
  <c r="T863"/>
  <c r="T864"/>
  <c r="T865"/>
  <c r="T866"/>
  <c r="T867"/>
  <c r="T868"/>
  <c r="T869"/>
  <c r="T870"/>
  <c r="T871"/>
  <c r="T872"/>
  <c r="T873"/>
  <c r="T874"/>
  <c r="T876"/>
  <c r="T877"/>
  <c r="T878"/>
  <c r="T879"/>
  <c r="T880"/>
  <c r="T881"/>
  <c r="T882"/>
  <c r="T883"/>
  <c r="T884"/>
  <c r="T885"/>
  <c r="T886"/>
  <c r="T903"/>
  <c r="T918"/>
  <c r="T887"/>
  <c r="T821"/>
  <c r="T822"/>
  <c r="T823"/>
  <c r="T824"/>
  <c r="T825"/>
  <c r="T826"/>
  <c r="T827"/>
  <c r="T828"/>
  <c r="T829"/>
  <c r="T830"/>
  <c r="T831"/>
  <c r="T832"/>
  <c r="T833"/>
  <c r="T834"/>
  <c r="T835"/>
  <c r="T836"/>
  <c r="T837"/>
  <c r="T888"/>
  <c r="T958"/>
  <c r="T889"/>
  <c r="T890"/>
  <c r="T891"/>
  <c r="T892"/>
  <c r="T893"/>
  <c r="T894"/>
  <c r="T895"/>
  <c r="T896"/>
  <c r="T897"/>
  <c r="T898"/>
  <c r="T899"/>
  <c r="T900"/>
  <c r="T901"/>
  <c r="T902"/>
  <c r="T904"/>
  <c r="T905"/>
  <c r="T906"/>
  <c r="T907"/>
  <c r="T908"/>
  <c r="T909"/>
  <c r="T910"/>
  <c r="T911"/>
  <c r="T912"/>
  <c r="T913"/>
  <c r="T914"/>
  <c r="T915"/>
  <c r="T916"/>
  <c r="T917"/>
  <c r="T919"/>
  <c r="T920"/>
  <c r="T921"/>
  <c r="T922"/>
  <c r="T923"/>
  <c r="T924"/>
  <c r="T925"/>
  <c r="T926"/>
  <c r="T927"/>
  <c r="T928"/>
  <c r="T929"/>
  <c r="T930"/>
  <c r="T931"/>
  <c r="T932"/>
  <c r="T933"/>
  <c r="T934"/>
  <c r="T935"/>
  <c r="T936"/>
  <c r="T938"/>
  <c r="T939"/>
  <c r="T940"/>
  <c r="T941"/>
  <c r="T942"/>
  <c r="T943"/>
  <c r="T944"/>
  <c r="T945"/>
  <c r="T946"/>
  <c r="T947"/>
  <c r="T948"/>
  <c r="T949"/>
  <c r="T950"/>
  <c r="T951"/>
  <c r="T952"/>
  <c r="T953"/>
  <c r="T954"/>
  <c r="T955"/>
  <c r="T956"/>
  <c r="N811"/>
  <c r="N810"/>
  <c r="N809" l="1"/>
  <c r="N808"/>
  <c r="N807" l="1"/>
  <c r="N806"/>
  <c r="N805"/>
  <c r="N804" l="1"/>
  <c r="T804" s="1"/>
  <c r="P804"/>
  <c r="N801"/>
  <c r="L804"/>
  <c r="I804"/>
  <c r="N803" l="1"/>
  <c r="N802"/>
  <c r="N800" l="1"/>
  <c r="N799"/>
  <c r="R100" i="6" l="1"/>
  <c r="N100"/>
  <c r="N798" i="1" l="1"/>
  <c r="N797" l="1"/>
  <c r="N97" i="6" l="1"/>
  <c r="R121" l="1"/>
  <c r="Q121"/>
  <c r="P121"/>
  <c r="I121"/>
  <c r="R120"/>
  <c r="Q120"/>
  <c r="P120"/>
  <c r="I120"/>
  <c r="R119"/>
  <c r="Q119"/>
  <c r="P119"/>
  <c r="I119"/>
  <c r="R118"/>
  <c r="Q118"/>
  <c r="P118"/>
  <c r="I118"/>
  <c r="R117"/>
  <c r="Q117"/>
  <c r="P117"/>
  <c r="I117"/>
  <c r="R116"/>
  <c r="Q116"/>
  <c r="P116"/>
  <c r="I116"/>
  <c r="R115"/>
  <c r="Q115"/>
  <c r="P115"/>
  <c r="I115"/>
  <c r="R114"/>
  <c r="Q114"/>
  <c r="P114"/>
  <c r="I114"/>
  <c r="R113"/>
  <c r="Q113"/>
  <c r="P113"/>
  <c r="I113"/>
  <c r="R112"/>
  <c r="Q112"/>
  <c r="P112"/>
  <c r="I112"/>
  <c r="R111"/>
  <c r="Q111"/>
  <c r="P111"/>
  <c r="I111"/>
  <c r="R110"/>
  <c r="Q110"/>
  <c r="P110"/>
  <c r="I110"/>
  <c r="R109"/>
  <c r="Q109"/>
  <c r="P109"/>
  <c r="I109"/>
  <c r="R234"/>
  <c r="Q234"/>
  <c r="P234"/>
  <c r="I234"/>
  <c r="R130"/>
  <c r="Q130"/>
  <c r="P130"/>
  <c r="I134"/>
  <c r="R129"/>
  <c r="Q129"/>
  <c r="P129"/>
  <c r="I129"/>
  <c r="R128"/>
  <c r="Q128"/>
  <c r="P128"/>
  <c r="I128"/>
  <c r="R127"/>
  <c r="Q127"/>
  <c r="P127"/>
  <c r="I127"/>
  <c r="R126"/>
  <c r="Q126"/>
  <c r="P126"/>
  <c r="I126"/>
  <c r="R125"/>
  <c r="Q125"/>
  <c r="P125"/>
  <c r="I125"/>
  <c r="R124"/>
  <c r="Q124"/>
  <c r="P124"/>
  <c r="I124"/>
  <c r="R123"/>
  <c r="Q123"/>
  <c r="P123"/>
  <c r="I123"/>
  <c r="Q122"/>
  <c r="P122"/>
  <c r="I122"/>
  <c r="R108"/>
  <c r="Q108"/>
  <c r="P108"/>
  <c r="I108"/>
  <c r="T108" l="1"/>
  <c r="W108" s="1"/>
  <c r="T122"/>
  <c r="W122" s="1"/>
  <c r="T123"/>
  <c r="W123" s="1"/>
  <c r="T124"/>
  <c r="W124" s="1"/>
  <c r="T125"/>
  <c r="W125" s="1"/>
  <c r="T126"/>
  <c r="W126" s="1"/>
  <c r="T128"/>
  <c r="W128" s="1"/>
  <c r="T129"/>
  <c r="W129" s="1"/>
  <c r="T130"/>
  <c r="W130" s="1"/>
  <c r="T234"/>
  <c r="W234" s="1"/>
  <c r="T114"/>
  <c r="W114" s="1"/>
  <c r="T115"/>
  <c r="W115" s="1"/>
  <c r="T116"/>
  <c r="W116" s="1"/>
  <c r="T117"/>
  <c r="W117" s="1"/>
  <c r="T118"/>
  <c r="W118" s="1"/>
  <c r="T119"/>
  <c r="W119" s="1"/>
  <c r="T120"/>
  <c r="W120" s="1"/>
  <c r="T121"/>
  <c r="W121" s="1"/>
  <c r="T127"/>
  <c r="W127" s="1"/>
  <c r="T109"/>
  <c r="W109" s="1"/>
  <c r="T110"/>
  <c r="W110" s="1"/>
  <c r="T111"/>
  <c r="W111" s="1"/>
  <c r="T112"/>
  <c r="W112" s="1"/>
  <c r="T113"/>
  <c r="W113" s="1"/>
  <c r="N99" l="1"/>
  <c r="N796" i="1" l="1"/>
  <c r="N794" l="1"/>
  <c r="N792"/>
  <c r="P792"/>
  <c r="N793"/>
  <c r="N98" i="6" l="1"/>
  <c r="R791" i="1" l="1"/>
  <c r="N791" l="1"/>
  <c r="N95" i="6" l="1"/>
  <c r="N790" i="1" l="1"/>
  <c r="L815" l="1"/>
  <c r="L814"/>
  <c r="L813"/>
  <c r="L812"/>
  <c r="L811"/>
  <c r="L810"/>
  <c r="L809"/>
  <c r="L808"/>
  <c r="L807"/>
  <c r="L806"/>
  <c r="L805"/>
  <c r="L803"/>
  <c r="L802"/>
  <c r="L801"/>
  <c r="L800"/>
  <c r="L799"/>
  <c r="L798"/>
  <c r="L797"/>
  <c r="L796"/>
  <c r="R856" l="1"/>
  <c r="Q856"/>
  <c r="P856"/>
  <c r="I856"/>
  <c r="R855"/>
  <c r="Q855"/>
  <c r="P855"/>
  <c r="I855"/>
  <c r="R854"/>
  <c r="Q854"/>
  <c r="P854"/>
  <c r="I854"/>
  <c r="R853"/>
  <c r="Q853"/>
  <c r="P853"/>
  <c r="I853"/>
  <c r="R852"/>
  <c r="Q852"/>
  <c r="P852"/>
  <c r="I852"/>
  <c r="R851"/>
  <c r="Q851"/>
  <c r="P851"/>
  <c r="I851"/>
  <c r="R850"/>
  <c r="Q850"/>
  <c r="P850"/>
  <c r="I850"/>
  <c r="R849"/>
  <c r="Q849"/>
  <c r="P849"/>
  <c r="I849"/>
  <c r="R820"/>
  <c r="Q820"/>
  <c r="P820"/>
  <c r="I820"/>
  <c r="R819"/>
  <c r="Q819"/>
  <c r="P819"/>
  <c r="I819"/>
  <c r="R818"/>
  <c r="Q818"/>
  <c r="P818"/>
  <c r="I818"/>
  <c r="R817"/>
  <c r="Q817"/>
  <c r="P817"/>
  <c r="I817"/>
  <c r="R815"/>
  <c r="Q815"/>
  <c r="P815"/>
  <c r="I815"/>
  <c r="R814"/>
  <c r="Q814"/>
  <c r="P814"/>
  <c r="I814"/>
  <c r="R813"/>
  <c r="Q813"/>
  <c r="P813"/>
  <c r="I813"/>
  <c r="R812"/>
  <c r="Q812"/>
  <c r="P812"/>
  <c r="I812"/>
  <c r="R811"/>
  <c r="Q811"/>
  <c r="P811"/>
  <c r="I811"/>
  <c r="R810"/>
  <c r="Q810"/>
  <c r="P810"/>
  <c r="I810"/>
  <c r="R809"/>
  <c r="Q809"/>
  <c r="P809"/>
  <c r="I809"/>
  <c r="R808"/>
  <c r="Q808"/>
  <c r="P808"/>
  <c r="I808"/>
  <c r="R807"/>
  <c r="Q807"/>
  <c r="P807"/>
  <c r="I807"/>
  <c r="R806"/>
  <c r="Q806"/>
  <c r="P806"/>
  <c r="I806"/>
  <c r="R805"/>
  <c r="Q805"/>
  <c r="P805"/>
  <c r="I805"/>
  <c r="I803"/>
  <c r="I802"/>
  <c r="R801"/>
  <c r="Q801"/>
  <c r="P801"/>
  <c r="I801"/>
  <c r="R800"/>
  <c r="Q800"/>
  <c r="P800"/>
  <c r="I800"/>
  <c r="R799"/>
  <c r="Q799"/>
  <c r="P799"/>
  <c r="I799"/>
  <c r="R798"/>
  <c r="Q798"/>
  <c r="P798"/>
  <c r="I798"/>
  <c r="R797"/>
  <c r="Q797"/>
  <c r="P797"/>
  <c r="I797"/>
  <c r="R796"/>
  <c r="Q796"/>
  <c r="P796"/>
  <c r="I796"/>
  <c r="T796" l="1"/>
  <c r="T797"/>
  <c r="T798"/>
  <c r="T799"/>
  <c r="T800"/>
  <c r="T801"/>
  <c r="T802"/>
  <c r="T803"/>
  <c r="T805"/>
  <c r="T806"/>
  <c r="T807"/>
  <c r="T808"/>
  <c r="T809"/>
  <c r="T810"/>
  <c r="T811"/>
  <c r="T812"/>
  <c r="T813"/>
  <c r="T814"/>
  <c r="T815"/>
  <c r="T817"/>
  <c r="T818"/>
  <c r="T819"/>
  <c r="T820"/>
  <c r="T849"/>
  <c r="T850"/>
  <c r="T851"/>
  <c r="T852"/>
  <c r="T853"/>
  <c r="T854"/>
  <c r="T855"/>
  <c r="T856"/>
  <c r="N94" i="6"/>
  <c r="N93" l="1"/>
  <c r="N92"/>
  <c r="N408" l="1"/>
  <c r="N789" i="1"/>
  <c r="N788" l="1"/>
  <c r="N787" l="1"/>
  <c r="L794" l="1"/>
  <c r="L793"/>
  <c r="L792"/>
  <c r="L791"/>
  <c r="N784"/>
  <c r="N783"/>
  <c r="N782"/>
  <c r="N781" l="1"/>
  <c r="N779"/>
  <c r="L790"/>
  <c r="L789"/>
  <c r="L788"/>
  <c r="L787"/>
  <c r="L785"/>
  <c r="L784"/>
  <c r="L783"/>
  <c r="L782"/>
  <c r="L781"/>
  <c r="L780"/>
  <c r="L779"/>
  <c r="L778"/>
  <c r="N778"/>
  <c r="L104" i="6"/>
  <c r="L103"/>
  <c r="L102"/>
  <c r="N777" i="1"/>
  <c r="N775"/>
  <c r="P775"/>
  <c r="N776"/>
  <c r="N774"/>
  <c r="N773" l="1"/>
  <c r="R772"/>
  <c r="N772" l="1"/>
  <c r="N771"/>
  <c r="N770"/>
  <c r="N769"/>
  <c r="L100" i="6" l="1"/>
  <c r="L99"/>
  <c r="L98"/>
  <c r="L97"/>
  <c r="L96"/>
  <c r="L95"/>
  <c r="L94"/>
  <c r="L93"/>
  <c r="L92"/>
  <c r="L91"/>
  <c r="N768" i="1"/>
  <c r="N766"/>
  <c r="N767" l="1"/>
  <c r="N765" l="1"/>
  <c r="N764" l="1"/>
  <c r="N740"/>
  <c r="P740"/>
  <c r="N763"/>
  <c r="N762"/>
  <c r="N761" l="1"/>
  <c r="N759"/>
  <c r="L759"/>
  <c r="N760" l="1"/>
  <c r="N758"/>
  <c r="N757"/>
  <c r="N755" l="1"/>
  <c r="N753"/>
  <c r="N756" l="1"/>
  <c r="N752" l="1"/>
  <c r="N751"/>
  <c r="N750"/>
  <c r="N749" l="1"/>
  <c r="N748"/>
  <c r="L750"/>
  <c r="L751"/>
  <c r="N747"/>
  <c r="N746"/>
  <c r="N745"/>
  <c r="N744" l="1"/>
  <c r="N743"/>
  <c r="N742"/>
  <c r="R741" l="1"/>
  <c r="N738"/>
  <c r="N741" l="1"/>
  <c r="L777" l="1"/>
  <c r="L776"/>
  <c r="L775"/>
  <c r="L774"/>
  <c r="L773"/>
  <c r="L772"/>
  <c r="L771"/>
  <c r="L770"/>
  <c r="L769"/>
  <c r="L768"/>
  <c r="L767"/>
  <c r="L766"/>
  <c r="L765"/>
  <c r="L764"/>
  <c r="L763"/>
  <c r="L762"/>
  <c r="L761"/>
  <c r="L760"/>
  <c r="L758"/>
  <c r="L757"/>
  <c r="L756"/>
  <c r="L755"/>
  <c r="L754"/>
  <c r="L753"/>
  <c r="L752"/>
  <c r="L742" l="1"/>
  <c r="L743"/>
  <c r="L744"/>
  <c r="L745"/>
  <c r="L746"/>
  <c r="L747"/>
  <c r="L748"/>
  <c r="L749"/>
  <c r="R743"/>
  <c r="Q743"/>
  <c r="P743"/>
  <c r="R742"/>
  <c r="Q742"/>
  <c r="P742"/>
  <c r="Q741"/>
  <c r="T741" s="1"/>
  <c r="P741"/>
  <c r="N736"/>
  <c r="T742" l="1"/>
  <c r="T743"/>
  <c r="N735"/>
  <c r="T740" l="1"/>
  <c r="T737"/>
  <c r="N739"/>
  <c r="T739" s="1"/>
  <c r="N733" l="1"/>
  <c r="N730"/>
  <c r="R738"/>
  <c r="Q738"/>
  <c r="P738"/>
  <c r="T738" l="1"/>
  <c r="N734"/>
  <c r="N732"/>
  <c r="L732"/>
  <c r="N721"/>
  <c r="N720"/>
  <c r="R235" i="6" l="1"/>
  <c r="P235"/>
  <c r="Q235"/>
  <c r="T235" s="1"/>
  <c r="W235" s="1"/>
  <c r="R291"/>
  <c r="Q291"/>
  <c r="P291"/>
  <c r="R290"/>
  <c r="Q290"/>
  <c r="P290"/>
  <c r="R107"/>
  <c r="Q107"/>
  <c r="P107"/>
  <c r="R106"/>
  <c r="Q106"/>
  <c r="P106"/>
  <c r="R104"/>
  <c r="Q104"/>
  <c r="P104"/>
  <c r="R103"/>
  <c r="Q103"/>
  <c r="P103"/>
  <c r="R102"/>
  <c r="Q102"/>
  <c r="P102"/>
  <c r="Q100"/>
  <c r="P100"/>
  <c r="R99"/>
  <c r="Q99"/>
  <c r="P99"/>
  <c r="R98"/>
  <c r="Q98"/>
  <c r="P98"/>
  <c r="R96"/>
  <c r="Q96"/>
  <c r="P96"/>
  <c r="R95"/>
  <c r="Q95"/>
  <c r="P95"/>
  <c r="R94"/>
  <c r="Q94"/>
  <c r="P94"/>
  <c r="R93"/>
  <c r="Q93"/>
  <c r="P93"/>
  <c r="R92"/>
  <c r="Q92"/>
  <c r="P92"/>
  <c r="I291"/>
  <c r="I290"/>
  <c r="I236"/>
  <c r="I235"/>
  <c r="I107"/>
  <c r="I106"/>
  <c r="I104"/>
  <c r="I103"/>
  <c r="I102"/>
  <c r="I100"/>
  <c r="I99"/>
  <c r="I98"/>
  <c r="I97"/>
  <c r="I96"/>
  <c r="I95"/>
  <c r="I94"/>
  <c r="I93"/>
  <c r="I92"/>
  <c r="R91"/>
  <c r="Q91"/>
  <c r="P91"/>
  <c r="I91"/>
  <c r="N729" i="1"/>
  <c r="N728"/>
  <c r="Q408" i="6" l="1"/>
  <c r="P408"/>
  <c r="R408"/>
  <c r="T93"/>
  <c r="W93" s="1"/>
  <c r="T95"/>
  <c r="W95" s="1"/>
  <c r="T97"/>
  <c r="W97" s="1"/>
  <c r="T99"/>
  <c r="W99" s="1"/>
  <c r="T102"/>
  <c r="W102" s="1"/>
  <c r="T104"/>
  <c r="W104" s="1"/>
  <c r="T107"/>
  <c r="W107" s="1"/>
  <c r="T236"/>
  <c r="W236" s="1"/>
  <c r="T290"/>
  <c r="W290" s="1"/>
  <c r="W342"/>
  <c r="T92"/>
  <c r="W92" s="1"/>
  <c r="T94"/>
  <c r="W94" s="1"/>
  <c r="T96"/>
  <c r="W96" s="1"/>
  <c r="T98"/>
  <c r="W98" s="1"/>
  <c r="T100"/>
  <c r="W100" s="1"/>
  <c r="T106"/>
  <c r="W106" s="1"/>
  <c r="T291"/>
  <c r="W291" s="1"/>
  <c r="W343"/>
  <c r="T103"/>
  <c r="W103" s="1"/>
  <c r="T91"/>
  <c r="L741" i="1"/>
  <c r="L740"/>
  <c r="L739"/>
  <c r="L738"/>
  <c r="L737"/>
  <c r="L736"/>
  <c r="L735"/>
  <c r="L734"/>
  <c r="L733"/>
  <c r="L731"/>
  <c r="L730"/>
  <c r="L729"/>
  <c r="T408" i="6" l="1"/>
  <c r="W91"/>
  <c r="N727" i="1"/>
  <c r="N725"/>
  <c r="N724"/>
  <c r="T724" s="1"/>
  <c r="N723" l="1"/>
  <c r="L728" l="1"/>
  <c r="L727"/>
  <c r="L726"/>
  <c r="L725"/>
  <c r="L724"/>
  <c r="L723"/>
  <c r="L722"/>
  <c r="N719"/>
  <c r="N718" l="1"/>
  <c r="N717"/>
  <c r="N715"/>
  <c r="N714" l="1"/>
  <c r="N713"/>
  <c r="N712"/>
  <c r="N709" l="1"/>
  <c r="N694" l="1"/>
  <c r="L721" l="1"/>
  <c r="L720"/>
  <c r="L719"/>
  <c r="L718"/>
  <c r="L717"/>
  <c r="L716"/>
  <c r="L715"/>
  <c r="L714"/>
  <c r="L713"/>
  <c r="L712"/>
  <c r="N711"/>
  <c r="T696"/>
  <c r="L711" l="1"/>
  <c r="L710"/>
  <c r="L709"/>
  <c r="L708"/>
  <c r="L707"/>
  <c r="L706"/>
  <c r="L705"/>
  <c r="L704"/>
  <c r="L703"/>
  <c r="L702"/>
  <c r="L701"/>
  <c r="L700"/>
  <c r="L699"/>
  <c r="R708"/>
  <c r="Q708"/>
  <c r="P708"/>
  <c r="R703"/>
  <c r="Q703"/>
  <c r="P703"/>
  <c r="N692" l="1"/>
  <c r="N689" l="1"/>
  <c r="N687" l="1"/>
  <c r="L698" l="1"/>
  <c r="L697"/>
  <c r="L696"/>
  <c r="L695"/>
  <c r="L694"/>
  <c r="L693"/>
  <c r="L692"/>
  <c r="L691"/>
  <c r="L690"/>
  <c r="L689"/>
  <c r="L688"/>
  <c r="L687"/>
  <c r="L686"/>
  <c r="L685"/>
  <c r="L684"/>
  <c r="L683"/>
  <c r="L682"/>
  <c r="N684"/>
  <c r="N682" l="1"/>
  <c r="N680"/>
  <c r="N677" l="1"/>
  <c r="N676"/>
  <c r="N674" l="1"/>
  <c r="N672" l="1"/>
  <c r="G729"/>
  <c r="R785" l="1"/>
  <c r="Q785"/>
  <c r="P785"/>
  <c r="I785"/>
  <c r="R784"/>
  <c r="Q784"/>
  <c r="P784"/>
  <c r="I784"/>
  <c r="R783"/>
  <c r="Q783"/>
  <c r="P783"/>
  <c r="I783"/>
  <c r="R782"/>
  <c r="Q782"/>
  <c r="P782"/>
  <c r="I782"/>
  <c r="R781"/>
  <c r="Q781"/>
  <c r="P781"/>
  <c r="I781"/>
  <c r="R780"/>
  <c r="Q780"/>
  <c r="P780"/>
  <c r="I780"/>
  <c r="R779"/>
  <c r="Q779"/>
  <c r="P779"/>
  <c r="I779"/>
  <c r="R778"/>
  <c r="Q778"/>
  <c r="P778"/>
  <c r="I778"/>
  <c r="R777"/>
  <c r="Q777"/>
  <c r="P777"/>
  <c r="I777"/>
  <c r="R776"/>
  <c r="Q776"/>
  <c r="P776"/>
  <c r="I776"/>
  <c r="I775"/>
  <c r="R774"/>
  <c r="Q774"/>
  <c r="P774"/>
  <c r="I774"/>
  <c r="R773"/>
  <c r="Q773"/>
  <c r="P773"/>
  <c r="I773"/>
  <c r="Q772"/>
  <c r="P772"/>
  <c r="I772"/>
  <c r="R771"/>
  <c r="Q771"/>
  <c r="P771"/>
  <c r="I771"/>
  <c r="R770"/>
  <c r="Q770"/>
  <c r="P770"/>
  <c r="I770"/>
  <c r="R769"/>
  <c r="Q769"/>
  <c r="P769"/>
  <c r="I769"/>
  <c r="R768"/>
  <c r="Q768"/>
  <c r="P768"/>
  <c r="I768"/>
  <c r="R767"/>
  <c r="Q767"/>
  <c r="P767"/>
  <c r="I767"/>
  <c r="R766"/>
  <c r="Q766"/>
  <c r="P766"/>
  <c r="I766"/>
  <c r="R765"/>
  <c r="Q765"/>
  <c r="P765"/>
  <c r="I765"/>
  <c r="R764"/>
  <c r="Q764"/>
  <c r="P764"/>
  <c r="I764"/>
  <c r="R763"/>
  <c r="Q763"/>
  <c r="P763"/>
  <c r="I763"/>
  <c r="R762"/>
  <c r="Q762"/>
  <c r="P762"/>
  <c r="I762"/>
  <c r="R761"/>
  <c r="Q761"/>
  <c r="P761"/>
  <c r="I761"/>
  <c r="R760"/>
  <c r="Q760"/>
  <c r="P760"/>
  <c r="I760"/>
  <c r="R759"/>
  <c r="Q759"/>
  <c r="P759"/>
  <c r="I759"/>
  <c r="R758"/>
  <c r="Q758"/>
  <c r="P758"/>
  <c r="I758"/>
  <c r="R757"/>
  <c r="Q757"/>
  <c r="P757"/>
  <c r="I757"/>
  <c r="R756"/>
  <c r="Q756"/>
  <c r="P756"/>
  <c r="I756"/>
  <c r="R755"/>
  <c r="Q755"/>
  <c r="P755"/>
  <c r="I755"/>
  <c r="R754"/>
  <c r="Q754"/>
  <c r="P754"/>
  <c r="I754"/>
  <c r="R753"/>
  <c r="Q753"/>
  <c r="P753"/>
  <c r="I753"/>
  <c r="R752"/>
  <c r="Q752"/>
  <c r="P752"/>
  <c r="I752"/>
  <c r="R751"/>
  <c r="Q751"/>
  <c r="P751"/>
  <c r="I751"/>
  <c r="R750"/>
  <c r="Q750"/>
  <c r="P750"/>
  <c r="I750"/>
  <c r="R749"/>
  <c r="Q749"/>
  <c r="P749"/>
  <c r="I749"/>
  <c r="R748"/>
  <c r="Q748"/>
  <c r="P748"/>
  <c r="I748"/>
  <c r="I747"/>
  <c r="R746"/>
  <c r="Q746"/>
  <c r="P746"/>
  <c r="I746"/>
  <c r="R745"/>
  <c r="Q745"/>
  <c r="P745"/>
  <c r="I745"/>
  <c r="R744"/>
  <c r="Q744"/>
  <c r="P744"/>
  <c r="I744"/>
  <c r="I743"/>
  <c r="I742"/>
  <c r="I741"/>
  <c r="I740"/>
  <c r="I739"/>
  <c r="I738"/>
  <c r="I737"/>
  <c r="R736"/>
  <c r="Q736"/>
  <c r="P736"/>
  <c r="I736"/>
  <c r="R735"/>
  <c r="Q735"/>
  <c r="P735"/>
  <c r="I735"/>
  <c r="R734"/>
  <c r="Q734"/>
  <c r="P734"/>
  <c r="I734"/>
  <c r="R733"/>
  <c r="Q733"/>
  <c r="P733"/>
  <c r="I733"/>
  <c r="R732"/>
  <c r="Q732"/>
  <c r="P732"/>
  <c r="I732"/>
  <c r="I731"/>
  <c r="I730"/>
  <c r="I729"/>
  <c r="I728"/>
  <c r="I727"/>
  <c r="I726"/>
  <c r="I725"/>
  <c r="I724"/>
  <c r="I723"/>
  <c r="I722"/>
  <c r="R721"/>
  <c r="Q721"/>
  <c r="P721"/>
  <c r="I721"/>
  <c r="R720"/>
  <c r="Q720"/>
  <c r="P720"/>
  <c r="I720"/>
  <c r="R719"/>
  <c r="Q719"/>
  <c r="P719"/>
  <c r="I719"/>
  <c r="R718"/>
  <c r="Q718"/>
  <c r="P718"/>
  <c r="I718"/>
  <c r="R717"/>
  <c r="Q717"/>
  <c r="P717"/>
  <c r="I717"/>
  <c r="R716"/>
  <c r="Q716"/>
  <c r="P716"/>
  <c r="I716"/>
  <c r="R715"/>
  <c r="Q715"/>
  <c r="P715"/>
  <c r="I715"/>
  <c r="R714"/>
  <c r="Q714"/>
  <c r="P714"/>
  <c r="I714"/>
  <c r="R713"/>
  <c r="Q713"/>
  <c r="P713"/>
  <c r="I713"/>
  <c r="R712"/>
  <c r="Q712"/>
  <c r="P712"/>
  <c r="I712"/>
  <c r="R711"/>
  <c r="Q711"/>
  <c r="P711"/>
  <c r="I711"/>
  <c r="R710"/>
  <c r="Q710"/>
  <c r="P710"/>
  <c r="I710"/>
  <c r="R709"/>
  <c r="Q709"/>
  <c r="P709"/>
  <c r="I709"/>
  <c r="N671"/>
  <c r="T735" l="1"/>
  <c r="T736"/>
  <c r="T744"/>
  <c r="T709"/>
  <c r="T710"/>
  <c r="T711"/>
  <c r="T712"/>
  <c r="T713"/>
  <c r="T714"/>
  <c r="T715"/>
  <c r="T716"/>
  <c r="T717"/>
  <c r="T718"/>
  <c r="T719"/>
  <c r="T720"/>
  <c r="T721"/>
  <c r="T722"/>
  <c r="T723"/>
  <c r="T725"/>
  <c r="T726"/>
  <c r="T727"/>
  <c r="T728"/>
  <c r="T729"/>
  <c r="T730"/>
  <c r="T731"/>
  <c r="T732"/>
  <c r="T733"/>
  <c r="T734"/>
  <c r="T745"/>
  <c r="T746"/>
  <c r="T747"/>
  <c r="T748"/>
  <c r="T749"/>
  <c r="T750"/>
  <c r="T751"/>
  <c r="T752"/>
  <c r="T753"/>
  <c r="T754"/>
  <c r="T755"/>
  <c r="T756"/>
  <c r="T757"/>
  <c r="T758"/>
  <c r="T759"/>
  <c r="T760"/>
  <c r="T761"/>
  <c r="T762"/>
  <c r="T763"/>
  <c r="T764"/>
  <c r="T765"/>
  <c r="T766"/>
  <c r="T767"/>
  <c r="T768"/>
  <c r="T769"/>
  <c r="T770"/>
  <c r="T771"/>
  <c r="T772"/>
  <c r="T773"/>
  <c r="T774"/>
  <c r="T775"/>
  <c r="T776"/>
  <c r="T777"/>
  <c r="T778"/>
  <c r="T779"/>
  <c r="T780"/>
  <c r="T781"/>
  <c r="T782"/>
  <c r="T783"/>
  <c r="T784"/>
  <c r="T785"/>
  <c r="N669"/>
  <c r="N668" l="1"/>
  <c r="N667"/>
  <c r="L681"/>
  <c r="L680"/>
  <c r="L679"/>
  <c r="L678"/>
  <c r="L677"/>
  <c r="L676"/>
  <c r="L675"/>
  <c r="L674"/>
  <c r="L673"/>
  <c r="L672"/>
  <c r="L671"/>
  <c r="L670"/>
  <c r="L669"/>
  <c r="N666"/>
  <c r="N665"/>
  <c r="N664" l="1"/>
  <c r="N663"/>
  <c r="N648" l="1"/>
  <c r="N661" l="1"/>
  <c r="R649" l="1"/>
  <c r="Q649"/>
  <c r="P649"/>
  <c r="R648"/>
  <c r="Q648"/>
  <c r="P648"/>
  <c r="T648" l="1"/>
  <c r="T649"/>
  <c r="L668"/>
  <c r="L667"/>
  <c r="L666"/>
  <c r="L665"/>
  <c r="L664"/>
  <c r="L663"/>
  <c r="L662"/>
  <c r="L661"/>
  <c r="L660"/>
  <c r="L659"/>
  <c r="N658"/>
  <c r="N656"/>
  <c r="N655" l="1"/>
  <c r="L658"/>
  <c r="L657"/>
  <c r="L656"/>
  <c r="L655"/>
  <c r="N654"/>
  <c r="L654" l="1"/>
  <c r="L653"/>
  <c r="L652"/>
  <c r="L651"/>
  <c r="N650"/>
  <c r="N647" l="1"/>
  <c r="N645" l="1"/>
  <c r="N643" l="1"/>
  <c r="N640" l="1"/>
  <c r="N642"/>
  <c r="L650" l="1"/>
  <c r="L649"/>
  <c r="L648"/>
  <c r="L647"/>
  <c r="L646"/>
  <c r="L645"/>
  <c r="L644"/>
  <c r="L643"/>
  <c r="L642"/>
  <c r="L640" l="1"/>
  <c r="N638"/>
  <c r="N637"/>
  <c r="N636"/>
  <c r="N635" l="1"/>
  <c r="L639"/>
  <c r="L638"/>
  <c r="L637"/>
  <c r="L636"/>
  <c r="L635"/>
  <c r="L634"/>
  <c r="L633"/>
  <c r="N634" l="1"/>
  <c r="N633"/>
  <c r="N632"/>
  <c r="N631" l="1"/>
  <c r="N630" l="1"/>
  <c r="N629"/>
  <c r="N628" l="1"/>
  <c r="N627" l="1"/>
  <c r="N626" l="1"/>
  <c r="N625" l="1"/>
  <c r="N623"/>
  <c r="L632"/>
  <c r="L631"/>
  <c r="L630"/>
  <c r="L629"/>
  <c r="L628"/>
  <c r="L627"/>
  <c r="L626"/>
  <c r="L625"/>
  <c r="N622" l="1"/>
  <c r="N621" l="1"/>
  <c r="P88" i="6"/>
  <c r="N88"/>
  <c r="N620" i="1"/>
  <c r="L623"/>
  <c r="L622"/>
  <c r="L621"/>
  <c r="L620"/>
  <c r="L619"/>
  <c r="L618"/>
  <c r="L617"/>
  <c r="L616"/>
  <c r="L615"/>
  <c r="L614"/>
  <c r="N619" l="1"/>
  <c r="N618" l="1"/>
  <c r="N617" l="1"/>
  <c r="N616" l="1"/>
  <c r="R695"/>
  <c r="Q695"/>
  <c r="P695"/>
  <c r="I695"/>
  <c r="I862"/>
  <c r="I861"/>
  <c r="I860"/>
  <c r="I859"/>
  <c r="I858"/>
  <c r="I857"/>
  <c r="I794"/>
  <c r="I793"/>
  <c r="I792"/>
  <c r="I791"/>
  <c r="I790"/>
  <c r="I789"/>
  <c r="I788"/>
  <c r="I787"/>
  <c r="I708"/>
  <c r="I707"/>
  <c r="I706"/>
  <c r="I705"/>
  <c r="I704"/>
  <c r="I703"/>
  <c r="I702"/>
  <c r="I701"/>
  <c r="I700"/>
  <c r="I699"/>
  <c r="I698"/>
  <c r="I697"/>
  <c r="I696"/>
  <c r="I694"/>
  <c r="I693"/>
  <c r="I692"/>
  <c r="I691"/>
  <c r="I690"/>
  <c r="I689"/>
  <c r="I688"/>
  <c r="I687"/>
  <c r="I686"/>
  <c r="I685"/>
  <c r="I684"/>
  <c r="I683"/>
  <c r="I682"/>
  <c r="I681"/>
  <c r="I680"/>
  <c r="I679"/>
  <c r="I678"/>
  <c r="I677"/>
  <c r="I676"/>
  <c r="I675"/>
  <c r="I674"/>
  <c r="I673"/>
  <c r="I672"/>
  <c r="I671"/>
  <c r="I670"/>
  <c r="I669"/>
  <c r="I668"/>
  <c r="I667"/>
  <c r="I666"/>
  <c r="I665"/>
  <c r="I664"/>
  <c r="I663"/>
  <c r="I662"/>
  <c r="I661"/>
  <c r="I660"/>
  <c r="I659"/>
  <c r="I658"/>
  <c r="I657"/>
  <c r="I656"/>
  <c r="I655"/>
  <c r="I654"/>
  <c r="I653"/>
  <c r="I652"/>
  <c r="I651"/>
  <c r="I650"/>
  <c r="I649"/>
  <c r="I648"/>
  <c r="I647"/>
  <c r="I646"/>
  <c r="I645"/>
  <c r="I644"/>
  <c r="I643"/>
  <c r="I642"/>
  <c r="R701"/>
  <c r="Q701"/>
  <c r="P701"/>
  <c r="R700"/>
  <c r="Q700"/>
  <c r="P700"/>
  <c r="R699"/>
  <c r="Q699"/>
  <c r="P699"/>
  <c r="R698"/>
  <c r="Q698"/>
  <c r="P698"/>
  <c r="R694"/>
  <c r="Q694"/>
  <c r="P694"/>
  <c r="R693"/>
  <c r="Q693"/>
  <c r="P693"/>
  <c r="R692"/>
  <c r="Q692"/>
  <c r="P692"/>
  <c r="R691"/>
  <c r="Q691"/>
  <c r="P691"/>
  <c r="R690"/>
  <c r="Q690"/>
  <c r="P690"/>
  <c r="R689"/>
  <c r="Q689"/>
  <c r="P689"/>
  <c r="R688"/>
  <c r="Q688"/>
  <c r="P688"/>
  <c r="R687"/>
  <c r="Q687"/>
  <c r="P687"/>
  <c r="R686"/>
  <c r="Q686"/>
  <c r="P686"/>
  <c r="R685"/>
  <c r="Q685"/>
  <c r="P685"/>
  <c r="R684"/>
  <c r="Q684"/>
  <c r="P684"/>
  <c r="R683"/>
  <c r="Q683"/>
  <c r="P683"/>
  <c r="R682"/>
  <c r="Q682"/>
  <c r="P682"/>
  <c r="R681"/>
  <c r="Q681"/>
  <c r="P681"/>
  <c r="R680"/>
  <c r="Q680"/>
  <c r="P680"/>
  <c r="R679"/>
  <c r="Q679"/>
  <c r="P679"/>
  <c r="R678"/>
  <c r="Q678"/>
  <c r="P678"/>
  <c r="R677"/>
  <c r="Q677"/>
  <c r="P677"/>
  <c r="T677" l="1"/>
  <c r="T679"/>
  <c r="T681"/>
  <c r="T683"/>
  <c r="T685"/>
  <c r="T687"/>
  <c r="T689"/>
  <c r="T691"/>
  <c r="T693"/>
  <c r="T698"/>
  <c r="T700"/>
  <c r="T702"/>
  <c r="T695"/>
  <c r="T678"/>
  <c r="T680"/>
  <c r="T682"/>
  <c r="T684"/>
  <c r="T686"/>
  <c r="T688"/>
  <c r="T690"/>
  <c r="T692"/>
  <c r="T694"/>
  <c r="T697"/>
  <c r="T699"/>
  <c r="T701"/>
  <c r="Q791"/>
  <c r="P791"/>
  <c r="R790"/>
  <c r="Q790"/>
  <c r="P790"/>
  <c r="R789"/>
  <c r="Q789"/>
  <c r="P789"/>
  <c r="R788"/>
  <c r="Q788"/>
  <c r="P788"/>
  <c r="R787"/>
  <c r="Q787"/>
  <c r="P787"/>
  <c r="R706"/>
  <c r="Q706"/>
  <c r="P706"/>
  <c r="R705"/>
  <c r="Q705"/>
  <c r="P705"/>
  <c r="R704"/>
  <c r="Q704"/>
  <c r="P704"/>
  <c r="R676"/>
  <c r="Q676"/>
  <c r="P676"/>
  <c r="R675"/>
  <c r="Q675"/>
  <c r="P675"/>
  <c r="R674"/>
  <c r="Q674"/>
  <c r="P674"/>
  <c r="R673"/>
  <c r="Q673"/>
  <c r="P673"/>
  <c r="R672"/>
  <c r="Q672"/>
  <c r="P672"/>
  <c r="R671"/>
  <c r="Q671"/>
  <c r="P671"/>
  <c r="R670"/>
  <c r="Q670"/>
  <c r="P670"/>
  <c r="R669"/>
  <c r="Q669"/>
  <c r="P669"/>
  <c r="R668"/>
  <c r="Q668"/>
  <c r="P668"/>
  <c r="R667"/>
  <c r="Q667"/>
  <c r="P667"/>
  <c r="R666"/>
  <c r="Q666"/>
  <c r="P666"/>
  <c r="R665"/>
  <c r="Q665"/>
  <c r="P665"/>
  <c r="R664"/>
  <c r="Q664"/>
  <c r="P664"/>
  <c r="R663"/>
  <c r="Q663"/>
  <c r="P663"/>
  <c r="R662"/>
  <c r="Q662"/>
  <c r="P662"/>
  <c r="R661"/>
  <c r="Q661"/>
  <c r="P661"/>
  <c r="R660"/>
  <c r="Q660"/>
  <c r="P660"/>
  <c r="R659"/>
  <c r="Q659"/>
  <c r="P659"/>
  <c r="R658"/>
  <c r="Q658"/>
  <c r="P658"/>
  <c r="R657"/>
  <c r="Q657"/>
  <c r="P657"/>
  <c r="R656"/>
  <c r="Q656"/>
  <c r="P656"/>
  <c r="R655"/>
  <c r="Q655"/>
  <c r="P655"/>
  <c r="R654"/>
  <c r="Q654"/>
  <c r="P654"/>
  <c r="R653"/>
  <c r="Q653"/>
  <c r="P653"/>
  <c r="R652"/>
  <c r="Q652"/>
  <c r="P652"/>
  <c r="R651"/>
  <c r="Q651"/>
  <c r="P651"/>
  <c r="R650"/>
  <c r="Q650"/>
  <c r="P650"/>
  <c r="R647"/>
  <c r="Q647"/>
  <c r="P647"/>
  <c r="R646"/>
  <c r="Q646"/>
  <c r="P646"/>
  <c r="R645"/>
  <c r="Q645"/>
  <c r="P645"/>
  <c r="R644"/>
  <c r="Q644"/>
  <c r="P644"/>
  <c r="N615"/>
  <c r="N614"/>
  <c r="N613"/>
  <c r="N612"/>
  <c r="N611"/>
  <c r="N609"/>
  <c r="L613"/>
  <c r="L612"/>
  <c r="L611"/>
  <c r="L610"/>
  <c r="L609"/>
  <c r="L608"/>
  <c r="L607"/>
  <c r="L606"/>
  <c r="L605"/>
  <c r="L604"/>
  <c r="T663" l="1"/>
  <c r="T662"/>
  <c r="T659"/>
  <c r="T661"/>
  <c r="T660"/>
  <c r="T650"/>
  <c r="T652"/>
  <c r="T654"/>
  <c r="T656"/>
  <c r="T708"/>
  <c r="T788"/>
  <c r="T790"/>
  <c r="T792"/>
  <c r="T645"/>
  <c r="T647"/>
  <c r="T657"/>
  <c r="T665"/>
  <c r="T667"/>
  <c r="T669"/>
  <c r="T671"/>
  <c r="T673"/>
  <c r="T675"/>
  <c r="T703"/>
  <c r="T705"/>
  <c r="T707"/>
  <c r="T787"/>
  <c r="T789"/>
  <c r="T791"/>
  <c r="T644"/>
  <c r="T646"/>
  <c r="T651"/>
  <c r="T653"/>
  <c r="T655"/>
  <c r="T658"/>
  <c r="T664"/>
  <c r="T666"/>
  <c r="T668"/>
  <c r="T670"/>
  <c r="T672"/>
  <c r="T674"/>
  <c r="T676"/>
  <c r="T704"/>
  <c r="T706"/>
  <c r="N608"/>
  <c r="N607" l="1"/>
  <c r="N606"/>
  <c r="I616" l="1"/>
  <c r="N605" l="1"/>
  <c r="N604" l="1"/>
  <c r="N602" l="1"/>
  <c r="N601" l="1"/>
  <c r="N87" i="6"/>
  <c r="N600" i="1" l="1"/>
  <c r="N86" i="6"/>
  <c r="N599" i="1" l="1"/>
  <c r="N598"/>
  <c r="N85" i="6" l="1"/>
  <c r="N597" i="1" l="1"/>
  <c r="N596" l="1"/>
  <c r="N595" l="1"/>
  <c r="N594"/>
  <c r="N593"/>
  <c r="N592" l="1"/>
  <c r="N591"/>
  <c r="N590" l="1"/>
  <c r="Q590"/>
  <c r="N589" l="1"/>
  <c r="N588"/>
  <c r="N587"/>
  <c r="N586" l="1"/>
  <c r="N584" l="1"/>
  <c r="N583" l="1"/>
  <c r="N581" l="1"/>
  <c r="N580"/>
  <c r="N579" l="1"/>
  <c r="N578" l="1"/>
  <c r="N577"/>
  <c r="N576"/>
  <c r="N575" l="1"/>
  <c r="L602" l="1"/>
  <c r="L601"/>
  <c r="L600"/>
  <c r="L599"/>
  <c r="L598"/>
  <c r="L597"/>
  <c r="L596"/>
  <c r="L595"/>
  <c r="L594"/>
  <c r="L593"/>
  <c r="L592"/>
  <c r="L591"/>
  <c r="L590"/>
  <c r="L589"/>
  <c r="L588"/>
  <c r="L587"/>
  <c r="L586"/>
  <c r="L585"/>
  <c r="L584"/>
  <c r="L583"/>
  <c r="L582"/>
  <c r="L581"/>
  <c r="L580"/>
  <c r="L579"/>
  <c r="L578"/>
  <c r="L577"/>
  <c r="L576"/>
  <c r="L575"/>
  <c r="N573"/>
  <c r="N572" l="1"/>
  <c r="N571" l="1"/>
  <c r="N570" l="1"/>
  <c r="N569"/>
  <c r="N568" l="1"/>
  <c r="N567" l="1"/>
  <c r="N566"/>
  <c r="N565" l="1"/>
  <c r="N564"/>
  <c r="N563" l="1"/>
  <c r="N562"/>
  <c r="N561" l="1"/>
  <c r="N560" l="1"/>
  <c r="N559" l="1"/>
  <c r="N558"/>
  <c r="I558"/>
  <c r="N557" l="1"/>
  <c r="I557" l="1"/>
  <c r="N556"/>
  <c r="N555"/>
  <c r="N553" l="1"/>
  <c r="N552" l="1"/>
  <c r="N551" l="1"/>
  <c r="N550"/>
  <c r="L553" l="1"/>
  <c r="L573"/>
  <c r="L572"/>
  <c r="L571"/>
  <c r="L570"/>
  <c r="L569"/>
  <c r="L568"/>
  <c r="L567"/>
  <c r="L566"/>
  <c r="L565"/>
  <c r="L564"/>
  <c r="L563"/>
  <c r="L562"/>
  <c r="L561"/>
  <c r="L560"/>
  <c r="L559"/>
  <c r="L558"/>
  <c r="L557"/>
  <c r="L556"/>
  <c r="L555"/>
  <c r="N549" l="1"/>
  <c r="N547" l="1"/>
  <c r="L552"/>
  <c r="L551"/>
  <c r="L550"/>
  <c r="L549"/>
  <c r="N546" l="1"/>
  <c r="N545"/>
  <c r="N544" l="1"/>
  <c r="N543"/>
  <c r="N542"/>
  <c r="N541" l="1"/>
  <c r="N540"/>
  <c r="N539"/>
  <c r="N538"/>
  <c r="L539"/>
  <c r="N537" l="1"/>
  <c r="N536" l="1"/>
  <c r="N535" l="1"/>
  <c r="N534"/>
  <c r="N533"/>
  <c r="N83" i="6" l="1"/>
  <c r="N82"/>
  <c r="N81" l="1"/>
  <c r="R80"/>
  <c r="N80"/>
  <c r="N79" l="1"/>
  <c r="N70" l="1"/>
  <c r="N78" l="1"/>
  <c r="N77" l="1"/>
  <c r="N76" l="1"/>
  <c r="N74" l="1"/>
  <c r="N531" i="1" l="1"/>
  <c r="N530"/>
  <c r="Q530" l="1"/>
  <c r="N529" l="1"/>
  <c r="N527"/>
  <c r="N528" l="1"/>
  <c r="N526"/>
  <c r="N525"/>
  <c r="N523" l="1"/>
  <c r="N522"/>
  <c r="N521"/>
  <c r="N520"/>
  <c r="N519" l="1"/>
  <c r="I640" l="1"/>
  <c r="I639"/>
  <c r="I638"/>
  <c r="I637"/>
  <c r="I636"/>
  <c r="I635"/>
  <c r="I634"/>
  <c r="I633"/>
  <c r="I632"/>
  <c r="I631"/>
  <c r="I630"/>
  <c r="I629"/>
  <c r="I628"/>
  <c r="I627"/>
  <c r="I626"/>
  <c r="I625"/>
  <c r="R793"/>
  <c r="Q793"/>
  <c r="P793"/>
  <c r="R643"/>
  <c r="Q643"/>
  <c r="P643"/>
  <c r="R642"/>
  <c r="Q642"/>
  <c r="P642"/>
  <c r="R640"/>
  <c r="Q640"/>
  <c r="P640"/>
  <c r="R639"/>
  <c r="Q639"/>
  <c r="P639"/>
  <c r="R638"/>
  <c r="Q638"/>
  <c r="P638"/>
  <c r="R637"/>
  <c r="Q637"/>
  <c r="P637"/>
  <c r="R636"/>
  <c r="Q636"/>
  <c r="P636"/>
  <c r="R635"/>
  <c r="Q635"/>
  <c r="P635"/>
  <c r="R634"/>
  <c r="Q634"/>
  <c r="P634"/>
  <c r="R633"/>
  <c r="Q633"/>
  <c r="P633"/>
  <c r="R632"/>
  <c r="Q632"/>
  <c r="P632"/>
  <c r="R631"/>
  <c r="Q631"/>
  <c r="P631"/>
  <c r="R630"/>
  <c r="Q630"/>
  <c r="P630"/>
  <c r="R629"/>
  <c r="Q629"/>
  <c r="P629"/>
  <c r="R628"/>
  <c r="Q628"/>
  <c r="P628"/>
  <c r="R627"/>
  <c r="Q627"/>
  <c r="P627"/>
  <c r="R626"/>
  <c r="Q626"/>
  <c r="P626"/>
  <c r="R625"/>
  <c r="Q625"/>
  <c r="P625"/>
  <c r="N518"/>
  <c r="N517"/>
  <c r="N516"/>
  <c r="N515"/>
  <c r="N514"/>
  <c r="T638" l="1"/>
  <c r="T629"/>
  <c r="T625"/>
  <c r="T627"/>
  <c r="T631"/>
  <c r="T633"/>
  <c r="T635"/>
  <c r="T637"/>
  <c r="T639"/>
  <c r="T642"/>
  <c r="T793"/>
  <c r="T643"/>
  <c r="T626"/>
  <c r="T628"/>
  <c r="T630"/>
  <c r="T632"/>
  <c r="T634"/>
  <c r="T636"/>
  <c r="T640"/>
  <c r="N512"/>
  <c r="N511"/>
  <c r="N510"/>
  <c r="N509" l="1"/>
  <c r="N508"/>
  <c r="N507"/>
  <c r="N506"/>
  <c r="N505"/>
  <c r="N504" l="1"/>
  <c r="N503" l="1"/>
  <c r="I623" l="1"/>
  <c r="I622"/>
  <c r="I621"/>
  <c r="I620"/>
  <c r="I619"/>
  <c r="I618"/>
  <c r="I617"/>
  <c r="I615"/>
  <c r="I614"/>
  <c r="I613"/>
  <c r="I612"/>
  <c r="I611"/>
  <c r="I610"/>
  <c r="I609"/>
  <c r="I608"/>
  <c r="I607"/>
  <c r="I606"/>
  <c r="I605"/>
  <c r="I604"/>
  <c r="I602"/>
  <c r="I601"/>
  <c r="I600"/>
  <c r="I599"/>
  <c r="I598"/>
  <c r="I597"/>
  <c r="I596"/>
  <c r="I595"/>
  <c r="I594"/>
  <c r="I593"/>
  <c r="I592"/>
  <c r="I591"/>
  <c r="I590"/>
  <c r="I589"/>
  <c r="I588"/>
  <c r="I587"/>
  <c r="I586"/>
  <c r="I585"/>
  <c r="I584"/>
  <c r="I583"/>
  <c r="I582"/>
  <c r="I581"/>
  <c r="I580"/>
  <c r="I579"/>
  <c r="I578"/>
  <c r="I577"/>
  <c r="I576"/>
  <c r="I575"/>
  <c r="I573"/>
  <c r="I572"/>
  <c r="I571"/>
  <c r="I570"/>
  <c r="I569"/>
  <c r="I568"/>
  <c r="I567"/>
  <c r="I566"/>
  <c r="I565"/>
  <c r="I564"/>
  <c r="I563"/>
  <c r="I562"/>
  <c r="I561"/>
  <c r="I560"/>
  <c r="I559"/>
  <c r="I556"/>
  <c r="I555"/>
  <c r="I553"/>
  <c r="I552"/>
  <c r="I551"/>
  <c r="I549"/>
  <c r="I550"/>
  <c r="R615"/>
  <c r="Q615"/>
  <c r="P615"/>
  <c r="R614"/>
  <c r="Q614"/>
  <c r="P614"/>
  <c r="R613"/>
  <c r="Q613"/>
  <c r="P613"/>
  <c r="R612"/>
  <c r="Q612"/>
  <c r="P612"/>
  <c r="R611"/>
  <c r="Q611"/>
  <c r="P611"/>
  <c r="R610"/>
  <c r="Q610"/>
  <c r="P610"/>
  <c r="R609"/>
  <c r="Q609"/>
  <c r="P609"/>
  <c r="R608"/>
  <c r="Q608"/>
  <c r="P608"/>
  <c r="R607"/>
  <c r="Q607"/>
  <c r="P607"/>
  <c r="R606"/>
  <c r="Q606"/>
  <c r="P606"/>
  <c r="R605"/>
  <c r="Q605"/>
  <c r="P605"/>
  <c r="R604"/>
  <c r="Q604"/>
  <c r="P604"/>
  <c r="R602"/>
  <c r="Q602"/>
  <c r="P602"/>
  <c r="R601"/>
  <c r="Q601"/>
  <c r="P601"/>
  <c r="R600"/>
  <c r="Q600"/>
  <c r="P600"/>
  <c r="R599"/>
  <c r="Q599"/>
  <c r="P599"/>
  <c r="R598"/>
  <c r="Q598"/>
  <c r="P598"/>
  <c r="R597"/>
  <c r="Q597"/>
  <c r="P597"/>
  <c r="R596"/>
  <c r="Q596"/>
  <c r="P596"/>
  <c r="R595"/>
  <c r="Q595"/>
  <c r="P595"/>
  <c r="R594"/>
  <c r="Q594"/>
  <c r="P594"/>
  <c r="R593"/>
  <c r="Q593"/>
  <c r="P593"/>
  <c r="R592"/>
  <c r="Q592"/>
  <c r="P592"/>
  <c r="R591"/>
  <c r="Q591"/>
  <c r="P591"/>
  <c r="R590"/>
  <c r="P590"/>
  <c r="R589"/>
  <c r="Q589"/>
  <c r="P589"/>
  <c r="R588"/>
  <c r="Q588"/>
  <c r="P588"/>
  <c r="R859"/>
  <c r="Q859"/>
  <c r="P859"/>
  <c r="R858"/>
  <c r="Q858"/>
  <c r="P858"/>
  <c r="R857"/>
  <c r="Q857"/>
  <c r="P857"/>
  <c r="R794"/>
  <c r="Q794"/>
  <c r="P794"/>
  <c r="R624"/>
  <c r="Q624"/>
  <c r="P624"/>
  <c r="R623"/>
  <c r="Q623"/>
  <c r="P623"/>
  <c r="R622"/>
  <c r="Q622"/>
  <c r="P622"/>
  <c r="R621"/>
  <c r="Q621"/>
  <c r="P621"/>
  <c r="R620"/>
  <c r="Q620"/>
  <c r="P620"/>
  <c r="R619"/>
  <c r="Q619"/>
  <c r="P619"/>
  <c r="R618"/>
  <c r="Q618"/>
  <c r="P618"/>
  <c r="R617"/>
  <c r="Q617"/>
  <c r="P617"/>
  <c r="R616"/>
  <c r="Q616"/>
  <c r="P616"/>
  <c r="R587"/>
  <c r="Q587"/>
  <c r="P587"/>
  <c r="R586"/>
  <c r="Q586"/>
  <c r="P586"/>
  <c r="R585"/>
  <c r="Q585"/>
  <c r="P585"/>
  <c r="R584"/>
  <c r="Q584"/>
  <c r="P584"/>
  <c r="R583"/>
  <c r="Q583"/>
  <c r="P583"/>
  <c r="R582"/>
  <c r="Q582"/>
  <c r="P582"/>
  <c r="R581"/>
  <c r="Q581"/>
  <c r="P581"/>
  <c r="R580"/>
  <c r="Q580"/>
  <c r="P580"/>
  <c r="R579"/>
  <c r="Q579"/>
  <c r="P579"/>
  <c r="R578"/>
  <c r="Q578"/>
  <c r="P578"/>
  <c r="R577"/>
  <c r="Q577"/>
  <c r="P577"/>
  <c r="R576"/>
  <c r="Q576"/>
  <c r="P576"/>
  <c r="R575"/>
  <c r="Q575"/>
  <c r="P575"/>
  <c r="R573"/>
  <c r="Q573"/>
  <c r="P573"/>
  <c r="R572"/>
  <c r="Q572"/>
  <c r="P572"/>
  <c r="R571"/>
  <c r="Q571"/>
  <c r="P571"/>
  <c r="R570"/>
  <c r="Q570"/>
  <c r="P570"/>
  <c r="R569"/>
  <c r="Q569"/>
  <c r="P569"/>
  <c r="R568"/>
  <c r="Q568"/>
  <c r="P568"/>
  <c r="R567"/>
  <c r="Q567"/>
  <c r="P567"/>
  <c r="R566"/>
  <c r="Q566"/>
  <c r="P566"/>
  <c r="R565"/>
  <c r="Q565"/>
  <c r="P565"/>
  <c r="R564"/>
  <c r="Q564"/>
  <c r="P564"/>
  <c r="R563"/>
  <c r="Q563"/>
  <c r="P563"/>
  <c r="R562"/>
  <c r="Q562"/>
  <c r="P562"/>
  <c r="R561"/>
  <c r="Q561"/>
  <c r="P561"/>
  <c r="R560"/>
  <c r="Q560"/>
  <c r="P560"/>
  <c r="R559"/>
  <c r="Q559"/>
  <c r="P559"/>
  <c r="R558"/>
  <c r="Q558"/>
  <c r="P558"/>
  <c r="R557"/>
  <c r="Q557"/>
  <c r="P557"/>
  <c r="R556"/>
  <c r="Q556"/>
  <c r="P556"/>
  <c r="R555"/>
  <c r="Q555"/>
  <c r="P555"/>
  <c r="Q553"/>
  <c r="P553"/>
  <c r="R552"/>
  <c r="Q552"/>
  <c r="P552"/>
  <c r="R551"/>
  <c r="Q551"/>
  <c r="P551"/>
  <c r="R550"/>
  <c r="Q550"/>
  <c r="P550"/>
  <c r="R549"/>
  <c r="Q549"/>
  <c r="P549"/>
  <c r="N502"/>
  <c r="N501"/>
  <c r="T619" l="1"/>
  <c r="T555"/>
  <c r="T550"/>
  <c r="T552"/>
  <c r="T557"/>
  <c r="T559"/>
  <c r="T561"/>
  <c r="T563"/>
  <c r="T565"/>
  <c r="T567"/>
  <c r="T569"/>
  <c r="T571"/>
  <c r="T573"/>
  <c r="T576"/>
  <c r="T578"/>
  <c r="T580"/>
  <c r="T582"/>
  <c r="T584"/>
  <c r="T586"/>
  <c r="T616"/>
  <c r="T618"/>
  <c r="T620"/>
  <c r="T622"/>
  <c r="T624"/>
  <c r="T858"/>
  <c r="T588"/>
  <c r="T590"/>
  <c r="T592"/>
  <c r="T594"/>
  <c r="T596"/>
  <c r="T598"/>
  <c r="T600"/>
  <c r="T602"/>
  <c r="T605"/>
  <c r="T607"/>
  <c r="T609"/>
  <c r="T611"/>
  <c r="T613"/>
  <c r="T615"/>
  <c r="T549"/>
  <c r="T551"/>
  <c r="T553"/>
  <c r="T556"/>
  <c r="T558"/>
  <c r="T560"/>
  <c r="T562"/>
  <c r="T564"/>
  <c r="T566"/>
  <c r="T568"/>
  <c r="T570"/>
  <c r="T572"/>
  <c r="T575"/>
  <c r="T577"/>
  <c r="T579"/>
  <c r="T581"/>
  <c r="T583"/>
  <c r="T585"/>
  <c r="T587"/>
  <c r="T617"/>
  <c r="T621"/>
  <c r="T623"/>
  <c r="T794"/>
  <c r="T857"/>
  <c r="T859"/>
  <c r="T589"/>
  <c r="T591"/>
  <c r="T593"/>
  <c r="T595"/>
  <c r="T597"/>
  <c r="T599"/>
  <c r="T601"/>
  <c r="T604"/>
  <c r="T606"/>
  <c r="T608"/>
  <c r="T610"/>
  <c r="T612"/>
  <c r="T614"/>
  <c r="N500"/>
  <c r="N499"/>
  <c r="N498"/>
  <c r="N497"/>
  <c r="I533"/>
  <c r="I547"/>
  <c r="I546"/>
  <c r="I545"/>
  <c r="I544"/>
  <c r="I543"/>
  <c r="I542"/>
  <c r="I541"/>
  <c r="I540"/>
  <c r="I539"/>
  <c r="I538"/>
  <c r="I537"/>
  <c r="I536"/>
  <c r="I535"/>
  <c r="I534"/>
  <c r="I531"/>
  <c r="I497"/>
  <c r="I498"/>
  <c r="I499"/>
  <c r="I500"/>
  <c r="I501"/>
  <c r="L547"/>
  <c r="L546"/>
  <c r="L545"/>
  <c r="L544"/>
  <c r="L543"/>
  <c r="L542"/>
  <c r="L541"/>
  <c r="L540"/>
  <c r="L538"/>
  <c r="L537"/>
  <c r="L536"/>
  <c r="L535"/>
  <c r="L534"/>
  <c r="L533"/>
  <c r="L531"/>
  <c r="L530"/>
  <c r="L529"/>
  <c r="L528"/>
  <c r="L527"/>
  <c r="L526"/>
  <c r="L525"/>
  <c r="L524"/>
  <c r="L523"/>
  <c r="L522"/>
  <c r="L521"/>
  <c r="L520"/>
  <c r="L519"/>
  <c r="L518"/>
  <c r="L517"/>
  <c r="L516"/>
  <c r="L515"/>
  <c r="L514"/>
  <c r="L513"/>
  <c r="L512" l="1"/>
  <c r="L511"/>
  <c r="L510"/>
  <c r="L509"/>
  <c r="L508"/>
  <c r="L507"/>
  <c r="L506"/>
  <c r="L505"/>
  <c r="L504"/>
  <c r="L503"/>
  <c r="L502"/>
  <c r="L501"/>
  <c r="L500"/>
  <c r="L499"/>
  <c r="L498"/>
  <c r="L497"/>
  <c r="N495"/>
  <c r="N494"/>
  <c r="R493"/>
  <c r="Q493"/>
  <c r="N493"/>
  <c r="R3" i="9" l="1"/>
  <c r="Q3"/>
  <c r="R17"/>
  <c r="Q17"/>
  <c r="P17"/>
  <c r="I17"/>
  <c r="R16"/>
  <c r="Q16"/>
  <c r="P16"/>
  <c r="I16"/>
  <c r="R15"/>
  <c r="Q15"/>
  <c r="P15"/>
  <c r="I15"/>
  <c r="R14"/>
  <c r="Q14"/>
  <c r="P14"/>
  <c r="I14"/>
  <c r="R13"/>
  <c r="Q13"/>
  <c r="P13"/>
  <c r="I13"/>
  <c r="R12"/>
  <c r="Q12"/>
  <c r="P12"/>
  <c r="I12"/>
  <c r="R11"/>
  <c r="Q11"/>
  <c r="P11"/>
  <c r="I11"/>
  <c r="R10"/>
  <c r="Q10"/>
  <c r="P10"/>
  <c r="I10"/>
  <c r="R9"/>
  <c r="Q9"/>
  <c r="P9"/>
  <c r="I9"/>
  <c r="R8"/>
  <c r="Q8"/>
  <c r="P8"/>
  <c r="I8"/>
  <c r="R7"/>
  <c r="Q7"/>
  <c r="P7"/>
  <c r="I7"/>
  <c r="R6"/>
  <c r="Q6"/>
  <c r="P6"/>
  <c r="I6"/>
  <c r="R5"/>
  <c r="Q5"/>
  <c r="P5"/>
  <c r="I5"/>
  <c r="R4"/>
  <c r="Q4"/>
  <c r="P4"/>
  <c r="I4"/>
  <c r="P3"/>
  <c r="P18" s="1"/>
  <c r="I3"/>
  <c r="G18"/>
  <c r="N18"/>
  <c r="P494" i="1"/>
  <c r="Q494"/>
  <c r="R494"/>
  <c r="P495"/>
  <c r="Q495"/>
  <c r="R495"/>
  <c r="P496"/>
  <c r="Q496"/>
  <c r="R496"/>
  <c r="P497"/>
  <c r="Q497"/>
  <c r="R497"/>
  <c r="P498"/>
  <c r="Q498"/>
  <c r="R498"/>
  <c r="P499"/>
  <c r="Q499"/>
  <c r="R499"/>
  <c r="P500"/>
  <c r="Q500"/>
  <c r="R500"/>
  <c r="P501"/>
  <c r="Q501"/>
  <c r="R501"/>
  <c r="P502"/>
  <c r="Q502"/>
  <c r="R502"/>
  <c r="P503"/>
  <c r="Q503"/>
  <c r="R503"/>
  <c r="P504"/>
  <c r="Q504"/>
  <c r="R504"/>
  <c r="P505"/>
  <c r="Q505"/>
  <c r="R505"/>
  <c r="P506"/>
  <c r="Q506"/>
  <c r="R506"/>
  <c r="P507"/>
  <c r="Q507"/>
  <c r="R507"/>
  <c r="P508"/>
  <c r="Q508"/>
  <c r="R508"/>
  <c r="P509"/>
  <c r="Q509"/>
  <c r="R509"/>
  <c r="P510"/>
  <c r="Q510"/>
  <c r="R510"/>
  <c r="P511"/>
  <c r="Q511"/>
  <c r="R511"/>
  <c r="P512"/>
  <c r="Q512"/>
  <c r="R512"/>
  <c r="P513"/>
  <c r="Q513"/>
  <c r="R513"/>
  <c r="P514"/>
  <c r="Q514"/>
  <c r="R514"/>
  <c r="P515"/>
  <c r="Q515"/>
  <c r="R515"/>
  <c r="P516"/>
  <c r="Q516"/>
  <c r="R516"/>
  <c r="P517"/>
  <c r="Q517"/>
  <c r="R517"/>
  <c r="P518"/>
  <c r="Q518"/>
  <c r="R518"/>
  <c r="P519"/>
  <c r="Q519"/>
  <c r="R519"/>
  <c r="P520"/>
  <c r="Q520"/>
  <c r="R520"/>
  <c r="P521"/>
  <c r="Q521"/>
  <c r="R521"/>
  <c r="P522"/>
  <c r="Q522"/>
  <c r="R522"/>
  <c r="P523"/>
  <c r="Q523"/>
  <c r="R523"/>
  <c r="P524"/>
  <c r="Q524"/>
  <c r="R524"/>
  <c r="P525"/>
  <c r="Q525"/>
  <c r="R525"/>
  <c r="P526"/>
  <c r="Q526"/>
  <c r="R526"/>
  <c r="P527"/>
  <c r="Q527"/>
  <c r="R527"/>
  <c r="P528"/>
  <c r="Q528"/>
  <c r="R528"/>
  <c r="P529"/>
  <c r="Q529"/>
  <c r="R529"/>
  <c r="P530"/>
  <c r="R530"/>
  <c r="P531"/>
  <c r="Q531"/>
  <c r="R531"/>
  <c r="N492"/>
  <c r="R18" i="9" l="1"/>
  <c r="T4"/>
  <c r="T5"/>
  <c r="T6"/>
  <c r="T7"/>
  <c r="T8"/>
  <c r="T9"/>
  <c r="T10"/>
  <c r="T11"/>
  <c r="T12"/>
  <c r="T13"/>
  <c r="T14"/>
  <c r="T15"/>
  <c r="T16"/>
  <c r="T17"/>
  <c r="T3"/>
  <c r="Q18"/>
  <c r="N491" i="1"/>
  <c r="T18" i="9" l="1"/>
  <c r="T22" s="1"/>
  <c r="N490" i="1"/>
  <c r="N489"/>
  <c r="N488"/>
  <c r="N487" l="1"/>
  <c r="N486"/>
  <c r="N485" l="1"/>
  <c r="N484" l="1"/>
  <c r="N483"/>
  <c r="N482" l="1"/>
  <c r="N481" l="1"/>
  <c r="N480"/>
  <c r="N479"/>
  <c r="L495" l="1"/>
  <c r="L494"/>
  <c r="L493"/>
  <c r="L492"/>
  <c r="L491"/>
  <c r="L490"/>
  <c r="L489"/>
  <c r="L488"/>
  <c r="L487"/>
  <c r="L486"/>
  <c r="L485"/>
  <c r="L484"/>
  <c r="L483"/>
  <c r="L482"/>
  <c r="L481"/>
  <c r="I530"/>
  <c r="I529"/>
  <c r="I528"/>
  <c r="I527"/>
  <c r="I526"/>
  <c r="I525"/>
  <c r="I524"/>
  <c r="I523"/>
  <c r="I522"/>
  <c r="I521"/>
  <c r="I520"/>
  <c r="I519"/>
  <c r="I518"/>
  <c r="I517"/>
  <c r="I516"/>
  <c r="I515"/>
  <c r="I514"/>
  <c r="I513"/>
  <c r="I512"/>
  <c r="I511"/>
  <c r="I510"/>
  <c r="I509"/>
  <c r="I508"/>
  <c r="I507"/>
  <c r="I506"/>
  <c r="I505"/>
  <c r="I504"/>
  <c r="I503"/>
  <c r="I502"/>
  <c r="R862"/>
  <c r="Q862"/>
  <c r="P862"/>
  <c r="R861"/>
  <c r="Q861"/>
  <c r="P861"/>
  <c r="R860"/>
  <c r="Q860"/>
  <c r="P860"/>
  <c r="R548"/>
  <c r="Q548"/>
  <c r="P548"/>
  <c r="R547"/>
  <c r="Q547"/>
  <c r="P547"/>
  <c r="R546"/>
  <c r="Q546"/>
  <c r="P546"/>
  <c r="R545"/>
  <c r="Q545"/>
  <c r="P545"/>
  <c r="R544"/>
  <c r="Q544"/>
  <c r="P544"/>
  <c r="R543"/>
  <c r="Q543"/>
  <c r="P543"/>
  <c r="R542"/>
  <c r="Q542"/>
  <c r="P542"/>
  <c r="R541"/>
  <c r="Q541"/>
  <c r="P541"/>
  <c r="R540"/>
  <c r="Q540"/>
  <c r="P540"/>
  <c r="R539"/>
  <c r="Q539"/>
  <c r="P539"/>
  <c r="R538"/>
  <c r="Q538"/>
  <c r="P538"/>
  <c r="R537"/>
  <c r="Q537"/>
  <c r="P537"/>
  <c r="R536"/>
  <c r="Q536"/>
  <c r="P536"/>
  <c r="R535"/>
  <c r="Q535"/>
  <c r="P535"/>
  <c r="R534"/>
  <c r="Q534"/>
  <c r="P534"/>
  <c r="R533"/>
  <c r="Q533"/>
  <c r="P533"/>
  <c r="T531"/>
  <c r="T529"/>
  <c r="T527"/>
  <c r="T525"/>
  <c r="T523"/>
  <c r="T521"/>
  <c r="T519"/>
  <c r="T517"/>
  <c r="T515"/>
  <c r="T513"/>
  <c r="T511"/>
  <c r="T509"/>
  <c r="T507"/>
  <c r="T505"/>
  <c r="T503"/>
  <c r="T501"/>
  <c r="T499"/>
  <c r="T497"/>
  <c r="T496"/>
  <c r="T495"/>
  <c r="N478"/>
  <c r="N477"/>
  <c r="L477"/>
  <c r="N476"/>
  <c r="T546" l="1"/>
  <c r="T548"/>
  <c r="T861"/>
  <c r="T533"/>
  <c r="T535"/>
  <c r="T537"/>
  <c r="T539"/>
  <c r="T541"/>
  <c r="T543"/>
  <c r="T547"/>
  <c r="T860"/>
  <c r="T862"/>
  <c r="T545"/>
  <c r="T534"/>
  <c r="T536"/>
  <c r="T538"/>
  <c r="T540"/>
  <c r="T542"/>
  <c r="T544"/>
  <c r="T498"/>
  <c r="T500"/>
  <c r="T502"/>
  <c r="T504"/>
  <c r="T506"/>
  <c r="T508"/>
  <c r="T510"/>
  <c r="T512"/>
  <c r="T514"/>
  <c r="T516"/>
  <c r="T518"/>
  <c r="T520"/>
  <c r="T522"/>
  <c r="T524"/>
  <c r="T526"/>
  <c r="T528"/>
  <c r="T530"/>
  <c r="N475"/>
  <c r="N474" l="1"/>
  <c r="N471"/>
  <c r="N473" l="1"/>
  <c r="L480" l="1"/>
  <c r="L479"/>
  <c r="L478"/>
  <c r="L476"/>
  <c r="L475"/>
  <c r="L474"/>
  <c r="L473"/>
  <c r="L472"/>
  <c r="L471"/>
  <c r="N470"/>
  <c r="N469"/>
  <c r="N468" l="1"/>
  <c r="N465" l="1"/>
  <c r="N463"/>
  <c r="N462" l="1"/>
  <c r="N461" l="1"/>
  <c r="N466"/>
  <c r="N460" l="1"/>
  <c r="N458" l="1"/>
  <c r="N456" l="1"/>
  <c r="N455" l="1"/>
  <c r="N457" l="1"/>
  <c r="N454"/>
  <c r="N453" l="1"/>
  <c r="L470"/>
  <c r="L469"/>
  <c r="L468"/>
  <c r="L467"/>
  <c r="L466"/>
  <c r="L465"/>
  <c r="L464"/>
  <c r="L463"/>
  <c r="L462"/>
  <c r="L461"/>
  <c r="L460"/>
  <c r="L459"/>
  <c r="L458"/>
  <c r="L457"/>
  <c r="L456"/>
  <c r="L455"/>
  <c r="L454"/>
  <c r="L453"/>
  <c r="L452"/>
  <c r="L451"/>
  <c r="N452" l="1"/>
  <c r="N451" l="1"/>
  <c r="N450" l="1"/>
  <c r="N449"/>
  <c r="N448"/>
  <c r="N447"/>
  <c r="N446"/>
  <c r="N445" l="1"/>
  <c r="N444" l="1"/>
  <c r="N443"/>
  <c r="N442" l="1"/>
  <c r="N441"/>
  <c r="N440"/>
  <c r="N438" l="1"/>
  <c r="N437" l="1"/>
  <c r="N436"/>
  <c r="N435"/>
  <c r="N434" l="1"/>
  <c r="N433"/>
  <c r="N432" l="1"/>
  <c r="N431"/>
  <c r="N430" l="1"/>
  <c r="N429" l="1"/>
  <c r="L429"/>
  <c r="N428"/>
  <c r="N363"/>
  <c r="R363"/>
  <c r="N427" l="1"/>
  <c r="Q363" l="1"/>
  <c r="N426" l="1"/>
  <c r="N425"/>
  <c r="N424" l="1"/>
  <c r="N423"/>
  <c r="N422" l="1"/>
  <c r="N421" l="1"/>
  <c r="N420" l="1"/>
  <c r="N419"/>
  <c r="N418" l="1"/>
  <c r="N417"/>
  <c r="N416" l="1"/>
  <c r="N415"/>
  <c r="N414" l="1"/>
  <c r="R413" l="1"/>
  <c r="N413"/>
  <c r="N412" l="1"/>
  <c r="N411"/>
  <c r="N410"/>
  <c r="I495"/>
  <c r="I494"/>
  <c r="P493"/>
  <c r="I493"/>
  <c r="R492"/>
  <c r="Q492"/>
  <c r="P492"/>
  <c r="I492"/>
  <c r="R491"/>
  <c r="Q491"/>
  <c r="P491"/>
  <c r="I491"/>
  <c r="R490"/>
  <c r="Q490"/>
  <c r="P490"/>
  <c r="I490"/>
  <c r="R489"/>
  <c r="Q489"/>
  <c r="P489"/>
  <c r="I489"/>
  <c r="R488"/>
  <c r="Q488"/>
  <c r="P488"/>
  <c r="I488"/>
  <c r="R487"/>
  <c r="Q487"/>
  <c r="P487"/>
  <c r="I487"/>
  <c r="R486"/>
  <c r="Q486"/>
  <c r="P486"/>
  <c r="I486"/>
  <c r="R485"/>
  <c r="Q485"/>
  <c r="P485"/>
  <c r="I485"/>
  <c r="R484"/>
  <c r="Q484"/>
  <c r="P484"/>
  <c r="I484"/>
  <c r="R483"/>
  <c r="Q483"/>
  <c r="P483"/>
  <c r="I483"/>
  <c r="R482"/>
  <c r="Q482"/>
  <c r="P482"/>
  <c r="I482"/>
  <c r="R481"/>
  <c r="Q481"/>
  <c r="P481"/>
  <c r="I481"/>
  <c r="R480"/>
  <c r="Q480"/>
  <c r="P480"/>
  <c r="I480"/>
  <c r="R479"/>
  <c r="Q479"/>
  <c r="P479"/>
  <c r="I479"/>
  <c r="R478"/>
  <c r="Q478"/>
  <c r="P478"/>
  <c r="I478"/>
  <c r="R477"/>
  <c r="Q477"/>
  <c r="P477"/>
  <c r="I477"/>
  <c r="R476"/>
  <c r="Q476"/>
  <c r="P476"/>
  <c r="I476"/>
  <c r="R475"/>
  <c r="Q475"/>
  <c r="P475"/>
  <c r="I475"/>
  <c r="R474"/>
  <c r="Q474"/>
  <c r="P474"/>
  <c r="I474"/>
  <c r="R473"/>
  <c r="Q473"/>
  <c r="P473"/>
  <c r="I473"/>
  <c r="R472"/>
  <c r="Q472"/>
  <c r="P472"/>
  <c r="I472"/>
  <c r="R471"/>
  <c r="Q471"/>
  <c r="P471"/>
  <c r="I471"/>
  <c r="R470"/>
  <c r="Q470"/>
  <c r="P470"/>
  <c r="I470"/>
  <c r="R469"/>
  <c r="Q469"/>
  <c r="P469"/>
  <c r="I469"/>
  <c r="R468"/>
  <c r="Q468"/>
  <c r="P468"/>
  <c r="I468"/>
  <c r="R467"/>
  <c r="Q467"/>
  <c r="P467"/>
  <c r="I467"/>
  <c r="R466"/>
  <c r="Q466"/>
  <c r="P466"/>
  <c r="I466"/>
  <c r="R465"/>
  <c r="Q465"/>
  <c r="P465"/>
  <c r="I465"/>
  <c r="R464"/>
  <c r="Q464"/>
  <c r="P464"/>
  <c r="I464"/>
  <c r="R463"/>
  <c r="Q463"/>
  <c r="P463"/>
  <c r="I463"/>
  <c r="R462"/>
  <c r="Q462"/>
  <c r="P462"/>
  <c r="I462"/>
  <c r="R461"/>
  <c r="Q461"/>
  <c r="P461"/>
  <c r="I461"/>
  <c r="R460"/>
  <c r="Q460"/>
  <c r="P460"/>
  <c r="I460"/>
  <c r="R459"/>
  <c r="Q459"/>
  <c r="P459"/>
  <c r="I459"/>
  <c r="R458"/>
  <c r="Q458"/>
  <c r="P458"/>
  <c r="I458"/>
  <c r="R457"/>
  <c r="Q457"/>
  <c r="P457"/>
  <c r="I457"/>
  <c r="R456"/>
  <c r="Q456"/>
  <c r="P456"/>
  <c r="I456"/>
  <c r="R455"/>
  <c r="Q455"/>
  <c r="P455"/>
  <c r="I455"/>
  <c r="R454"/>
  <c r="Q454"/>
  <c r="P454"/>
  <c r="I454"/>
  <c r="R453"/>
  <c r="Q453"/>
  <c r="P453"/>
  <c r="I453"/>
  <c r="R452"/>
  <c r="Q452"/>
  <c r="P452"/>
  <c r="I452"/>
  <c r="R451"/>
  <c r="Q451"/>
  <c r="P451"/>
  <c r="I451"/>
  <c r="N409"/>
  <c r="T451" l="1"/>
  <c r="W451" s="1"/>
  <c r="T452"/>
  <c r="W452" s="1"/>
  <c r="T453"/>
  <c r="W453" s="1"/>
  <c r="T454"/>
  <c r="W454" s="1"/>
  <c r="T455"/>
  <c r="W455" s="1"/>
  <c r="T456"/>
  <c r="W456" s="1"/>
  <c r="T457"/>
  <c r="W457" s="1"/>
  <c r="T458"/>
  <c r="W458" s="1"/>
  <c r="T459"/>
  <c r="W459" s="1"/>
  <c r="T460"/>
  <c r="W460" s="1"/>
  <c r="T461"/>
  <c r="W461" s="1"/>
  <c r="T462"/>
  <c r="W462" s="1"/>
  <c r="T463"/>
  <c r="W463" s="1"/>
  <c r="T464"/>
  <c r="W464" s="1"/>
  <c r="T465"/>
  <c r="W465" s="1"/>
  <c r="T466"/>
  <c r="W466" s="1"/>
  <c r="T467"/>
  <c r="W467" s="1"/>
  <c r="T468"/>
  <c r="W468" s="1"/>
  <c r="T469"/>
  <c r="W469" s="1"/>
  <c r="T470"/>
  <c r="W470" s="1"/>
  <c r="T471"/>
  <c r="W471" s="1"/>
  <c r="T472"/>
  <c r="W472" s="1"/>
  <c r="T473"/>
  <c r="W473" s="1"/>
  <c r="T474"/>
  <c r="W474" s="1"/>
  <c r="T475"/>
  <c r="W475" s="1"/>
  <c r="T476"/>
  <c r="W476" s="1"/>
  <c r="T477"/>
  <c r="W477" s="1"/>
  <c r="T478"/>
  <c r="W478" s="1"/>
  <c r="T479"/>
  <c r="W479" s="1"/>
  <c r="T480"/>
  <c r="W480" s="1"/>
  <c r="T481"/>
  <c r="W481" s="1"/>
  <c r="T482"/>
  <c r="W482" s="1"/>
  <c r="T483"/>
  <c r="W483" s="1"/>
  <c r="T484"/>
  <c r="W484" s="1"/>
  <c r="T485"/>
  <c r="W485" s="1"/>
  <c r="T486"/>
  <c r="W486" s="1"/>
  <c r="T487"/>
  <c r="W487" s="1"/>
  <c r="T488"/>
  <c r="W488" s="1"/>
  <c r="T489"/>
  <c r="W489" s="1"/>
  <c r="T490"/>
  <c r="W490" s="1"/>
  <c r="T491"/>
  <c r="W491" s="1"/>
  <c r="T492"/>
  <c r="W492" s="1"/>
  <c r="T493"/>
  <c r="W493" s="1"/>
  <c r="T494"/>
  <c r="W494" s="1"/>
  <c r="W495"/>
  <c r="N408"/>
  <c r="N407"/>
  <c r="L407"/>
  <c r="N406"/>
  <c r="N405"/>
  <c r="N404" l="1"/>
  <c r="N403" l="1"/>
  <c r="N400"/>
  <c r="N398"/>
  <c r="N397" l="1"/>
  <c r="N396"/>
  <c r="N394"/>
  <c r="N392" l="1"/>
  <c r="N393" l="1"/>
  <c r="N391"/>
  <c r="N390" l="1"/>
  <c r="N389" l="1"/>
  <c r="N388" l="1"/>
  <c r="N386"/>
  <c r="N387" l="1"/>
  <c r="N385"/>
  <c r="N384"/>
  <c r="N383" l="1"/>
  <c r="N382" l="1"/>
  <c r="L449"/>
  <c r="L448"/>
  <c r="L447"/>
  <c r="L446"/>
  <c r="L445"/>
  <c r="L444"/>
  <c r="L443"/>
  <c r="L442"/>
  <c r="L441"/>
  <c r="L440"/>
  <c r="L439"/>
  <c r="L438"/>
  <c r="L437"/>
  <c r="L436"/>
  <c r="L435"/>
  <c r="L434"/>
  <c r="L433"/>
  <c r="L432"/>
  <c r="L431"/>
  <c r="L430"/>
  <c r="L428"/>
  <c r="L427"/>
  <c r="L426"/>
  <c r="L425"/>
  <c r="L424"/>
  <c r="L423"/>
  <c r="L422"/>
  <c r="L421"/>
  <c r="L420"/>
  <c r="L419"/>
  <c r="L418"/>
  <c r="L417"/>
  <c r="L416"/>
  <c r="L415"/>
  <c r="L414"/>
  <c r="L413"/>
  <c r="L412"/>
  <c r="L411"/>
  <c r="L410"/>
  <c r="L409"/>
  <c r="L408"/>
  <c r="L406"/>
  <c r="L405"/>
  <c r="L404"/>
  <c r="L403"/>
  <c r="L402"/>
  <c r="L401"/>
  <c r="L400"/>
  <c r="L399"/>
  <c r="L398"/>
  <c r="L397"/>
  <c r="L396"/>
  <c r="L395"/>
  <c r="L394"/>
  <c r="L393"/>
  <c r="L392"/>
  <c r="L391"/>
  <c r="L390"/>
  <c r="L389"/>
  <c r="L388"/>
  <c r="L387"/>
  <c r="L386"/>
  <c r="L385"/>
  <c r="L384"/>
  <c r="L383"/>
  <c r="I449"/>
  <c r="I448"/>
  <c r="I447"/>
  <c r="I446"/>
  <c r="I445"/>
  <c r="I444"/>
  <c r="I443"/>
  <c r="I442"/>
  <c r="I441"/>
  <c r="I440"/>
  <c r="I439"/>
  <c r="I438"/>
  <c r="I437"/>
  <c r="I436"/>
  <c r="I435"/>
  <c r="I434"/>
  <c r="I433"/>
  <c r="I432"/>
  <c r="I431"/>
  <c r="I430"/>
  <c r="I429"/>
  <c r="I428"/>
  <c r="I427"/>
  <c r="I426"/>
  <c r="I425"/>
  <c r="I424"/>
  <c r="I423"/>
  <c r="I422"/>
  <c r="I421"/>
  <c r="I420"/>
  <c r="I419"/>
  <c r="I418"/>
  <c r="I417"/>
  <c r="I416"/>
  <c r="I415"/>
  <c r="I414"/>
  <c r="I413"/>
  <c r="I412"/>
  <c r="I411"/>
  <c r="I410"/>
  <c r="I409"/>
  <c r="I408"/>
  <c r="I407"/>
  <c r="I406"/>
  <c r="I405"/>
  <c r="I404"/>
  <c r="I403"/>
  <c r="I402"/>
  <c r="I401"/>
  <c r="I400"/>
  <c r="I399"/>
  <c r="I398"/>
  <c r="I397"/>
  <c r="I396"/>
  <c r="I395"/>
  <c r="I394"/>
  <c r="I393"/>
  <c r="I392"/>
  <c r="I391"/>
  <c r="I390"/>
  <c r="I389"/>
  <c r="I388"/>
  <c r="I387"/>
  <c r="I386"/>
  <c r="I385"/>
  <c r="I384"/>
  <c r="I383"/>
  <c r="R395"/>
  <c r="Q395"/>
  <c r="P395"/>
  <c r="R394"/>
  <c r="Q394"/>
  <c r="P394"/>
  <c r="R393"/>
  <c r="Q393"/>
  <c r="P393"/>
  <c r="R392"/>
  <c r="Q392"/>
  <c r="P392"/>
  <c r="R391"/>
  <c r="Q391"/>
  <c r="P391"/>
  <c r="R390"/>
  <c r="Q390"/>
  <c r="P390"/>
  <c r="R389"/>
  <c r="Q389"/>
  <c r="P389"/>
  <c r="R388"/>
  <c r="Q388"/>
  <c r="P388"/>
  <c r="R387"/>
  <c r="Q387"/>
  <c r="P387"/>
  <c r="R386"/>
  <c r="Q386"/>
  <c r="P386"/>
  <c r="R385"/>
  <c r="Q385"/>
  <c r="P385"/>
  <c r="I450"/>
  <c r="R415"/>
  <c r="Q415"/>
  <c r="P415"/>
  <c r="R414"/>
  <c r="Q414"/>
  <c r="P414"/>
  <c r="Q413"/>
  <c r="P413"/>
  <c r="R412"/>
  <c r="Q412"/>
  <c r="P412"/>
  <c r="R411"/>
  <c r="Q411"/>
  <c r="P411"/>
  <c r="R410"/>
  <c r="Q410"/>
  <c r="P410"/>
  <c r="R409"/>
  <c r="Q409"/>
  <c r="P409"/>
  <c r="R408"/>
  <c r="Q408"/>
  <c r="P408"/>
  <c r="R407"/>
  <c r="Q407"/>
  <c r="P407"/>
  <c r="R406"/>
  <c r="Q406"/>
  <c r="P406"/>
  <c r="R405"/>
  <c r="Q405"/>
  <c r="P405"/>
  <c r="R404"/>
  <c r="Q404"/>
  <c r="P404"/>
  <c r="R403"/>
  <c r="Q403"/>
  <c r="P403"/>
  <c r="R402"/>
  <c r="Q402"/>
  <c r="P402"/>
  <c r="R401"/>
  <c r="Q401"/>
  <c r="P401"/>
  <c r="R400"/>
  <c r="Q400"/>
  <c r="P400"/>
  <c r="R399"/>
  <c r="Q399"/>
  <c r="P399"/>
  <c r="R398"/>
  <c r="Q398"/>
  <c r="P398"/>
  <c r="R397"/>
  <c r="Q397"/>
  <c r="P397"/>
  <c r="R396"/>
  <c r="Q396"/>
  <c r="P396"/>
  <c r="R384"/>
  <c r="Q384"/>
  <c r="P384"/>
  <c r="R444"/>
  <c r="Q444"/>
  <c r="P444"/>
  <c r="R443"/>
  <c r="Q443"/>
  <c r="P443"/>
  <c r="R442"/>
  <c r="Q442"/>
  <c r="P442"/>
  <c r="R441"/>
  <c r="Q441"/>
  <c r="P441"/>
  <c r="R440"/>
  <c r="Q440"/>
  <c r="P440"/>
  <c r="R439"/>
  <c r="Q439"/>
  <c r="P439"/>
  <c r="R438"/>
  <c r="Q438"/>
  <c r="P438"/>
  <c r="R437"/>
  <c r="Q437"/>
  <c r="P437"/>
  <c r="R436"/>
  <c r="Q436"/>
  <c r="P436"/>
  <c r="R435"/>
  <c r="Q435"/>
  <c r="P435"/>
  <c r="R434"/>
  <c r="Q434"/>
  <c r="P434"/>
  <c r="R433"/>
  <c r="Q433"/>
  <c r="P433"/>
  <c r="R432"/>
  <c r="Q432"/>
  <c r="P432"/>
  <c r="R431"/>
  <c r="Q431"/>
  <c r="P431"/>
  <c r="R430"/>
  <c r="Q430"/>
  <c r="P430"/>
  <c r="R429"/>
  <c r="Q429"/>
  <c r="P429"/>
  <c r="R428"/>
  <c r="Q428"/>
  <c r="P428"/>
  <c r="R427"/>
  <c r="Q427"/>
  <c r="P427"/>
  <c r="R426"/>
  <c r="Q426"/>
  <c r="P426"/>
  <c r="R425"/>
  <c r="Q425"/>
  <c r="P425"/>
  <c r="R424"/>
  <c r="Q424"/>
  <c r="P424"/>
  <c r="R423"/>
  <c r="Q423"/>
  <c r="P423"/>
  <c r="R422"/>
  <c r="Q422"/>
  <c r="P422"/>
  <c r="R421"/>
  <c r="Q421"/>
  <c r="P421"/>
  <c r="R420"/>
  <c r="Q420"/>
  <c r="P420"/>
  <c r="R419"/>
  <c r="Q419"/>
  <c r="P419"/>
  <c r="R418"/>
  <c r="Q418"/>
  <c r="P418"/>
  <c r="R417"/>
  <c r="Q417"/>
  <c r="P417"/>
  <c r="R416"/>
  <c r="Q416"/>
  <c r="P416"/>
  <c r="T386" l="1"/>
  <c r="W386" s="1"/>
  <c r="T388"/>
  <c r="W388" s="1"/>
  <c r="T390"/>
  <c r="W390" s="1"/>
  <c r="T392"/>
  <c r="W392" s="1"/>
  <c r="T394"/>
  <c r="W394" s="1"/>
  <c r="T396"/>
  <c r="W396" s="1"/>
  <c r="T398"/>
  <c r="W398" s="1"/>
  <c r="T400"/>
  <c r="W400" s="1"/>
  <c r="T402"/>
  <c r="W402" s="1"/>
  <c r="T404"/>
  <c r="W404" s="1"/>
  <c r="T406"/>
  <c r="W406" s="1"/>
  <c r="T408"/>
  <c r="W408" s="1"/>
  <c r="T410"/>
  <c r="W410" s="1"/>
  <c r="T412"/>
  <c r="W412" s="1"/>
  <c r="T414"/>
  <c r="W414" s="1"/>
  <c r="T385"/>
  <c r="W385" s="1"/>
  <c r="T387"/>
  <c r="W387" s="1"/>
  <c r="T389"/>
  <c r="W389" s="1"/>
  <c r="T391"/>
  <c r="W391" s="1"/>
  <c r="T393"/>
  <c r="W393" s="1"/>
  <c r="T395"/>
  <c r="W395" s="1"/>
  <c r="T417"/>
  <c r="W417" s="1"/>
  <c r="T419"/>
  <c r="W419" s="1"/>
  <c r="T421"/>
  <c r="W421" s="1"/>
  <c r="T423"/>
  <c r="W423" s="1"/>
  <c r="T425"/>
  <c r="W425" s="1"/>
  <c r="T427"/>
  <c r="W427" s="1"/>
  <c r="T429"/>
  <c r="W429" s="1"/>
  <c r="T431"/>
  <c r="W431" s="1"/>
  <c r="T433"/>
  <c r="W433" s="1"/>
  <c r="T435"/>
  <c r="W435" s="1"/>
  <c r="T437"/>
  <c r="W437" s="1"/>
  <c r="T439"/>
  <c r="W439" s="1"/>
  <c r="T441"/>
  <c r="W441" s="1"/>
  <c r="T443"/>
  <c r="W443" s="1"/>
  <c r="T384"/>
  <c r="W384" s="1"/>
  <c r="T397"/>
  <c r="W397" s="1"/>
  <c r="T399"/>
  <c r="W399" s="1"/>
  <c r="T401"/>
  <c r="W401" s="1"/>
  <c r="T403"/>
  <c r="W403" s="1"/>
  <c r="T405"/>
  <c r="W405" s="1"/>
  <c r="T407"/>
  <c r="W407" s="1"/>
  <c r="T409"/>
  <c r="W409" s="1"/>
  <c r="T411"/>
  <c r="W411" s="1"/>
  <c r="T413"/>
  <c r="W413" s="1"/>
  <c r="T415"/>
  <c r="W415" s="1"/>
  <c r="T416"/>
  <c r="W416" s="1"/>
  <c r="T418"/>
  <c r="W418" s="1"/>
  <c r="T420"/>
  <c r="W420" s="1"/>
  <c r="T422"/>
  <c r="W422" s="1"/>
  <c r="T424"/>
  <c r="W424" s="1"/>
  <c r="T426"/>
  <c r="W426" s="1"/>
  <c r="T428"/>
  <c r="W428" s="1"/>
  <c r="T430"/>
  <c r="W430" s="1"/>
  <c r="T432"/>
  <c r="W432" s="1"/>
  <c r="T434"/>
  <c r="W434" s="1"/>
  <c r="T436"/>
  <c r="W436" s="1"/>
  <c r="T438"/>
  <c r="W438" s="1"/>
  <c r="T440"/>
  <c r="W440" s="1"/>
  <c r="T442"/>
  <c r="W442" s="1"/>
  <c r="T444"/>
  <c r="W444" s="1"/>
  <c r="R381" l="1"/>
  <c r="N381" l="1"/>
  <c r="N380" l="1"/>
  <c r="N379" l="1"/>
  <c r="N378" l="1"/>
  <c r="N377"/>
  <c r="N376"/>
  <c r="N374" l="1"/>
  <c r="N373" l="1"/>
  <c r="N372" l="1"/>
  <c r="N368"/>
  <c r="L382"/>
  <c r="L381"/>
  <c r="L380"/>
  <c r="L379"/>
  <c r="L378"/>
  <c r="L377"/>
  <c r="L376"/>
  <c r="N367" l="1"/>
  <c r="N371" l="1"/>
  <c r="R370"/>
  <c r="Q370"/>
  <c r="R369"/>
  <c r="Q369"/>
  <c r="P370"/>
  <c r="P369"/>
  <c r="N365"/>
  <c r="N364"/>
  <c r="L375"/>
  <c r="L374"/>
  <c r="L373"/>
  <c r="L372"/>
  <c r="L371" l="1"/>
  <c r="L370"/>
  <c r="L369"/>
  <c r="L368"/>
  <c r="L367"/>
  <c r="N361" l="1"/>
  <c r="N360"/>
  <c r="N359"/>
  <c r="N358"/>
  <c r="N357" l="1"/>
  <c r="Q356" l="1"/>
  <c r="N356"/>
  <c r="L359" l="1"/>
  <c r="N355" l="1"/>
  <c r="N350"/>
  <c r="L365" l="1"/>
  <c r="L364"/>
  <c r="L363"/>
  <c r="L362"/>
  <c r="L361"/>
  <c r="L360"/>
  <c r="L358"/>
  <c r="N354"/>
  <c r="N353" l="1"/>
  <c r="N352" l="1"/>
  <c r="N351" l="1"/>
  <c r="N349"/>
  <c r="N347" l="1"/>
  <c r="R349"/>
  <c r="N346" l="1"/>
  <c r="N345"/>
  <c r="R345" l="1"/>
  <c r="N344"/>
  <c r="L344" l="1"/>
  <c r="N73" i="6"/>
  <c r="N343" i="1"/>
  <c r="Q342"/>
  <c r="N342"/>
  <c r="N341"/>
  <c r="N340" l="1"/>
  <c r="N339" l="1"/>
  <c r="L341" l="1"/>
  <c r="L342"/>
  <c r="L343"/>
  <c r="L345"/>
  <c r="L346"/>
  <c r="L347"/>
  <c r="L348"/>
  <c r="L349"/>
  <c r="L350"/>
  <c r="L351"/>
  <c r="L352"/>
  <c r="L353"/>
  <c r="L354"/>
  <c r="L355"/>
  <c r="L356"/>
  <c r="L357"/>
  <c r="N69" i="6" l="1"/>
  <c r="N66"/>
  <c r="Q65"/>
  <c r="N65"/>
  <c r="N62"/>
  <c r="N61"/>
  <c r="N60"/>
  <c r="R69" l="1"/>
  <c r="Q69"/>
  <c r="R70"/>
  <c r="Q70"/>
  <c r="P70"/>
  <c r="P69"/>
  <c r="N338" i="1" l="1"/>
  <c r="N337"/>
  <c r="N335"/>
  <c r="N333"/>
  <c r="N330" l="1"/>
  <c r="N329"/>
  <c r="N324"/>
  <c r="L324"/>
  <c r="N323" l="1"/>
  <c r="T69" i="6"/>
  <c r="N59"/>
  <c r="N50"/>
  <c r="N48"/>
  <c r="N39"/>
  <c r="N36"/>
  <c r="N35"/>
  <c r="N28" l="1"/>
  <c r="N55" l="1"/>
  <c r="N336" i="1" l="1"/>
  <c r="N58" i="6"/>
  <c r="N332" i="1" l="1"/>
  <c r="L332" l="1"/>
  <c r="L333"/>
  <c r="L334"/>
  <c r="L335"/>
  <c r="L336"/>
  <c r="L337"/>
  <c r="L338"/>
  <c r="L339"/>
  <c r="L340"/>
  <c r="N328"/>
  <c r="R334" l="1"/>
  <c r="Q334"/>
  <c r="P334"/>
  <c r="I334"/>
  <c r="Q447"/>
  <c r="R364"/>
  <c r="Q364"/>
  <c r="P364"/>
  <c r="I364"/>
  <c r="P363"/>
  <c r="I363"/>
  <c r="R362"/>
  <c r="Q362"/>
  <c r="P362"/>
  <c r="I362"/>
  <c r="R361"/>
  <c r="Q361"/>
  <c r="P361"/>
  <c r="I361"/>
  <c r="R360"/>
  <c r="Q360"/>
  <c r="P360"/>
  <c r="I360"/>
  <c r="R359"/>
  <c r="Q359"/>
  <c r="P359"/>
  <c r="I359"/>
  <c r="R358"/>
  <c r="Q358"/>
  <c r="P358"/>
  <c r="I358"/>
  <c r="R357"/>
  <c r="Q357"/>
  <c r="P357"/>
  <c r="I357"/>
  <c r="R356"/>
  <c r="P356"/>
  <c r="I356"/>
  <c r="R355"/>
  <c r="Q355"/>
  <c r="P355"/>
  <c r="I355"/>
  <c r="R354"/>
  <c r="Q354"/>
  <c r="P354"/>
  <c r="I354"/>
  <c r="R353"/>
  <c r="Q353"/>
  <c r="P353"/>
  <c r="I353"/>
  <c r="R352"/>
  <c r="Q352"/>
  <c r="P352"/>
  <c r="I352"/>
  <c r="R351"/>
  <c r="Q351"/>
  <c r="P351"/>
  <c r="I351"/>
  <c r="R350"/>
  <c r="Q350"/>
  <c r="P350"/>
  <c r="I350"/>
  <c r="R348"/>
  <c r="Q348"/>
  <c r="P348"/>
  <c r="I348"/>
  <c r="R347"/>
  <c r="Q347"/>
  <c r="P347"/>
  <c r="I347"/>
  <c r="R346"/>
  <c r="Q346"/>
  <c r="P346"/>
  <c r="I346"/>
  <c r="Q345"/>
  <c r="P345"/>
  <c r="I345"/>
  <c r="R344"/>
  <c r="Q344"/>
  <c r="P344"/>
  <c r="I344"/>
  <c r="R343"/>
  <c r="Q343"/>
  <c r="P343"/>
  <c r="I343"/>
  <c r="R342"/>
  <c r="T342" s="1"/>
  <c r="W342" s="1"/>
  <c r="P342"/>
  <c r="I342"/>
  <c r="R341"/>
  <c r="Q341"/>
  <c r="P341"/>
  <c r="I341"/>
  <c r="R340"/>
  <c r="Q340"/>
  <c r="P340"/>
  <c r="I340"/>
  <c r="R339"/>
  <c r="Q339"/>
  <c r="P339"/>
  <c r="I339"/>
  <c r="R338"/>
  <c r="Q338"/>
  <c r="P338"/>
  <c r="I338"/>
  <c r="R337"/>
  <c r="Q337"/>
  <c r="P337"/>
  <c r="I337"/>
  <c r="T346" l="1"/>
  <c r="W346" s="1"/>
  <c r="T347"/>
  <c r="W347" s="1"/>
  <c r="T348"/>
  <c r="W348" s="1"/>
  <c r="T350"/>
  <c r="W350" s="1"/>
  <c r="T351"/>
  <c r="W351" s="1"/>
  <c r="T352"/>
  <c r="W352" s="1"/>
  <c r="T353"/>
  <c r="W353" s="1"/>
  <c r="T354"/>
  <c r="W354" s="1"/>
  <c r="T355"/>
  <c r="W355" s="1"/>
  <c r="T356"/>
  <c r="W356" s="1"/>
  <c r="T357"/>
  <c r="W357" s="1"/>
  <c r="T358"/>
  <c r="W358" s="1"/>
  <c r="T359"/>
  <c r="W359" s="1"/>
  <c r="T360"/>
  <c r="W360" s="1"/>
  <c r="T361"/>
  <c r="W361" s="1"/>
  <c r="T362"/>
  <c r="W362" s="1"/>
  <c r="T363"/>
  <c r="W363" s="1"/>
  <c r="T364"/>
  <c r="W364" s="1"/>
  <c r="T340"/>
  <c r="W340" s="1"/>
  <c r="T341"/>
  <c r="W341" s="1"/>
  <c r="T343"/>
  <c r="W343" s="1"/>
  <c r="T344"/>
  <c r="W344" s="1"/>
  <c r="T345"/>
  <c r="W345" s="1"/>
  <c r="T334"/>
  <c r="W334" s="1"/>
  <c r="T337"/>
  <c r="W337" s="1"/>
  <c r="T338"/>
  <c r="W338" s="1"/>
  <c r="T339"/>
  <c r="W339" s="1"/>
  <c r="R171"/>
  <c r="Q171"/>
  <c r="N57" i="6"/>
  <c r="N327" i="1" l="1"/>
  <c r="N326" l="1"/>
  <c r="N56" i="6"/>
  <c r="N325" i="1" l="1"/>
  <c r="N322"/>
  <c r="N321"/>
  <c r="N319"/>
  <c r="N318"/>
  <c r="N312"/>
  <c r="N308"/>
  <c r="N305"/>
  <c r="N320"/>
  <c r="L323"/>
  <c r="L325"/>
  <c r="L326"/>
  <c r="L327"/>
  <c r="L328"/>
  <c r="L329"/>
  <c r="L330"/>
  <c r="L331"/>
  <c r="L322"/>
  <c r="P331" l="1"/>
  <c r="R329"/>
  <c r="N316" l="1"/>
  <c r="N317" l="1"/>
  <c r="N315" l="1"/>
  <c r="N314" l="1"/>
  <c r="N72" i="6"/>
  <c r="N71"/>
  <c r="N313" i="1" l="1"/>
  <c r="N54" i="6" l="1"/>
  <c r="N53" l="1"/>
  <c r="N32"/>
  <c r="N27"/>
  <c r="N311" i="1"/>
  <c r="N310" l="1"/>
  <c r="N52" i="6" l="1"/>
  <c r="N307" i="1"/>
  <c r="N49" i="6" l="1"/>
  <c r="N304" i="1" l="1"/>
  <c r="N298"/>
  <c r="N251"/>
  <c r="N235"/>
  <c r="N177" l="1"/>
  <c r="Q256" l="1"/>
  <c r="N256"/>
  <c r="N252"/>
  <c r="N250"/>
  <c r="N248"/>
  <c r="N240"/>
  <c r="N238"/>
  <c r="N303" l="1"/>
  <c r="N302" l="1"/>
  <c r="N47" i="6" l="1"/>
  <c r="N301" i="1" l="1"/>
  <c r="N299"/>
  <c r="Q300" l="1"/>
  <c r="N300" l="1"/>
  <c r="R66" i="6" l="1"/>
  <c r="N64"/>
  <c r="N296" i="1" l="1"/>
  <c r="N295" l="1"/>
  <c r="N293" l="1"/>
  <c r="R293"/>
  <c r="Q293"/>
  <c r="Q294" l="1"/>
  <c r="N294"/>
  <c r="N292" l="1"/>
  <c r="N291" l="1"/>
  <c r="N68" i="6"/>
  <c r="N290" i="1" l="1"/>
  <c r="N289"/>
  <c r="N287" l="1"/>
  <c r="N288" l="1"/>
  <c r="N247" l="1"/>
  <c r="N244"/>
  <c r="N232"/>
  <c r="N286"/>
  <c r="N285" l="1"/>
  <c r="N284"/>
  <c r="N275" l="1"/>
  <c r="N283" l="1"/>
  <c r="N282" l="1"/>
  <c r="N281" l="1"/>
  <c r="N280" l="1"/>
  <c r="N46" i="6"/>
  <c r="N279" i="1" l="1"/>
  <c r="N278" l="1"/>
  <c r="N45" i="6" l="1"/>
  <c r="N43" l="1"/>
  <c r="N277" i="1" l="1"/>
  <c r="N276" l="1"/>
  <c r="N29" i="6" l="1"/>
  <c r="N257" i="1" l="1"/>
  <c r="N274" l="1"/>
  <c r="N171" l="1"/>
  <c r="N273" l="1"/>
  <c r="N272" l="1"/>
  <c r="N42" i="6" l="1"/>
  <c r="N271" i="1" l="1"/>
  <c r="N270" l="1"/>
  <c r="N269" l="1"/>
  <c r="N268" l="1"/>
  <c r="N266" l="1"/>
  <c r="N267"/>
  <c r="N265"/>
  <c r="N255"/>
  <c r="N264" l="1"/>
  <c r="N254"/>
  <c r="N253" l="1"/>
  <c r="N201"/>
  <c r="N196"/>
  <c r="N191"/>
  <c r="N258" l="1"/>
  <c r="N261" l="1"/>
  <c r="N260"/>
  <c r="N259"/>
  <c r="N263" l="1"/>
  <c r="N262" l="1"/>
  <c r="N249" l="1"/>
  <c r="N246"/>
  <c r="N175" l="1"/>
  <c r="N174"/>
  <c r="N170"/>
  <c r="N165"/>
  <c r="N243" l="1"/>
  <c r="N241" l="1"/>
  <c r="R238" l="1"/>
  <c r="N245"/>
  <c r="N234" l="1"/>
  <c r="N239" l="1"/>
  <c r="N237" l="1"/>
  <c r="N236" l="1"/>
  <c r="N233"/>
  <c r="N231"/>
  <c r="N33" i="6" l="1"/>
  <c r="N230" i="1" l="1"/>
  <c r="I296" l="1"/>
  <c r="N229" l="1"/>
  <c r="N228"/>
  <c r="N224"/>
  <c r="N226"/>
  <c r="N227"/>
  <c r="N225" l="1"/>
  <c r="N223"/>
  <c r="N38" i="6" l="1"/>
  <c r="N222" i="1"/>
  <c r="N221"/>
  <c r="N220"/>
  <c r="N37" i="6"/>
  <c r="N219" i="1" l="1"/>
  <c r="N158" l="1"/>
  <c r="N217" l="1"/>
  <c r="N214"/>
  <c r="N172" l="1"/>
  <c r="N166" l="1"/>
  <c r="N167" l="1"/>
  <c r="N163"/>
  <c r="N162" l="1"/>
  <c r="N161"/>
  <c r="N160"/>
  <c r="N159" l="1"/>
  <c r="N204"/>
  <c r="N208"/>
  <c r="N216"/>
  <c r="N194" l="1"/>
  <c r="N207"/>
  <c r="N215"/>
  <c r="N212"/>
  <c r="N213"/>
  <c r="N178" l="1"/>
  <c r="N203" l="1"/>
  <c r="N211" l="1"/>
  <c r="N202" l="1"/>
  <c r="N200" l="1"/>
  <c r="N157" l="1"/>
  <c r="N206" l="1"/>
  <c r="N34" i="6" l="1"/>
  <c r="N205" i="1" l="1"/>
  <c r="N31" i="6" l="1"/>
  <c r="N199" i="1" l="1"/>
  <c r="K13" i="8" l="1"/>
  <c r="N198" i="1" l="1"/>
  <c r="N195"/>
  <c r="N193"/>
  <c r="N192"/>
  <c r="N190" l="1"/>
  <c r="N189"/>
  <c r="N186"/>
  <c r="N188" l="1"/>
  <c r="N185" l="1"/>
  <c r="N184" l="1"/>
  <c r="N183" l="1"/>
  <c r="N182"/>
  <c r="N181" l="1"/>
  <c r="N180"/>
  <c r="N169"/>
  <c r="N164" l="1"/>
  <c r="N156" l="1"/>
  <c r="N155"/>
  <c r="N154" l="1"/>
  <c r="N153" l="1"/>
  <c r="N152"/>
  <c r="N151" l="1"/>
  <c r="N150"/>
  <c r="E13" i="8" l="1"/>
  <c r="C13"/>
  <c r="C6"/>
  <c r="I88" i="6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M27" i="7"/>
  <c r="R76" i="6"/>
  <c r="Q76"/>
  <c r="P76"/>
  <c r="R75"/>
  <c r="Q75"/>
  <c r="P75"/>
  <c r="R74"/>
  <c r="Q74"/>
  <c r="P74"/>
  <c r="R73"/>
  <c r="Q73"/>
  <c r="P73"/>
  <c r="R72"/>
  <c r="Q72"/>
  <c r="P72"/>
  <c r="R71"/>
  <c r="Q71"/>
  <c r="P71"/>
  <c r="R68"/>
  <c r="Q68"/>
  <c r="P68"/>
  <c r="R67"/>
  <c r="Q67"/>
  <c r="P67"/>
  <c r="Q66"/>
  <c r="P66"/>
  <c r="R65"/>
  <c r="P65"/>
  <c r="R64"/>
  <c r="Q64"/>
  <c r="P64"/>
  <c r="R63"/>
  <c r="Q63"/>
  <c r="P63"/>
  <c r="R87"/>
  <c r="Q87"/>
  <c r="P87"/>
  <c r="R86"/>
  <c r="Q86"/>
  <c r="P86"/>
  <c r="R85"/>
  <c r="Q85"/>
  <c r="P85"/>
  <c r="R84"/>
  <c r="Q84"/>
  <c r="P84"/>
  <c r="R83"/>
  <c r="Q83"/>
  <c r="P83"/>
  <c r="R82"/>
  <c r="Q82"/>
  <c r="P82"/>
  <c r="R81"/>
  <c r="Q81"/>
  <c r="P81"/>
  <c r="Q80"/>
  <c r="P80"/>
  <c r="R79"/>
  <c r="Q79"/>
  <c r="P79"/>
  <c r="R78"/>
  <c r="Q78"/>
  <c r="P78"/>
  <c r="R77"/>
  <c r="Q77"/>
  <c r="P77"/>
  <c r="R62"/>
  <c r="Q62"/>
  <c r="P62"/>
  <c r="R61"/>
  <c r="Q61"/>
  <c r="P61"/>
  <c r="R60"/>
  <c r="Q60"/>
  <c r="P60"/>
  <c r="T78" l="1"/>
  <c r="W78" s="1"/>
  <c r="T80"/>
  <c r="W80" s="1"/>
  <c r="T82"/>
  <c r="W82" s="1"/>
  <c r="T84"/>
  <c r="W84" s="1"/>
  <c r="T86"/>
  <c r="W86" s="1"/>
  <c r="T88"/>
  <c r="W88" s="1"/>
  <c r="T67"/>
  <c r="W67" s="1"/>
  <c r="W69"/>
  <c r="T71"/>
  <c r="W71" s="1"/>
  <c r="T73"/>
  <c r="W73" s="1"/>
  <c r="T77"/>
  <c r="W77" s="1"/>
  <c r="T79"/>
  <c r="W79" s="1"/>
  <c r="T81"/>
  <c r="W81" s="1"/>
  <c r="T83"/>
  <c r="W83" s="1"/>
  <c r="T85"/>
  <c r="W85" s="1"/>
  <c r="T87"/>
  <c r="W87" s="1"/>
  <c r="T66"/>
  <c r="W66" s="1"/>
  <c r="T68"/>
  <c r="W68" s="1"/>
  <c r="T70"/>
  <c r="W70" s="1"/>
  <c r="T72"/>
  <c r="W72" s="1"/>
  <c r="T74"/>
  <c r="W74" s="1"/>
  <c r="T75"/>
  <c r="W75" s="1"/>
  <c r="T76"/>
  <c r="W76" s="1"/>
  <c r="T60"/>
  <c r="W60" s="1"/>
  <c r="T61"/>
  <c r="W61" s="1"/>
  <c r="T62"/>
  <c r="W62" s="1"/>
  <c r="T63"/>
  <c r="W63" s="1"/>
  <c r="T64"/>
  <c r="W64" s="1"/>
  <c r="T65"/>
  <c r="W65" s="1"/>
  <c r="R42" l="1"/>
  <c r="Q42"/>
  <c r="P42"/>
  <c r="R41"/>
  <c r="Q41"/>
  <c r="P41"/>
  <c r="R40"/>
  <c r="Q40"/>
  <c r="P40"/>
  <c r="R39"/>
  <c r="Q39"/>
  <c r="P39"/>
  <c r="R38"/>
  <c r="Q38"/>
  <c r="P38"/>
  <c r="R37"/>
  <c r="Q37"/>
  <c r="P37"/>
  <c r="R36"/>
  <c r="Q36"/>
  <c r="P36"/>
  <c r="R35"/>
  <c r="Q35"/>
  <c r="P35"/>
  <c r="R34"/>
  <c r="Q34"/>
  <c r="P34"/>
  <c r="R33"/>
  <c r="Q33"/>
  <c r="P33"/>
  <c r="R32"/>
  <c r="Q32"/>
  <c r="P32"/>
  <c r="R31"/>
  <c r="Q31"/>
  <c r="P31"/>
  <c r="R54"/>
  <c r="Q54"/>
  <c r="P54"/>
  <c r="R53"/>
  <c r="Q53"/>
  <c r="P53"/>
  <c r="R52"/>
  <c r="Q52"/>
  <c r="P52"/>
  <c r="R51"/>
  <c r="Q51"/>
  <c r="P51"/>
  <c r="R50"/>
  <c r="Q50"/>
  <c r="P50"/>
  <c r="R49"/>
  <c r="Q49"/>
  <c r="P49"/>
  <c r="R48"/>
  <c r="Q48"/>
  <c r="P48"/>
  <c r="R47"/>
  <c r="Q47"/>
  <c r="P47"/>
  <c r="R46"/>
  <c r="Q46"/>
  <c r="P46"/>
  <c r="R45"/>
  <c r="Q45"/>
  <c r="P45"/>
  <c r="R44"/>
  <c r="Q44"/>
  <c r="P44"/>
  <c r="R43"/>
  <c r="Q43"/>
  <c r="P43"/>
  <c r="T49" l="1"/>
  <c r="T44"/>
  <c r="W44" s="1"/>
  <c r="T46"/>
  <c r="W46" s="1"/>
  <c r="T48"/>
  <c r="W48" s="1"/>
  <c r="T50"/>
  <c r="W50" s="1"/>
  <c r="T52"/>
  <c r="W52" s="1"/>
  <c r="T54"/>
  <c r="W54" s="1"/>
  <c r="T43"/>
  <c r="W43" s="1"/>
  <c r="T45"/>
  <c r="W45" s="1"/>
  <c r="T47"/>
  <c r="W47" s="1"/>
  <c r="W49"/>
  <c r="T51"/>
  <c r="W51" s="1"/>
  <c r="T53"/>
  <c r="W53" s="1"/>
  <c r="T31"/>
  <c r="W31" s="1"/>
  <c r="T32"/>
  <c r="W32" s="1"/>
  <c r="T33"/>
  <c r="W33" s="1"/>
  <c r="T34"/>
  <c r="W34" s="1"/>
  <c r="T35"/>
  <c r="W35" s="1"/>
  <c r="T36"/>
  <c r="W36" s="1"/>
  <c r="T37"/>
  <c r="W37" s="1"/>
  <c r="T38"/>
  <c r="W38" s="1"/>
  <c r="T39"/>
  <c r="W39" s="1"/>
  <c r="T40"/>
  <c r="W40" s="1"/>
  <c r="T41"/>
  <c r="W41" s="1"/>
  <c r="T42"/>
  <c r="W42" s="1"/>
  <c r="M26" i="7" l="1"/>
  <c r="I217" i="1" l="1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N148" l="1"/>
  <c r="R148" l="1"/>
  <c r="Q148"/>
  <c r="P148"/>
  <c r="N147"/>
  <c r="N146"/>
  <c r="N145"/>
  <c r="R147"/>
  <c r="Q147"/>
  <c r="R146"/>
  <c r="Q146"/>
  <c r="R145"/>
  <c r="Q145"/>
  <c r="P147"/>
  <c r="P146"/>
  <c r="P145"/>
  <c r="N26" i="6"/>
  <c r="N24"/>
  <c r="T145" i="1" l="1"/>
  <c r="E54" i="5"/>
  <c r="N144" i="1" l="1"/>
  <c r="N143"/>
  <c r="N142" l="1"/>
  <c r="N23" i="6" l="1"/>
  <c r="N22"/>
  <c r="N141" i="1" l="1"/>
  <c r="N140" l="1"/>
  <c r="O56" i="5" l="1"/>
  <c r="N56"/>
  <c r="M56"/>
  <c r="L56"/>
  <c r="K56"/>
  <c r="J56"/>
  <c r="I56"/>
  <c r="H56"/>
  <c r="F56"/>
  <c r="E56"/>
  <c r="D55"/>
  <c r="P55" s="1"/>
  <c r="C46"/>
  <c r="B43"/>
  <c r="N139" i="1" l="1"/>
  <c r="N21" i="6" l="1"/>
  <c r="N20"/>
  <c r="N13"/>
  <c r="P13"/>
  <c r="G13"/>
  <c r="I13" s="1"/>
  <c r="N138" i="1"/>
  <c r="N137"/>
  <c r="R137"/>
  <c r="Q137"/>
  <c r="G137"/>
  <c r="G1263" s="1"/>
  <c r="P137"/>
  <c r="N120" l="1"/>
  <c r="N114"/>
  <c r="N112"/>
  <c r="N32"/>
  <c r="N31"/>
  <c r="N29"/>
  <c r="F30" i="5"/>
  <c r="R138" i="1" l="1"/>
  <c r="Q138"/>
  <c r="P138"/>
  <c r="N19" i="6"/>
  <c r="N18"/>
  <c r="N17" l="1"/>
  <c r="N16"/>
  <c r="R21"/>
  <c r="Q21"/>
  <c r="P21"/>
  <c r="R20"/>
  <c r="Q20"/>
  <c r="P20"/>
  <c r="R19"/>
  <c r="Q19"/>
  <c r="P19"/>
  <c r="R18"/>
  <c r="Q18"/>
  <c r="P18"/>
  <c r="N136" i="1" l="1"/>
  <c r="N135"/>
  <c r="N134"/>
  <c r="N15" i="6" l="1"/>
  <c r="N14"/>
  <c r="N133" i="1"/>
  <c r="N132"/>
  <c r="R7" i="6"/>
  <c r="N8" l="1"/>
  <c r="N7"/>
  <c r="N6"/>
  <c r="N5"/>
  <c r="R14"/>
  <c r="Q14"/>
  <c r="P14"/>
  <c r="N12" l="1"/>
  <c r="N11"/>
  <c r="N10"/>
  <c r="N9"/>
  <c r="N131" i="1" l="1"/>
  <c r="N130"/>
  <c r="N127"/>
  <c r="N126"/>
  <c r="N124"/>
  <c r="N123"/>
  <c r="N12" i="7"/>
  <c r="N10"/>
  <c r="N9"/>
  <c r="N8"/>
  <c r="N7"/>
  <c r="N6"/>
  <c r="N5"/>
  <c r="N122" i="1"/>
  <c r="N121"/>
  <c r="P20" i="7" l="1"/>
  <c r="P19"/>
  <c r="P18"/>
  <c r="P17"/>
  <c r="P16"/>
  <c r="P15"/>
  <c r="P14"/>
  <c r="P13"/>
  <c r="P12"/>
  <c r="P11"/>
  <c r="P10"/>
  <c r="P9"/>
  <c r="P8"/>
  <c r="P7"/>
  <c r="P6"/>
  <c r="P5"/>
  <c r="T8" l="1"/>
  <c r="W8" s="1"/>
  <c r="I8"/>
  <c r="T7"/>
  <c r="W7" s="1"/>
  <c r="I7"/>
  <c r="T6"/>
  <c r="W6" s="1"/>
  <c r="I6"/>
  <c r="T5"/>
  <c r="W5" s="1"/>
  <c r="I5"/>
  <c r="G21" l="1"/>
  <c r="T20"/>
  <c r="W20" s="1"/>
  <c r="I20"/>
  <c r="I19"/>
  <c r="T18"/>
  <c r="W18" s="1"/>
  <c r="I18"/>
  <c r="I17"/>
  <c r="T16"/>
  <c r="W16" s="1"/>
  <c r="I16"/>
  <c r="I15"/>
  <c r="I14"/>
  <c r="T13"/>
  <c r="W13" s="1"/>
  <c r="I13"/>
  <c r="I12"/>
  <c r="T11"/>
  <c r="W11" s="1"/>
  <c r="I11"/>
  <c r="I10"/>
  <c r="R21"/>
  <c r="I9"/>
  <c r="N119" i="1"/>
  <c r="P21" i="7" l="1"/>
  <c r="T10"/>
  <c r="W10" s="1"/>
  <c r="T12"/>
  <c r="W12" s="1"/>
  <c r="T14"/>
  <c r="W14" s="1"/>
  <c r="T15"/>
  <c r="W15" s="1"/>
  <c r="T17"/>
  <c r="W17" s="1"/>
  <c r="T19"/>
  <c r="W19" s="1"/>
  <c r="N21"/>
  <c r="Q21"/>
  <c r="T9"/>
  <c r="N113" i="1"/>
  <c r="T21" i="7" l="1"/>
  <c r="W9"/>
  <c r="W21" s="1"/>
  <c r="N109" i="1"/>
  <c r="N118" l="1"/>
  <c r="N107" l="1"/>
  <c r="N100"/>
  <c r="N93" l="1"/>
  <c r="N91"/>
  <c r="N90"/>
  <c r="N27" l="1"/>
  <c r="N87" l="1"/>
  <c r="N82" l="1"/>
  <c r="N81"/>
  <c r="N80"/>
  <c r="N72"/>
  <c r="N70"/>
  <c r="N43"/>
  <c r="N38"/>
  <c r="N26" l="1"/>
  <c r="N25"/>
  <c r="N24"/>
  <c r="R28" i="6"/>
  <c r="Q28"/>
  <c r="P28"/>
  <c r="I28"/>
  <c r="R27"/>
  <c r="Q27"/>
  <c r="P27"/>
  <c r="I27"/>
  <c r="R26"/>
  <c r="Q26"/>
  <c r="P26"/>
  <c r="I26"/>
  <c r="R25"/>
  <c r="Q25"/>
  <c r="P25"/>
  <c r="I25"/>
  <c r="R24"/>
  <c r="Q24"/>
  <c r="P24"/>
  <c r="I24"/>
  <c r="R23"/>
  <c r="Q23"/>
  <c r="P23"/>
  <c r="I23"/>
  <c r="R22"/>
  <c r="Q22"/>
  <c r="P22"/>
  <c r="I22"/>
  <c r="T21"/>
  <c r="W21" s="1"/>
  <c r="I21"/>
  <c r="T20"/>
  <c r="W20" s="1"/>
  <c r="I20"/>
  <c r="T19"/>
  <c r="W19" s="1"/>
  <c r="I19"/>
  <c r="T18"/>
  <c r="W18" s="1"/>
  <c r="I18"/>
  <c r="R17"/>
  <c r="Q17"/>
  <c r="P17"/>
  <c r="I17"/>
  <c r="R16"/>
  <c r="Q16"/>
  <c r="P16"/>
  <c r="I16"/>
  <c r="R15"/>
  <c r="Q15"/>
  <c r="P15"/>
  <c r="I15"/>
  <c r="T14"/>
  <c r="W14" s="1"/>
  <c r="I14"/>
  <c r="T13"/>
  <c r="W13" s="1"/>
  <c r="T12"/>
  <c r="W12" s="1"/>
  <c r="I12"/>
  <c r="T11"/>
  <c r="W11" s="1"/>
  <c r="I11"/>
  <c r="T10"/>
  <c r="W10" s="1"/>
  <c r="I10"/>
  <c r="T9"/>
  <c r="W9" s="1"/>
  <c r="I9"/>
  <c r="R8"/>
  <c r="Q8"/>
  <c r="P8"/>
  <c r="I8"/>
  <c r="Q7"/>
  <c r="T7" s="1"/>
  <c r="W7" s="1"/>
  <c r="P7"/>
  <c r="I7"/>
  <c r="R6"/>
  <c r="Q6"/>
  <c r="P6"/>
  <c r="I6"/>
  <c r="G89"/>
  <c r="R59"/>
  <c r="Q59"/>
  <c r="P59"/>
  <c r="R58"/>
  <c r="Q58"/>
  <c r="P58"/>
  <c r="R57"/>
  <c r="Q57"/>
  <c r="P57"/>
  <c r="R56"/>
  <c r="Q56"/>
  <c r="P56"/>
  <c r="R55"/>
  <c r="Q55"/>
  <c r="P55"/>
  <c r="R30"/>
  <c r="Q30"/>
  <c r="P30"/>
  <c r="I30"/>
  <c r="R29"/>
  <c r="Q29"/>
  <c r="P29"/>
  <c r="I29"/>
  <c r="R5"/>
  <c r="Q5"/>
  <c r="P5"/>
  <c r="N89"/>
  <c r="J36" i="5" s="1"/>
  <c r="I5" i="6"/>
  <c r="N23" i="1"/>
  <c r="T15" i="6" l="1"/>
  <c r="W15" s="1"/>
  <c r="T16"/>
  <c r="W16" s="1"/>
  <c r="T17"/>
  <c r="W17" s="1"/>
  <c r="T22"/>
  <c r="W22" s="1"/>
  <c r="T23"/>
  <c r="W23" s="1"/>
  <c r="T24"/>
  <c r="W24" s="1"/>
  <c r="T25"/>
  <c r="W25" s="1"/>
  <c r="T26"/>
  <c r="W26" s="1"/>
  <c r="T29"/>
  <c r="W29" s="1"/>
  <c r="T30"/>
  <c r="W30" s="1"/>
  <c r="T55"/>
  <c r="W55" s="1"/>
  <c r="T56"/>
  <c r="W56" s="1"/>
  <c r="T57"/>
  <c r="W57" s="1"/>
  <c r="T58"/>
  <c r="W58" s="1"/>
  <c r="T59"/>
  <c r="W59" s="1"/>
  <c r="T8"/>
  <c r="W8" s="1"/>
  <c r="J41" i="5"/>
  <c r="J39"/>
  <c r="E36"/>
  <c r="D36"/>
  <c r="T27" i="6"/>
  <c r="W27" s="1"/>
  <c r="T28"/>
  <c r="T6"/>
  <c r="W6" s="1"/>
  <c r="Q89"/>
  <c r="T5"/>
  <c r="P89"/>
  <c r="R89"/>
  <c r="N20" i="1"/>
  <c r="N19"/>
  <c r="X28" i="6" l="1"/>
  <c r="D54" i="5"/>
  <c r="J43"/>
  <c r="E41"/>
  <c r="E43" s="1"/>
  <c r="E39"/>
  <c r="D41"/>
  <c r="D43" s="1"/>
  <c r="F36"/>
  <c r="D39"/>
  <c r="K36"/>
  <c r="W28" i="6"/>
  <c r="T89"/>
  <c r="L36" i="5" s="1"/>
  <c r="W5" i="6"/>
  <c r="N18" i="1"/>
  <c r="G54" i="5" l="1"/>
  <c r="G56" s="1"/>
  <c r="D56"/>
  <c r="L39"/>
  <c r="L41"/>
  <c r="L43" s="1"/>
  <c r="M36"/>
  <c r="K39"/>
  <c r="K41"/>
  <c r="K43" s="1"/>
  <c r="F41"/>
  <c r="F43" s="1"/>
  <c r="F39"/>
  <c r="W89" i="6"/>
  <c r="W344" s="1"/>
  <c r="N17" i="1"/>
  <c r="P54" i="5" l="1"/>
  <c r="P56" s="1"/>
  <c r="M41"/>
  <c r="M39"/>
  <c r="R120" i="1"/>
  <c r="Q120"/>
  <c r="P120"/>
  <c r="R114"/>
  <c r="Q114"/>
  <c r="P114"/>
  <c r="R112"/>
  <c r="Q112"/>
  <c r="P112"/>
  <c r="N16"/>
  <c r="N14"/>
  <c r="N41" i="5" l="1"/>
  <c r="N43" s="1"/>
  <c r="M43"/>
  <c r="R14" i="1"/>
  <c r="Q14"/>
  <c r="P14"/>
  <c r="N13" l="1"/>
  <c r="N12" l="1"/>
  <c r="R33" l="1"/>
  <c r="Q33"/>
  <c r="P33"/>
  <c r="R32"/>
  <c r="Q32"/>
  <c r="P32"/>
  <c r="R31"/>
  <c r="Q31"/>
  <c r="P31"/>
  <c r="R29"/>
  <c r="Q29"/>
  <c r="P29"/>
  <c r="R27"/>
  <c r="Q27"/>
  <c r="P27"/>
  <c r="R26"/>
  <c r="Q26"/>
  <c r="P26"/>
  <c r="R25"/>
  <c r="Q25"/>
  <c r="P25"/>
  <c r="R24"/>
  <c r="Q24"/>
  <c r="P24"/>
  <c r="R23"/>
  <c r="Q23"/>
  <c r="P23"/>
  <c r="N11"/>
  <c r="N10" l="1"/>
  <c r="R20" l="1"/>
  <c r="Q20"/>
  <c r="P20"/>
  <c r="R19"/>
  <c r="Q19"/>
  <c r="P19"/>
  <c r="R18"/>
  <c r="Q18"/>
  <c r="P18"/>
  <c r="R17"/>
  <c r="Q17"/>
  <c r="P17"/>
  <c r="R16"/>
  <c r="Q16"/>
  <c r="P16"/>
  <c r="R15"/>
  <c r="Q15"/>
  <c r="P15"/>
  <c r="R13"/>
  <c r="Q13"/>
  <c r="P13"/>
  <c r="R12"/>
  <c r="Q12"/>
  <c r="P12"/>
  <c r="R11"/>
  <c r="Q11"/>
  <c r="P11"/>
  <c r="N9"/>
  <c r="N8"/>
  <c r="N7"/>
  <c r="N5"/>
  <c r="N49"/>
  <c r="I95"/>
  <c r="I103"/>
  <c r="I382"/>
  <c r="I381"/>
  <c r="I380"/>
  <c r="I379"/>
  <c r="I378"/>
  <c r="I377"/>
  <c r="I376"/>
  <c r="I375"/>
  <c r="I374"/>
  <c r="I373"/>
  <c r="I372"/>
  <c r="I371"/>
  <c r="I370"/>
  <c r="I369"/>
  <c r="I368"/>
  <c r="I367"/>
  <c r="I366"/>
  <c r="I349"/>
  <c r="I333"/>
  <c r="I332"/>
  <c r="I365"/>
  <c r="I336"/>
  <c r="I335"/>
  <c r="I331"/>
  <c r="I330"/>
  <c r="I329"/>
  <c r="I328"/>
  <c r="I327"/>
  <c r="I326"/>
  <c r="I325"/>
  <c r="I324"/>
  <c r="I323"/>
  <c r="I322"/>
  <c r="I321"/>
  <c r="I320"/>
  <c r="I319"/>
  <c r="I318"/>
  <c r="I317"/>
  <c r="I316"/>
  <c r="I315"/>
  <c r="I314"/>
  <c r="I313"/>
  <c r="I312"/>
  <c r="I311"/>
  <c r="I310"/>
  <c r="I309"/>
  <c r="I308"/>
  <c r="I307"/>
  <c r="I306"/>
  <c r="I305"/>
  <c r="I304"/>
  <c r="I303"/>
  <c r="I302"/>
  <c r="I301"/>
  <c r="I300"/>
  <c r="I299"/>
  <c r="I298"/>
  <c r="I295"/>
  <c r="I294"/>
  <c r="I293"/>
  <c r="I292"/>
  <c r="I291"/>
  <c r="I290"/>
  <c r="I289"/>
  <c r="I288"/>
  <c r="I287"/>
  <c r="I286"/>
  <c r="I285"/>
  <c r="I284"/>
  <c r="I283"/>
  <c r="I282"/>
  <c r="I281"/>
  <c r="I280"/>
  <c r="I279"/>
  <c r="I278"/>
  <c r="I277"/>
  <c r="I276"/>
  <c r="I275"/>
  <c r="I274"/>
  <c r="I273"/>
  <c r="I272"/>
  <c r="I271"/>
  <c r="I270"/>
  <c r="I269"/>
  <c r="I268"/>
  <c r="I267"/>
  <c r="I266"/>
  <c r="I265"/>
  <c r="I264"/>
  <c r="I263"/>
  <c r="I262"/>
  <c r="I261"/>
  <c r="I260"/>
  <c r="I259"/>
  <c r="I258"/>
  <c r="I257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130"/>
  <c r="I116"/>
  <c r="I129"/>
  <c r="I128"/>
  <c r="I127"/>
  <c r="I126"/>
  <c r="I125"/>
  <c r="I124"/>
  <c r="I123"/>
  <c r="I122"/>
  <c r="I121"/>
  <c r="I120"/>
  <c r="I119"/>
  <c r="I118"/>
  <c r="I117"/>
  <c r="I115"/>
  <c r="I114"/>
  <c r="I113"/>
  <c r="I112"/>
  <c r="I111"/>
  <c r="I110"/>
  <c r="I109"/>
  <c r="I108"/>
  <c r="I107"/>
  <c r="I106"/>
  <c r="I105"/>
  <c r="I104"/>
  <c r="I102"/>
  <c r="I101"/>
  <c r="I100"/>
  <c r="I99"/>
  <c r="I98"/>
  <c r="I97"/>
  <c r="I96"/>
  <c r="I94"/>
  <c r="I93"/>
  <c r="I87"/>
  <c r="I92"/>
  <c r="I90"/>
  <c r="I89"/>
  <c r="I88"/>
  <c r="I86"/>
  <c r="I85"/>
  <c r="I84"/>
  <c r="I83"/>
  <c r="I82"/>
  <c r="R450"/>
  <c r="Q450"/>
  <c r="P450"/>
  <c r="R449"/>
  <c r="Q449"/>
  <c r="P449"/>
  <c r="R448"/>
  <c r="Q448"/>
  <c r="P448"/>
  <c r="R447"/>
  <c r="P447"/>
  <c r="R446"/>
  <c r="Q446"/>
  <c r="P446"/>
  <c r="R445"/>
  <c r="Q445"/>
  <c r="P445"/>
  <c r="R383"/>
  <c r="Q383"/>
  <c r="P383"/>
  <c r="R382"/>
  <c r="Q382"/>
  <c r="P382"/>
  <c r="Q381"/>
  <c r="P381"/>
  <c r="R380"/>
  <c r="Q380"/>
  <c r="P380"/>
  <c r="R379"/>
  <c r="Q379"/>
  <c r="P379"/>
  <c r="R378"/>
  <c r="Q378"/>
  <c r="P378"/>
  <c r="R377"/>
  <c r="Q377"/>
  <c r="P377"/>
  <c r="R376"/>
  <c r="Q376"/>
  <c r="P376"/>
  <c r="R375"/>
  <c r="Q375"/>
  <c r="P375"/>
  <c r="R374"/>
  <c r="Q374"/>
  <c r="P374"/>
  <c r="R373"/>
  <c r="Q373"/>
  <c r="P373"/>
  <c r="R372"/>
  <c r="Q372"/>
  <c r="P372"/>
  <c r="R371"/>
  <c r="Q371"/>
  <c r="P371"/>
  <c r="R368"/>
  <c r="Q368"/>
  <c r="P368"/>
  <c r="R367"/>
  <c r="Q367"/>
  <c r="P367"/>
  <c r="R366"/>
  <c r="Q366"/>
  <c r="P366"/>
  <c r="Q349"/>
  <c r="T349" s="1"/>
  <c r="P349"/>
  <c r="R333"/>
  <c r="Q333"/>
  <c r="P333"/>
  <c r="R332"/>
  <c r="Q332"/>
  <c r="P332"/>
  <c r="R365"/>
  <c r="Q365"/>
  <c r="P365"/>
  <c r="R336"/>
  <c r="Q336"/>
  <c r="P336"/>
  <c r="R335"/>
  <c r="Q335"/>
  <c r="P335"/>
  <c r="R331"/>
  <c r="Q331"/>
  <c r="R330"/>
  <c r="Q330"/>
  <c r="P330"/>
  <c r="Q329"/>
  <c r="P329"/>
  <c r="R328"/>
  <c r="Q328"/>
  <c r="P328"/>
  <c r="R327"/>
  <c r="Q327"/>
  <c r="P327"/>
  <c r="R326"/>
  <c r="Q326"/>
  <c r="P326"/>
  <c r="R325"/>
  <c r="Q325"/>
  <c r="P325"/>
  <c r="R324"/>
  <c r="Q324"/>
  <c r="P324"/>
  <c r="R323"/>
  <c r="Q323"/>
  <c r="P323"/>
  <c r="R322"/>
  <c r="Q322"/>
  <c r="P322"/>
  <c r="R321"/>
  <c r="Q321"/>
  <c r="P321"/>
  <c r="R320"/>
  <c r="Q320"/>
  <c r="P320"/>
  <c r="R319"/>
  <c r="Q319"/>
  <c r="P319"/>
  <c r="R318"/>
  <c r="Q318"/>
  <c r="P318"/>
  <c r="R317"/>
  <c r="Q317"/>
  <c r="P317"/>
  <c r="R316"/>
  <c r="Q316"/>
  <c r="P316"/>
  <c r="R315"/>
  <c r="Q315"/>
  <c r="P315"/>
  <c r="R314"/>
  <c r="Q314"/>
  <c r="P314"/>
  <c r="R313"/>
  <c r="Q313"/>
  <c r="P313"/>
  <c r="R312"/>
  <c r="Q312"/>
  <c r="P312"/>
  <c r="R311"/>
  <c r="Q311"/>
  <c r="P311"/>
  <c r="R310"/>
  <c r="Q310"/>
  <c r="P310"/>
  <c r="R309"/>
  <c r="Q309"/>
  <c r="P309"/>
  <c r="R308"/>
  <c r="Q308"/>
  <c r="P308"/>
  <c r="R307"/>
  <c r="Q307"/>
  <c r="P307"/>
  <c r="R306"/>
  <c r="Q306"/>
  <c r="P306"/>
  <c r="R305"/>
  <c r="Q305"/>
  <c r="P305"/>
  <c r="R304"/>
  <c r="Q304"/>
  <c r="P304"/>
  <c r="R303"/>
  <c r="Q303"/>
  <c r="P303"/>
  <c r="R302"/>
  <c r="Q302"/>
  <c r="P302"/>
  <c r="R301"/>
  <c r="Q301"/>
  <c r="P301"/>
  <c r="R300"/>
  <c r="P300"/>
  <c r="R299"/>
  <c r="Q299"/>
  <c r="P299"/>
  <c r="R298"/>
  <c r="Q298"/>
  <c r="P298"/>
  <c r="R296"/>
  <c r="Q296"/>
  <c r="P296"/>
  <c r="R295"/>
  <c r="Q295"/>
  <c r="P295"/>
  <c r="R294"/>
  <c r="P294"/>
  <c r="P293"/>
  <c r="R292"/>
  <c r="Q292"/>
  <c r="P292"/>
  <c r="R291"/>
  <c r="Q291"/>
  <c r="P291"/>
  <c r="R290"/>
  <c r="Q290"/>
  <c r="P290"/>
  <c r="R289"/>
  <c r="Q289"/>
  <c r="P289"/>
  <c r="R288"/>
  <c r="Q288"/>
  <c r="P288"/>
  <c r="R287"/>
  <c r="Q287"/>
  <c r="P287"/>
  <c r="R286"/>
  <c r="Q286"/>
  <c r="P286"/>
  <c r="R285"/>
  <c r="Q285"/>
  <c r="P285"/>
  <c r="R284"/>
  <c r="Q284"/>
  <c r="P284"/>
  <c r="R283"/>
  <c r="Q283"/>
  <c r="P283"/>
  <c r="R282"/>
  <c r="Q282"/>
  <c r="P282"/>
  <c r="R281"/>
  <c r="Q281"/>
  <c r="P281"/>
  <c r="R280"/>
  <c r="Q280"/>
  <c r="P280"/>
  <c r="R279"/>
  <c r="Q279"/>
  <c r="P279"/>
  <c r="R278"/>
  <c r="Q278"/>
  <c r="P278"/>
  <c r="R277"/>
  <c r="Q277"/>
  <c r="P277"/>
  <c r="R276"/>
  <c r="Q276"/>
  <c r="P276"/>
  <c r="R275"/>
  <c r="Q275"/>
  <c r="P275"/>
  <c r="R274"/>
  <c r="Q274"/>
  <c r="P274"/>
  <c r="R273"/>
  <c r="Q273"/>
  <c r="P273"/>
  <c r="R272"/>
  <c r="Q272"/>
  <c r="P272"/>
  <c r="R271"/>
  <c r="Q271"/>
  <c r="P271"/>
  <c r="R270"/>
  <c r="Q270"/>
  <c r="P270"/>
  <c r="R269"/>
  <c r="Q269"/>
  <c r="P269"/>
  <c r="R268"/>
  <c r="Q268"/>
  <c r="P268"/>
  <c r="R267"/>
  <c r="Q267"/>
  <c r="P267"/>
  <c r="R266"/>
  <c r="Q266"/>
  <c r="P266"/>
  <c r="R265"/>
  <c r="Q265"/>
  <c r="P265"/>
  <c r="R264"/>
  <c r="Q264"/>
  <c r="P264"/>
  <c r="R263"/>
  <c r="Q263"/>
  <c r="P263"/>
  <c r="R262"/>
  <c r="Q262"/>
  <c r="P262"/>
  <c r="R261"/>
  <c r="Q261"/>
  <c r="P261"/>
  <c r="R260"/>
  <c r="Q260"/>
  <c r="P260"/>
  <c r="R259"/>
  <c r="Q259"/>
  <c r="P259"/>
  <c r="R258"/>
  <c r="Q258"/>
  <c r="P258"/>
  <c r="R257"/>
  <c r="Q257"/>
  <c r="P257"/>
  <c r="R256"/>
  <c r="P256"/>
  <c r="R255"/>
  <c r="Q255"/>
  <c r="P255"/>
  <c r="R254"/>
  <c r="Q254"/>
  <c r="P254"/>
  <c r="R253"/>
  <c r="Q253"/>
  <c r="P253"/>
  <c r="R252"/>
  <c r="Q252"/>
  <c r="P252"/>
  <c r="R251"/>
  <c r="Q251"/>
  <c r="P251"/>
  <c r="R250"/>
  <c r="Q250"/>
  <c r="P250"/>
  <c r="R249"/>
  <c r="Q249"/>
  <c r="P249"/>
  <c r="R248"/>
  <c r="Q248"/>
  <c r="P248"/>
  <c r="R247"/>
  <c r="Q247"/>
  <c r="P247"/>
  <c r="R246"/>
  <c r="Q246"/>
  <c r="P246"/>
  <c r="R245"/>
  <c r="Q245"/>
  <c r="P245"/>
  <c r="R244"/>
  <c r="Q244"/>
  <c r="P244"/>
  <c r="R243"/>
  <c r="Q243"/>
  <c r="P243"/>
  <c r="R242"/>
  <c r="Q242"/>
  <c r="P242"/>
  <c r="R241"/>
  <c r="Q241"/>
  <c r="P241"/>
  <c r="R240"/>
  <c r="Q240"/>
  <c r="P240"/>
  <c r="R239"/>
  <c r="Q239"/>
  <c r="P239"/>
  <c r="Q238"/>
  <c r="P238"/>
  <c r="R237"/>
  <c r="Q237"/>
  <c r="P237"/>
  <c r="R236"/>
  <c r="Q236"/>
  <c r="P236"/>
  <c r="R235"/>
  <c r="Q235"/>
  <c r="P235"/>
  <c r="R234"/>
  <c r="Q234"/>
  <c r="P234"/>
  <c r="R233"/>
  <c r="Q233"/>
  <c r="P233"/>
  <c r="R232"/>
  <c r="Q232"/>
  <c r="P232"/>
  <c r="R231"/>
  <c r="Q231"/>
  <c r="P231"/>
  <c r="R230"/>
  <c r="Q230"/>
  <c r="P230"/>
  <c r="R229"/>
  <c r="Q229"/>
  <c r="P229"/>
  <c r="R228"/>
  <c r="Q228"/>
  <c r="P228"/>
  <c r="R227"/>
  <c r="Q227"/>
  <c r="P227"/>
  <c r="R226"/>
  <c r="Q226"/>
  <c r="P226"/>
  <c r="R225"/>
  <c r="Q225"/>
  <c r="P225"/>
  <c r="R224"/>
  <c r="Q224"/>
  <c r="P224"/>
  <c r="R223"/>
  <c r="Q223"/>
  <c r="P223"/>
  <c r="R222"/>
  <c r="Q222"/>
  <c r="P222"/>
  <c r="R221"/>
  <c r="Q221"/>
  <c r="P221"/>
  <c r="R220"/>
  <c r="Q220"/>
  <c r="P220"/>
  <c r="R219"/>
  <c r="Q219"/>
  <c r="P219"/>
  <c r="R218"/>
  <c r="Q218"/>
  <c r="P218"/>
  <c r="R217"/>
  <c r="Q217"/>
  <c r="P217"/>
  <c r="R216"/>
  <c r="Q216"/>
  <c r="P216"/>
  <c r="R215"/>
  <c r="Q215"/>
  <c r="P215"/>
  <c r="R214"/>
  <c r="Q214"/>
  <c r="P214"/>
  <c r="R213"/>
  <c r="Q213"/>
  <c r="P213"/>
  <c r="R212"/>
  <c r="Q212"/>
  <c r="P212"/>
  <c r="R211"/>
  <c r="Q211"/>
  <c r="P211"/>
  <c r="R210"/>
  <c r="Q210"/>
  <c r="P210"/>
  <c r="R209"/>
  <c r="Q209"/>
  <c r="P209"/>
  <c r="R208"/>
  <c r="Q208"/>
  <c r="P208"/>
  <c r="R207"/>
  <c r="Q207"/>
  <c r="P207"/>
  <c r="R206"/>
  <c r="Q206"/>
  <c r="P206"/>
  <c r="R205"/>
  <c r="Q205"/>
  <c r="P205"/>
  <c r="R204"/>
  <c r="Q204"/>
  <c r="P204"/>
  <c r="R203"/>
  <c r="Q203"/>
  <c r="P203"/>
  <c r="R202"/>
  <c r="Q202"/>
  <c r="P202"/>
  <c r="R201"/>
  <c r="Q201"/>
  <c r="P201"/>
  <c r="R200"/>
  <c r="Q200"/>
  <c r="P200"/>
  <c r="R199"/>
  <c r="Q199"/>
  <c r="P199"/>
  <c r="R198"/>
  <c r="Q198"/>
  <c r="P198"/>
  <c r="R197"/>
  <c r="Q197"/>
  <c r="P197"/>
  <c r="R196"/>
  <c r="Q196"/>
  <c r="P196"/>
  <c r="R195"/>
  <c r="Q195"/>
  <c r="P195"/>
  <c r="R194"/>
  <c r="Q194"/>
  <c r="P194"/>
  <c r="R193"/>
  <c r="Q193"/>
  <c r="P193"/>
  <c r="R192"/>
  <c r="Q192"/>
  <c r="P192"/>
  <c r="R191"/>
  <c r="Q191"/>
  <c r="P191"/>
  <c r="R190"/>
  <c r="Q190"/>
  <c r="P190"/>
  <c r="R189"/>
  <c r="Q189"/>
  <c r="P189"/>
  <c r="R188"/>
  <c r="Q188"/>
  <c r="P188"/>
  <c r="R187"/>
  <c r="Q187"/>
  <c r="P187"/>
  <c r="R186"/>
  <c r="Q186"/>
  <c r="P186"/>
  <c r="R185"/>
  <c r="Q185"/>
  <c r="P185"/>
  <c r="R184"/>
  <c r="Q184"/>
  <c r="P184"/>
  <c r="R183"/>
  <c r="Q183"/>
  <c r="P183"/>
  <c r="R182"/>
  <c r="Q182"/>
  <c r="P182"/>
  <c r="R181"/>
  <c r="Q181"/>
  <c r="P181"/>
  <c r="R180"/>
  <c r="Q180"/>
  <c r="P180"/>
  <c r="R179"/>
  <c r="Q179"/>
  <c r="P179"/>
  <c r="R178"/>
  <c r="Q178"/>
  <c r="P178"/>
  <c r="R177"/>
  <c r="Q177"/>
  <c r="P177"/>
  <c r="R176"/>
  <c r="Q176"/>
  <c r="P176"/>
  <c r="R175"/>
  <c r="Q175"/>
  <c r="P175"/>
  <c r="R174"/>
  <c r="Q174"/>
  <c r="P174"/>
  <c r="R173"/>
  <c r="Q173"/>
  <c r="P173"/>
  <c r="R172"/>
  <c r="Q172"/>
  <c r="P172"/>
  <c r="P171"/>
  <c r="R170"/>
  <c r="Q170"/>
  <c r="P170"/>
  <c r="R169"/>
  <c r="Q169"/>
  <c r="P169"/>
  <c r="R168"/>
  <c r="Q168"/>
  <c r="P168"/>
  <c r="R167"/>
  <c r="Q167"/>
  <c r="P167"/>
  <c r="R166"/>
  <c r="Q166"/>
  <c r="P166"/>
  <c r="R165"/>
  <c r="Q165"/>
  <c r="P165"/>
  <c r="R164"/>
  <c r="Q164"/>
  <c r="P164"/>
  <c r="R163"/>
  <c r="Q163"/>
  <c r="P163"/>
  <c r="R162"/>
  <c r="Q162"/>
  <c r="P162"/>
  <c r="R161"/>
  <c r="Q161"/>
  <c r="P161"/>
  <c r="R160"/>
  <c r="Q160"/>
  <c r="P160"/>
  <c r="R159"/>
  <c r="Q159"/>
  <c r="P159"/>
  <c r="R158"/>
  <c r="Q158"/>
  <c r="P158"/>
  <c r="R157"/>
  <c r="Q157"/>
  <c r="P157"/>
  <c r="R156"/>
  <c r="Q156"/>
  <c r="P156"/>
  <c r="R155"/>
  <c r="Q155"/>
  <c r="P155"/>
  <c r="R154"/>
  <c r="Q154"/>
  <c r="P154"/>
  <c r="R153"/>
  <c r="Q153"/>
  <c r="P153"/>
  <c r="R152"/>
  <c r="Q152"/>
  <c r="P152"/>
  <c r="R151"/>
  <c r="Q151"/>
  <c r="P151"/>
  <c r="R150"/>
  <c r="Q150"/>
  <c r="P150"/>
  <c r="R149"/>
  <c r="Q149"/>
  <c r="P149"/>
  <c r="R144"/>
  <c r="Q144"/>
  <c r="P144"/>
  <c r="R143"/>
  <c r="Q143"/>
  <c r="P143"/>
  <c r="R142"/>
  <c r="Q142"/>
  <c r="P142"/>
  <c r="R141"/>
  <c r="Q141"/>
  <c r="P141"/>
  <c r="R140"/>
  <c r="Q140"/>
  <c r="P140"/>
  <c r="R139"/>
  <c r="Q139"/>
  <c r="P139"/>
  <c r="R10"/>
  <c r="Q10"/>
  <c r="P10"/>
  <c r="R9"/>
  <c r="Q9"/>
  <c r="P9"/>
  <c r="R8"/>
  <c r="Q8"/>
  <c r="P8"/>
  <c r="R7"/>
  <c r="Q7"/>
  <c r="P7"/>
  <c r="R6"/>
  <c r="Q6"/>
  <c r="P6"/>
  <c r="R5"/>
  <c r="Q5"/>
  <c r="P5"/>
  <c r="P1263" l="1"/>
  <c r="R1263"/>
  <c r="Q1263"/>
  <c r="N1263"/>
  <c r="T327"/>
  <c r="T168"/>
  <c r="T172"/>
  <c r="T170"/>
  <c r="T53"/>
  <c r="T131"/>
  <c r="T133"/>
  <c r="T135"/>
  <c r="T137"/>
  <c r="T139"/>
  <c r="T141"/>
  <c r="T143"/>
  <c r="T147"/>
  <c r="T149"/>
  <c r="T151"/>
  <c r="T153"/>
  <c r="T155"/>
  <c r="T157"/>
  <c r="T159"/>
  <c r="T161"/>
  <c r="T163"/>
  <c r="T165"/>
  <c r="T167"/>
  <c r="T169"/>
  <c r="T171"/>
  <c r="T173"/>
  <c r="T175"/>
  <c r="T177"/>
  <c r="T179"/>
  <c r="T181"/>
  <c r="T183"/>
  <c r="T185"/>
  <c r="T187"/>
  <c r="T189"/>
  <c r="T191"/>
  <c r="T193"/>
  <c r="T195"/>
  <c r="T197"/>
  <c r="T199"/>
  <c r="T201"/>
  <c r="T203"/>
  <c r="T205"/>
  <c r="T207"/>
  <c r="T209"/>
  <c r="T211"/>
  <c r="T213"/>
  <c r="T215"/>
  <c r="T217"/>
  <c r="T219"/>
  <c r="T221"/>
  <c r="T223"/>
  <c r="T225"/>
  <c r="T227"/>
  <c r="T229"/>
  <c r="T231"/>
  <c r="T233"/>
  <c r="T235"/>
  <c r="T237"/>
  <c r="T239"/>
  <c r="T241"/>
  <c r="T243"/>
  <c r="T245"/>
  <c r="T247"/>
  <c r="T249"/>
  <c r="T251"/>
  <c r="T253"/>
  <c r="T255"/>
  <c r="T257"/>
  <c r="T259"/>
  <c r="T261"/>
  <c r="T263"/>
  <c r="T265"/>
  <c r="T267"/>
  <c r="T269"/>
  <c r="T271"/>
  <c r="T273"/>
  <c r="T275"/>
  <c r="T277"/>
  <c r="T279"/>
  <c r="T281"/>
  <c r="T283"/>
  <c r="T285"/>
  <c r="T287"/>
  <c r="T289"/>
  <c r="T291"/>
  <c r="T293"/>
  <c r="T295"/>
  <c r="T299"/>
  <c r="T301"/>
  <c r="T303"/>
  <c r="T305"/>
  <c r="T307"/>
  <c r="T309"/>
  <c r="T311"/>
  <c r="T313"/>
  <c r="T315"/>
  <c r="T317"/>
  <c r="T319"/>
  <c r="T321"/>
  <c r="T323"/>
  <c r="T325"/>
  <c r="T329"/>
  <c r="T331"/>
  <c r="T336"/>
  <c r="T332"/>
  <c r="T367"/>
  <c r="T369"/>
  <c r="T371"/>
  <c r="T373"/>
  <c r="T375"/>
  <c r="T377"/>
  <c r="W377" s="1"/>
  <c r="T379"/>
  <c r="W379" s="1"/>
  <c r="T381"/>
  <c r="W381" s="1"/>
  <c r="T383"/>
  <c r="W383" s="1"/>
  <c r="T446"/>
  <c r="W446" s="1"/>
  <c r="T55"/>
  <c r="T57"/>
  <c r="T59"/>
  <c r="T61"/>
  <c r="T63"/>
  <c r="T65"/>
  <c r="T67"/>
  <c r="T69"/>
  <c r="T71"/>
  <c r="T73"/>
  <c r="T75"/>
  <c r="T77"/>
  <c r="T79"/>
  <c r="T81"/>
  <c r="T83"/>
  <c r="T85"/>
  <c r="T87"/>
  <c r="T89"/>
  <c r="T91"/>
  <c r="T93"/>
  <c r="T95"/>
  <c r="T97"/>
  <c r="T99"/>
  <c r="T101"/>
  <c r="T103"/>
  <c r="T105"/>
  <c r="T107"/>
  <c r="T109"/>
  <c r="T111"/>
  <c r="T113"/>
  <c r="T115"/>
  <c r="T117"/>
  <c r="T119"/>
  <c r="T121"/>
  <c r="T123"/>
  <c r="T125"/>
  <c r="T127"/>
  <c r="T129"/>
  <c r="T40"/>
  <c r="T42"/>
  <c r="T44"/>
  <c r="T46"/>
  <c r="T48"/>
  <c r="T50"/>
  <c r="T52"/>
  <c r="T19"/>
  <c r="T21"/>
  <c r="T23"/>
  <c r="T25"/>
  <c r="T27"/>
  <c r="T29"/>
  <c r="T31"/>
  <c r="T33"/>
  <c r="T35"/>
  <c r="T37"/>
  <c r="T6"/>
  <c r="T8"/>
  <c r="T10"/>
  <c r="T12"/>
  <c r="T14"/>
  <c r="T16"/>
  <c r="T448"/>
  <c r="T450"/>
  <c r="T7"/>
  <c r="T9"/>
  <c r="T11"/>
  <c r="T13"/>
  <c r="T15"/>
  <c r="T17"/>
  <c r="T18"/>
  <c r="T20"/>
  <c r="T22"/>
  <c r="T24"/>
  <c r="T26"/>
  <c r="T28"/>
  <c r="T30"/>
  <c r="T32"/>
  <c r="T34"/>
  <c r="T36"/>
  <c r="T38"/>
  <c r="T39"/>
  <c r="T41"/>
  <c r="T43"/>
  <c r="T45"/>
  <c r="T47"/>
  <c r="T49"/>
  <c r="T51"/>
  <c r="T54"/>
  <c r="T56"/>
  <c r="T58"/>
  <c r="T60"/>
  <c r="T62"/>
  <c r="T64"/>
  <c r="T66"/>
  <c r="T68"/>
  <c r="T70"/>
  <c r="T72"/>
  <c r="T74"/>
  <c r="T76"/>
  <c r="T78"/>
  <c r="T80"/>
  <c r="T82"/>
  <c r="T84"/>
  <c r="T86"/>
  <c r="T88"/>
  <c r="T90"/>
  <c r="T92"/>
  <c r="T94"/>
  <c r="T96"/>
  <c r="T98"/>
  <c r="T100"/>
  <c r="T102"/>
  <c r="T104"/>
  <c r="T106"/>
  <c r="T108"/>
  <c r="T110"/>
  <c r="T112"/>
  <c r="T114"/>
  <c r="T116"/>
  <c r="T118"/>
  <c r="T120"/>
  <c r="T122"/>
  <c r="T124"/>
  <c r="T126"/>
  <c r="T128"/>
  <c r="T130"/>
  <c r="T132"/>
  <c r="T134"/>
  <c r="T136"/>
  <c r="T138"/>
  <c r="T140"/>
  <c r="T142"/>
  <c r="T144"/>
  <c r="T146"/>
  <c r="T148"/>
  <c r="T150"/>
  <c r="T152"/>
  <c r="T154"/>
  <c r="T156"/>
  <c r="T158"/>
  <c r="T160"/>
  <c r="T162"/>
  <c r="T164"/>
  <c r="T166"/>
  <c r="T174"/>
  <c r="T176"/>
  <c r="T178"/>
  <c r="T180"/>
  <c r="T182"/>
  <c r="T184"/>
  <c r="T186"/>
  <c r="T188"/>
  <c r="T190"/>
  <c r="T192"/>
  <c r="T194"/>
  <c r="T196"/>
  <c r="T198"/>
  <c r="T200"/>
  <c r="T202"/>
  <c r="T204"/>
  <c r="T206"/>
  <c r="T208"/>
  <c r="T210"/>
  <c r="T212"/>
  <c r="T214"/>
  <c r="T216"/>
  <c r="T218"/>
  <c r="T220"/>
  <c r="T222"/>
  <c r="T224"/>
  <c r="T226"/>
  <c r="T228"/>
  <c r="T230"/>
  <c r="T232"/>
  <c r="T234"/>
  <c r="T236"/>
  <c r="T238"/>
  <c r="T240"/>
  <c r="T242"/>
  <c r="T244"/>
  <c r="T246"/>
  <c r="T248"/>
  <c r="T250"/>
  <c r="T252"/>
  <c r="T254"/>
  <c r="T256"/>
  <c r="T258"/>
  <c r="T260"/>
  <c r="T262"/>
  <c r="T264"/>
  <c r="T266"/>
  <c r="T268"/>
  <c r="T270"/>
  <c r="T272"/>
  <c r="T274"/>
  <c r="T276"/>
  <c r="T278"/>
  <c r="T280"/>
  <c r="T282"/>
  <c r="T284"/>
  <c r="T286"/>
  <c r="T288"/>
  <c r="T290"/>
  <c r="T292"/>
  <c r="T294"/>
  <c r="T296"/>
  <c r="T298"/>
  <c r="T300"/>
  <c r="T302"/>
  <c r="T304"/>
  <c r="T306"/>
  <c r="T308"/>
  <c r="T310"/>
  <c r="T312"/>
  <c r="T314"/>
  <c r="T316"/>
  <c r="T318"/>
  <c r="T320"/>
  <c r="T322"/>
  <c r="T324"/>
  <c r="T326"/>
  <c r="T328"/>
  <c r="T330"/>
  <c r="T335"/>
  <c r="T365"/>
  <c r="T333"/>
  <c r="T366"/>
  <c r="T368"/>
  <c r="T370"/>
  <c r="T372"/>
  <c r="T374"/>
  <c r="T376"/>
  <c r="T378"/>
  <c r="W378" s="1"/>
  <c r="T380"/>
  <c r="W380" s="1"/>
  <c r="T382"/>
  <c r="W382" s="1"/>
  <c r="T445"/>
  <c r="W445" s="1"/>
  <c r="T447"/>
  <c r="W447" s="1"/>
  <c r="T449"/>
  <c r="O30" i="5" l="1"/>
  <c r="N30" l="1"/>
  <c r="M30" l="1"/>
  <c r="W301" i="1" l="1"/>
  <c r="W299"/>
  <c r="W297"/>
  <c r="W295"/>
  <c r="W293"/>
  <c r="W291"/>
  <c r="W289"/>
  <c r="W287"/>
  <c r="W285"/>
  <c r="W283"/>
  <c r="W281"/>
  <c r="W279"/>
  <c r="W277"/>
  <c r="W275"/>
  <c r="W273"/>
  <c r="W271"/>
  <c r="W269"/>
  <c r="W267"/>
  <c r="W265"/>
  <c r="W263"/>
  <c r="W261"/>
  <c r="W259"/>
  <c r="W257"/>
  <c r="W255"/>
  <c r="W256" l="1"/>
  <c r="W258"/>
  <c r="W260"/>
  <c r="W262"/>
  <c r="W264"/>
  <c r="W266"/>
  <c r="W268"/>
  <c r="W270"/>
  <c r="W272"/>
  <c r="W274"/>
  <c r="W276"/>
  <c r="W278"/>
  <c r="W280"/>
  <c r="W282"/>
  <c r="W284"/>
  <c r="W286"/>
  <c r="W288"/>
  <c r="W290"/>
  <c r="W292"/>
  <c r="W294"/>
  <c r="W296"/>
  <c r="W298"/>
  <c r="W300"/>
  <c r="W310" l="1"/>
  <c r="W244"/>
  <c r="W245"/>
  <c r="W249"/>
  <c r="W250"/>
  <c r="W253"/>
  <c r="W305"/>
  <c r="W252"/>
  <c r="W251"/>
  <c r="W237"/>
  <c r="W238"/>
  <c r="W240"/>
  <c r="W239"/>
  <c r="W328"/>
  <c r="W327"/>
  <c r="W325"/>
  <c r="W326"/>
  <c r="W319"/>
  <c r="W320"/>
  <c r="W304"/>
  <c r="W306"/>
  <c r="W323"/>
  <c r="W324"/>
  <c r="W248"/>
  <c r="W247"/>
  <c r="W241"/>
  <c r="W246"/>
  <c r="W242"/>
  <c r="W243"/>
  <c r="W309" l="1"/>
  <c r="W335"/>
  <c r="W329"/>
  <c r="W331"/>
  <c r="W330"/>
  <c r="L30" i="5" l="1"/>
  <c r="W448" i="1" l="1"/>
  <c r="W375"/>
  <c r="W373"/>
  <c r="W371"/>
  <c r="W369"/>
  <c r="W367"/>
  <c r="W349"/>
  <c r="W332"/>
  <c r="W336"/>
  <c r="W254" l="1"/>
  <c r="W312"/>
  <c r="W311"/>
  <c r="W317"/>
  <c r="W318"/>
  <c r="W314"/>
  <c r="W313"/>
  <c r="W316"/>
  <c r="W315"/>
  <c r="W303"/>
  <c r="W302"/>
  <c r="W322"/>
  <c r="W321"/>
  <c r="W308"/>
  <c r="W307"/>
  <c r="W365"/>
  <c r="W333"/>
  <c r="W366"/>
  <c r="W368"/>
  <c r="W370"/>
  <c r="W372"/>
  <c r="W374"/>
  <c r="W376"/>
  <c r="W194"/>
  <c r="W195"/>
  <c r="W196"/>
  <c r="W197"/>
  <c r="W198"/>
  <c r="W199"/>
  <c r="W200"/>
  <c r="W201"/>
  <c r="W202"/>
  <c r="W203"/>
  <c r="W204"/>
  <c r="W205"/>
  <c r="W206"/>
  <c r="W207"/>
  <c r="W208"/>
  <c r="W209"/>
  <c r="W210"/>
  <c r="W211"/>
  <c r="W212"/>
  <c r="W213"/>
  <c r="W214"/>
  <c r="W215"/>
  <c r="W216"/>
  <c r="W217"/>
  <c r="W218"/>
  <c r="W219"/>
  <c r="W220"/>
  <c r="W221"/>
  <c r="W222"/>
  <c r="W223"/>
  <c r="W224"/>
  <c r="W225"/>
  <c r="W226"/>
  <c r="W227"/>
  <c r="W228"/>
  <c r="W229"/>
  <c r="W230"/>
  <c r="W231"/>
  <c r="W232"/>
  <c r="W233"/>
  <c r="W234"/>
  <c r="W235"/>
  <c r="W236"/>
  <c r="K30" i="5" l="1"/>
  <c r="W172" i="1" l="1"/>
  <c r="W170"/>
  <c r="W168"/>
  <c r="W166"/>
  <c r="W187"/>
  <c r="W186"/>
  <c r="W185"/>
  <c r="W183"/>
  <c r="W449"/>
  <c r="W129"/>
  <c r="W128"/>
  <c r="W127"/>
  <c r="W126"/>
  <c r="W125"/>
  <c r="W123"/>
  <c r="W122"/>
  <c r="W131" l="1"/>
  <c r="W132"/>
  <c r="W133"/>
  <c r="W134"/>
  <c r="W137"/>
  <c r="W173"/>
  <c r="W174"/>
  <c r="W175"/>
  <c r="W176"/>
  <c r="W177"/>
  <c r="W178"/>
  <c r="W179"/>
  <c r="W180"/>
  <c r="W181"/>
  <c r="W182"/>
  <c r="W193"/>
  <c r="W450"/>
  <c r="W165"/>
  <c r="W167"/>
  <c r="W169"/>
  <c r="W171"/>
  <c r="W184"/>
  <c r="W142"/>
  <c r="W143"/>
  <c r="W144"/>
  <c r="W145"/>
  <c r="W151"/>
  <c r="W152"/>
  <c r="W79"/>
  <c r="W188"/>
  <c r="W189"/>
  <c r="W190"/>
  <c r="W191"/>
  <c r="W192"/>
  <c r="W157"/>
  <c r="W156"/>
  <c r="W155"/>
  <c r="W154"/>
  <c r="W153"/>
  <c r="W150"/>
  <c r="W149"/>
  <c r="W148"/>
  <c r="W147"/>
  <c r="W146"/>
  <c r="W141"/>
  <c r="W140"/>
  <c r="W139"/>
  <c r="W138"/>
  <c r="W136"/>
  <c r="W135"/>
  <c r="W130"/>
  <c r="W124"/>
  <c r="W121"/>
  <c r="W81"/>
  <c r="W82"/>
  <c r="W83"/>
  <c r="W84"/>
  <c r="W85"/>
  <c r="W86"/>
  <c r="W87"/>
  <c r="W89"/>
  <c r="W90"/>
  <c r="W91"/>
  <c r="W92"/>
  <c r="W93"/>
  <c r="W94"/>
  <c r="W95"/>
  <c r="W96"/>
  <c r="W97"/>
  <c r="W98"/>
  <c r="W99"/>
  <c r="W100"/>
  <c r="W101"/>
  <c r="W102"/>
  <c r="W103"/>
  <c r="W104"/>
  <c r="W105"/>
  <c r="W106"/>
  <c r="W107"/>
  <c r="W108"/>
  <c r="W109"/>
  <c r="W110"/>
  <c r="W111"/>
  <c r="W112"/>
  <c r="W113"/>
  <c r="W114"/>
  <c r="W115"/>
  <c r="W116"/>
  <c r="W117"/>
  <c r="W118"/>
  <c r="W119"/>
  <c r="W120"/>
  <c r="W88"/>
  <c r="J30" i="5" l="1"/>
  <c r="I30" l="1"/>
  <c r="H30" l="1"/>
  <c r="E30" l="1"/>
  <c r="D29" l="1"/>
  <c r="P29" s="1"/>
  <c r="D10" l="1"/>
  <c r="D13" l="1"/>
  <c r="D15"/>
  <c r="E10"/>
  <c r="F10" s="1"/>
  <c r="T5" i="1"/>
  <c r="T1263" s="1"/>
  <c r="Y34"/>
  <c r="Y35" s="1"/>
  <c r="X28" l="1"/>
  <c r="W31"/>
  <c r="F13" i="5"/>
  <c r="F15"/>
  <c r="E13"/>
  <c r="E15"/>
  <c r="W41" i="1" l="1"/>
  <c r="W73"/>
  <c r="W72"/>
  <c r="W71"/>
  <c r="W69"/>
  <c r="W35"/>
  <c r="W34"/>
  <c r="W33"/>
  <c r="W32"/>
  <c r="W64"/>
  <c r="W30"/>
  <c r="W29"/>
  <c r="W25"/>
  <c r="W24"/>
  <c r="W23"/>
  <c r="W22"/>
  <c r="W21"/>
  <c r="Y39"/>
  <c r="W10"/>
  <c r="W9"/>
  <c r="W8"/>
  <c r="W80"/>
  <c r="W78"/>
  <c r="W77"/>
  <c r="W74"/>
  <c r="W70"/>
  <c r="W66"/>
  <c r="W65"/>
  <c r="W62"/>
  <c r="W57"/>
  <c r="W56"/>
  <c r="W55"/>
  <c r="W54"/>
  <c r="W68" l="1"/>
  <c r="W63"/>
  <c r="W67"/>
  <c r="W28"/>
  <c r="X56"/>
  <c r="W61"/>
  <c r="W53"/>
  <c r="W11"/>
  <c r="Y41"/>
  <c r="AA41" s="1"/>
  <c r="W39"/>
  <c r="W40"/>
  <c r="W38"/>
  <c r="W37"/>
  <c r="W36"/>
  <c r="W43"/>
  <c r="W44"/>
  <c r="W17"/>
  <c r="W46"/>
  <c r="W47"/>
  <c r="W18"/>
  <c r="W48"/>
  <c r="W19"/>
  <c r="W49"/>
  <c r="W20"/>
  <c r="W50"/>
  <c r="W76"/>
  <c r="W42" l="1"/>
  <c r="W75"/>
  <c r="W26"/>
  <c r="W58"/>
  <c r="I91" l="1"/>
  <c r="W60" l="1"/>
  <c r="W12" l="1"/>
  <c r="W27"/>
  <c r="W59"/>
  <c r="W6"/>
  <c r="W13"/>
  <c r="W7"/>
  <c r="W14"/>
  <c r="W5"/>
  <c r="W16" l="1"/>
  <c r="W158"/>
  <c r="W159"/>
  <c r="W160"/>
  <c r="W52" l="1"/>
  <c r="W15"/>
  <c r="W51"/>
  <c r="B17" i="5" l="1"/>
  <c r="C4"/>
  <c r="V1" i="9" l="1"/>
  <c r="V16" s="1"/>
  <c r="V3" i="7"/>
  <c r="V7" s="1"/>
  <c r="V3" i="6"/>
  <c r="V3" i="1"/>
  <c r="V1251" s="1"/>
  <c r="W161"/>
  <c r="W162"/>
  <c r="W163"/>
  <c r="W164"/>
  <c r="C20" i="5"/>
  <c r="V1240" i="1" l="1"/>
  <c r="V1239"/>
  <c r="V1238"/>
  <c r="V1237"/>
  <c r="V1236"/>
  <c r="V1235"/>
  <c r="V1234"/>
  <c r="V1250"/>
  <c r="V1249"/>
  <c r="V1248"/>
  <c r="V1247"/>
  <c r="V1246"/>
  <c r="V1245"/>
  <c r="V1244"/>
  <c r="V1243"/>
  <c r="V1242"/>
  <c r="V1241"/>
  <c r="V1233"/>
  <c r="V1257"/>
  <c r="V1256"/>
  <c r="V1255"/>
  <c r="V1254"/>
  <c r="V1253"/>
  <c r="V1252"/>
  <c r="V1232"/>
  <c r="V1231"/>
  <c r="V1230"/>
  <c r="V361" i="6"/>
  <c r="V360"/>
  <c r="V359"/>
  <c r="V358"/>
  <c r="V357"/>
  <c r="V356"/>
  <c r="V355"/>
  <c r="V354"/>
  <c r="V353"/>
  <c r="V352"/>
  <c r="V399"/>
  <c r="V398"/>
  <c r="V397"/>
  <c r="V396"/>
  <c r="V395"/>
  <c r="V394"/>
  <c r="V393"/>
  <c r="V392"/>
  <c r="V391"/>
  <c r="V390"/>
  <c r="V389"/>
  <c r="V388"/>
  <c r="V387"/>
  <c r="V386"/>
  <c r="V385"/>
  <c r="V384"/>
  <c r="V383"/>
  <c r="V382"/>
  <c r="V381"/>
  <c r="V380"/>
  <c r="V379"/>
  <c r="V378"/>
  <c r="V377"/>
  <c r="V376"/>
  <c r="V375"/>
  <c r="V374"/>
  <c r="V373"/>
  <c r="V372"/>
  <c r="V371"/>
  <c r="V370"/>
  <c r="V369"/>
  <c r="V368"/>
  <c r="V367"/>
  <c r="V366"/>
  <c r="V365"/>
  <c r="V364"/>
  <c r="V363"/>
  <c r="V362"/>
  <c r="V1211" i="1"/>
  <c r="V1210"/>
  <c r="V1207"/>
  <c r="V1212"/>
  <c r="V1209"/>
  <c r="V1208"/>
  <c r="V1213"/>
  <c r="V1215"/>
  <c r="V1214"/>
  <c r="V1219"/>
  <c r="V1218"/>
  <c r="V1205"/>
  <c r="V1221"/>
  <c r="V1220"/>
  <c r="V1217"/>
  <c r="V1216"/>
  <c r="V1206"/>
  <c r="V1222"/>
  <c r="V1223"/>
  <c r="V1224"/>
  <c r="V1225"/>
  <c r="V1226"/>
  <c r="V1227"/>
  <c r="V1262"/>
  <c r="V1228"/>
  <c r="V1229"/>
  <c r="V1258"/>
  <c r="V1259"/>
  <c r="V1260"/>
  <c r="V1261"/>
  <c r="V1202"/>
  <c r="V1201"/>
  <c r="V1200"/>
  <c r="V1199"/>
  <c r="V1198"/>
  <c r="V1197"/>
  <c r="V1196"/>
  <c r="V1195"/>
  <c r="V1194"/>
  <c r="V1193"/>
  <c r="V1192"/>
  <c r="V1191"/>
  <c r="V1190"/>
  <c r="V1189"/>
  <c r="V1188"/>
  <c r="V1187"/>
  <c r="V1186"/>
  <c r="V1185"/>
  <c r="V1184"/>
  <c r="V1183"/>
  <c r="V1182"/>
  <c r="V1181"/>
  <c r="V1180"/>
  <c r="V1179"/>
  <c r="V1178"/>
  <c r="V1177"/>
  <c r="V1176"/>
  <c r="V1175"/>
  <c r="V1174"/>
  <c r="V1173"/>
  <c r="V1172"/>
  <c r="V1171"/>
  <c r="V1170"/>
  <c r="V1169"/>
  <c r="V1168"/>
  <c r="V1167"/>
  <c r="V1166"/>
  <c r="V1165"/>
  <c r="V1164"/>
  <c r="V1163"/>
  <c r="V1162"/>
  <c r="V1161"/>
  <c r="V1160"/>
  <c r="V1159"/>
  <c r="V1158"/>
  <c r="V1157"/>
  <c r="V1156"/>
  <c r="V1155"/>
  <c r="V1154"/>
  <c r="V1153"/>
  <c r="V1152"/>
  <c r="V1151"/>
  <c r="V1150"/>
  <c r="V1149"/>
  <c r="V1148"/>
  <c r="V1147"/>
  <c r="V1146"/>
  <c r="V1145"/>
  <c r="V404" i="6"/>
  <c r="V403"/>
  <c r="V402"/>
  <c r="V401"/>
  <c r="V400"/>
  <c r="V351"/>
  <c r="V350"/>
  <c r="V407"/>
  <c r="V406"/>
  <c r="V405"/>
  <c r="V348"/>
  <c r="V347"/>
  <c r="V346"/>
  <c r="V345"/>
  <c r="V344"/>
  <c r="V343"/>
  <c r="V342"/>
  <c r="V341"/>
  <c r="V340"/>
  <c r="V339"/>
  <c r="V338"/>
  <c r="V337"/>
  <c r="V335"/>
  <c r="V333"/>
  <c r="V331"/>
  <c r="V329"/>
  <c r="V327"/>
  <c r="V326"/>
  <c r="V324"/>
  <c r="V322"/>
  <c r="V321"/>
  <c r="V319"/>
  <c r="V317"/>
  <c r="V315"/>
  <c r="V313"/>
  <c r="V311"/>
  <c r="V309"/>
  <c r="V307"/>
  <c r="V305"/>
  <c r="V303"/>
  <c r="V301"/>
  <c r="V299"/>
  <c r="V297"/>
  <c r="V295"/>
  <c r="V293"/>
  <c r="V336"/>
  <c r="V334"/>
  <c r="V332"/>
  <c r="V330"/>
  <c r="V328"/>
  <c r="V325"/>
  <c r="V323"/>
  <c r="V320"/>
  <c r="V318"/>
  <c r="V316"/>
  <c r="V314"/>
  <c r="V312"/>
  <c r="V310"/>
  <c r="V308"/>
  <c r="V306"/>
  <c r="V304"/>
  <c r="V302"/>
  <c r="V300"/>
  <c r="V298"/>
  <c r="V296"/>
  <c r="V294"/>
  <c r="V292"/>
  <c r="V284"/>
  <c r="V289"/>
  <c r="V287"/>
  <c r="V280"/>
  <c r="V286"/>
  <c r="V271"/>
  <c r="V273"/>
  <c r="V276"/>
  <c r="V263"/>
  <c r="V261"/>
  <c r="V269"/>
  <c r="V277"/>
  <c r="V267"/>
  <c r="V265"/>
  <c r="V258"/>
  <c r="V278"/>
  <c r="V245"/>
  <c r="V249"/>
  <c r="V253"/>
  <c r="V254"/>
  <c r="V250"/>
  <c r="V246"/>
  <c r="V256"/>
  <c r="V239"/>
  <c r="V242"/>
  <c r="V238"/>
  <c r="V283"/>
  <c r="V288"/>
  <c r="V282"/>
  <c r="V281"/>
  <c r="V285"/>
  <c r="V270"/>
  <c r="V272"/>
  <c r="V275"/>
  <c r="V262"/>
  <c r="V260"/>
  <c r="V268"/>
  <c r="V274"/>
  <c r="V266"/>
  <c r="V264"/>
  <c r="V259"/>
  <c r="V279"/>
  <c r="V244"/>
  <c r="V248"/>
  <c r="V252"/>
  <c r="V255"/>
  <c r="V251"/>
  <c r="V247"/>
  <c r="V257"/>
  <c r="V240"/>
  <c r="V243"/>
  <c r="V241"/>
  <c r="V237"/>
  <c r="V1036" i="1"/>
  <c r="V1035"/>
  <c r="V1034"/>
  <c r="V1033"/>
  <c r="V1032"/>
  <c r="V1031"/>
  <c r="V1030"/>
  <c r="V1029"/>
  <c r="V1048"/>
  <c r="V1047"/>
  <c r="V1046"/>
  <c r="V1045"/>
  <c r="V1044"/>
  <c r="V1043"/>
  <c r="V1042"/>
  <c r="V1041"/>
  <c r="V1040"/>
  <c r="V1039"/>
  <c r="V1038"/>
  <c r="V1037"/>
  <c r="V1068"/>
  <c r="V1067"/>
  <c r="V1066"/>
  <c r="V1065"/>
  <c r="V1064"/>
  <c r="V1063"/>
  <c r="V1062"/>
  <c r="V1061"/>
  <c r="V1060"/>
  <c r="V1059"/>
  <c r="V1057"/>
  <c r="V1056"/>
  <c r="V1055"/>
  <c r="V1054"/>
  <c r="V1053"/>
  <c r="V1052"/>
  <c r="V1051"/>
  <c r="V1050"/>
  <c r="V1049"/>
  <c r="V1110"/>
  <c r="V1109"/>
  <c r="V1108"/>
  <c r="V1107"/>
  <c r="V1106"/>
  <c r="V1105"/>
  <c r="V1104"/>
  <c r="V1103"/>
  <c r="V1102"/>
  <c r="V1101"/>
  <c r="V1100"/>
  <c r="V1099"/>
  <c r="V1098"/>
  <c r="V1097"/>
  <c r="V1096"/>
  <c r="V1095"/>
  <c r="V1094"/>
  <c r="V1093"/>
  <c r="V1092"/>
  <c r="V1091"/>
  <c r="V1090"/>
  <c r="V1089"/>
  <c r="V1088"/>
  <c r="V1087"/>
  <c r="V1086"/>
  <c r="V1085"/>
  <c r="V1084"/>
  <c r="V1083"/>
  <c r="V1081"/>
  <c r="V1080"/>
  <c r="V1079"/>
  <c r="V1078"/>
  <c r="V1077"/>
  <c r="V1076"/>
  <c r="V1075"/>
  <c r="V1074"/>
  <c r="V1073"/>
  <c r="V1072"/>
  <c r="V1071"/>
  <c r="V1070"/>
  <c r="V1069"/>
  <c r="V1138"/>
  <c r="V1137"/>
  <c r="V1136"/>
  <c r="V1135"/>
  <c r="V1134"/>
  <c r="V1133"/>
  <c r="V1132"/>
  <c r="V1131"/>
  <c r="V1130"/>
  <c r="V1129"/>
  <c r="V1128"/>
  <c r="V1127"/>
  <c r="V1126"/>
  <c r="V1125"/>
  <c r="V1124"/>
  <c r="V1123"/>
  <c r="V1122"/>
  <c r="V1121"/>
  <c r="V1120"/>
  <c r="V1119"/>
  <c r="V1118"/>
  <c r="V1117"/>
  <c r="V1116"/>
  <c r="V1115"/>
  <c r="V1114"/>
  <c r="V1113"/>
  <c r="V1112"/>
  <c r="V1111"/>
  <c r="V216" i="6"/>
  <c r="V208"/>
  <c r="V215"/>
  <c r="V213"/>
  <c r="V211"/>
  <c r="V209"/>
  <c r="V207"/>
  <c r="V205"/>
  <c r="V214"/>
  <c r="V212"/>
  <c r="V210"/>
  <c r="V206"/>
  <c r="V228"/>
  <c r="V222"/>
  <c r="V220"/>
  <c r="V218"/>
  <c r="V204"/>
  <c r="V231"/>
  <c r="V229"/>
  <c r="V227"/>
  <c r="V225"/>
  <c r="V223"/>
  <c r="V221"/>
  <c r="V219"/>
  <c r="V217"/>
  <c r="V203"/>
  <c r="V230"/>
  <c r="V226"/>
  <c r="V224"/>
  <c r="V1142" i="1"/>
  <c r="V1141"/>
  <c r="V1139"/>
  <c r="V1027"/>
  <c r="V1026"/>
  <c r="V1025"/>
  <c r="V1024"/>
  <c r="V1023"/>
  <c r="V1022"/>
  <c r="V1021"/>
  <c r="V1020"/>
  <c r="V1019"/>
  <c r="V1018"/>
  <c r="V1017"/>
  <c r="V1016"/>
  <c r="V1015"/>
  <c r="V1014"/>
  <c r="V1204"/>
  <c r="V1203"/>
  <c r="V1144"/>
  <c r="V1143"/>
  <c r="V1013"/>
  <c r="V1012"/>
  <c r="V1011"/>
  <c r="V1010"/>
  <c r="V1009"/>
  <c r="V1008"/>
  <c r="V1007"/>
  <c r="V1006"/>
  <c r="V1005"/>
  <c r="V1004"/>
  <c r="V1003"/>
  <c r="V1002"/>
  <c r="V1001"/>
  <c r="V1000"/>
  <c r="V999"/>
  <c r="V998"/>
  <c r="V997"/>
  <c r="V996"/>
  <c r="V995"/>
  <c r="V994"/>
  <c r="V993"/>
  <c r="V992"/>
  <c r="V991"/>
  <c r="V990"/>
  <c r="V989"/>
  <c r="V988"/>
  <c r="V987"/>
  <c r="V986"/>
  <c r="V985"/>
  <c r="V984"/>
  <c r="V983"/>
  <c r="V982"/>
  <c r="V981"/>
  <c r="V980"/>
  <c r="V979"/>
  <c r="V978"/>
  <c r="V977"/>
  <c r="V976"/>
  <c r="V975"/>
  <c r="V974"/>
  <c r="V973"/>
  <c r="V972"/>
  <c r="V971"/>
  <c r="V970"/>
  <c r="V969"/>
  <c r="V968"/>
  <c r="V967"/>
  <c r="V966"/>
  <c r="V965"/>
  <c r="V964"/>
  <c r="V963"/>
  <c r="V962"/>
  <c r="V961"/>
  <c r="V960"/>
  <c r="V959"/>
  <c r="V816"/>
  <c r="V191" i="6"/>
  <c r="V185"/>
  <c r="V181"/>
  <c r="V190"/>
  <c r="V188"/>
  <c r="V186"/>
  <c r="V184"/>
  <c r="V182"/>
  <c r="V180"/>
  <c r="V189"/>
  <c r="V187"/>
  <c r="V183"/>
  <c r="V200"/>
  <c r="V194"/>
  <c r="V192"/>
  <c r="V199"/>
  <c r="V197"/>
  <c r="V195"/>
  <c r="V193"/>
  <c r="V179"/>
  <c r="V198"/>
  <c r="V196"/>
  <c r="V161"/>
  <c r="V159"/>
  <c r="V157"/>
  <c r="V155"/>
  <c r="V153"/>
  <c r="V162"/>
  <c r="V160"/>
  <c r="V158"/>
  <c r="V156"/>
  <c r="V154"/>
  <c r="V152"/>
  <c r="V173"/>
  <c r="V171"/>
  <c r="V169"/>
  <c r="V167"/>
  <c r="V165"/>
  <c r="V172"/>
  <c r="V170"/>
  <c r="V168"/>
  <c r="V166"/>
  <c r="V164"/>
  <c r="V151"/>
  <c r="V163"/>
  <c r="V233"/>
  <c r="V202"/>
  <c r="V178"/>
  <c r="V175"/>
  <c r="V150"/>
  <c r="V144"/>
  <c r="V142"/>
  <c r="V136"/>
  <c r="V134"/>
  <c r="V201"/>
  <c r="V176"/>
  <c r="V174"/>
  <c r="V149"/>
  <c r="V147"/>
  <c r="V145"/>
  <c r="V143"/>
  <c r="V141"/>
  <c r="V139"/>
  <c r="V137"/>
  <c r="V135"/>
  <c r="V133"/>
  <c r="V131"/>
  <c r="V148"/>
  <c r="V146"/>
  <c r="V140"/>
  <c r="V138"/>
  <c r="V132"/>
  <c r="V956" i="1"/>
  <c r="V955"/>
  <c r="V954"/>
  <c r="V953"/>
  <c r="V952"/>
  <c r="V951"/>
  <c r="V950"/>
  <c r="V949"/>
  <c r="V948"/>
  <c r="V947"/>
  <c r="V946"/>
  <c r="V945"/>
  <c r="V944"/>
  <c r="V943"/>
  <c r="V942"/>
  <c r="V941"/>
  <c r="V940"/>
  <c r="V939"/>
  <c r="V938"/>
  <c r="V937"/>
  <c r="V936"/>
  <c r="V935"/>
  <c r="V934"/>
  <c r="V933"/>
  <c r="V932"/>
  <c r="V931"/>
  <c r="V930"/>
  <c r="V929"/>
  <c r="V928"/>
  <c r="V927"/>
  <c r="V926"/>
  <c r="V925"/>
  <c r="V924"/>
  <c r="V923"/>
  <c r="V922"/>
  <c r="V921"/>
  <c r="V920"/>
  <c r="V919"/>
  <c r="V918"/>
  <c r="V917"/>
  <c r="V916"/>
  <c r="V915"/>
  <c r="V914"/>
  <c r="V913"/>
  <c r="V912"/>
  <c r="V911"/>
  <c r="V910"/>
  <c r="V909"/>
  <c r="V908"/>
  <c r="V907"/>
  <c r="V906"/>
  <c r="V905"/>
  <c r="V904"/>
  <c r="V903"/>
  <c r="V902"/>
  <c r="V901"/>
  <c r="V900"/>
  <c r="V899"/>
  <c r="V898"/>
  <c r="V897"/>
  <c r="V896"/>
  <c r="V895"/>
  <c r="V894"/>
  <c r="V893"/>
  <c r="V892"/>
  <c r="V891"/>
  <c r="V890"/>
  <c r="V889"/>
  <c r="V958"/>
  <c r="V888"/>
  <c r="V887"/>
  <c r="V886"/>
  <c r="V885"/>
  <c r="V884"/>
  <c r="V883"/>
  <c r="V882"/>
  <c r="V881"/>
  <c r="V880"/>
  <c r="V879"/>
  <c r="V878"/>
  <c r="V877"/>
  <c r="V876"/>
  <c r="V874"/>
  <c r="V873"/>
  <c r="V872"/>
  <c r="V871"/>
  <c r="V870"/>
  <c r="V869"/>
  <c r="V868"/>
  <c r="V867"/>
  <c r="V866"/>
  <c r="V865"/>
  <c r="V864"/>
  <c r="V863"/>
  <c r="V804"/>
  <c r="V848"/>
  <c r="V847"/>
  <c r="V846"/>
  <c r="V845"/>
  <c r="V844"/>
  <c r="V843"/>
  <c r="V842"/>
  <c r="V841"/>
  <c r="V840"/>
  <c r="V839"/>
  <c r="V838"/>
  <c r="V837"/>
  <c r="V836"/>
  <c r="V835"/>
  <c r="V834"/>
  <c r="V833"/>
  <c r="V832"/>
  <c r="V831"/>
  <c r="V830"/>
  <c r="V829"/>
  <c r="V828"/>
  <c r="V827"/>
  <c r="V826"/>
  <c r="V825"/>
  <c r="V824"/>
  <c r="V823"/>
  <c r="V822"/>
  <c r="V821"/>
  <c r="V121" i="6"/>
  <c r="V119"/>
  <c r="V117"/>
  <c r="V115"/>
  <c r="V113"/>
  <c r="V120"/>
  <c r="V118"/>
  <c r="V116"/>
  <c r="V114"/>
  <c r="V112"/>
  <c r="V110"/>
  <c r="V111"/>
  <c r="V109"/>
  <c r="V234"/>
  <c r="V123"/>
  <c r="V130"/>
  <c r="V128"/>
  <c r="V126"/>
  <c r="V124"/>
  <c r="V122"/>
  <c r="V129"/>
  <c r="V127"/>
  <c r="V125"/>
  <c r="V108"/>
  <c r="V856" i="1"/>
  <c r="V855"/>
  <c r="V854"/>
  <c r="V853"/>
  <c r="V852"/>
  <c r="V851"/>
  <c r="V850"/>
  <c r="V849"/>
  <c r="V820"/>
  <c r="V819"/>
  <c r="V818"/>
  <c r="V817"/>
  <c r="V815"/>
  <c r="V814"/>
  <c r="V813"/>
  <c r="V812"/>
  <c r="V811"/>
  <c r="V810"/>
  <c r="V809"/>
  <c r="V808"/>
  <c r="V807"/>
  <c r="V806"/>
  <c r="V805"/>
  <c r="V803"/>
  <c r="V802"/>
  <c r="V801"/>
  <c r="V800"/>
  <c r="V799"/>
  <c r="V798"/>
  <c r="V797"/>
  <c r="V796"/>
  <c r="V74" i="6"/>
  <c r="V236"/>
  <c r="V235"/>
  <c r="V107"/>
  <c r="V106"/>
  <c r="V104"/>
  <c r="V103"/>
  <c r="V102"/>
  <c r="V100"/>
  <c r="V99"/>
  <c r="V291"/>
  <c r="V290"/>
  <c r="V98"/>
  <c r="V97"/>
  <c r="V96"/>
  <c r="V95"/>
  <c r="V94"/>
  <c r="V93"/>
  <c r="V92"/>
  <c r="V91"/>
  <c r="V695" i="1"/>
  <c r="V785"/>
  <c r="V784"/>
  <c r="V783"/>
  <c r="V782"/>
  <c r="V781"/>
  <c r="V780"/>
  <c r="V779"/>
  <c r="V778"/>
  <c r="V777"/>
  <c r="V776"/>
  <c r="V775"/>
  <c r="V774"/>
  <c r="V773"/>
  <c r="V772"/>
  <c r="V771"/>
  <c r="V770"/>
  <c r="V769"/>
  <c r="V768"/>
  <c r="V767"/>
  <c r="V766"/>
  <c r="V765"/>
  <c r="V764"/>
  <c r="V763"/>
  <c r="V762"/>
  <c r="V761"/>
  <c r="V760"/>
  <c r="V759"/>
  <c r="V758"/>
  <c r="V757"/>
  <c r="V756"/>
  <c r="V755"/>
  <c r="V754"/>
  <c r="V753"/>
  <c r="V752"/>
  <c r="V751"/>
  <c r="V750"/>
  <c r="V749"/>
  <c r="V748"/>
  <c r="V747"/>
  <c r="V746"/>
  <c r="V745"/>
  <c r="V744"/>
  <c r="V743"/>
  <c r="V742"/>
  <c r="V741"/>
  <c r="V740"/>
  <c r="V739"/>
  <c r="V738"/>
  <c r="V737"/>
  <c r="V736"/>
  <c r="V735"/>
  <c r="V734"/>
  <c r="V733"/>
  <c r="V732"/>
  <c r="V731"/>
  <c r="V730"/>
  <c r="V729"/>
  <c r="V728"/>
  <c r="V727"/>
  <c r="V726"/>
  <c r="V725"/>
  <c r="V724"/>
  <c r="V723"/>
  <c r="V722"/>
  <c r="V721"/>
  <c r="V720"/>
  <c r="V719"/>
  <c r="V718"/>
  <c r="V717"/>
  <c r="V716"/>
  <c r="V715"/>
  <c r="V714"/>
  <c r="V713"/>
  <c r="V712"/>
  <c r="V711"/>
  <c r="V710"/>
  <c r="V709"/>
  <c r="V555"/>
  <c r="V862"/>
  <c r="V860"/>
  <c r="V858"/>
  <c r="V793"/>
  <c r="V791"/>
  <c r="V789"/>
  <c r="V787"/>
  <c r="V707"/>
  <c r="V705"/>
  <c r="V703"/>
  <c r="V701"/>
  <c r="V699"/>
  <c r="V697"/>
  <c r="V694"/>
  <c r="V692"/>
  <c r="V690"/>
  <c r="V688"/>
  <c r="V686"/>
  <c r="V684"/>
  <c r="V682"/>
  <c r="V680"/>
  <c r="V678"/>
  <c r="V676"/>
  <c r="V674"/>
  <c r="V672"/>
  <c r="V670"/>
  <c r="V668"/>
  <c r="V666"/>
  <c r="V664"/>
  <c r="V662"/>
  <c r="V660"/>
  <c r="V658"/>
  <c r="V656"/>
  <c r="V654"/>
  <c r="V652"/>
  <c r="V650"/>
  <c r="V648"/>
  <c r="V646"/>
  <c r="V644"/>
  <c r="V642"/>
  <c r="V639"/>
  <c r="V637"/>
  <c r="V635"/>
  <c r="V633"/>
  <c r="V631"/>
  <c r="V629"/>
  <c r="V627"/>
  <c r="V625"/>
  <c r="V623"/>
  <c r="V621"/>
  <c r="V619"/>
  <c r="V617"/>
  <c r="V615"/>
  <c r="V613"/>
  <c r="V611"/>
  <c r="V609"/>
  <c r="V607"/>
  <c r="V605"/>
  <c r="V601"/>
  <c r="V599"/>
  <c r="V597"/>
  <c r="V595"/>
  <c r="V593"/>
  <c r="V591"/>
  <c r="V589"/>
  <c r="V587"/>
  <c r="V585"/>
  <c r="V583"/>
  <c r="V581"/>
  <c r="V579"/>
  <c r="V577"/>
  <c r="V575"/>
  <c r="V573"/>
  <c r="V571"/>
  <c r="V569"/>
  <c r="V567"/>
  <c r="V565"/>
  <c r="V563"/>
  <c r="V561"/>
  <c r="V559"/>
  <c r="V557"/>
  <c r="V553"/>
  <c r="V551"/>
  <c r="V549"/>
  <c r="V547"/>
  <c r="V545"/>
  <c r="V543"/>
  <c r="V541"/>
  <c r="V539"/>
  <c r="V537"/>
  <c r="V535"/>
  <c r="V533"/>
  <c r="V531"/>
  <c r="V529"/>
  <c r="V527"/>
  <c r="V525"/>
  <c r="V523"/>
  <c r="V521"/>
  <c r="V519"/>
  <c r="V517"/>
  <c r="V515"/>
  <c r="V513"/>
  <c r="V511"/>
  <c r="V509"/>
  <c r="V507"/>
  <c r="V505"/>
  <c r="V503"/>
  <c r="V501"/>
  <c r="V499"/>
  <c r="V497"/>
  <c r="V861"/>
  <c r="V859"/>
  <c r="V857"/>
  <c r="V794"/>
  <c r="V792"/>
  <c r="V790"/>
  <c r="V788"/>
  <c r="V708"/>
  <c r="V706"/>
  <c r="V704"/>
  <c r="V702"/>
  <c r="V700"/>
  <c r="V698"/>
  <c r="V696"/>
  <c r="V693"/>
  <c r="V691"/>
  <c r="V689"/>
  <c r="V687"/>
  <c r="V685"/>
  <c r="V683"/>
  <c r="V681"/>
  <c r="V679"/>
  <c r="V677"/>
  <c r="V675"/>
  <c r="V673"/>
  <c r="V671"/>
  <c r="V669"/>
  <c r="V667"/>
  <c r="V665"/>
  <c r="V663"/>
  <c r="V661"/>
  <c r="V659"/>
  <c r="V657"/>
  <c r="V655"/>
  <c r="V653"/>
  <c r="V651"/>
  <c r="V649"/>
  <c r="V647"/>
  <c r="V645"/>
  <c r="V643"/>
  <c r="V640"/>
  <c r="V638"/>
  <c r="V636"/>
  <c r="V634"/>
  <c r="V632"/>
  <c r="V630"/>
  <c r="V628"/>
  <c r="V626"/>
  <c r="V622"/>
  <c r="V620"/>
  <c r="V618"/>
  <c r="V616"/>
  <c r="V614"/>
  <c r="V612"/>
  <c r="V610"/>
  <c r="V608"/>
  <c r="V606"/>
  <c r="V604"/>
  <c r="V602"/>
  <c r="V600"/>
  <c r="V598"/>
  <c r="V596"/>
  <c r="V594"/>
  <c r="V592"/>
  <c r="V590"/>
  <c r="V588"/>
  <c r="V586"/>
  <c r="V584"/>
  <c r="V582"/>
  <c r="V580"/>
  <c r="V578"/>
  <c r="V576"/>
  <c r="V572"/>
  <c r="V570"/>
  <c r="V568"/>
  <c r="V566"/>
  <c r="V564"/>
  <c r="V562"/>
  <c r="V560"/>
  <c r="V558"/>
  <c r="V556"/>
  <c r="V552"/>
  <c r="V550"/>
  <c r="V546"/>
  <c r="V544"/>
  <c r="V542"/>
  <c r="V540"/>
  <c r="V538"/>
  <c r="V536"/>
  <c r="V534"/>
  <c r="V530"/>
  <c r="V528"/>
  <c r="V526"/>
  <c r="V524"/>
  <c r="V522"/>
  <c r="V520"/>
  <c r="V518"/>
  <c r="V516"/>
  <c r="V514"/>
  <c r="V512"/>
  <c r="V510"/>
  <c r="V508"/>
  <c r="V506"/>
  <c r="V504"/>
  <c r="V502"/>
  <c r="V500"/>
  <c r="V498"/>
  <c r="V5" i="9"/>
  <c r="V9"/>
  <c r="V13"/>
  <c r="V17"/>
  <c r="V3"/>
  <c r="V7"/>
  <c r="V11"/>
  <c r="V15"/>
  <c r="V4"/>
  <c r="V6"/>
  <c r="V8"/>
  <c r="V10"/>
  <c r="V12"/>
  <c r="V14"/>
  <c r="V13" i="7"/>
  <c r="V17"/>
  <c r="V9"/>
  <c r="V6"/>
  <c r="V10"/>
  <c r="V15"/>
  <c r="V19"/>
  <c r="V5"/>
  <c r="V14"/>
  <c r="V11"/>
  <c r="V12"/>
  <c r="V16"/>
  <c r="V18"/>
  <c r="V20"/>
  <c r="V8"/>
  <c r="V494" i="1"/>
  <c r="V492"/>
  <c r="V490"/>
  <c r="V488"/>
  <c r="V486"/>
  <c r="V484"/>
  <c r="V482"/>
  <c r="V480"/>
  <c r="V478"/>
  <c r="V476"/>
  <c r="V474"/>
  <c r="V472"/>
  <c r="V470"/>
  <c r="V468"/>
  <c r="V466"/>
  <c r="V464"/>
  <c r="V462"/>
  <c r="V460"/>
  <c r="V458"/>
  <c r="V456"/>
  <c r="V454"/>
  <c r="V452"/>
  <c r="V495"/>
  <c r="V493"/>
  <c r="V491"/>
  <c r="V489"/>
  <c r="V487"/>
  <c r="V485"/>
  <c r="V483"/>
  <c r="V481"/>
  <c r="V479"/>
  <c r="V477"/>
  <c r="V475"/>
  <c r="V473"/>
  <c r="V471"/>
  <c r="V469"/>
  <c r="V467"/>
  <c r="V465"/>
  <c r="V463"/>
  <c r="V461"/>
  <c r="V459"/>
  <c r="V457"/>
  <c r="V455"/>
  <c r="V453"/>
  <c r="V451"/>
  <c r="V395"/>
  <c r="V393"/>
  <c r="V391"/>
  <c r="V389"/>
  <c r="V387"/>
  <c r="V385"/>
  <c r="V394"/>
  <c r="V392"/>
  <c r="V390"/>
  <c r="V388"/>
  <c r="V386"/>
  <c r="V415"/>
  <c r="V413"/>
  <c r="V411"/>
  <c r="V409"/>
  <c r="V407"/>
  <c r="V405"/>
  <c r="V403"/>
  <c r="V401"/>
  <c r="V399"/>
  <c r="V397"/>
  <c r="V384"/>
  <c r="V414"/>
  <c r="V412"/>
  <c r="V410"/>
  <c r="V408"/>
  <c r="V406"/>
  <c r="V404"/>
  <c r="V402"/>
  <c r="V400"/>
  <c r="V398"/>
  <c r="V396"/>
  <c r="V334"/>
  <c r="V444"/>
  <c r="V442"/>
  <c r="V440"/>
  <c r="V438"/>
  <c r="V436"/>
  <c r="V434"/>
  <c r="V432"/>
  <c r="V430"/>
  <c r="V428"/>
  <c r="V426"/>
  <c r="V424"/>
  <c r="V422"/>
  <c r="V418"/>
  <c r="V416"/>
  <c r="V443"/>
  <c r="V441"/>
  <c r="V439"/>
  <c r="V437"/>
  <c r="V435"/>
  <c r="V433"/>
  <c r="V431"/>
  <c r="V429"/>
  <c r="V427"/>
  <c r="V425"/>
  <c r="V423"/>
  <c r="V421"/>
  <c r="V419"/>
  <c r="V417"/>
  <c r="V420"/>
  <c r="V335"/>
  <c r="V364"/>
  <c r="V362"/>
  <c r="V360"/>
  <c r="V358"/>
  <c r="V356"/>
  <c r="V354"/>
  <c r="V352"/>
  <c r="V350"/>
  <c r="V347"/>
  <c r="V345"/>
  <c r="V343"/>
  <c r="V341"/>
  <c r="V363"/>
  <c r="V361"/>
  <c r="V359"/>
  <c r="V357"/>
  <c r="V355"/>
  <c r="V353"/>
  <c r="V351"/>
  <c r="V348"/>
  <c r="V346"/>
  <c r="V344"/>
  <c r="V342"/>
  <c r="V340"/>
  <c r="V338"/>
  <c r="V339"/>
  <c r="V337"/>
  <c r="V280"/>
  <c r="V278"/>
  <c r="V276"/>
  <c r="V274"/>
  <c r="V272"/>
  <c r="V270"/>
  <c r="V268"/>
  <c r="V266"/>
  <c r="V264"/>
  <c r="V262"/>
  <c r="V260"/>
  <c r="V258"/>
  <c r="V256"/>
  <c r="V254"/>
  <c r="V252"/>
  <c r="V250"/>
  <c r="V248"/>
  <c r="V246"/>
  <c r="V244"/>
  <c r="V242"/>
  <c r="V240"/>
  <c r="V238"/>
  <c r="V236"/>
  <c r="V234"/>
  <c r="V232"/>
  <c r="V230"/>
  <c r="V228"/>
  <c r="V226"/>
  <c r="V224"/>
  <c r="V222"/>
  <c r="V220"/>
  <c r="V218"/>
  <c r="V281"/>
  <c r="V279"/>
  <c r="V277"/>
  <c r="V275"/>
  <c r="V273"/>
  <c r="V271"/>
  <c r="V269"/>
  <c r="V267"/>
  <c r="V265"/>
  <c r="V263"/>
  <c r="V261"/>
  <c r="V259"/>
  <c r="V257"/>
  <c r="V255"/>
  <c r="V253"/>
  <c r="V251"/>
  <c r="V249"/>
  <c r="V247"/>
  <c r="V245"/>
  <c r="V243"/>
  <c r="V241"/>
  <c r="V239"/>
  <c r="V237"/>
  <c r="V235"/>
  <c r="V233"/>
  <c r="V231"/>
  <c r="V229"/>
  <c r="V227"/>
  <c r="V225"/>
  <c r="V223"/>
  <c r="V221"/>
  <c r="V219"/>
  <c r="V76" i="6"/>
  <c r="V72"/>
  <c r="V70"/>
  <c r="V75"/>
  <c r="V73"/>
  <c r="V71"/>
  <c r="V69"/>
  <c r="V67"/>
  <c r="V65"/>
  <c r="V63"/>
  <c r="V68"/>
  <c r="V66"/>
  <c r="V64"/>
  <c r="V88"/>
  <c r="V80"/>
  <c r="V78"/>
  <c r="V87"/>
  <c r="V85"/>
  <c r="V83"/>
  <c r="V81"/>
  <c r="V79"/>
  <c r="V77"/>
  <c r="V86"/>
  <c r="V84"/>
  <c r="V82"/>
  <c r="V62"/>
  <c r="V61"/>
  <c r="V60"/>
  <c r="V30"/>
  <c r="V42"/>
  <c r="V40"/>
  <c r="V38"/>
  <c r="V34"/>
  <c r="V32"/>
  <c r="V41"/>
  <c r="V39"/>
  <c r="V37"/>
  <c r="V35"/>
  <c r="V33"/>
  <c r="V31"/>
  <c r="V36"/>
  <c r="V54"/>
  <c r="V52"/>
  <c r="V50"/>
  <c r="V48"/>
  <c r="V46"/>
  <c r="V44"/>
  <c r="V53"/>
  <c r="V51"/>
  <c r="V49"/>
  <c r="V47"/>
  <c r="V45"/>
  <c r="V43"/>
  <c r="V10"/>
  <c r="V8"/>
  <c r="V20"/>
  <c r="V29"/>
  <c r="V16"/>
  <c r="V25"/>
  <c r="V56"/>
  <c r="V7"/>
  <c r="V14"/>
  <c r="V12"/>
  <c r="V5"/>
  <c r="V18"/>
  <c r="V22"/>
  <c r="V28"/>
  <c r="V59"/>
  <c r="V55"/>
  <c r="V6"/>
  <c r="V9"/>
  <c r="V13"/>
  <c r="V24"/>
  <c r="V11"/>
  <c r="V26"/>
  <c r="V15"/>
  <c r="V17"/>
  <c r="V19"/>
  <c r="V21"/>
  <c r="V23"/>
  <c r="V27"/>
  <c r="V58"/>
  <c r="V57"/>
  <c r="V5" i="1"/>
  <c r="V97"/>
  <c r="V381"/>
  <c r="V379"/>
  <c r="V377"/>
  <c r="V382"/>
  <c r="V380"/>
  <c r="V378"/>
  <c r="V447"/>
  <c r="V445"/>
  <c r="V383"/>
  <c r="V446"/>
  <c r="V300"/>
  <c r="V298"/>
  <c r="V296"/>
  <c r="V294"/>
  <c r="V292"/>
  <c r="V290"/>
  <c r="V288"/>
  <c r="V286"/>
  <c r="V284"/>
  <c r="V282"/>
  <c r="V289"/>
  <c r="V287"/>
  <c r="V283"/>
  <c r="V301"/>
  <c r="V299"/>
  <c r="V295"/>
  <c r="V293"/>
  <c r="V291"/>
  <c r="V285"/>
  <c r="V330"/>
  <c r="V309"/>
  <c r="V328"/>
  <c r="V325"/>
  <c r="V319"/>
  <c r="V304"/>
  <c r="V323"/>
  <c r="V331"/>
  <c r="V329"/>
  <c r="V310"/>
  <c r="V305"/>
  <c r="V327"/>
  <c r="V326"/>
  <c r="V320"/>
  <c r="V306"/>
  <c r="V324"/>
  <c r="V448"/>
  <c r="V375"/>
  <c r="V373"/>
  <c r="V371"/>
  <c r="V369"/>
  <c r="V367"/>
  <c r="V349"/>
  <c r="V332"/>
  <c r="V336"/>
  <c r="V308"/>
  <c r="V322"/>
  <c r="V303"/>
  <c r="V316"/>
  <c r="V314"/>
  <c r="V317"/>
  <c r="V312"/>
  <c r="V217"/>
  <c r="V215"/>
  <c r="V213"/>
  <c r="V207"/>
  <c r="V201"/>
  <c r="V197"/>
  <c r="V195"/>
  <c r="V376"/>
  <c r="V374"/>
  <c r="V372"/>
  <c r="V370"/>
  <c r="V368"/>
  <c r="V366"/>
  <c r="V333"/>
  <c r="V365"/>
  <c r="V307"/>
  <c r="V321"/>
  <c r="V302"/>
  <c r="V315"/>
  <c r="V313"/>
  <c r="V318"/>
  <c r="V311"/>
  <c r="V216"/>
  <c r="V214"/>
  <c r="V212"/>
  <c r="V210"/>
  <c r="V208"/>
  <c r="V206"/>
  <c r="V204"/>
  <c r="V202"/>
  <c r="V200"/>
  <c r="V198"/>
  <c r="V196"/>
  <c r="V194"/>
  <c r="V211"/>
  <c r="V209"/>
  <c r="V205"/>
  <c r="V203"/>
  <c r="V199"/>
  <c r="V171"/>
  <c r="V169"/>
  <c r="V167"/>
  <c r="V165"/>
  <c r="V172"/>
  <c r="V170"/>
  <c r="V168"/>
  <c r="V166"/>
  <c r="V192"/>
  <c r="V190"/>
  <c r="V188"/>
  <c r="V186"/>
  <c r="V184"/>
  <c r="V191"/>
  <c r="V189"/>
  <c r="V187"/>
  <c r="V185"/>
  <c r="V183"/>
  <c r="V79"/>
  <c r="V449"/>
  <c r="V182"/>
  <c r="V180"/>
  <c r="V178"/>
  <c r="V176"/>
  <c r="V174"/>
  <c r="V450"/>
  <c r="V193"/>
  <c r="V181"/>
  <c r="V179"/>
  <c r="V177"/>
  <c r="V175"/>
  <c r="V173"/>
  <c r="V120"/>
  <c r="V118"/>
  <c r="V116"/>
  <c r="V114"/>
  <c r="V112"/>
  <c r="V110"/>
  <c r="V108"/>
  <c r="V106"/>
  <c r="V104"/>
  <c r="V102"/>
  <c r="V100"/>
  <c r="V98"/>
  <c r="V96"/>
  <c r="V94"/>
  <c r="V92"/>
  <c r="V90"/>
  <c r="V88"/>
  <c r="V86"/>
  <c r="V84"/>
  <c r="V82"/>
  <c r="V119"/>
  <c r="V117"/>
  <c r="V115"/>
  <c r="V113"/>
  <c r="V111"/>
  <c r="V109"/>
  <c r="V107"/>
  <c r="V105"/>
  <c r="V103"/>
  <c r="V101"/>
  <c r="V99"/>
  <c r="V95"/>
  <c r="V93"/>
  <c r="V91"/>
  <c r="V89"/>
  <c r="V87"/>
  <c r="V85"/>
  <c r="V83"/>
  <c r="V81"/>
  <c r="V156"/>
  <c r="V154"/>
  <c r="V152"/>
  <c r="V150"/>
  <c r="V148"/>
  <c r="V146"/>
  <c r="V144"/>
  <c r="V142"/>
  <c r="V140"/>
  <c r="V138"/>
  <c r="V136"/>
  <c r="V134"/>
  <c r="V132"/>
  <c r="V130"/>
  <c r="V128"/>
  <c r="V126"/>
  <c r="V124"/>
  <c r="V122"/>
  <c r="V157"/>
  <c r="V155"/>
  <c r="V153"/>
  <c r="V151"/>
  <c r="V149"/>
  <c r="V147"/>
  <c r="V145"/>
  <c r="V143"/>
  <c r="V141"/>
  <c r="V139"/>
  <c r="V137"/>
  <c r="V135"/>
  <c r="V133"/>
  <c r="V131"/>
  <c r="V129"/>
  <c r="V127"/>
  <c r="V125"/>
  <c r="V123"/>
  <c r="V121"/>
  <c r="V164"/>
  <c r="V162"/>
  <c r="V160"/>
  <c r="V158"/>
  <c r="V80"/>
  <c r="V77"/>
  <c r="V75"/>
  <c r="V73"/>
  <c r="V71"/>
  <c r="V69"/>
  <c r="V67"/>
  <c r="V65"/>
  <c r="V63"/>
  <c r="V61"/>
  <c r="V59"/>
  <c r="V55"/>
  <c r="V53"/>
  <c r="V52"/>
  <c r="V50"/>
  <c r="V48"/>
  <c r="V46"/>
  <c r="V44"/>
  <c r="V42"/>
  <c r="V40"/>
  <c r="V37"/>
  <c r="V33"/>
  <c r="V27"/>
  <c r="V23"/>
  <c r="V19"/>
  <c r="V16"/>
  <c r="V11"/>
  <c r="V163"/>
  <c r="V161"/>
  <c r="V159"/>
  <c r="V78"/>
  <c r="V76"/>
  <c r="V74"/>
  <c r="V72"/>
  <c r="V70"/>
  <c r="V68"/>
  <c r="V66"/>
  <c r="V64"/>
  <c r="V62"/>
  <c r="V60"/>
  <c r="V58"/>
  <c r="V56"/>
  <c r="V54"/>
  <c r="V51"/>
  <c r="V49"/>
  <c r="V47"/>
  <c r="V45"/>
  <c r="V43"/>
  <c r="V41"/>
  <c r="V39"/>
  <c r="V38"/>
  <c r="V36"/>
  <c r="V34"/>
  <c r="V32"/>
  <c r="V30"/>
  <c r="V28"/>
  <c r="V26"/>
  <c r="V24"/>
  <c r="V22"/>
  <c r="V20"/>
  <c r="V18"/>
  <c r="V17"/>
  <c r="V15"/>
  <c r="V14"/>
  <c r="V12"/>
  <c r="V10"/>
  <c r="V8"/>
  <c r="V6"/>
  <c r="V57"/>
  <c r="V35"/>
  <c r="V31"/>
  <c r="V29"/>
  <c r="V25"/>
  <c r="V21"/>
  <c r="V13"/>
  <c r="V9"/>
  <c r="V7"/>
  <c r="K10" i="5"/>
  <c r="D17"/>
  <c r="K15" l="1"/>
  <c r="K13"/>
  <c r="E17" l="1"/>
  <c r="F17"/>
  <c r="K17" l="1"/>
  <c r="X45" i="1" l="1"/>
  <c r="J10" i="5"/>
  <c r="J13" s="1"/>
  <c r="L10" l="1"/>
  <c r="W45" i="1"/>
  <c r="W1263" s="1"/>
  <c r="J15" i="5"/>
  <c r="D28" s="1"/>
  <c r="L15" l="1"/>
  <c r="L17" s="1"/>
  <c r="M10"/>
  <c r="M15" s="1"/>
  <c r="G28"/>
  <c r="G30" s="1"/>
  <c r="L13"/>
  <c r="J17"/>
  <c r="P28" l="1"/>
  <c r="P30" s="1"/>
  <c r="M13"/>
  <c r="D30"/>
  <c r="N15"/>
  <c r="N17" s="1"/>
  <c r="M17"/>
  <c r="R28" l="1"/>
</calcChain>
</file>

<file path=xl/sharedStrings.xml><?xml version="1.0" encoding="utf-8"?>
<sst xmlns="http://schemas.openxmlformats.org/spreadsheetml/2006/main" count="7335" uniqueCount="2981">
  <si>
    <t>JOB WORK  KEC BB</t>
  </si>
  <si>
    <t>Total</t>
  </si>
  <si>
    <t>Challan No.</t>
  </si>
  <si>
    <t>Challan Qty.</t>
  </si>
  <si>
    <t>Challan  Value</t>
  </si>
  <si>
    <t>Dispatched. Dt.</t>
  </si>
  <si>
    <t>Dispatched. Qty.</t>
  </si>
  <si>
    <t>INVOICE NO.</t>
  </si>
  <si>
    <t>Challan Dt.(mm/dd/yy)</t>
  </si>
  <si>
    <t>Challan  Balance Days</t>
  </si>
  <si>
    <t>LOT NO</t>
  </si>
  <si>
    <t>Burning loss 4.5%</t>
  </si>
  <si>
    <t>Waste &amp; Scrap 3.5%</t>
  </si>
  <si>
    <t xml:space="preserve">Finesh Good Balance Qty </t>
  </si>
  <si>
    <t>SUMMARY JOB WORK</t>
  </si>
  <si>
    <t xml:space="preserve"> KEC BB  AS ON DT.</t>
  </si>
  <si>
    <t xml:space="preserve"> KEC JBP   AS ON DT.</t>
  </si>
  <si>
    <t>BL 4.5%  &amp; W / S 3.5%</t>
  </si>
  <si>
    <t>TOTAL</t>
  </si>
  <si>
    <t>Finish Good Qty</t>
  </si>
  <si>
    <t xml:space="preserve">Finish Good Balance Qty </t>
  </si>
  <si>
    <t>R.M Receipts   Qty</t>
  </si>
  <si>
    <t xml:space="preserve">Do.No. </t>
  </si>
  <si>
    <t>Size</t>
  </si>
  <si>
    <t>Angle Dispatched Qty</t>
  </si>
  <si>
    <t>Challan Receipts Qty</t>
  </si>
  <si>
    <t>Challan Receipts Bal.Qty</t>
  </si>
  <si>
    <t>Challan   Bal. Days</t>
  </si>
  <si>
    <t>MS</t>
  </si>
  <si>
    <t>HT</t>
  </si>
  <si>
    <t xml:space="preserve">HT </t>
  </si>
  <si>
    <t>KEC BB</t>
  </si>
  <si>
    <t>Today Qty</t>
  </si>
  <si>
    <t>Total Qty</t>
  </si>
  <si>
    <t>Validity</t>
  </si>
  <si>
    <t>Month</t>
  </si>
  <si>
    <t>(mm/dd/yy</t>
  </si>
  <si>
    <t>Challan Dt.(mm/dd/yy</t>
  </si>
  <si>
    <t>BILLET STOCK</t>
  </si>
  <si>
    <t>ANGLE STOCK</t>
  </si>
  <si>
    <t xml:space="preserve">LOT NO. </t>
  </si>
  <si>
    <t xml:space="preserve">R.M Balance Qty </t>
  </si>
  <si>
    <t xml:space="preserve"> KEC BB</t>
  </si>
  <si>
    <t>SIZE</t>
  </si>
  <si>
    <t xml:space="preserve">PARTY </t>
  </si>
  <si>
    <t>KEC Challan No.</t>
  </si>
  <si>
    <t>VIL Challan No.</t>
  </si>
  <si>
    <t>RATE</t>
  </si>
  <si>
    <t>HT/MS</t>
  </si>
  <si>
    <t>HT-MS</t>
  </si>
  <si>
    <t>2021-2022</t>
  </si>
  <si>
    <t>RINL</t>
  </si>
  <si>
    <t>MS-125X125</t>
  </si>
  <si>
    <t>HT-125X125</t>
  </si>
  <si>
    <t>IISCO</t>
  </si>
  <si>
    <t>HT-150X150</t>
  </si>
  <si>
    <t>OS0022003321</t>
  </si>
  <si>
    <t>OS0022003324</t>
  </si>
  <si>
    <t>OS0022003327</t>
  </si>
  <si>
    <t>OS0022003326</t>
  </si>
  <si>
    <t>OS0022003322</t>
  </si>
  <si>
    <t>OS0022003323</t>
  </si>
  <si>
    <t>OS0022003317</t>
  </si>
  <si>
    <t>OS0022003329</t>
  </si>
  <si>
    <t>OS0022003316</t>
  </si>
  <si>
    <t>OS0022003325</t>
  </si>
  <si>
    <t>OS0022003328</t>
  </si>
  <si>
    <t>OS0022003318</t>
  </si>
  <si>
    <t>OS0022003319</t>
  </si>
  <si>
    <t>OS0022003320</t>
  </si>
  <si>
    <t>OS0022003337</t>
  </si>
  <si>
    <t>OS0022003335</t>
  </si>
  <si>
    <t>OS0022003342</t>
  </si>
  <si>
    <t>OS0022003343</t>
  </si>
  <si>
    <t>OS0022003336</t>
  </si>
  <si>
    <t>OS0022003347</t>
  </si>
  <si>
    <t>OS0022003338</t>
  </si>
  <si>
    <t>OS0022003340</t>
  </si>
  <si>
    <t>OS0022003349</t>
  </si>
  <si>
    <t>OS0022003346</t>
  </si>
  <si>
    <t>OS0022003348</t>
  </si>
  <si>
    <t>OS0022003341</t>
  </si>
  <si>
    <t>OS0022003339</t>
  </si>
  <si>
    <t>OS0022003394</t>
  </si>
  <si>
    <t>OS0022003393</t>
  </si>
  <si>
    <t>OS0022003392</t>
  </si>
  <si>
    <t>OS022003389</t>
  </si>
  <si>
    <t>OS022003390</t>
  </si>
  <si>
    <t>OS0022003345</t>
  </si>
  <si>
    <t>OS0022003344</t>
  </si>
  <si>
    <t>OS022003391</t>
  </si>
  <si>
    <t>OS022003388</t>
  </si>
  <si>
    <t>OS022003415</t>
  </si>
  <si>
    <t>OS022003416</t>
  </si>
  <si>
    <t>MS-150X150</t>
  </si>
  <si>
    <t>19.02.22</t>
  </si>
  <si>
    <t>Billets returan</t>
  </si>
  <si>
    <t>Feb- 2022</t>
  </si>
  <si>
    <t>18.02.2022</t>
  </si>
  <si>
    <t>20.02.22</t>
  </si>
  <si>
    <t>21.02.22</t>
  </si>
  <si>
    <t>22.02.22</t>
  </si>
  <si>
    <t>23.02.22</t>
  </si>
  <si>
    <t>24.02.22</t>
  </si>
  <si>
    <t>03.03.22</t>
  </si>
  <si>
    <t>27.02.22</t>
  </si>
  <si>
    <t>28.02.22</t>
  </si>
  <si>
    <t>01.03.22</t>
  </si>
  <si>
    <t>04.03.22</t>
  </si>
  <si>
    <t>09.03.22</t>
  </si>
  <si>
    <t>09.02.22</t>
  </si>
  <si>
    <t>63, 70</t>
  </si>
  <si>
    <t>04.03.22, 10.03.22</t>
  </si>
  <si>
    <t>10.03.22</t>
  </si>
  <si>
    <t>15.03.22</t>
  </si>
  <si>
    <t>16.03.22</t>
  </si>
  <si>
    <t>64, 78</t>
  </si>
  <si>
    <t>80, 81</t>
  </si>
  <si>
    <t>17.03.22</t>
  </si>
  <si>
    <t>06.03.22, 17.03.22</t>
  </si>
  <si>
    <t>17.03.22, 17.03.22</t>
  </si>
  <si>
    <t>82, 86</t>
  </si>
  <si>
    <t>17.03.22, 19.03.22</t>
  </si>
  <si>
    <t>87, 88</t>
  </si>
  <si>
    <t>19.03.22, 19.03.22</t>
  </si>
  <si>
    <t>89, 90</t>
  </si>
  <si>
    <t>19.03.22, 20.03.22</t>
  </si>
  <si>
    <t>91, 92</t>
  </si>
  <si>
    <t>20.03.22, 21.03.22</t>
  </si>
  <si>
    <t>93, 94</t>
  </si>
  <si>
    <t>21.03.22 , 22.03.22</t>
  </si>
  <si>
    <t>22.03.22</t>
  </si>
  <si>
    <t>95, 96</t>
  </si>
  <si>
    <t>22.03.22, 22.03.22</t>
  </si>
  <si>
    <t>97, 98, 101</t>
  </si>
  <si>
    <t>100, 102</t>
  </si>
  <si>
    <t>22.03.22, 22.03.22, 22.03.22</t>
  </si>
  <si>
    <t>103, 107</t>
  </si>
  <si>
    <t>22.03.22, 24.03.22</t>
  </si>
  <si>
    <t>24.03.22, 24.03.22</t>
  </si>
  <si>
    <t>108, 109</t>
  </si>
  <si>
    <t>110, 111</t>
  </si>
  <si>
    <t>24.03.22, 25.03.22</t>
  </si>
  <si>
    <t>25.03.22, 26.03.22</t>
  </si>
  <si>
    <t>112, 113</t>
  </si>
  <si>
    <t>114, 115</t>
  </si>
  <si>
    <t>26.03.22, 27.03.22</t>
  </si>
  <si>
    <t>JOB WORK  KEC JBP</t>
  </si>
  <si>
    <t>CHD TO BUB</t>
  </si>
  <si>
    <t>MH49AT0403</t>
  </si>
  <si>
    <t>MH49AT2907</t>
  </si>
  <si>
    <t>MH49AT1954</t>
  </si>
  <si>
    <t>MH40Y1047</t>
  </si>
  <si>
    <t>MH49AT2947</t>
  </si>
  <si>
    <t>MH49AT0401</t>
  </si>
  <si>
    <t>MH49AT0405</t>
  </si>
  <si>
    <t>MH49AT2918</t>
  </si>
  <si>
    <t>MH40AK6073</t>
  </si>
  <si>
    <t>MH40BG0311</t>
  </si>
  <si>
    <t>HT-165X150</t>
  </si>
  <si>
    <t>HT-150&amp;165</t>
  </si>
  <si>
    <t>HT-90X90</t>
  </si>
  <si>
    <t>116, 120</t>
  </si>
  <si>
    <t>27.03.22, 29.03.22</t>
  </si>
  <si>
    <t>117, 121</t>
  </si>
  <si>
    <t>119, 122</t>
  </si>
  <si>
    <t>28.03.22, 29.03.22</t>
  </si>
  <si>
    <t>MH49AT4593</t>
  </si>
  <si>
    <t>HT-165X150/ HT-90X90</t>
  </si>
  <si>
    <t>MH40BG0308</t>
  </si>
  <si>
    <t>MH40Y1046</t>
  </si>
  <si>
    <t>MH40AK2190</t>
  </si>
  <si>
    <t>MH49AT1272</t>
  </si>
  <si>
    <t>72, 01</t>
  </si>
  <si>
    <t>12.03.22, 02.04.22</t>
  </si>
  <si>
    <t>2, 3</t>
  </si>
  <si>
    <t>02.04.22, 02.04.22</t>
  </si>
  <si>
    <t>76, 4</t>
  </si>
  <si>
    <t>16.03.22, 02.04.22</t>
  </si>
  <si>
    <t>43, 5</t>
  </si>
  <si>
    <t>24.02.22, 02.04.22</t>
  </si>
  <si>
    <t>61, 73, 6, 7</t>
  </si>
  <si>
    <t>04.03.22, 12.03.22, 02.04.22. 02.04.22</t>
  </si>
  <si>
    <t>8, 9</t>
  </si>
  <si>
    <t>77, 10</t>
  </si>
  <si>
    <t>11, 12</t>
  </si>
  <si>
    <t>123, 15</t>
  </si>
  <si>
    <t>29.03.22, 02.04.22</t>
  </si>
  <si>
    <t>13, 17</t>
  </si>
  <si>
    <t>02.04.22, 03.04.22</t>
  </si>
  <si>
    <t>03.04.22</t>
  </si>
  <si>
    <t>18, 19</t>
  </si>
  <si>
    <t>03.04.22, 03.04.22</t>
  </si>
  <si>
    <t>20, 21</t>
  </si>
  <si>
    <t>03.4.22</t>
  </si>
  <si>
    <t>23, 24</t>
  </si>
  <si>
    <t>25, 26</t>
  </si>
  <si>
    <t>62, 14, 30</t>
  </si>
  <si>
    <t>04.03.22, 02.04.22, 03.04.22</t>
  </si>
  <si>
    <t>VIL CHD</t>
  </si>
  <si>
    <t>MS-90X90</t>
  </si>
  <si>
    <t>HT/MS-125X125</t>
  </si>
  <si>
    <t>MS/HT-90X90</t>
  </si>
  <si>
    <t>MS-90X90 /150X150</t>
  </si>
  <si>
    <t>MS-90/125/150</t>
  </si>
  <si>
    <t>MS-90/125</t>
  </si>
  <si>
    <t>HT-165X165</t>
  </si>
  <si>
    <t>MH49AT2914</t>
  </si>
  <si>
    <t>HT-125/150</t>
  </si>
  <si>
    <t>27, 31, 32</t>
  </si>
  <si>
    <t>03.04.22, 03,04.22, 04.04.22</t>
  </si>
  <si>
    <t>04.04.22</t>
  </si>
  <si>
    <t>MH49AT0846</t>
  </si>
  <si>
    <t>MH40CD1152</t>
  </si>
  <si>
    <t>34,35</t>
  </si>
  <si>
    <t>04.04.22, 04.04.22</t>
  </si>
  <si>
    <t>36, 37</t>
  </si>
  <si>
    <t>04.03.22, 04.03.22</t>
  </si>
  <si>
    <t xml:space="preserve">JOB WORK  KEC BB RETURNABLE CHALLAN </t>
  </si>
  <si>
    <t>04.03.22, 05.04.22</t>
  </si>
  <si>
    <t>05.04.22, 05.04.22</t>
  </si>
  <si>
    <t>38, 41</t>
  </si>
  <si>
    <t>42, 43</t>
  </si>
  <si>
    <t>MH40CD1196</t>
  </si>
  <si>
    <t>06.04.22</t>
  </si>
  <si>
    <t>39, 51</t>
  </si>
  <si>
    <t>05.04.22, 06.04.22</t>
  </si>
  <si>
    <t>40, 52</t>
  </si>
  <si>
    <t>45, 53</t>
  </si>
  <si>
    <t>50, 54</t>
  </si>
  <si>
    <t>06.04.22, 06.04.22</t>
  </si>
  <si>
    <t>55, 56</t>
  </si>
  <si>
    <t>46, 57</t>
  </si>
  <si>
    <t>59, 60</t>
  </si>
  <si>
    <t>44, 61</t>
  </si>
  <si>
    <t>05.04.22, 07.04.22</t>
  </si>
  <si>
    <t>07.04.22</t>
  </si>
  <si>
    <t>62, 63</t>
  </si>
  <si>
    <t>07.04.22, 07.04.22</t>
  </si>
  <si>
    <t>64, 65</t>
  </si>
  <si>
    <t xml:space="preserve">55, </t>
  </si>
  <si>
    <t>47,66</t>
  </si>
  <si>
    <t>67,68</t>
  </si>
  <si>
    <t>49, 69</t>
  </si>
  <si>
    <t>06.04.22, 07.04.22</t>
  </si>
  <si>
    <t>48, 71</t>
  </si>
  <si>
    <t>72, 73</t>
  </si>
  <si>
    <t>74, 75</t>
  </si>
  <si>
    <t>76, 77</t>
  </si>
  <si>
    <t>118, 79</t>
  </si>
  <si>
    <t>28.03.22, 08.04.22</t>
  </si>
  <si>
    <t>125,  80</t>
  </si>
  <si>
    <t>30.03.22, 08.04.22</t>
  </si>
  <si>
    <t>126, 81</t>
  </si>
  <si>
    <t>130, 82</t>
  </si>
  <si>
    <t>31.03.22, 08.04.22</t>
  </si>
  <si>
    <t>HT-90/125</t>
  </si>
  <si>
    <t>MH40BG0396</t>
  </si>
  <si>
    <t>70, 85</t>
  </si>
  <si>
    <t>86, 87</t>
  </si>
  <si>
    <t>88, 89, 91</t>
  </si>
  <si>
    <t>83, 93</t>
  </si>
  <si>
    <t>08.04.22, 10.04.22</t>
  </si>
  <si>
    <t>07.04.22, 10.04.22</t>
  </si>
  <si>
    <t>10.04.22, 10.04.22</t>
  </si>
  <si>
    <t>10.04.22, 10.04.22, 10.04.22</t>
  </si>
  <si>
    <t>84, 94</t>
  </si>
  <si>
    <t>09.04.22, 10.04.22</t>
  </si>
  <si>
    <t>92, 96</t>
  </si>
  <si>
    <t>97, 98</t>
  </si>
  <si>
    <t>95, 100, 102</t>
  </si>
  <si>
    <t>10.04.22, 11.04.22, 12.04.22</t>
  </si>
  <si>
    <t>101, 103</t>
  </si>
  <si>
    <t>11.04.22, 12.04.22</t>
  </si>
  <si>
    <t>HT-90 MS-125</t>
  </si>
  <si>
    <t>MH40Y7433</t>
  </si>
  <si>
    <t>MH40AK4386</t>
  </si>
  <si>
    <t>104, 106</t>
  </si>
  <si>
    <t>12.04.22, 14.04.22</t>
  </si>
  <si>
    <t>105, 107</t>
  </si>
  <si>
    <t>MH49AT1277</t>
  </si>
  <si>
    <t>MH40BG0398</t>
  </si>
  <si>
    <t>APRIL- 2022</t>
  </si>
  <si>
    <t>16.04.22</t>
  </si>
  <si>
    <t>124, 16, 109</t>
  </si>
  <si>
    <t>29.03.22, 02.04.22, 16.04.22</t>
  </si>
  <si>
    <t>128. 129, 110</t>
  </si>
  <si>
    <t>31.03.22, 31.03.22, 16.04.22</t>
  </si>
  <si>
    <t>127, 111</t>
  </si>
  <si>
    <t>30.03.22, 16.04.22</t>
  </si>
  <si>
    <t>Corrected  104, 113</t>
  </si>
  <si>
    <t>23.03.22, 16.04.22</t>
  </si>
  <si>
    <t>Corrected  105, 114</t>
  </si>
  <si>
    <t>Corrected  106, 115</t>
  </si>
  <si>
    <t>BILLETS 8.190</t>
  </si>
  <si>
    <t>99, 118, 120</t>
  </si>
  <si>
    <t>10.04.22, 17.04.22, 18.04.22</t>
  </si>
  <si>
    <t>116, 117, 121</t>
  </si>
  <si>
    <t>16.04.22, 16.04.22, 18.04.22</t>
  </si>
  <si>
    <t>78, 90, 123</t>
  </si>
  <si>
    <t>07.04.22, 09.04.22 BILLETS 30.450, 19.04.22</t>
  </si>
  <si>
    <t>108, 124</t>
  </si>
  <si>
    <t>14.04.22, 19.04.22</t>
  </si>
  <si>
    <t>119, 125</t>
  </si>
  <si>
    <t>17.04.22, 19.04.22</t>
  </si>
  <si>
    <t>122, 127</t>
  </si>
  <si>
    <t>18.04.22, 21.04.22</t>
  </si>
  <si>
    <t>21.04.2022</t>
  </si>
  <si>
    <t>HT/MS-90/125</t>
  </si>
  <si>
    <t>MH40BG0553</t>
  </si>
  <si>
    <t>128, 129</t>
  </si>
  <si>
    <t>21.04.22, 22.04.22</t>
  </si>
  <si>
    <t>MS-125</t>
  </si>
  <si>
    <t>MH49AT6296</t>
  </si>
  <si>
    <t>130, 132</t>
  </si>
  <si>
    <t>22.04.22, 28.04.22</t>
  </si>
  <si>
    <t>126, 134</t>
  </si>
  <si>
    <t>19.04.22, 29.04.22</t>
  </si>
  <si>
    <t>131, 135,136</t>
  </si>
  <si>
    <t>24.04.22, 29.04.22,29.04.22</t>
  </si>
  <si>
    <t>29.04.22,30.04.22</t>
  </si>
  <si>
    <t>30.04.22</t>
  </si>
  <si>
    <t>30.04.22,02.05.22</t>
  </si>
  <si>
    <t>133, 138,144</t>
  </si>
  <si>
    <t>28.04.22, ,29.04.22,03.05.22</t>
  </si>
  <si>
    <t>03.05.22, 03.05.22</t>
  </si>
  <si>
    <t>03.05.22, 05.05.22</t>
  </si>
  <si>
    <t>145, 146</t>
  </si>
  <si>
    <t>147, 148</t>
  </si>
  <si>
    <t>- 2022</t>
  </si>
  <si>
    <t>Feb/May- 2022</t>
  </si>
  <si>
    <t>137, 139</t>
  </si>
  <si>
    <t>141, 142</t>
  </si>
  <si>
    <t>149, 151, 156</t>
  </si>
  <si>
    <t>05.05.22, 12.05.22, 14.05.22</t>
  </si>
  <si>
    <t>152,  157</t>
  </si>
  <si>
    <t>13.05.22,  14.05.22</t>
  </si>
  <si>
    <t>154, 158</t>
  </si>
  <si>
    <t>13.05.22, 14.05.22</t>
  </si>
  <si>
    <t xml:space="preserve">155, 159, </t>
  </si>
  <si>
    <t xml:space="preserve">13.05.22, 14.05.22, </t>
  </si>
  <si>
    <t>15.05.22</t>
  </si>
  <si>
    <t>SAIL IISCO</t>
  </si>
  <si>
    <t>OS0022000450</t>
  </si>
  <si>
    <t>OS0022000449</t>
  </si>
  <si>
    <t>OS0022000441</t>
  </si>
  <si>
    <t>OS0022000442</t>
  </si>
  <si>
    <t>OS0022000453</t>
  </si>
  <si>
    <t>OS0022000443</t>
  </si>
  <si>
    <t>OS0022000451</t>
  </si>
  <si>
    <t>OS0022000445</t>
  </si>
  <si>
    <t>OS0022000452</t>
  </si>
  <si>
    <t>OS0022000454</t>
  </si>
  <si>
    <t>OS0022000455</t>
  </si>
  <si>
    <t>OS0022000456</t>
  </si>
  <si>
    <t>OS0022000446</t>
  </si>
  <si>
    <t>OS0022000440</t>
  </si>
  <si>
    <t>OS0022000439</t>
  </si>
  <si>
    <t>OS0022000457</t>
  </si>
  <si>
    <t>OS0022000447</t>
  </si>
  <si>
    <t>OS0022000438</t>
  </si>
  <si>
    <t>OS0022000444</t>
  </si>
  <si>
    <t>OS0022000448</t>
  </si>
  <si>
    <t>DSP</t>
  </si>
  <si>
    <t>HT125X125</t>
  </si>
  <si>
    <t>OS0022000543</t>
  </si>
  <si>
    <t>OS0022000549</t>
  </si>
  <si>
    <t>OS0022000544</t>
  </si>
  <si>
    <t>OS0022000548</t>
  </si>
  <si>
    <t>OS0022000542</t>
  </si>
  <si>
    <t>OS0022000540</t>
  </si>
  <si>
    <t>OS0022000541</t>
  </si>
  <si>
    <t>OS0022000538</t>
  </si>
  <si>
    <t>OS0022000537</t>
  </si>
  <si>
    <t>OS0022000545</t>
  </si>
  <si>
    <t>OS0022000547</t>
  </si>
  <si>
    <t>OS0022000539</t>
  </si>
  <si>
    <t>OS0022000546</t>
  </si>
  <si>
    <t>OS0022000536</t>
  </si>
  <si>
    <t>OS0022000509</t>
  </si>
  <si>
    <t>OS0022000507</t>
  </si>
  <si>
    <t>OS0022000508</t>
  </si>
  <si>
    <t>MS125X125</t>
  </si>
  <si>
    <t>OS0022000346</t>
  </si>
  <si>
    <t>OS0022000356</t>
  </si>
  <si>
    <t>OS0022000355</t>
  </si>
  <si>
    <t>OS0022000354</t>
  </si>
  <si>
    <t>OS0022000353</t>
  </si>
  <si>
    <t>OS0022000352</t>
  </si>
  <si>
    <t>OS0022000348</t>
  </si>
  <si>
    <t>OS0022000349</t>
  </si>
  <si>
    <t>OS0022000347</t>
  </si>
  <si>
    <t>OS0022000350</t>
  </si>
  <si>
    <t>OS0022000351</t>
  </si>
  <si>
    <t>OS0022000345</t>
  </si>
  <si>
    <t xml:space="preserve">VINAR CHANDRAPUR BALANCE JOB WORK CHALLAN DETAILS </t>
  </si>
  <si>
    <t>Party  Name</t>
  </si>
  <si>
    <t>Job Work Bal.Qty (Billet wt.)</t>
  </si>
  <si>
    <t>Job Work Bal.Day</t>
  </si>
  <si>
    <t>KEC Billets Stock Qty</t>
  </si>
  <si>
    <t>KEC BUB</t>
  </si>
  <si>
    <t>KEC JBP</t>
  </si>
  <si>
    <t xml:space="preserve">VINAR BUTIBORI BALANCE JOB WORK CHALLAN DETAILS </t>
  </si>
  <si>
    <t>162, 163, 165,167</t>
  </si>
  <si>
    <t>15.05.22, 15.05.22, 20.05.22, 26.11.22</t>
  </si>
  <si>
    <t>164, 168</t>
  </si>
  <si>
    <t>16.05.22, 26.11.22</t>
  </si>
  <si>
    <t>26.11.22</t>
  </si>
  <si>
    <t>166, 170</t>
  </si>
  <si>
    <t>25.11.22, 26.11.22</t>
  </si>
  <si>
    <t>169, 171</t>
  </si>
  <si>
    <t>172, 173</t>
  </si>
  <si>
    <t>26.11.22, 28.11.22</t>
  </si>
  <si>
    <t>174, 175, 176</t>
  </si>
  <si>
    <t>28.11.22</t>
  </si>
  <si>
    <t>29.11.22</t>
  </si>
  <si>
    <t>180, 181</t>
  </si>
  <si>
    <t>182, 183</t>
  </si>
  <si>
    <t>30.11.22</t>
  </si>
  <si>
    <t>184, 187</t>
  </si>
  <si>
    <t>29.11.22, 01.12.22</t>
  </si>
  <si>
    <t>186, 188</t>
  </si>
  <si>
    <t>30.11.22 , 01.12.22</t>
  </si>
  <si>
    <t>01.12.22</t>
  </si>
  <si>
    <t>189, 190</t>
  </si>
  <si>
    <t>01.12.22 , 01.12.22</t>
  </si>
  <si>
    <t>191, 192</t>
  </si>
  <si>
    <t>193, 194</t>
  </si>
  <si>
    <t>01.12.22 , 02.12.22</t>
  </si>
  <si>
    <t>02.12.22,03.12.22</t>
  </si>
  <si>
    <t>03.12.22</t>
  </si>
  <si>
    <t>03.12.22,03.12.22</t>
  </si>
  <si>
    <t>201, 202</t>
  </si>
  <si>
    <t>03.12.22 , 04.12.22</t>
  </si>
  <si>
    <t>199, 206</t>
  </si>
  <si>
    <t>03.12.22, 05.12.22</t>
  </si>
  <si>
    <t>203, 207</t>
  </si>
  <si>
    <t>04.12.22 , 05.12.22</t>
  </si>
  <si>
    <t>204, 209</t>
  </si>
  <si>
    <t>205, 208, 211</t>
  </si>
  <si>
    <t>06.12.22</t>
  </si>
  <si>
    <t>04.12.22, 05.12.22, 06.12.22</t>
  </si>
  <si>
    <t>210, 213</t>
  </si>
  <si>
    <t>05.12.22 , 06.12.22</t>
  </si>
  <si>
    <t>212, 214</t>
  </si>
  <si>
    <t>07.12.22</t>
  </si>
  <si>
    <t>08.12.22</t>
  </si>
  <si>
    <t>219, 220</t>
  </si>
  <si>
    <t>07.12.22 08.12.22</t>
  </si>
  <si>
    <t>217, 218</t>
  </si>
  <si>
    <t>08.12.22 , 09.12.22</t>
  </si>
  <si>
    <t>223, 227</t>
  </si>
  <si>
    <t>230, 232 ,236</t>
  </si>
  <si>
    <t>11.12.22</t>
  </si>
  <si>
    <t>09.12.22, 10.12.22,11.12.22</t>
  </si>
  <si>
    <t>10.12.22,11.12.22</t>
  </si>
  <si>
    <t>12.12.22</t>
  </si>
  <si>
    <t>179, 253</t>
  </si>
  <si>
    <t>28.11.22, 13.12.22</t>
  </si>
  <si>
    <t>10.12.22, 15.12.22</t>
  </si>
  <si>
    <t>233, 261</t>
  </si>
  <si>
    <t>15.12.22, 17.12.22</t>
  </si>
  <si>
    <t>262, 269</t>
  </si>
  <si>
    <t>12.12.22, 13.12.22, 15.12.22, 20.12.22</t>
  </si>
  <si>
    <t>248, 255, 260, 264, 277</t>
  </si>
  <si>
    <t>263, 270,280</t>
  </si>
  <si>
    <t>15.12.22, 17.12.22,20.12.22</t>
  </si>
  <si>
    <t>20.12.22, 22.12.22</t>
  </si>
  <si>
    <t>18.12.22, 22.12.22</t>
  </si>
  <si>
    <t>273, 283</t>
  </si>
  <si>
    <t>271, 284</t>
  </si>
  <si>
    <t>17.12.22, 22.12.22</t>
  </si>
  <si>
    <t>242, 246, 286</t>
  </si>
  <si>
    <t>11.12.22, 12.12.2022, 22.12.22</t>
  </si>
  <si>
    <t>215, 287</t>
  </si>
  <si>
    <t>06.12.22, 22.12.22</t>
  </si>
  <si>
    <t>278, 285</t>
  </si>
  <si>
    <t>22.12.22, 22.12.22</t>
  </si>
  <si>
    <t>279, 282, 290</t>
  </si>
  <si>
    <t>243, 291</t>
  </si>
  <si>
    <t>12.12.22, 22.12.22</t>
  </si>
  <si>
    <t>221, 226, 229, 244,292</t>
  </si>
  <si>
    <t>08.12.22 , 09.12.22, 12.12.22, 22.12.22</t>
  </si>
  <si>
    <t>288, 289, 293</t>
  </si>
  <si>
    <t>22.12.22</t>
  </si>
  <si>
    <t>256, 295</t>
  </si>
  <si>
    <t>13.12.22, 22.12.22</t>
  </si>
  <si>
    <t>294, 296</t>
  </si>
  <si>
    <t>22.12.22, 23.12.22</t>
  </si>
  <si>
    <t>297, 298</t>
  </si>
  <si>
    <t>23.12.22</t>
  </si>
  <si>
    <t>299, 300</t>
  </si>
  <si>
    <t>23.12.22, 23.12.23</t>
  </si>
  <si>
    <t>301, 302</t>
  </si>
  <si>
    <t>24.12.22</t>
  </si>
  <si>
    <t>306, 307</t>
  </si>
  <si>
    <t>24.12.22, 24.12.22</t>
  </si>
  <si>
    <t>25.12.22</t>
  </si>
  <si>
    <t>20.12.22, 26.12.22</t>
  </si>
  <si>
    <t>281, 315</t>
  </si>
  <si>
    <t>26.12.22, 26.12.22</t>
  </si>
  <si>
    <t>316, 317</t>
  </si>
  <si>
    <t>254, 319</t>
  </si>
  <si>
    <t>13.12.22, 26.12.22</t>
  </si>
  <si>
    <t>27.12.22</t>
  </si>
  <si>
    <t>JSPL</t>
  </si>
  <si>
    <t>HT-200X200</t>
  </si>
  <si>
    <t>RV6000064352</t>
  </si>
  <si>
    <t>RV6000064350</t>
  </si>
  <si>
    <t>RV6000064734</t>
  </si>
  <si>
    <t>RV6000064955</t>
  </si>
  <si>
    <t>322, 323</t>
  </si>
  <si>
    <t>274, 275, 325</t>
  </si>
  <si>
    <t>18.12.22, 27.12.22</t>
  </si>
  <si>
    <t>324, 327</t>
  </si>
  <si>
    <t>RV6000064733</t>
  </si>
  <si>
    <t>RV6000065396</t>
  </si>
  <si>
    <t>RV6000065395</t>
  </si>
  <si>
    <t>RV6000065476</t>
  </si>
  <si>
    <t>RV6000065377/78</t>
  </si>
  <si>
    <t>RV6000065393</t>
  </si>
  <si>
    <t>RV6000065037/38</t>
  </si>
  <si>
    <t>RV6000065677</t>
  </si>
  <si>
    <t>RV6000065397</t>
  </si>
  <si>
    <t>RV6000065394</t>
  </si>
  <si>
    <t>328, 329</t>
  </si>
  <si>
    <t>330, 331</t>
  </si>
  <si>
    <t>27.12.22, 28.12.22</t>
  </si>
  <si>
    <t>326, 333</t>
  </si>
  <si>
    <t>29.12.22</t>
  </si>
  <si>
    <t>332, 338</t>
  </si>
  <si>
    <t>28.12.22 , 29.12.22</t>
  </si>
  <si>
    <t>336, 339</t>
  </si>
  <si>
    <t>29.12.22, 30.12.22</t>
  </si>
  <si>
    <t>30.12.22</t>
  </si>
  <si>
    <t>325, 341</t>
  </si>
  <si>
    <t>337, 342</t>
  </si>
  <si>
    <t>340, 343</t>
  </si>
  <si>
    <t>344, 345</t>
  </si>
  <si>
    <t>346, 347</t>
  </si>
  <si>
    <t>RV6000066476</t>
  </si>
  <si>
    <t>RV6000066817</t>
  </si>
  <si>
    <t>RV6000066918</t>
  </si>
  <si>
    <t>RV6000066946</t>
  </si>
  <si>
    <t>RV6000066829</t>
  </si>
  <si>
    <t>RV6000066949</t>
  </si>
  <si>
    <t>RV6000067340</t>
  </si>
  <si>
    <t>RV6000066818</t>
  </si>
  <si>
    <t>RV6000066826</t>
  </si>
  <si>
    <t>RV6000066835</t>
  </si>
  <si>
    <t>RV6000066827</t>
  </si>
  <si>
    <t>RV6000066830</t>
  </si>
  <si>
    <t>RV6000067411</t>
  </si>
  <si>
    <t>RV6000066947</t>
  </si>
  <si>
    <t>RV6000067438</t>
  </si>
  <si>
    <t>RV6000067437</t>
  </si>
  <si>
    <t>RV6000066945</t>
  </si>
  <si>
    <t>RV6000066948</t>
  </si>
  <si>
    <t>31.12.22</t>
  </si>
  <si>
    <t>30.12.22, 31.12.22</t>
  </si>
  <si>
    <t>348, 350, 354</t>
  </si>
  <si>
    <t>234, 356</t>
  </si>
  <si>
    <t>10.12.22, 02.01.2023</t>
  </si>
  <si>
    <t>31.12.22, 06.01.2023</t>
  </si>
  <si>
    <t>355, 362</t>
  </si>
  <si>
    <t>06.01.2023</t>
  </si>
  <si>
    <t>05.01.2023, 06.01.2023</t>
  </si>
  <si>
    <t>360, 364</t>
  </si>
  <si>
    <t>07.01.2023</t>
  </si>
  <si>
    <t>367, 372, 374</t>
  </si>
  <si>
    <t>06.01.2023,07.01.2023</t>
  </si>
  <si>
    <t>369, 376</t>
  </si>
  <si>
    <t>08.01.23</t>
  </si>
  <si>
    <t>05.01.2023,09.01.23</t>
  </si>
  <si>
    <t>382, 387</t>
  </si>
  <si>
    <t>07.01.23, 10.01.2023</t>
  </si>
  <si>
    <t>10.01.23</t>
  </si>
  <si>
    <t>377, 389</t>
  </si>
  <si>
    <t>08.01.23,08.01.23,10.01.23</t>
  </si>
  <si>
    <t>25.12.22, 31.12.22, 07.01.23, 13.01.23</t>
  </si>
  <si>
    <t>314, 353, 370,392, 399</t>
  </si>
  <si>
    <t>305, 402</t>
  </si>
  <si>
    <t>24.12.22, 18.01.23</t>
  </si>
  <si>
    <t>303, 304,368, 403</t>
  </si>
  <si>
    <t>23.12.22, 18.01.23</t>
  </si>
  <si>
    <t>312, 320, 404</t>
  </si>
  <si>
    <t>25.12.22, 26.12.22, 18.01.23</t>
  </si>
  <si>
    <t>313, 373, 405</t>
  </si>
  <si>
    <t>25.12.22, 07.01.2023, 18.01.23</t>
  </si>
  <si>
    <t>09.01.23, 19.01.23</t>
  </si>
  <si>
    <t>11.01.23, 19.01.23</t>
  </si>
  <si>
    <t>386, 409</t>
  </si>
  <si>
    <t>397, 410</t>
  </si>
  <si>
    <t>413, 416</t>
  </si>
  <si>
    <t>19.01.23, 20.01.23</t>
  </si>
  <si>
    <t>414, 418</t>
  </si>
  <si>
    <t>398, 420</t>
  </si>
  <si>
    <t>13.01.2023, 20.01.23</t>
  </si>
  <si>
    <t>407, 421</t>
  </si>
  <si>
    <t>18.01.23, 20.01.23</t>
  </si>
  <si>
    <t>18.01.23,20.01.23</t>
  </si>
  <si>
    <t>20.01.23,20.01.23</t>
  </si>
  <si>
    <t>19.01.23, 21.01.23</t>
  </si>
  <si>
    <t>225, 427</t>
  </si>
  <si>
    <t>231, 265, 272, 428</t>
  </si>
  <si>
    <t>259, 351,384, 429</t>
  </si>
  <si>
    <t>09.12.22, 21.01.23</t>
  </si>
  <si>
    <t>09.12.22, 15.12.22, 18.12.22, 21.01.23</t>
  </si>
  <si>
    <t>15.12.22, 31.12.22,08.01.23, 21.01.23</t>
  </si>
  <si>
    <t>412, 431</t>
  </si>
  <si>
    <t>432, 433</t>
  </si>
  <si>
    <t>21.01.23, 22.01.23</t>
  </si>
  <si>
    <t>417, 419, 434</t>
  </si>
  <si>
    <t>20.01.23, 22.01.23</t>
  </si>
  <si>
    <t>22.01.23</t>
  </si>
  <si>
    <t>435, 436</t>
  </si>
  <si>
    <t>422, 437</t>
  </si>
  <si>
    <t>426, 438,439</t>
  </si>
  <si>
    <t>19.01.23,22.01.23</t>
  </si>
  <si>
    <t>22.01.23,22.01.23</t>
  </si>
  <si>
    <t>22.01.23,23.01.23</t>
  </si>
  <si>
    <t>23.01.23</t>
  </si>
  <si>
    <t>23.01.23,23.01.23</t>
  </si>
  <si>
    <t>23.01.23,24.01.23</t>
  </si>
  <si>
    <t>24.01.23</t>
  </si>
  <si>
    <t>24.01.23,24.01.23</t>
  </si>
  <si>
    <t>24.01.23,25.01.23</t>
  </si>
  <si>
    <t>25.01.23,25.01.23</t>
  </si>
  <si>
    <t>25.01.23,27.01.23</t>
  </si>
  <si>
    <t>27.01.23,27.01.23</t>
  </si>
  <si>
    <t>276, 466</t>
  </si>
  <si>
    <t>18.12.22, 27.01.23</t>
  </si>
  <si>
    <t>28.01.2023</t>
  </si>
  <si>
    <t>28..01.23</t>
  </si>
  <si>
    <t>24.01.23, 27.01.23,29.01.23</t>
  </si>
  <si>
    <t>29.01.23</t>
  </si>
  <si>
    <t>29.01.23,29.01.23</t>
  </si>
  <si>
    <t>28.01.23,29.01.23</t>
  </si>
  <si>
    <t>479, 484</t>
  </si>
  <si>
    <t>29.01.23, 29.01.23</t>
  </si>
  <si>
    <t>29.01.23,30.01.23</t>
  </si>
  <si>
    <t>28.01.23,30.01.23</t>
  </si>
  <si>
    <t>30.01.23</t>
  </si>
  <si>
    <t>31.01.23</t>
  </si>
  <si>
    <t>30.01.23,31.01.23</t>
  </si>
  <si>
    <t>31.01.23,31.01.23</t>
  </si>
  <si>
    <t>501, 502</t>
  </si>
  <si>
    <t>349, 504</t>
  </si>
  <si>
    <t>31.12.22, 01.02.2023</t>
  </si>
  <si>
    <t>380,381,394, 505</t>
  </si>
  <si>
    <t>08.01.23,08.01.23, 02.01.23</t>
  </si>
  <si>
    <t>388, 395, 506</t>
  </si>
  <si>
    <t>09.01.23, 01.02.23</t>
  </si>
  <si>
    <t>01.02.23</t>
  </si>
  <si>
    <t>507, 508</t>
  </si>
  <si>
    <t>31.01.23, 01.02.23</t>
  </si>
  <si>
    <t>503, 509, 510</t>
  </si>
  <si>
    <t>511, 512</t>
  </si>
  <si>
    <t>513, 514</t>
  </si>
  <si>
    <t>499, 516</t>
  </si>
  <si>
    <t>515, 518</t>
  </si>
  <si>
    <t>01.02.23,02.02.23</t>
  </si>
  <si>
    <t>02.02.23</t>
  </si>
  <si>
    <t>RV6000066748</t>
  </si>
  <si>
    <t>RV6000066819</t>
  </si>
  <si>
    <t>RV6000067161</t>
  </si>
  <si>
    <t>RV6000061617</t>
  </si>
  <si>
    <t>523, 524</t>
  </si>
  <si>
    <t>02.02.23, 02.02.23</t>
  </si>
  <si>
    <t>1000004644</t>
  </si>
  <si>
    <t>02.02.2023</t>
  </si>
  <si>
    <t>02.02.23,03.02.23</t>
  </si>
  <si>
    <t>03.02.2023</t>
  </si>
  <si>
    <t>528, 531</t>
  </si>
  <si>
    <t>03.02.23, 03.02.2023</t>
  </si>
  <si>
    <t>517, 535</t>
  </si>
  <si>
    <t>01.02.23, 03.02.22</t>
  </si>
  <si>
    <t>532, 537</t>
  </si>
  <si>
    <t>530, 539</t>
  </si>
  <si>
    <t>03.02.2023, 04.02.23</t>
  </si>
  <si>
    <t>538, 540</t>
  </si>
  <si>
    <t>03.02.23, 04.02.23</t>
  </si>
  <si>
    <t>29.01.23,04.02.23</t>
  </si>
  <si>
    <t>04.02.23</t>
  </si>
  <si>
    <t>359, 371,548</t>
  </si>
  <si>
    <t>05.01.2022, 07.01.2023, 04.02.23</t>
  </si>
  <si>
    <t>375, 549</t>
  </si>
  <si>
    <t>07.01.23, 04.02.23</t>
  </si>
  <si>
    <t>390, 550</t>
  </si>
  <si>
    <t>10.01.23, 04.02.23</t>
  </si>
  <si>
    <t>401, 551</t>
  </si>
  <si>
    <t>17.01.2023, 04.02.23</t>
  </si>
  <si>
    <t>411, 430, 552</t>
  </si>
  <si>
    <t>19.01.23, 21.01.23, 04.02.23</t>
  </si>
  <si>
    <t>465 468, 553</t>
  </si>
  <si>
    <t>27.01.23,28.01.23, 04.02.23</t>
  </si>
  <si>
    <t>RV6000074391</t>
  </si>
  <si>
    <t>RV6000074392</t>
  </si>
  <si>
    <t>RV6000074386</t>
  </si>
  <si>
    <t>RV6000074412</t>
  </si>
  <si>
    <t>RV6000074479</t>
  </si>
  <si>
    <t>RV6000074413</t>
  </si>
  <si>
    <t>RV6000073874</t>
  </si>
  <si>
    <t>318, 396,400, 555</t>
  </si>
  <si>
    <t>26.12.22, 11.01.23, 13.01.23, 05.02.23</t>
  </si>
  <si>
    <t>363,, 556</t>
  </si>
  <si>
    <t>06.01.2023, 05.02.23</t>
  </si>
  <si>
    <t>406, 557</t>
  </si>
  <si>
    <t>18.01.2023, 05.02.23</t>
  </si>
  <si>
    <t>529, 558</t>
  </si>
  <si>
    <t>03.02.2023, 05.02.23</t>
  </si>
  <si>
    <t>547, 554, 559</t>
  </si>
  <si>
    <t>04.02.23, 04.02.23, 05.02.23</t>
  </si>
  <si>
    <t>05.02.23</t>
  </si>
  <si>
    <t>543, 564</t>
  </si>
  <si>
    <t>04.02.23, 05.02.23</t>
  </si>
  <si>
    <t>06.02.2023</t>
  </si>
  <si>
    <t>560, 569</t>
  </si>
  <si>
    <t>05.02.23, 06.02.23</t>
  </si>
  <si>
    <t>568, 571</t>
  </si>
  <si>
    <t>06.02.2023, 06.02.23</t>
  </si>
  <si>
    <t>07.02.23</t>
  </si>
  <si>
    <t>07.02.23,07.02.23</t>
  </si>
  <si>
    <t>576, 578</t>
  </si>
  <si>
    <t>143, 150, 580</t>
  </si>
  <si>
    <t>02.05.22, 11.05.22, 08.02.23</t>
  </si>
  <si>
    <t>228, 266, 581</t>
  </si>
  <si>
    <t>09.12.22, 16.12.22, 08.02.23</t>
  </si>
  <si>
    <t>572, 582</t>
  </si>
  <si>
    <t>06.02.23, 08.02.23</t>
  </si>
  <si>
    <t>08.02.23</t>
  </si>
  <si>
    <t>583, 584</t>
  </si>
  <si>
    <t>579, 590</t>
  </si>
  <si>
    <t>07.02.23, 10.02.23</t>
  </si>
  <si>
    <t>589, 592</t>
  </si>
  <si>
    <t>08.02.23, 10.02.23</t>
  </si>
  <si>
    <t>593, 594</t>
  </si>
  <si>
    <t>10.02.23, 11.02.23</t>
  </si>
  <si>
    <t>06.02.2023,11.02.23</t>
  </si>
  <si>
    <t>10.02.23,11.02.23</t>
  </si>
  <si>
    <t>11.02.23,12.02.23</t>
  </si>
  <si>
    <t>604, 606</t>
  </si>
  <si>
    <t>05.02.23, 13.02.22</t>
  </si>
  <si>
    <t>563, 570, 609</t>
  </si>
  <si>
    <t>05.02.23, 06.02.23, 13.02.23</t>
  </si>
  <si>
    <t>577, 610</t>
  </si>
  <si>
    <t>07.02.23, 13.02.23</t>
  </si>
  <si>
    <t>602, 611</t>
  </si>
  <si>
    <t>12.02.23, 13.02.23</t>
  </si>
  <si>
    <t>600, 612</t>
  </si>
  <si>
    <t>11.02.23, 13.02.23</t>
  </si>
  <si>
    <t>607, 614,617</t>
  </si>
  <si>
    <t>13.02.2023, 13.02.23,14.02.23</t>
  </si>
  <si>
    <t>14.02.23,14.02.23</t>
  </si>
  <si>
    <t>08.02.23,14.02.23</t>
  </si>
  <si>
    <t>14.02.23,15.02.23</t>
  </si>
  <si>
    <t>624, 627</t>
  </si>
  <si>
    <t>14.02.23, 15.02.23</t>
  </si>
  <si>
    <t>14.02.23,16.02.23</t>
  </si>
  <si>
    <t>RV6000070731</t>
  </si>
  <si>
    <t>RV6000070733</t>
  </si>
  <si>
    <t>RV6000075909</t>
  </si>
  <si>
    <t>15.02.23,17.02.23</t>
  </si>
  <si>
    <t>17.02.23</t>
  </si>
  <si>
    <t>16.02.23, 17.02.23</t>
  </si>
  <si>
    <t>630, 636</t>
  </si>
  <si>
    <t>633, 634</t>
  </si>
  <si>
    <t>17.02.23,18.02.23</t>
  </si>
  <si>
    <t>585, 586, 641</t>
  </si>
  <si>
    <t>08.02.23, 18.02.23</t>
  </si>
  <si>
    <t>13.05.22, 14.05.22, 02.01.23., 19.02.23</t>
  </si>
  <si>
    <t>17.02.23, 19.02.23</t>
  </si>
  <si>
    <t>19.02.23</t>
  </si>
  <si>
    <t>153, 160, 358, 358, 647</t>
  </si>
  <si>
    <t>2, 39, 240, 251, 357,449, 648</t>
  </si>
  <si>
    <t>11.12.22,11.12.22,13.12.22,02.01.23, 19.02.23</t>
  </si>
  <si>
    <t>252, 257, 649</t>
  </si>
  <si>
    <t>13.12.22, 14.12.22, 19.02.23</t>
  </si>
  <si>
    <t>334, 650</t>
  </si>
  <si>
    <t>28.12.22, 19.02.23</t>
  </si>
  <si>
    <t>457, 651</t>
  </si>
  <si>
    <t>24.01.23, 19.02.23</t>
  </si>
  <si>
    <t>565, 652</t>
  </si>
  <si>
    <t>05.02.23, 19.02.23</t>
  </si>
  <si>
    <t>637, 652</t>
  </si>
  <si>
    <t>13.02.23, 19.02.2023</t>
  </si>
  <si>
    <t>615, 655</t>
  </si>
  <si>
    <t>616, 657</t>
  </si>
  <si>
    <t>13.02.23, 20.02.23</t>
  </si>
  <si>
    <t>631, 658</t>
  </si>
  <si>
    <t>16.02.23, 20.02.23</t>
  </si>
  <si>
    <t>628, 659</t>
  </si>
  <si>
    <t>15.02.23, 20.02.23</t>
  </si>
  <si>
    <t>635, 644, 660</t>
  </si>
  <si>
    <t>17.02.23, 19.02.23, 20.02.23</t>
  </si>
  <si>
    <t>646, 661</t>
  </si>
  <si>
    <t>19.02.23, 20.02.23</t>
  </si>
  <si>
    <t>640, 662</t>
  </si>
  <si>
    <t>18.02.23, 18.02.23</t>
  </si>
  <si>
    <t>656, 663</t>
  </si>
  <si>
    <t>19.02.2023, 20.02.23</t>
  </si>
  <si>
    <t>642, 665</t>
  </si>
  <si>
    <t>18.02.23, 20.02.23</t>
  </si>
  <si>
    <t>595, 666</t>
  </si>
  <si>
    <t>11.02.23, 20.02.23</t>
  </si>
  <si>
    <t>536, 667</t>
  </si>
  <si>
    <t>03.02.23, 20.02.23</t>
  </si>
  <si>
    <t>224, 249, 250, 534, 668</t>
  </si>
  <si>
    <t>08.12.22, 13.12.22, 03.02.23, 20.02.23</t>
  </si>
  <si>
    <t>258, 669</t>
  </si>
  <si>
    <t>14.12.22, 20.02.23</t>
  </si>
  <si>
    <t>16.12.22, 16.12.22, 20.02.22</t>
  </si>
  <si>
    <t>664, 672</t>
  </si>
  <si>
    <t>20.02.23, 20.02.23</t>
  </si>
  <si>
    <t>673, 674</t>
  </si>
  <si>
    <t>675, 677</t>
  </si>
  <si>
    <t>20.02.23, 21.02.23</t>
  </si>
  <si>
    <t>676, 678</t>
  </si>
  <si>
    <t>21.02.23</t>
  </si>
  <si>
    <t>679, 680</t>
  </si>
  <si>
    <t>21.02.23, 21.02.23</t>
  </si>
  <si>
    <t>623, 654, 682</t>
  </si>
  <si>
    <t>14.02.23, 19.02.23, 21.02.23</t>
  </si>
  <si>
    <t>21.02.23, 22.02.23</t>
  </si>
  <si>
    <t>22.02.23</t>
  </si>
  <si>
    <t>681, 684</t>
  </si>
  <si>
    <t>685, 687</t>
  </si>
  <si>
    <t>22.02.23, 22.023</t>
  </si>
  <si>
    <t>686, 688</t>
  </si>
  <si>
    <t>22.02.23, 22.02.23</t>
  </si>
  <si>
    <t>689, 690</t>
  </si>
  <si>
    <t>692, 693</t>
  </si>
  <si>
    <t>695, 696</t>
  </si>
  <si>
    <t>22.02.23,23.02.23</t>
  </si>
  <si>
    <t>23.02.23</t>
  </si>
  <si>
    <t>697, 698</t>
  </si>
  <si>
    <t>699, 700</t>
  </si>
  <si>
    <t>701, 702</t>
  </si>
  <si>
    <t>694, 704</t>
  </si>
  <si>
    <t>22.02.23, 24.02.23</t>
  </si>
  <si>
    <t>703, 705</t>
  </si>
  <si>
    <t>23.02.23, 24.02.23</t>
  </si>
  <si>
    <t>706, 710</t>
  </si>
  <si>
    <t>24.02.23, 25.02.23</t>
  </si>
  <si>
    <t>708, 711</t>
  </si>
  <si>
    <t>25.02.23</t>
  </si>
  <si>
    <t>712, 713</t>
  </si>
  <si>
    <t>25.02.23, 25.02.23</t>
  </si>
  <si>
    <t>707, 714</t>
  </si>
  <si>
    <t>715, 716</t>
  </si>
  <si>
    <t>709, 717</t>
  </si>
  <si>
    <t>RV600082511</t>
  </si>
  <si>
    <t>26.02.23</t>
  </si>
  <si>
    <t>26.02.23, 26.02.23</t>
  </si>
  <si>
    <t>718, 723</t>
  </si>
  <si>
    <t>25.02.23, 26.02.23</t>
  </si>
  <si>
    <t>720, 724</t>
  </si>
  <si>
    <t>725, 728</t>
  </si>
  <si>
    <t>27.02.23</t>
  </si>
  <si>
    <t>729, 733</t>
  </si>
  <si>
    <t>26.02.23, 27.02.23</t>
  </si>
  <si>
    <t>28.02.23</t>
  </si>
  <si>
    <t>731, 732, 736</t>
  </si>
  <si>
    <t>27.02.23, 27.02.23, 28.02.23</t>
  </si>
  <si>
    <t>734, 737</t>
  </si>
  <si>
    <t>27.02.23, 28.02.23</t>
  </si>
  <si>
    <t>735, 738</t>
  </si>
  <si>
    <t>28.02.23, 28.02.23</t>
  </si>
  <si>
    <t>739, 740</t>
  </si>
  <si>
    <t>741, 744</t>
  </si>
  <si>
    <t>28.02.23, 01.03.23</t>
  </si>
  <si>
    <t>743, 745</t>
  </si>
  <si>
    <t>746, 747</t>
  </si>
  <si>
    <t>748, 749</t>
  </si>
  <si>
    <t>01.03.23, 01.03.23</t>
  </si>
  <si>
    <t>750, 751</t>
  </si>
  <si>
    <t>01.03.23, 02.03.23</t>
  </si>
  <si>
    <t>752, 753</t>
  </si>
  <si>
    <t>02.03.23, 02.03.23</t>
  </si>
  <si>
    <t>RV600082512</t>
  </si>
  <si>
    <t>RV600084331</t>
  </si>
  <si>
    <t>RV600075909</t>
  </si>
  <si>
    <t>RV600075908</t>
  </si>
  <si>
    <t>RV600082508</t>
  </si>
  <si>
    <t>RV600082509</t>
  </si>
  <si>
    <t>754, 755</t>
  </si>
  <si>
    <t>756, 757</t>
  </si>
  <si>
    <t>758, ,759</t>
  </si>
  <si>
    <t>760, 761</t>
  </si>
  <si>
    <t>02.03.23, 03.03.23</t>
  </si>
  <si>
    <t>762, 763</t>
  </si>
  <si>
    <t>03.03.23, 03.03.23</t>
  </si>
  <si>
    <t>765, 766</t>
  </si>
  <si>
    <t>03.02.23, 04.03.23</t>
  </si>
  <si>
    <t>764, 767</t>
  </si>
  <si>
    <t>768, 770</t>
  </si>
  <si>
    <t>04.03.23, 04.03.23</t>
  </si>
  <si>
    <t>769, 772</t>
  </si>
  <si>
    <t>771, 775</t>
  </si>
  <si>
    <t>04.03.23, 05.03.23</t>
  </si>
  <si>
    <t>773, 776</t>
  </si>
  <si>
    <t>778, 779</t>
  </si>
  <si>
    <t>05.03.23, 06.03.23</t>
  </si>
  <si>
    <t>777, 781</t>
  </si>
  <si>
    <t>05.03.23, 09.03.23</t>
  </si>
  <si>
    <t>09.03.23</t>
  </si>
  <si>
    <t>04.03.23, 09.03.23</t>
  </si>
  <si>
    <t>774, 783</t>
  </si>
  <si>
    <t>780, 784</t>
  </si>
  <si>
    <t>06.03.23, 09.03.23</t>
  </si>
  <si>
    <t>10.03.23</t>
  </si>
  <si>
    <t>785, 789</t>
  </si>
  <si>
    <t>09.03.23, 10.03.23</t>
  </si>
  <si>
    <t>787, 790</t>
  </si>
  <si>
    <t>788, 793</t>
  </si>
  <si>
    <t>10.03.23, 10.03.23</t>
  </si>
  <si>
    <t>794, 796</t>
  </si>
  <si>
    <t>10.03.23, 11.03.23</t>
  </si>
  <si>
    <t>795, 799</t>
  </si>
  <si>
    <t>10.03.23, 13.03.23</t>
  </si>
  <si>
    <t>797, 800</t>
  </si>
  <si>
    <t>11.03.23, 13.03.23</t>
  </si>
  <si>
    <t>798, 801</t>
  </si>
  <si>
    <t>12.03.23, 13.03.23</t>
  </si>
  <si>
    <t>802, 803,804</t>
  </si>
  <si>
    <t>13.03.23, 14.03.23, 16.03.23</t>
  </si>
  <si>
    <t>805, 806, 807</t>
  </si>
  <si>
    <t>16.03.23, 16.03.23, 17.03.23</t>
  </si>
  <si>
    <t>RV6000089805</t>
  </si>
  <si>
    <t>RV6000090034</t>
  </si>
  <si>
    <t>RV6000090277</t>
  </si>
  <si>
    <t>RV6000090023</t>
  </si>
  <si>
    <t>RV6000090028</t>
  </si>
  <si>
    <t>RV6000089803</t>
  </si>
  <si>
    <t>RV6000090292</t>
  </si>
  <si>
    <t>RV6000090279</t>
  </si>
  <si>
    <t>RV6000090278</t>
  </si>
  <si>
    <t>RV6000090026</t>
  </si>
  <si>
    <t>RV6000090272</t>
  </si>
  <si>
    <t>RV6000090270</t>
  </si>
  <si>
    <t>RV6000090271</t>
  </si>
  <si>
    <t>RV6000090511</t>
  </si>
  <si>
    <t>RV6000090898</t>
  </si>
  <si>
    <t>RV6000089576</t>
  </si>
  <si>
    <t>RV6000089582</t>
  </si>
  <si>
    <t>RV6000089601</t>
  </si>
  <si>
    <t>RV6000089599</t>
  </si>
  <si>
    <t>RV6000089616</t>
  </si>
  <si>
    <t>RV6000089609</t>
  </si>
  <si>
    <t>RV6000089787</t>
  </si>
  <si>
    <t>RV6000089602</t>
  </si>
  <si>
    <t>RV6000089674</t>
  </si>
  <si>
    <t>RV6000089804</t>
  </si>
  <si>
    <t>RV6000089584</t>
  </si>
  <si>
    <t>RV6000089791</t>
  </si>
  <si>
    <t>RV6000089611</t>
  </si>
  <si>
    <t>RV6000089614</t>
  </si>
  <si>
    <t>RV6000089790</t>
  </si>
  <si>
    <t>RV6000089789</t>
  </si>
  <si>
    <t>RV6000089607</t>
  </si>
  <si>
    <t>RV6000089765</t>
  </si>
  <si>
    <t>RV6000089788</t>
  </si>
  <si>
    <t>RV6000089889</t>
  </si>
  <si>
    <t>RV6000090083</t>
  </si>
  <si>
    <t>RV6000090109</t>
  </si>
  <si>
    <t>RV6000090124</t>
  </si>
  <si>
    <t>RV6000090021</t>
  </si>
  <si>
    <t>RV6000089996</t>
  </si>
  <si>
    <t>RV6000090081</t>
  </si>
  <si>
    <t>RV6000090269</t>
  </si>
  <si>
    <t>RV6000089617</t>
  </si>
  <si>
    <t>RV6000090827</t>
  </si>
  <si>
    <t>RV6000090897</t>
  </si>
  <si>
    <t>808, 809, 811</t>
  </si>
  <si>
    <t>17.03.23, 18.03.23, 21.03.23</t>
  </si>
  <si>
    <t>810, 812</t>
  </si>
  <si>
    <t>18.03.23, 21.03.23</t>
  </si>
  <si>
    <t>813, 814</t>
  </si>
  <si>
    <t>21.03.23, 21.03.23</t>
  </si>
  <si>
    <t>815, 816, 817</t>
  </si>
  <si>
    <t>21.03.23, 22.03.23, 22.03.23</t>
  </si>
  <si>
    <t>818, 819</t>
  </si>
  <si>
    <t>22.03.23, 22.03.23</t>
  </si>
  <si>
    <t>820, 821</t>
  </si>
  <si>
    <t>822, 823</t>
  </si>
  <si>
    <t>824, 826, 827</t>
  </si>
  <si>
    <t>22.03.23, 22.03.23, 23.03.23</t>
  </si>
  <si>
    <t>825, 828</t>
  </si>
  <si>
    <t>22.03.23, 23.03.23</t>
  </si>
  <si>
    <t>23.03.23, 23.03.23</t>
  </si>
  <si>
    <t>829, 830, 832</t>
  </si>
  <si>
    <t>23.03.23, 23.03.23, 23.03.23</t>
  </si>
  <si>
    <t>831, 833</t>
  </si>
  <si>
    <t>23.03.23, 24.03.23, 25.03.23</t>
  </si>
  <si>
    <t>24.03.23, 24.03.23, 25.04.23</t>
  </si>
  <si>
    <r>
      <t xml:space="preserve">834, </t>
    </r>
    <r>
      <rPr>
        <sz val="14"/>
        <color theme="1"/>
        <rFont val="Arial Narrow"/>
        <family val="2"/>
      </rPr>
      <t>835, 839</t>
    </r>
  </si>
  <si>
    <r>
      <rPr>
        <sz val="14"/>
        <color theme="1"/>
        <rFont val="Arial Narrow"/>
        <family val="2"/>
      </rPr>
      <t>836</t>
    </r>
    <r>
      <rPr>
        <sz val="14"/>
        <color rgb="FFFF0000"/>
        <rFont val="Arial Narrow"/>
        <family val="2"/>
      </rPr>
      <t>, 837, 840</t>
    </r>
  </si>
  <si>
    <t>RV6000082509/ 511</t>
  </si>
  <si>
    <t>838, 841, 842, 843, 846</t>
  </si>
  <si>
    <t>24.03.23, 25.03.23, 25.03.23, 25.03.23, 31.03.23</t>
  </si>
  <si>
    <t>844, 845, 847</t>
  </si>
  <si>
    <t>28.03.23, 28.03.23, 31.03.23</t>
  </si>
  <si>
    <t>848, 849</t>
  </si>
  <si>
    <t>31.03.23, 31.03.23</t>
  </si>
  <si>
    <t>850, 001</t>
  </si>
  <si>
    <t>31.03.23, 04.04.23</t>
  </si>
  <si>
    <t>2, 3, 6</t>
  </si>
  <si>
    <t>04.04.23, 04.04.23, 06.04.23</t>
  </si>
  <si>
    <t>05.04.23, 06.04.23</t>
  </si>
  <si>
    <t>721, 722, 08</t>
  </si>
  <si>
    <t>26.02.23, 26.02.23, 06.04.23</t>
  </si>
  <si>
    <t>4, 7, 9</t>
  </si>
  <si>
    <t>05.04.23, 06.04.23, 06.04.23</t>
  </si>
  <si>
    <t>5, 10</t>
  </si>
  <si>
    <t>06.04.23, 06.04.23</t>
  </si>
  <si>
    <t>13, 14</t>
  </si>
  <si>
    <t>15, 16</t>
  </si>
  <si>
    <t>06.04.23, 08.04.23</t>
  </si>
  <si>
    <t>17, 18, 19</t>
  </si>
  <si>
    <t>08.04.23, 08.04.23, 08.04.23</t>
  </si>
  <si>
    <t>08.04.23, 09.04.23</t>
  </si>
  <si>
    <t>22, 24, 25</t>
  </si>
  <si>
    <t>09.04.23, 09.04.23, 09.04.23</t>
  </si>
  <si>
    <t>23, 27</t>
  </si>
  <si>
    <t>09.04.23, 10.04.23</t>
  </si>
  <si>
    <t>26, 28</t>
  </si>
  <si>
    <t>10.04.23</t>
  </si>
  <si>
    <t>29, 30, 33</t>
  </si>
  <si>
    <t>10.04.23, 10.04.23, 11.04.23</t>
  </si>
  <si>
    <t>32, 34, 36</t>
  </si>
  <si>
    <t>10.04.23, 11.04.23, 11.04.23</t>
  </si>
  <si>
    <t>35, 37</t>
  </si>
  <si>
    <t>11.04.23, 11.04.23</t>
  </si>
  <si>
    <t>38, 39, 40</t>
  </si>
  <si>
    <t>41, 42</t>
  </si>
  <si>
    <t>43, 44</t>
  </si>
  <si>
    <t>11.04.23, 11.04.23, 12.04.23</t>
  </si>
  <si>
    <t>12.04.23, 12.04.23</t>
  </si>
  <si>
    <t>45, 46</t>
  </si>
  <si>
    <t xml:space="preserve">13.04.23, </t>
  </si>
  <si>
    <t>13.04.23, 13.04.23</t>
  </si>
  <si>
    <t>47, 48, 49</t>
  </si>
  <si>
    <t>13.04.23, 13.04.23, 14.04.23</t>
  </si>
  <si>
    <t>50, 51</t>
  </si>
  <si>
    <t>14.04.23, 14.04.23</t>
  </si>
  <si>
    <t>52, 55</t>
  </si>
  <si>
    <t>14.04.23, 15.04.23</t>
  </si>
  <si>
    <t>53, 56</t>
  </si>
  <si>
    <t>54, 57</t>
  </si>
  <si>
    <t>58, 59</t>
  </si>
  <si>
    <t>15.04.23, 15.04.23</t>
  </si>
  <si>
    <t>60, 61</t>
  </si>
  <si>
    <t>15.04.23, 16.04.23</t>
  </si>
  <si>
    <t>16.04.23, 16.04.23</t>
  </si>
  <si>
    <t>64, 65, 68</t>
  </si>
  <si>
    <t>16.04.23, 17.04.23, 18.04.23</t>
  </si>
  <si>
    <t>66, 69</t>
  </si>
  <si>
    <t>17.04.23, 18.04.23</t>
  </si>
  <si>
    <t>67, 70</t>
  </si>
  <si>
    <t>18.04.23</t>
  </si>
  <si>
    <t>71, 72</t>
  </si>
  <si>
    <t>18.04.23, 18.04.23</t>
  </si>
  <si>
    <t>73, 74</t>
  </si>
  <si>
    <t>76, 78</t>
  </si>
  <si>
    <t>18.04.23, 19.04.23</t>
  </si>
  <si>
    <t>77, 80</t>
  </si>
  <si>
    <t>19.04.23, 20.04.23</t>
  </si>
  <si>
    <t>79, 81</t>
  </si>
  <si>
    <t>82, 83</t>
  </si>
  <si>
    <t>20.04.23, 20.04.23</t>
  </si>
  <si>
    <t>84, 85</t>
  </si>
  <si>
    <t>21.04.23</t>
  </si>
  <si>
    <t>86, 88</t>
  </si>
  <si>
    <t>20.04.23, 21.04.23</t>
  </si>
  <si>
    <t>90, 91, 92</t>
  </si>
  <si>
    <t>21.04.23, 21.04.23, 21.04.23</t>
  </si>
  <si>
    <t>21.04.23, 21.04.23</t>
  </si>
  <si>
    <t>21.04.23, 22.04.23</t>
  </si>
  <si>
    <t>22.04.23</t>
  </si>
  <si>
    <t>98, 99</t>
  </si>
  <si>
    <t>22.04.23, 22.04.23</t>
  </si>
  <si>
    <t>101, 102</t>
  </si>
  <si>
    <t>22.04.23, 23.04.23</t>
  </si>
  <si>
    <t>100, 103</t>
  </si>
  <si>
    <t>104, 105</t>
  </si>
  <si>
    <t>23.04.23, 23.04.23</t>
  </si>
  <si>
    <t>106, 109</t>
  </si>
  <si>
    <t>23.04.23, 24.04.23</t>
  </si>
  <si>
    <t>107, 110</t>
  </si>
  <si>
    <t>108, 111</t>
  </si>
  <si>
    <t>RV6000000160</t>
  </si>
  <si>
    <t>RV6000102231</t>
  </si>
  <si>
    <t>RV6000102229</t>
  </si>
  <si>
    <t>RV6000000077</t>
  </si>
  <si>
    <t>RV6000102234</t>
  </si>
  <si>
    <t>RV6000000099</t>
  </si>
  <si>
    <t>RV6000000132</t>
  </si>
  <si>
    <t>RV6000000131</t>
  </si>
  <si>
    <t>RV6000000078</t>
  </si>
  <si>
    <t>RV6000000139</t>
  </si>
  <si>
    <t>RV6000000097</t>
  </si>
  <si>
    <t>RV6000000188</t>
  </si>
  <si>
    <t>RV6000000005</t>
  </si>
  <si>
    <t>RV6000000159</t>
  </si>
  <si>
    <t>RV6000000133</t>
  </si>
  <si>
    <t>RV6000000134</t>
  </si>
  <si>
    <t>RV6000000278</t>
  </si>
  <si>
    <t>RV6000000279</t>
  </si>
  <si>
    <t>RV6000000142</t>
  </si>
  <si>
    <t>RV6000000137</t>
  </si>
  <si>
    <t>RV6000000004</t>
  </si>
  <si>
    <t>RV6000000006</t>
  </si>
  <si>
    <t>RV6000000098</t>
  </si>
  <si>
    <t>RV6000000138</t>
  </si>
  <si>
    <t>RV6000000102</t>
  </si>
  <si>
    <t>RV6000000100</t>
  </si>
  <si>
    <t>RV6000000101</t>
  </si>
  <si>
    <t>RV6000000327</t>
  </si>
  <si>
    <t>RV6000000326</t>
  </si>
  <si>
    <t>RV6000000350</t>
  </si>
  <si>
    <t>RV6000000187</t>
  </si>
  <si>
    <t>RV6000000895</t>
  </si>
  <si>
    <t>RV6000000161</t>
  </si>
  <si>
    <t>RV6000102322</t>
  </si>
  <si>
    <t>RV6000001391</t>
  </si>
  <si>
    <t>24.04.23, 24.04.23</t>
  </si>
  <si>
    <t>115, 116</t>
  </si>
  <si>
    <t>24.04.23, 25.04.23</t>
  </si>
  <si>
    <t>114, 117</t>
  </si>
  <si>
    <t>118, 119</t>
  </si>
  <si>
    <t>25.04.23, 26.04.23</t>
  </si>
  <si>
    <t>121, 122</t>
  </si>
  <si>
    <t>26.04.23, 27.04.23</t>
  </si>
  <si>
    <t>120, 123</t>
  </si>
  <si>
    <t>124, 125</t>
  </si>
  <si>
    <t>27.04.23, 28.04.23</t>
  </si>
  <si>
    <t>126, 127</t>
  </si>
  <si>
    <t>28.04.23, 29.04.23</t>
  </si>
  <si>
    <t>130, 131</t>
  </si>
  <si>
    <t>29.04.23, 30.04.23</t>
  </si>
  <si>
    <t>30.04.23, 30.04.23</t>
  </si>
  <si>
    <r>
      <t xml:space="preserve">30.04.23, </t>
    </r>
    <r>
      <rPr>
        <sz val="14"/>
        <color theme="1"/>
        <rFont val="Arial Narrow"/>
        <family val="2"/>
      </rPr>
      <t>02.05.23</t>
    </r>
  </si>
  <si>
    <r>
      <t xml:space="preserve">132 , </t>
    </r>
    <r>
      <rPr>
        <sz val="14"/>
        <color theme="1"/>
        <rFont val="Arial Narrow"/>
        <family val="2"/>
      </rPr>
      <t>133</t>
    </r>
  </si>
  <si>
    <t>134, 135</t>
  </si>
  <si>
    <t>02.05.23 , 04.05.23</t>
  </si>
  <si>
    <t>136, 137</t>
  </si>
  <si>
    <t>04.05.23, 04.05.23</t>
  </si>
  <si>
    <t>138, 139</t>
  </si>
  <si>
    <t>04.05.23, 06.05.23</t>
  </si>
  <si>
    <t>Biilet wt.</t>
  </si>
  <si>
    <t>Angle wt.</t>
  </si>
  <si>
    <t>140, 141</t>
  </si>
  <si>
    <t>06.05.23, 12.05.23</t>
  </si>
  <si>
    <t>142, 143</t>
  </si>
  <si>
    <t>12.05.23, 13.05.23</t>
  </si>
  <si>
    <t>144, 145</t>
  </si>
  <si>
    <t>13.05.23, 13.05.23</t>
  </si>
  <si>
    <t>RV6000102138</t>
  </si>
  <si>
    <t>146, 147</t>
  </si>
  <si>
    <t>13.05.23, 14.05.23</t>
  </si>
  <si>
    <t>148, 149</t>
  </si>
  <si>
    <t>14.05.23, 14.05.23</t>
  </si>
  <si>
    <t>150, 151</t>
  </si>
  <si>
    <t>14.05.23, 15.05.23</t>
  </si>
  <si>
    <t>152, 153</t>
  </si>
  <si>
    <t>15.05.23, 15.05.23</t>
  </si>
  <si>
    <t>154, 155, 157</t>
  </si>
  <si>
    <t>15.05.23, 16.05.23, 25.05.23</t>
  </si>
  <si>
    <t>24.05.23, 25.05.23</t>
  </si>
  <si>
    <t>156, 158</t>
  </si>
  <si>
    <t>HT -150X150AL-KIL</t>
  </si>
  <si>
    <t>159, 160</t>
  </si>
  <si>
    <t>25.05.23, 25.05.23</t>
  </si>
  <si>
    <t>161, 162</t>
  </si>
  <si>
    <t>25.05.23, 26.05.23</t>
  </si>
  <si>
    <t>163, 164</t>
  </si>
  <si>
    <t>26.05.23, 26.05.23</t>
  </si>
  <si>
    <t>165, 166</t>
  </si>
  <si>
    <t>26.05.23, 28.05.23</t>
  </si>
  <si>
    <t>28.05.23, 29.05.23</t>
  </si>
  <si>
    <t>168, 170</t>
  </si>
  <si>
    <t>29.05.23, 29.05.23</t>
  </si>
  <si>
    <t>173, 174</t>
  </si>
  <si>
    <t>29.05.23, 30.05.23</t>
  </si>
  <si>
    <t>30.05.23</t>
  </si>
  <si>
    <t>175, 176</t>
  </si>
  <si>
    <t>177, 178</t>
  </si>
  <si>
    <t>30.05.23, 30.05.23</t>
  </si>
  <si>
    <t>180, 184</t>
  </si>
  <si>
    <t>181, 185</t>
  </si>
  <si>
    <t>01.06.23, 01.06.23</t>
  </si>
  <si>
    <t>182, 186</t>
  </si>
  <si>
    <t>183, 187</t>
  </si>
  <si>
    <t>188, 189</t>
  </si>
  <si>
    <t>SAIL</t>
  </si>
  <si>
    <t>OS0022000465</t>
  </si>
  <si>
    <t>OS0022000459</t>
  </si>
  <si>
    <t>OS0022000463</t>
  </si>
  <si>
    <t>OS0022000464</t>
  </si>
  <si>
    <t>OS0022000460</t>
  </si>
  <si>
    <t>OS0022000458</t>
  </si>
  <si>
    <t>OS0022000461</t>
  </si>
  <si>
    <t>OS0022000462</t>
  </si>
  <si>
    <r>
      <t xml:space="preserve">30.05.23, </t>
    </r>
    <r>
      <rPr>
        <sz val="14"/>
        <color theme="1"/>
        <rFont val="Arial Narrow"/>
        <family val="2"/>
      </rPr>
      <t>01.06.23</t>
    </r>
  </si>
  <si>
    <t>190, 191</t>
  </si>
  <si>
    <t>01.06.23, 02.06.23</t>
  </si>
  <si>
    <t>192, 194</t>
  </si>
  <si>
    <t>02.06.23, 03.06.23</t>
  </si>
  <si>
    <t>193, 195</t>
  </si>
  <si>
    <t>03.06.23, 03.06.23</t>
  </si>
  <si>
    <t>196, 198</t>
  </si>
  <si>
    <t>03.06.23, 04.06.23</t>
  </si>
  <si>
    <t>197, 199, 200</t>
  </si>
  <si>
    <t>03.06.23, 04.06.23, 04.06.23</t>
  </si>
  <si>
    <t>04.06.23</t>
  </si>
  <si>
    <t>202, 203</t>
  </si>
  <si>
    <t>04.06.23, 04.06.23</t>
  </si>
  <si>
    <t>204, 206</t>
  </si>
  <si>
    <t>04.06.23, 05.06.23</t>
  </si>
  <si>
    <t>205, 207</t>
  </si>
  <si>
    <t>208, 209</t>
  </si>
  <si>
    <t>05.06.23, 06.06.23.</t>
  </si>
  <si>
    <t>210, 211</t>
  </si>
  <si>
    <t>06.06.23, 06.06.23</t>
  </si>
  <si>
    <t>212, 215</t>
  </si>
  <si>
    <t>06.06.23, 08.06.23</t>
  </si>
  <si>
    <t>213, 214, 216</t>
  </si>
  <si>
    <t>06.06.23, 06.06.23, 08.06.23</t>
  </si>
  <si>
    <t>08.06.23</t>
  </si>
  <si>
    <r>
      <t xml:space="preserve">683, </t>
    </r>
    <r>
      <rPr>
        <sz val="14"/>
        <color theme="1"/>
        <rFont val="Arial Narrow"/>
        <family val="2"/>
      </rPr>
      <t>219</t>
    </r>
  </si>
  <si>
    <r>
      <t xml:space="preserve">21.02.23, </t>
    </r>
    <r>
      <rPr>
        <sz val="14"/>
        <color theme="1"/>
        <rFont val="Arial Narrow"/>
        <family val="2"/>
      </rPr>
      <t>08.06.23</t>
    </r>
  </si>
  <si>
    <t>221, 222</t>
  </si>
  <si>
    <t>08.06.23, 08.06.23</t>
  </si>
  <si>
    <t>223, 224</t>
  </si>
  <si>
    <t>08.06.23, 09.06.23</t>
  </si>
  <si>
    <r>
      <t xml:space="preserve">587, 671, </t>
    </r>
    <r>
      <rPr>
        <sz val="14"/>
        <rFont val="Arial Narrow"/>
        <family val="2"/>
      </rPr>
      <t>226</t>
    </r>
  </si>
  <si>
    <r>
      <t>08.02.23, 20.02.22.</t>
    </r>
    <r>
      <rPr>
        <sz val="14"/>
        <rFont val="Arial Narrow"/>
        <family val="2"/>
      </rPr>
      <t>09.06.23</t>
    </r>
  </si>
  <si>
    <t>225, 227</t>
  </si>
  <si>
    <t>228, 229</t>
  </si>
  <si>
    <t>09.06.23, 09.06.23</t>
  </si>
  <si>
    <t>230, 231</t>
  </si>
  <si>
    <t>232, 233</t>
  </si>
  <si>
    <t>234, 235</t>
  </si>
  <si>
    <t>09.06.23, 10.06.23</t>
  </si>
  <si>
    <t>10.06.23</t>
  </si>
  <si>
    <t>236, 237</t>
  </si>
  <si>
    <t>10.06.23, 10.06.23</t>
  </si>
  <si>
    <t>217, 240</t>
  </si>
  <si>
    <t>08.06.23, 11.06.23</t>
  </si>
  <si>
    <t>218, 241, 242</t>
  </si>
  <si>
    <t>08.06.23, 11.06.23, 11.06.23</t>
  </si>
  <si>
    <t>243, 244</t>
  </si>
  <si>
    <t>11.06.23, 12.06.23</t>
  </si>
  <si>
    <t>245, 246</t>
  </si>
  <si>
    <t>12.06.23, 13.06.23</t>
  </si>
  <si>
    <t>247, 248</t>
  </si>
  <si>
    <t>13.06.23, 13.06.23</t>
  </si>
  <si>
    <t>249, 252</t>
  </si>
  <si>
    <t>13.06.23, 14.06.23</t>
  </si>
  <si>
    <t>250, 253</t>
  </si>
  <si>
    <t>14.06.23, 14.06.23</t>
  </si>
  <si>
    <t>251, 254</t>
  </si>
  <si>
    <t>255, 256, 257</t>
  </si>
  <si>
    <t>14.06.23, 14.06.23, 14.06.23</t>
  </si>
  <si>
    <t>258, 260</t>
  </si>
  <si>
    <t>14.06.23, 15.06.23</t>
  </si>
  <si>
    <t>259, 261</t>
  </si>
  <si>
    <t>15.06.23, 15.06.23</t>
  </si>
  <si>
    <t>262, 263</t>
  </si>
  <si>
    <t>15.06.23, 16.06.23</t>
  </si>
  <si>
    <t>264, 265, 266</t>
  </si>
  <si>
    <t>16.06.23,16.06.23, 16.06.23</t>
  </si>
  <si>
    <t>267, 268, 269</t>
  </si>
  <si>
    <t>16.06.23, 17.06.23, 19.06.23</t>
  </si>
  <si>
    <t>19.06.23, 19.06.23</t>
  </si>
  <si>
    <t>270, 271, 272</t>
  </si>
  <si>
    <t>19.06.23, 19.06.23, 19.06.23</t>
  </si>
  <si>
    <t>273, 274</t>
  </si>
  <si>
    <t>275, 277</t>
  </si>
  <si>
    <t>19.06.23, 20.06.23</t>
  </si>
  <si>
    <t>276, 278</t>
  </si>
  <si>
    <t>279, 280</t>
  </si>
  <si>
    <t>20.06.23, 20.06.23</t>
  </si>
  <si>
    <t>281, 282</t>
  </si>
  <si>
    <t>283, 284</t>
  </si>
  <si>
    <t>285, 286</t>
  </si>
  <si>
    <t>287, 289</t>
  </si>
  <si>
    <t>20.06.23, 22.06.23</t>
  </si>
  <si>
    <t>22.06.23, 22.06.23</t>
  </si>
  <si>
    <t>22.06.23, 23.06.23</t>
  </si>
  <si>
    <t>290, 291</t>
  </si>
  <si>
    <t>23.06.23, 23.06.23</t>
  </si>
  <si>
    <t>292, 293</t>
  </si>
  <si>
    <t>294, 295</t>
  </si>
  <si>
    <t>296, 297</t>
  </si>
  <si>
    <t>298, 299, 301</t>
  </si>
  <si>
    <t>23.06.23, 23.06.23, 23.06.23</t>
  </si>
  <si>
    <t>300, 302</t>
  </si>
  <si>
    <t>303, 305</t>
  </si>
  <si>
    <t>23.06.23, 24.06.23</t>
  </si>
  <si>
    <t>304, 306</t>
  </si>
  <si>
    <t>24.06.23, 24.06.23</t>
  </si>
  <si>
    <t>307, 308</t>
  </si>
  <si>
    <t>309, 310</t>
  </si>
  <si>
    <t>311, 312</t>
  </si>
  <si>
    <t>313, 314</t>
  </si>
  <si>
    <t>315, 316</t>
  </si>
  <si>
    <t>317, 318</t>
  </si>
  <si>
    <t>24.06.23, 25.06.23</t>
  </si>
  <si>
    <t>319, 320</t>
  </si>
  <si>
    <t>25.06.23, 25.06.23</t>
  </si>
  <si>
    <t>321, 322</t>
  </si>
  <si>
    <t>325, 326</t>
  </si>
  <si>
    <t>25.06.23, 26.06.23</t>
  </si>
  <si>
    <t>327, 328</t>
  </si>
  <si>
    <t>26.06.23, 26.06.23</t>
  </si>
  <si>
    <t>329, 330</t>
  </si>
  <si>
    <t>331, 332</t>
  </si>
  <si>
    <t>26.06.23, 27.06.23</t>
  </si>
  <si>
    <t>333, 334</t>
  </si>
  <si>
    <t>27.06.23, 27.06.23</t>
  </si>
  <si>
    <t>335, 336</t>
  </si>
  <si>
    <t>28.06.23</t>
  </si>
  <si>
    <t>337 ,339, 340</t>
  </si>
  <si>
    <t>27.06.23, 28.06.23, 28.06.23</t>
  </si>
  <si>
    <t>341, 342, 343</t>
  </si>
  <si>
    <t>28.06.23, 28.06.23, 28.06.23</t>
  </si>
  <si>
    <t>345, 346</t>
  </si>
  <si>
    <t>28.06.23, 29.06.23</t>
  </si>
  <si>
    <t>347, 348</t>
  </si>
  <si>
    <t>29.06.23, 29.06.23</t>
  </si>
  <si>
    <t>349, 350</t>
  </si>
  <si>
    <t>351, 352</t>
  </si>
  <si>
    <t>29.06.23, 30.06.23</t>
  </si>
  <si>
    <t>353, 354</t>
  </si>
  <si>
    <t>30.06.23, 30.06.23</t>
  </si>
  <si>
    <t>357, 358</t>
  </si>
  <si>
    <t>359, 360</t>
  </si>
  <si>
    <r>
      <t xml:space="preserve">30.06.23, </t>
    </r>
    <r>
      <rPr>
        <sz val="14"/>
        <color theme="1"/>
        <rFont val="Arial Narrow"/>
        <family val="2"/>
      </rPr>
      <t xml:space="preserve"> 01.07.23</t>
    </r>
  </si>
  <si>
    <t>361, 362</t>
  </si>
  <si>
    <t>363, 364</t>
  </si>
  <si>
    <t>01.07.23, 01.07.23</t>
  </si>
  <si>
    <t>365, 366</t>
  </si>
  <si>
    <t>01.07.23, 02.07.23</t>
  </si>
  <si>
    <t>367, 369</t>
  </si>
  <si>
    <t>239, 288 ,368 ,371</t>
  </si>
  <si>
    <r>
      <t xml:space="preserve">10.06.23, 22.06.23, </t>
    </r>
    <r>
      <rPr>
        <sz val="14"/>
        <color theme="1"/>
        <rFont val="Arial Narrow"/>
        <family val="2"/>
      </rPr>
      <t>01.07.23, 02.07.23</t>
    </r>
  </si>
  <si>
    <t>02.07.23, 02.07.23</t>
  </si>
  <si>
    <t>370, 373</t>
  </si>
  <si>
    <t>374, 375</t>
  </si>
  <si>
    <t>372, 377</t>
  </si>
  <si>
    <t>376, 379</t>
  </si>
  <si>
    <t>02.07.23, 03.07.23</t>
  </si>
  <si>
    <t>378, 381</t>
  </si>
  <si>
    <t>380, 383</t>
  </si>
  <si>
    <t>03.07.23, 03.07.23</t>
  </si>
  <si>
    <t>384, 385</t>
  </si>
  <si>
    <t>386, 387</t>
  </si>
  <si>
    <t>388, 389</t>
  </si>
  <si>
    <t>03.07.23, 04.07.23</t>
  </si>
  <si>
    <t>390, 392</t>
  </si>
  <si>
    <t>04.07.23, 04.07.23</t>
  </si>
  <si>
    <t>391, 393</t>
  </si>
  <si>
    <t>394, 396</t>
  </si>
  <si>
    <t>04.07.23, 06.07.23</t>
  </si>
  <si>
    <t>06.07.23</t>
  </si>
  <si>
    <t>397, 398, 399</t>
  </si>
  <si>
    <t>06.07.23, 06.07.23, 06.07.23</t>
  </si>
  <si>
    <t>401, 402, 403</t>
  </si>
  <si>
    <t>06.07.23, 06.07.23, 07.07.23</t>
  </si>
  <si>
    <t>404, 405</t>
  </si>
  <si>
    <t>07.07.23, 07.07.23</t>
  </si>
  <si>
    <t>406, 407</t>
  </si>
  <si>
    <t>408, 409</t>
  </si>
  <si>
    <t>410, 411</t>
  </si>
  <si>
    <t>07.07.23, 08.07.23</t>
  </si>
  <si>
    <t>08.07.23, 08.07.23</t>
  </si>
  <si>
    <t>BHUSHAN</t>
  </si>
  <si>
    <t>HT-160X160</t>
  </si>
  <si>
    <t>HT-180X180</t>
  </si>
  <si>
    <t>23OD2191134313</t>
  </si>
  <si>
    <t>23OD2191134310</t>
  </si>
  <si>
    <t>23OD2191134319</t>
  </si>
  <si>
    <t>23OD2191134318</t>
  </si>
  <si>
    <t>23OD2191134316</t>
  </si>
  <si>
    <t>23OD2191134317</t>
  </si>
  <si>
    <t>23OD2191134315</t>
  </si>
  <si>
    <t>23OD2191134540</t>
  </si>
  <si>
    <t>23OD2191134368</t>
  </si>
  <si>
    <t>23OD2191134366</t>
  </si>
  <si>
    <t>23OD2191134371</t>
  </si>
  <si>
    <t>23OD2191134370</t>
  </si>
  <si>
    <t>23OD2191134418</t>
  </si>
  <si>
    <t>23OD2191134419</t>
  </si>
  <si>
    <t>23OD2191136802</t>
  </si>
  <si>
    <t>230D2191136803</t>
  </si>
  <si>
    <t>230D2191136804</t>
  </si>
  <si>
    <t>230D2191136393</t>
  </si>
  <si>
    <t>230D2191136394</t>
  </si>
  <si>
    <t>230D2191136395</t>
  </si>
  <si>
    <t>230D2191136396</t>
  </si>
  <si>
    <t>230D2191136764</t>
  </si>
  <si>
    <t>230D2191136985</t>
  </si>
  <si>
    <t>230D2191136981</t>
  </si>
  <si>
    <t>230D2191138038</t>
  </si>
  <si>
    <t>230D2191138025</t>
  </si>
  <si>
    <t>23OD2191134382</t>
  </si>
  <si>
    <t>23OD2191134877</t>
  </si>
  <si>
    <t>23OD2191135507</t>
  </si>
  <si>
    <t>23OD2191135508</t>
  </si>
  <si>
    <t>23OD2191135989</t>
  </si>
  <si>
    <t>23OD2191135988</t>
  </si>
  <si>
    <t>23OD2191136002</t>
  </si>
  <si>
    <t>23OD2191136003</t>
  </si>
  <si>
    <t>23OD2191136001</t>
  </si>
  <si>
    <t>23OD2191136979</t>
  </si>
  <si>
    <t>23OD2191138039</t>
  </si>
  <si>
    <t>23OD2191138026</t>
  </si>
  <si>
    <t>23OD2191138144</t>
  </si>
  <si>
    <t>23OD2191138145</t>
  </si>
  <si>
    <t>23OD2191138035</t>
  </si>
  <si>
    <t>23OD2191138032</t>
  </si>
  <si>
    <t>23OD2191138034</t>
  </si>
  <si>
    <t>23OD2191138033</t>
  </si>
  <si>
    <t>23OD2191138150</t>
  </si>
  <si>
    <t>23OD2191138149</t>
  </si>
  <si>
    <t>23OD2191138151</t>
  </si>
  <si>
    <t>23OD2191138153</t>
  </si>
  <si>
    <t>23OD2191138152</t>
  </si>
  <si>
    <t>23OD2191138148</t>
  </si>
  <si>
    <t>23OD2191138146</t>
  </si>
  <si>
    <t>23OD2191138147</t>
  </si>
  <si>
    <t>23OD2191138666</t>
  </si>
  <si>
    <t>23OD2191143648</t>
  </si>
  <si>
    <t>23OD2191143654</t>
  </si>
  <si>
    <t>23OD2191143646</t>
  </si>
  <si>
    <t>23OD2191143650</t>
  </si>
  <si>
    <t>23OD2191143652</t>
  </si>
  <si>
    <t>23OD2191143669</t>
  </si>
  <si>
    <t>23OD2191143671</t>
  </si>
  <si>
    <t>23OD2191143665</t>
  </si>
  <si>
    <t>23OD2191143626</t>
  </si>
  <si>
    <t>23OD2191143627</t>
  </si>
  <si>
    <t>23OD2191143624</t>
  </si>
  <si>
    <t>23OD2191143623</t>
  </si>
  <si>
    <t>412, 413</t>
  </si>
  <si>
    <t>08.07.23, 09.07.23</t>
  </si>
  <si>
    <t>414, 415</t>
  </si>
  <si>
    <t>09.07.23, 10.07.23</t>
  </si>
  <si>
    <t>416, 417</t>
  </si>
  <si>
    <t>10.07.23, 10.07.23</t>
  </si>
  <si>
    <t>418, 419</t>
  </si>
  <si>
    <t>420, 421</t>
  </si>
  <si>
    <t>382, 395, 423</t>
  </si>
  <si>
    <t>03.07.23, 05.07.23, 10.07.23</t>
  </si>
  <si>
    <t>422, 424</t>
  </si>
  <si>
    <t>10.07.23, 11.07.23</t>
  </si>
  <si>
    <t>425, 426</t>
  </si>
  <si>
    <t>11.07.23, 11.07.23</t>
  </si>
  <si>
    <t>427, 428</t>
  </si>
  <si>
    <t>429, 430</t>
  </si>
  <si>
    <t>11.07.23, 12.07.23</t>
  </si>
  <si>
    <t>12.07.23, 12.07.23</t>
  </si>
  <si>
    <t>433, 434</t>
  </si>
  <si>
    <t>12.07.23, 13.07.23</t>
  </si>
  <si>
    <t>437, 438</t>
  </si>
  <si>
    <t>13.07.23, 13.07.23</t>
  </si>
  <si>
    <t>439, 440</t>
  </si>
  <si>
    <t>13.07.23, 14.07.23</t>
  </si>
  <si>
    <t>441, 442</t>
  </si>
  <si>
    <t>14.07.23, 14.07.23</t>
  </si>
  <si>
    <t>443, 444</t>
  </si>
  <si>
    <t>14.07.23, 15.07.23</t>
  </si>
  <si>
    <t>445, 446</t>
  </si>
  <si>
    <t>15.07.23, 15.07.23</t>
  </si>
  <si>
    <t>447, 448</t>
  </si>
  <si>
    <t>449, 450</t>
  </si>
  <si>
    <t>15.07.23, 16.07.23</t>
  </si>
  <si>
    <t>16.07.23, 16.07.23</t>
  </si>
  <si>
    <t>453, 454</t>
  </si>
  <si>
    <t>455, 456, 457</t>
  </si>
  <si>
    <t>16.07.23, 16.07.23, 17.07.23</t>
  </si>
  <si>
    <t>17.07.23</t>
  </si>
  <si>
    <t>459, 460, 462</t>
  </si>
  <si>
    <t>17.07.23 17.07.23, 18.07.23</t>
  </si>
  <si>
    <t>461, 463</t>
  </si>
  <si>
    <t>17.07.23, 18.07.23</t>
  </si>
  <si>
    <t>18.07.23</t>
  </si>
  <si>
    <t>18.07.23, 18.07.23</t>
  </si>
  <si>
    <t>464, 465</t>
  </si>
  <si>
    <t>467, 468</t>
  </si>
  <si>
    <t>18.07.23, 20.07.23</t>
  </si>
  <si>
    <t>20.07.23</t>
  </si>
  <si>
    <t>470, 471</t>
  </si>
  <si>
    <t>20.07.23, 21.07.23</t>
  </si>
  <si>
    <t>21.07.23</t>
  </si>
  <si>
    <t>472, 473</t>
  </si>
  <si>
    <t>21.07.23, 21.07.23</t>
  </si>
  <si>
    <t>477, 478</t>
  </si>
  <si>
    <t>479, 480</t>
  </si>
  <si>
    <t>21.07.23, 22.07.23</t>
  </si>
  <si>
    <t>22.07.23</t>
  </si>
  <si>
    <t>481, 482</t>
  </si>
  <si>
    <t>23.07.23</t>
  </si>
  <si>
    <t>483, 485</t>
  </si>
  <si>
    <t>22.07.23, 23.07.23</t>
  </si>
  <si>
    <t>489, 490</t>
  </si>
  <si>
    <t>23.07.23, 23.07.23</t>
  </si>
  <si>
    <t>24.07.23</t>
  </si>
  <si>
    <t>492, 493</t>
  </si>
  <si>
    <t>24.07.23, 24.07.23</t>
  </si>
  <si>
    <t>491, 495, 496</t>
  </si>
  <si>
    <t>23.07.23, 24.07.23, 25.07.23</t>
  </si>
  <si>
    <t>497, 498</t>
  </si>
  <si>
    <t>25.07.23, 25.07.23</t>
  </si>
  <si>
    <t>499, 500</t>
  </si>
  <si>
    <t>503, 505</t>
  </si>
  <si>
    <t>25.07.23, 26.07.23</t>
  </si>
  <si>
    <t>504, 506</t>
  </si>
  <si>
    <t>27.07.23</t>
  </si>
  <si>
    <t>26.07.23, 27.07.23</t>
  </si>
  <si>
    <t>510, 511</t>
  </si>
  <si>
    <t>27.07.23, 28.07.23</t>
  </si>
  <si>
    <t>RV6000031234</t>
  </si>
  <si>
    <t>RV6000031232</t>
  </si>
  <si>
    <t>RV6000031235</t>
  </si>
  <si>
    <t>RV6000031050</t>
  </si>
  <si>
    <t>RV6000031515</t>
  </si>
  <si>
    <t>RV6000031237</t>
  </si>
  <si>
    <t>RV6000031792</t>
  </si>
  <si>
    <t>RV6000031791</t>
  </si>
  <si>
    <t>RV6000031825</t>
  </si>
  <si>
    <t>RV6000031230</t>
  </si>
  <si>
    <t>RV6000031320</t>
  </si>
  <si>
    <t>RV6000031747</t>
  </si>
  <si>
    <t>RV6000031745</t>
  </si>
  <si>
    <t>RV6000031603</t>
  </si>
  <si>
    <t>RV6000031604</t>
  </si>
  <si>
    <t>RV6000031516</t>
  </si>
  <si>
    <t>RV6000031228</t>
  </si>
  <si>
    <t>RV6000031699</t>
  </si>
  <si>
    <t>RV6000031832</t>
  </si>
  <si>
    <t>RV6000031834</t>
  </si>
  <si>
    <t>RV6000031628</t>
  </si>
  <si>
    <t>RV6000031629</t>
  </si>
  <si>
    <t>RV6000031630</t>
  </si>
  <si>
    <t>RV6000031827</t>
  </si>
  <si>
    <t>RV6000031711</t>
  </si>
  <si>
    <t>RV1000036999</t>
  </si>
  <si>
    <t>RV1000036998</t>
  </si>
  <si>
    <t>RV1000037326</t>
  </si>
  <si>
    <t>RV1000037137</t>
  </si>
  <si>
    <t>RV1000036997</t>
  </si>
  <si>
    <t>RV1000036993</t>
  </si>
  <si>
    <t>RV1000037679</t>
  </si>
  <si>
    <t>RV1000037686</t>
  </si>
  <si>
    <t>RV1000037698</t>
  </si>
  <si>
    <t>RV1000037640</t>
  </si>
  <si>
    <t>RV1000038340</t>
  </si>
  <si>
    <t>RV1000038332</t>
  </si>
  <si>
    <t>RV1000038365</t>
  </si>
  <si>
    <t>RV1000038550</t>
  </si>
  <si>
    <t>RV1000038329</t>
  </si>
  <si>
    <t>RV1000038551</t>
  </si>
  <si>
    <t>RV1000038481</t>
  </si>
  <si>
    <t>RV1000038596</t>
  </si>
  <si>
    <t>RV1000038597</t>
  </si>
  <si>
    <t>RV1000039362</t>
  </si>
  <si>
    <t>RV1000039809</t>
  </si>
  <si>
    <t>RV1000039017</t>
  </si>
  <si>
    <t>RV6000030917</t>
  </si>
  <si>
    <t>RV6000030918</t>
  </si>
  <si>
    <t>512, 513</t>
  </si>
  <si>
    <t>28.07.23, 29.07.23</t>
  </si>
  <si>
    <t>29.07.23</t>
  </si>
  <si>
    <t>515, 516</t>
  </si>
  <si>
    <t>29.07.23, 29.07.23</t>
  </si>
  <si>
    <t>518, 520</t>
  </si>
  <si>
    <t>29.07.23, 30.07.23</t>
  </si>
  <si>
    <t>519, 521</t>
  </si>
  <si>
    <t>30.07.23</t>
  </si>
  <si>
    <t>524, 525</t>
  </si>
  <si>
    <t>30.07.23, 30.07.23</t>
  </si>
  <si>
    <t>527, 528</t>
  </si>
  <si>
    <t>530, 531</t>
  </si>
  <si>
    <t>30.07.23, 31.07.23</t>
  </si>
  <si>
    <t>31.07.23</t>
  </si>
  <si>
    <t>31.07.23, 31.07.23</t>
  </si>
  <si>
    <t>537, 538</t>
  </si>
  <si>
    <t>01.08.23</t>
  </si>
  <si>
    <r>
      <t>31.07.23,</t>
    </r>
    <r>
      <rPr>
        <sz val="14"/>
        <color theme="1"/>
        <rFont val="Arial Narrow"/>
        <family val="2"/>
      </rPr>
      <t xml:space="preserve"> 01.08.23</t>
    </r>
  </si>
  <si>
    <t>01.08.23, 01.08.23</t>
  </si>
  <si>
    <t>03.08.23</t>
  </si>
  <si>
    <t>554, 555</t>
  </si>
  <si>
    <t>03.08.23, 03.08.23</t>
  </si>
  <si>
    <t>01.08.23, 01.08.23, 03.08.23</t>
  </si>
  <si>
    <t>544, 548 ,557</t>
  </si>
  <si>
    <t>04.08.23</t>
  </si>
  <si>
    <t>547, 567</t>
  </si>
  <si>
    <t>01.08.23, 04.08.23</t>
  </si>
  <si>
    <t>556, 569</t>
  </si>
  <si>
    <t>03.08.23, 04.08.23</t>
  </si>
  <si>
    <t>561, 570</t>
  </si>
  <si>
    <t>04.08.23, 04.08.23</t>
  </si>
  <si>
    <t>572, 573</t>
  </si>
  <si>
    <t>574, 577</t>
  </si>
  <si>
    <t>04.08.23, 05.08.23</t>
  </si>
  <si>
    <t>579, 580</t>
  </si>
  <si>
    <t>05.08.23, 05.08.23</t>
  </si>
  <si>
    <t>05.08.23 billets return mdu</t>
  </si>
  <si>
    <t>584, 585</t>
  </si>
  <si>
    <t>586, 587</t>
  </si>
  <si>
    <t>591, 592</t>
  </si>
  <si>
    <t>593, 596</t>
  </si>
  <si>
    <t>597, 598</t>
  </si>
  <si>
    <t>HT130X130</t>
  </si>
  <si>
    <t>RV1000047804</t>
  </si>
  <si>
    <t>RV1000047597</t>
  </si>
  <si>
    <t>RV1000047938</t>
  </si>
  <si>
    <t>RV1000048496</t>
  </si>
  <si>
    <t>RV1000048497</t>
  </si>
  <si>
    <t>RV1000048201</t>
  </si>
  <si>
    <t>RV1000048412</t>
  </si>
  <si>
    <t>RV1000048487</t>
  </si>
  <si>
    <t>RV1000048585</t>
  </si>
  <si>
    <t>RV1000048488</t>
  </si>
  <si>
    <t>581, 600</t>
  </si>
  <si>
    <t>05.08.23, 06.08.23</t>
  </si>
  <si>
    <t>582, 601</t>
  </si>
  <si>
    <t>594, 602</t>
  </si>
  <si>
    <t>595, 603</t>
  </si>
  <si>
    <t>06.08.23</t>
  </si>
  <si>
    <t>599, 605</t>
  </si>
  <si>
    <t>05.08.23 06.08.23 billets return mdu</t>
  </si>
  <si>
    <t>604, 608</t>
  </si>
  <si>
    <t>06.08.23, 06.08.23</t>
  </si>
  <si>
    <t>607, 611</t>
  </si>
  <si>
    <t>06.08.23 06.08.23billets return mdu</t>
  </si>
  <si>
    <t>609, 610, 613</t>
  </si>
  <si>
    <t>06.08.23, 06.08.23, 06.08.23</t>
  </si>
  <si>
    <t>615, 616</t>
  </si>
  <si>
    <t>07.08.23, 07.08.23</t>
  </si>
  <si>
    <t>617, 621</t>
  </si>
  <si>
    <t>07.08.23, 08.08.23</t>
  </si>
  <si>
    <t>618, 622</t>
  </si>
  <si>
    <t>619, 623, 625</t>
  </si>
  <si>
    <t>620, 626</t>
  </si>
  <si>
    <t>07.08.23, 08.08.23, 08.08.23</t>
  </si>
  <si>
    <t xml:space="preserve">07.08.23, 08.08.23, </t>
  </si>
  <si>
    <t>08.08.23, 08.08.23</t>
  </si>
  <si>
    <t>628 ,629</t>
  </si>
  <si>
    <t>630, 631</t>
  </si>
  <si>
    <t>632, 633</t>
  </si>
  <si>
    <t>08.08.23, 09.08.23</t>
  </si>
  <si>
    <t>634, 637</t>
  </si>
  <si>
    <t>09.08.23, 10.08.23</t>
  </si>
  <si>
    <t>635, 638</t>
  </si>
  <si>
    <t>636, 640</t>
  </si>
  <si>
    <t>642, 644</t>
  </si>
  <si>
    <t>639, 641, 643</t>
  </si>
  <si>
    <t>10.08.23, 10.08.23, 11.08.23</t>
  </si>
  <si>
    <t>10.08.23, 11.08.23</t>
  </si>
  <si>
    <t>11.08.23</t>
  </si>
  <si>
    <t>648, 649</t>
  </si>
  <si>
    <t>11.08.23, 11.08.23</t>
  </si>
  <si>
    <t>645, 652</t>
  </si>
  <si>
    <t>646, 653</t>
  </si>
  <si>
    <t>650, 654</t>
  </si>
  <si>
    <t>651, 655</t>
  </si>
  <si>
    <t>11.08.23, 12.08.23</t>
  </si>
  <si>
    <t>656 ,658</t>
  </si>
  <si>
    <t>12.08.23, 12.08.23</t>
  </si>
  <si>
    <t>657, 660</t>
  </si>
  <si>
    <t>659, 662</t>
  </si>
  <si>
    <t>12.08.23, 13.08.23</t>
  </si>
  <si>
    <t>661, 663, 665</t>
  </si>
  <si>
    <t>12.08.23, 13.08.23, 13.08.23</t>
  </si>
  <si>
    <t>664, 666</t>
  </si>
  <si>
    <t>13.08.23, 13.08.23</t>
  </si>
  <si>
    <t>612, 668</t>
  </si>
  <si>
    <t>06.08.23 billets return mdu, 14.08.23 ANGLE</t>
  </si>
  <si>
    <t>667, 670</t>
  </si>
  <si>
    <t>13.08.23, 14.08.23</t>
  </si>
  <si>
    <t>669, 672</t>
  </si>
  <si>
    <t>14.08.28 , 16.08.23</t>
  </si>
  <si>
    <t>16.08.23</t>
  </si>
  <si>
    <t>671, 676</t>
  </si>
  <si>
    <t>14.08.23, 17.08.23</t>
  </si>
  <si>
    <t>16.08.23, 17.08.23</t>
  </si>
  <si>
    <t>678, 680</t>
  </si>
  <si>
    <t>17.08.23,. 17.08.23</t>
  </si>
  <si>
    <t>681, 682</t>
  </si>
  <si>
    <t>17.08.23, 17.08.23</t>
  </si>
  <si>
    <t>683, 684</t>
  </si>
  <si>
    <t>17.08.23, 18.08.23</t>
  </si>
  <si>
    <t>685, 686</t>
  </si>
  <si>
    <t>18.08.23, 18.08.23</t>
  </si>
  <si>
    <t>687, 688</t>
  </si>
  <si>
    <t>MS-130X130</t>
  </si>
  <si>
    <t>689, 691</t>
  </si>
  <si>
    <t>690, 695</t>
  </si>
  <si>
    <t>694, 696</t>
  </si>
  <si>
    <t>18.08.23, 19.08.23</t>
  </si>
  <si>
    <t>19.08.23</t>
  </si>
  <si>
    <t>18.08.23 BILLETS RETURN 19.08.23-ANGLE</t>
  </si>
  <si>
    <t>RV1000052355</t>
  </si>
  <si>
    <t>RV1000052361</t>
  </si>
  <si>
    <t>RV1000052358</t>
  </si>
  <si>
    <t>19.08.23, 19.08.23</t>
  </si>
  <si>
    <t>699, 702</t>
  </si>
  <si>
    <t>19.08.23, 20.08.23</t>
  </si>
  <si>
    <t>701, 703</t>
  </si>
  <si>
    <t>19.08.23, 20.8.23</t>
  </si>
  <si>
    <t>20.08.23</t>
  </si>
  <si>
    <t>NEW CHALLAN AUG-2023</t>
  </si>
  <si>
    <t>704, 707</t>
  </si>
  <si>
    <t>20.08.23, 20.08.23</t>
  </si>
  <si>
    <t>708, 709</t>
  </si>
  <si>
    <t>710, 711</t>
  </si>
  <si>
    <t>20.08.23, 21.08.23</t>
  </si>
  <si>
    <t>21.08.23,21.08.23</t>
  </si>
  <si>
    <t>22.08.23</t>
  </si>
  <si>
    <t>712, 714</t>
  </si>
  <si>
    <t>21.08.23, 22.08.23</t>
  </si>
  <si>
    <t>22.08.23, 22.08.23</t>
  </si>
  <si>
    <t>717, 718</t>
  </si>
  <si>
    <t>679, 720</t>
  </si>
  <si>
    <t>706, 721</t>
  </si>
  <si>
    <t>17.08.23, 22.08.23</t>
  </si>
  <si>
    <t>20.08.23, 22.08.23</t>
  </si>
  <si>
    <t>722,  723</t>
  </si>
  <si>
    <t>HT-180X180 GR60</t>
  </si>
  <si>
    <t>MS-160X160</t>
  </si>
  <si>
    <t>HT-160X160 GR 60</t>
  </si>
  <si>
    <t>230D2191164845</t>
  </si>
  <si>
    <t>230D2191164841</t>
  </si>
  <si>
    <t>230D2191164840</t>
  </si>
  <si>
    <t>230D2191164863</t>
  </si>
  <si>
    <t>230D2191164834</t>
  </si>
  <si>
    <t>230D2191164856</t>
  </si>
  <si>
    <t>230D2191164479</t>
  </si>
  <si>
    <t>230D2191164478</t>
  </si>
  <si>
    <t>230D2191164508</t>
  </si>
  <si>
    <t>230D2191164474</t>
  </si>
  <si>
    <t>230D2191164476</t>
  </si>
  <si>
    <t>230D2191164475</t>
  </si>
  <si>
    <t>230D2191164824</t>
  </si>
  <si>
    <t>230D2191164513</t>
  </si>
  <si>
    <t>230D2191164514</t>
  </si>
  <si>
    <t>719, 726</t>
  </si>
  <si>
    <t>22.08.23, 23.08.23</t>
  </si>
  <si>
    <t>23.08.23</t>
  </si>
  <si>
    <t>724, 725, 728</t>
  </si>
  <si>
    <t>22.08.23, 22.08.23, 23.08.23</t>
  </si>
  <si>
    <t>729, 732</t>
  </si>
  <si>
    <t>23.08.23, 23.08.23</t>
  </si>
  <si>
    <t>727, 734</t>
  </si>
  <si>
    <t>733, 736</t>
  </si>
  <si>
    <t>735, 739</t>
  </si>
  <si>
    <t>23.08.23 Biilets return angle-24.08.23</t>
  </si>
  <si>
    <t>730, 741</t>
  </si>
  <si>
    <t>740, 742</t>
  </si>
  <si>
    <t>24.08.23</t>
  </si>
  <si>
    <t>743, 744</t>
  </si>
  <si>
    <t>24.08.23, 24.08.23</t>
  </si>
  <si>
    <t>737, 738, 746</t>
  </si>
  <si>
    <t>23.08.23, 23.08.23, 24.08.23</t>
  </si>
  <si>
    <t>RV1000048910</t>
  </si>
  <si>
    <t>RV1000048633</t>
  </si>
  <si>
    <t>RV1000048695</t>
  </si>
  <si>
    <t>RV1000048842</t>
  </si>
  <si>
    <t>RV1000049012</t>
  </si>
  <si>
    <t>RV1000049013</t>
  </si>
  <si>
    <t>RV1000049050</t>
  </si>
  <si>
    <t>RV1000049014</t>
  </si>
  <si>
    <t>RV1000048836</t>
  </si>
  <si>
    <t>RV1000049166</t>
  </si>
  <si>
    <t>RV1000049159</t>
  </si>
  <si>
    <t>RV1000049302</t>
  </si>
  <si>
    <t>RV1000049048</t>
  </si>
  <si>
    <t>RV1000048874</t>
  </si>
  <si>
    <t>RV1000049051</t>
  </si>
  <si>
    <t>RV1000049093</t>
  </si>
  <si>
    <t>RV1000049131</t>
  </si>
  <si>
    <t>RV1000050055</t>
  </si>
  <si>
    <t>RV1000050053</t>
  </si>
  <si>
    <t>RV1000050050</t>
  </si>
  <si>
    <t>RV1000052192</t>
  </si>
  <si>
    <t>RV1000052363</t>
  </si>
  <si>
    <t>RV1000053330</t>
  </si>
  <si>
    <t>745,.748</t>
  </si>
  <si>
    <t>749, 750</t>
  </si>
  <si>
    <t>747, 752</t>
  </si>
  <si>
    <t>751, 755</t>
  </si>
  <si>
    <t>24.08.23, 25.08.23</t>
  </si>
  <si>
    <t>754, 756</t>
  </si>
  <si>
    <t>758, 759</t>
  </si>
  <si>
    <t>25.08.23, 25.08.23 BILLETS RETURN</t>
  </si>
  <si>
    <t>757, 763</t>
  </si>
  <si>
    <t>25.08.23, 25.08.23</t>
  </si>
  <si>
    <t>762, 764, 765</t>
  </si>
  <si>
    <t>25.08.23,  BILLETS 25.08.23 ,25.08.23ANGLE</t>
  </si>
  <si>
    <t>766, 767, 769</t>
  </si>
  <si>
    <t>26.08.23, 26.08.23</t>
  </si>
  <si>
    <t>25.08.23, 25.08.23, 26.08.23</t>
  </si>
  <si>
    <t>771, 772</t>
  </si>
  <si>
    <t>773, 774</t>
  </si>
  <si>
    <t>775, 777</t>
  </si>
  <si>
    <t>26.08.23, 27.08.23</t>
  </si>
  <si>
    <t>27.08.23, 27.08.23</t>
  </si>
  <si>
    <t>780, 781</t>
  </si>
  <si>
    <t xml:space="preserve">HT-160X160 </t>
  </si>
  <si>
    <t>230D2191165821</t>
  </si>
  <si>
    <t>230D2191164505</t>
  </si>
  <si>
    <t>230D2191164470</t>
  </si>
  <si>
    <t>230D2191164469</t>
  </si>
  <si>
    <t>230D2191164451</t>
  </si>
  <si>
    <t>230D2191164452</t>
  </si>
  <si>
    <t>230D2191164453</t>
  </si>
  <si>
    <t>230D2191164454</t>
  </si>
  <si>
    <t>230D2191164460</t>
  </si>
  <si>
    <t>230D2191164461</t>
  </si>
  <si>
    <t>230D2191164515</t>
  </si>
  <si>
    <t>230D2191164512</t>
  </si>
  <si>
    <t>230D2191164506</t>
  </si>
  <si>
    <t>230D2191164507</t>
  </si>
  <si>
    <t>230D2191164849</t>
  </si>
  <si>
    <t>230D2191164502</t>
  </si>
  <si>
    <t>230D2191164504</t>
  </si>
  <si>
    <t>230D2191164501</t>
  </si>
  <si>
    <t>230D2191164833</t>
  </si>
  <si>
    <t>230D2191164825</t>
  </si>
  <si>
    <t>230D2191164463</t>
  </si>
  <si>
    <t>230D2191164822</t>
  </si>
  <si>
    <t>230D2191164458</t>
  </si>
  <si>
    <t>230D2191164459</t>
  </si>
  <si>
    <t>230D2191164456</t>
  </si>
  <si>
    <t>230D2191164457</t>
  </si>
  <si>
    <t>230D2191164449</t>
  </si>
  <si>
    <t>230D2191164450</t>
  </si>
  <si>
    <t>230D2191164462</t>
  </si>
  <si>
    <t>230D2191164835</t>
  </si>
  <si>
    <t>230D2191164837</t>
  </si>
  <si>
    <t>230D2191164838</t>
  </si>
  <si>
    <t>230D2191164839</t>
  </si>
  <si>
    <t>230D2191164836</t>
  </si>
  <si>
    <t>230D2191164465</t>
  </si>
  <si>
    <t>230D2191164464</t>
  </si>
  <si>
    <t>230D2191164480</t>
  </si>
  <si>
    <t>230D2191164472</t>
  </si>
  <si>
    <t>230D2191164473</t>
  </si>
  <si>
    <t>230D2191164447</t>
  </si>
  <si>
    <t>230D2191164448</t>
  </si>
  <si>
    <t>230D2191164481</t>
  </si>
  <si>
    <t>RV1000044184</t>
  </si>
  <si>
    <t>RV1000044209</t>
  </si>
  <si>
    <t>RV1000044211</t>
  </si>
  <si>
    <t>RV1000044214</t>
  </si>
  <si>
    <t>RV1000044268</t>
  </si>
  <si>
    <t>RV1000044372</t>
  </si>
  <si>
    <t>RV1000044386</t>
  </si>
  <si>
    <t>RV1000044394</t>
  </si>
  <si>
    <t>RV1000044402</t>
  </si>
  <si>
    <t>RV1000044403</t>
  </si>
  <si>
    <t>RV1000044430</t>
  </si>
  <si>
    <t>RV1000044432</t>
  </si>
  <si>
    <t>RV1000044470</t>
  </si>
  <si>
    <t>RV1000044538</t>
  </si>
  <si>
    <t>RV1000044786</t>
  </si>
  <si>
    <t>RV1000044799</t>
  </si>
  <si>
    <t>RV1000044822</t>
  </si>
  <si>
    <t>RV1000044842</t>
  </si>
  <si>
    <t>RV1000044858</t>
  </si>
  <si>
    <t>RV1000044939</t>
  </si>
  <si>
    <t>RV1000044951</t>
  </si>
  <si>
    <t>RV1000044966</t>
  </si>
  <si>
    <t>RV1000044990</t>
  </si>
  <si>
    <t>RV1000044992</t>
  </si>
  <si>
    <t>RV1000045021</t>
  </si>
  <si>
    <t>RV1000045047</t>
  </si>
  <si>
    <t>RV1000045079</t>
  </si>
  <si>
    <t>RV1000045181</t>
  </si>
  <si>
    <t>RV1000045183</t>
  </si>
  <si>
    <t>RV1000045193</t>
  </si>
  <si>
    <t>RV1000045254</t>
  </si>
  <si>
    <t>RV1000045255</t>
  </si>
  <si>
    <t>RV1000045265</t>
  </si>
  <si>
    <t>RV1000045283</t>
  </si>
  <si>
    <t>RV1000045303</t>
  </si>
  <si>
    <t>RV1000045383</t>
  </si>
  <si>
    <t>RV1000045451</t>
  </si>
  <si>
    <t>RV1000045589</t>
  </si>
  <si>
    <t>RV1000045743</t>
  </si>
  <si>
    <t>RV1000045907</t>
  </si>
  <si>
    <t>RV1000045966</t>
  </si>
  <si>
    <t>RV1000045973</t>
  </si>
  <si>
    <t>RV1000046021</t>
  </si>
  <si>
    <t>RV1000046022</t>
  </si>
  <si>
    <t>RV1000046163</t>
  </si>
  <si>
    <t>RV1000046164</t>
  </si>
  <si>
    <t>RV1000046381</t>
  </si>
  <si>
    <t>RV1000046397</t>
  </si>
  <si>
    <t>RV1000046398</t>
  </si>
  <si>
    <t>RV1000046445</t>
  </si>
  <si>
    <t>RV1000046567</t>
  </si>
  <si>
    <t>RV1000046798</t>
  </si>
  <si>
    <t>RV1000046799</t>
  </si>
  <si>
    <t>RV1000046807</t>
  </si>
  <si>
    <t>RV1000046850</t>
  </si>
  <si>
    <t>RV1000050056</t>
  </si>
  <si>
    <t>RV1000046853</t>
  </si>
  <si>
    <t>RV1000046855</t>
  </si>
  <si>
    <t>RV1000046874</t>
  </si>
  <si>
    <t>RV1000046882</t>
  </si>
  <si>
    <t>RV1000046883</t>
  </si>
  <si>
    <t>RV1000046926</t>
  </si>
  <si>
    <t>RV1000046990</t>
  </si>
  <si>
    <t>RV1000047103</t>
  </si>
  <si>
    <t>RV1000047116</t>
  </si>
  <si>
    <t>RV1000047237</t>
  </si>
  <si>
    <t>RV1000047352</t>
  </si>
  <si>
    <t>RV1000047392</t>
  </si>
  <si>
    <t>RV1000047860</t>
  </si>
  <si>
    <t>RV1000047861</t>
  </si>
  <si>
    <t>RV1000047864</t>
  </si>
  <si>
    <t>RV1000047942</t>
  </si>
  <si>
    <t>RV1000047953</t>
  </si>
  <si>
    <t>RV1000047954</t>
  </si>
  <si>
    <t>RV1000048020</t>
  </si>
  <si>
    <t>RV1000048051</t>
  </si>
  <si>
    <t>RV1000048299</t>
  </si>
  <si>
    <t>RV1000048320</t>
  </si>
  <si>
    <t>RV1000048343</t>
  </si>
  <si>
    <t>RV1000049300</t>
  </si>
  <si>
    <t>782, 783</t>
  </si>
  <si>
    <t>27.08.23, 28, 08.23</t>
  </si>
  <si>
    <t>784, 785</t>
  </si>
  <si>
    <t>28.08.23, 28.08.23</t>
  </si>
  <si>
    <t>753, 787</t>
  </si>
  <si>
    <t>24.08.23, 28.08.23</t>
  </si>
  <si>
    <t>776, 788</t>
  </si>
  <si>
    <t>26.08.23, 28.08.23</t>
  </si>
  <si>
    <t>786, 790</t>
  </si>
  <si>
    <t>791, 792</t>
  </si>
  <si>
    <t>28.08.23, 29.08.23</t>
  </si>
  <si>
    <t>793, 794</t>
  </si>
  <si>
    <t>29.08.23, 29.08.23</t>
  </si>
  <si>
    <t>797, 798</t>
  </si>
  <si>
    <t>799, 800</t>
  </si>
  <si>
    <t>29.08.23, 30.08.23</t>
  </si>
  <si>
    <t>801, 802</t>
  </si>
  <si>
    <t>30.08.23, 30.08.23</t>
  </si>
  <si>
    <t>789, 804</t>
  </si>
  <si>
    <t>28.08.23, 31.08.23</t>
  </si>
  <si>
    <t>795, 796, 806</t>
  </si>
  <si>
    <t>803, 807</t>
  </si>
  <si>
    <t>29.08.23, 29.08.23, 31.08.23</t>
  </si>
  <si>
    <t>30.08.23, 31.08.23</t>
  </si>
  <si>
    <t>808, 809</t>
  </si>
  <si>
    <t>31.08.23, 31.08.23</t>
  </si>
  <si>
    <t>810, 811</t>
  </si>
  <si>
    <r>
      <t xml:space="preserve">31.08.23, </t>
    </r>
    <r>
      <rPr>
        <sz val="14"/>
        <color theme="1"/>
        <rFont val="Arial Narrow"/>
        <family val="2"/>
      </rPr>
      <t>01.09.23</t>
    </r>
  </si>
  <si>
    <t>812, 813</t>
  </si>
  <si>
    <t>01.09.23, 01.09.23</t>
  </si>
  <si>
    <t>814, 815</t>
  </si>
  <si>
    <t>01.09.23, 02.09.23</t>
  </si>
  <si>
    <t>02.09.23</t>
  </si>
  <si>
    <t>817, 818</t>
  </si>
  <si>
    <t>02.09.23, 02.09.23</t>
  </si>
  <si>
    <t>02.09.23, 03.09.23</t>
  </si>
  <si>
    <t>819, 821</t>
  </si>
  <si>
    <t>820, 822, 823</t>
  </si>
  <si>
    <t>02.09.23, 03.09.23, 03.09.23</t>
  </si>
  <si>
    <t>824, 825</t>
  </si>
  <si>
    <t>03.09.23, 03.09.23</t>
  </si>
  <si>
    <t>826, 827, 828</t>
  </si>
  <si>
    <t>03.09.23, 03.09.23, 04.09.23</t>
  </si>
  <si>
    <t>829, 830</t>
  </si>
  <si>
    <t>04.09.23, 04.09.23</t>
  </si>
  <si>
    <t>834, 835, 836</t>
  </si>
  <si>
    <t>04.09.23, 05.09.23, 05.09.23</t>
  </si>
  <si>
    <t>837, 838</t>
  </si>
  <si>
    <t>05.09.23, 05.09.23</t>
  </si>
  <si>
    <t>839, 840</t>
  </si>
  <si>
    <t>805, 832, 843</t>
  </si>
  <si>
    <t>31.08.23, 04.09.23, 06.09.23</t>
  </si>
  <si>
    <t>841, 842, 846</t>
  </si>
  <si>
    <t>05.09.23, 06.09.23, 07.09.23</t>
  </si>
  <si>
    <t>847, 848</t>
  </si>
  <si>
    <t>07.09.23, 07.09.23</t>
  </si>
  <si>
    <t>844, 850</t>
  </si>
  <si>
    <t>06.09.23, 07.09.23</t>
  </si>
  <si>
    <t>845, 851</t>
  </si>
  <si>
    <t>852, 853</t>
  </si>
  <si>
    <t>07.09.23, 08.09.23</t>
  </si>
  <si>
    <t>849, 855</t>
  </si>
  <si>
    <t>856, 857</t>
  </si>
  <si>
    <t>08.09.23, 08.09.23</t>
  </si>
  <si>
    <t>858, 859</t>
  </si>
  <si>
    <t>08.09.23, 09.09.23</t>
  </si>
  <si>
    <t>860, 861</t>
  </si>
  <si>
    <t>09.09.23, 09.09.23</t>
  </si>
  <si>
    <t>862, 864, 865</t>
  </si>
  <si>
    <t>09.09.23, 10.09.23, 10.09.23</t>
  </si>
  <si>
    <t>866, 867</t>
  </si>
  <si>
    <t>10.09.23, 11.09.23</t>
  </si>
  <si>
    <t>868, 869</t>
  </si>
  <si>
    <t>11.09.23, 11.09.23</t>
  </si>
  <si>
    <t>870, 871</t>
  </si>
  <si>
    <t>11.09.23, 12.09.23</t>
  </si>
  <si>
    <t>872, 873</t>
  </si>
  <si>
    <t>12.09.23, 12.09.23</t>
  </si>
  <si>
    <t>874, 875</t>
  </si>
  <si>
    <t>876, 877</t>
  </si>
  <si>
    <t>878, 879</t>
  </si>
  <si>
    <t>12.09.23, 13.09.23</t>
  </si>
  <si>
    <t>880, 881</t>
  </si>
  <si>
    <t>13.09.23, 13.09.23</t>
  </si>
  <si>
    <t>854, 863, 884</t>
  </si>
  <si>
    <t>08.09.23, 09.09.23, 13.09.23</t>
  </si>
  <si>
    <t>add</t>
  </si>
  <si>
    <t>886, 887</t>
  </si>
  <si>
    <t>14.09.23, 14.09.23</t>
  </si>
  <si>
    <t>230D2191164821/4513</t>
  </si>
  <si>
    <t>882, 883, 888</t>
  </si>
  <si>
    <t>13.09.23, 13.09.23, 14.09.23</t>
  </si>
  <si>
    <t>889, 890</t>
  </si>
  <si>
    <t>885, 893</t>
  </si>
  <si>
    <t>13.09.23, 15.09.23</t>
  </si>
  <si>
    <t>894, 895</t>
  </si>
  <si>
    <t>15.09.23, 15.09.23</t>
  </si>
  <si>
    <t>896, 897</t>
  </si>
  <si>
    <t>898, 899</t>
  </si>
  <si>
    <t>900, 901</t>
  </si>
  <si>
    <t>15.09.23, 16.09.23</t>
  </si>
  <si>
    <t>891, 892, 903</t>
  </si>
  <si>
    <t>14.09.23, 14.09.23, 16.09.23</t>
  </si>
  <si>
    <t>904, 905</t>
  </si>
  <si>
    <t>16.09.23, 16.09.23</t>
  </si>
  <si>
    <t>906, 907, 909</t>
  </si>
  <si>
    <t>16.09.23, 16.09.23, 18.09.23</t>
  </si>
  <si>
    <t>16.09.23, 18.09.23</t>
  </si>
  <si>
    <t>908, 910, 911</t>
  </si>
  <si>
    <t>16.09.23, 18.09.23, 18.09.23</t>
  </si>
  <si>
    <t>902, 913</t>
  </si>
  <si>
    <t>912, 915</t>
  </si>
  <si>
    <t>18.09.23, 18.09.23</t>
  </si>
  <si>
    <t>916, 917</t>
  </si>
  <si>
    <t>918, 919</t>
  </si>
  <si>
    <t>914, 921</t>
  </si>
  <si>
    <t>18.09.23, 19.09.23</t>
  </si>
  <si>
    <t>922,  924</t>
  </si>
  <si>
    <t>19.09.23, 19.09.23</t>
  </si>
  <si>
    <t>925, 926</t>
  </si>
  <si>
    <t>920, 923, 928</t>
  </si>
  <si>
    <t>18.09.23, 19.09.23, 19.09.23</t>
  </si>
  <si>
    <t>929, 930</t>
  </si>
  <si>
    <t>927, 933</t>
  </si>
  <si>
    <t>19.09.23, 20.09.23</t>
  </si>
  <si>
    <t>20.09.23</t>
  </si>
  <si>
    <t>934, 935</t>
  </si>
  <si>
    <t>931, 937</t>
  </si>
  <si>
    <t>932, 938</t>
  </si>
  <si>
    <t>936, 940</t>
  </si>
  <si>
    <t>20.09.23, 20.09.23</t>
  </si>
  <si>
    <t>942, 943</t>
  </si>
  <si>
    <t>20.09.23, 21.09.23</t>
  </si>
  <si>
    <t>939, 945</t>
  </si>
  <si>
    <t>946, 947, 949</t>
  </si>
  <si>
    <t>21.09.23, 21.09.23, 21.09.23</t>
  </si>
  <si>
    <t>950, 951</t>
  </si>
  <si>
    <t>21.09.23, 22.09.23</t>
  </si>
  <si>
    <t>22.09.23</t>
  </si>
  <si>
    <t>22.09.23, 22.09.23</t>
  </si>
  <si>
    <t>953, 954, 955</t>
  </si>
  <si>
    <t>22.09.23, 22.09.23, 22.09.23</t>
  </si>
  <si>
    <t>956, 957</t>
  </si>
  <si>
    <t>HT-160X230</t>
  </si>
  <si>
    <t>OS0020002595</t>
  </si>
  <si>
    <t>OS0020002598</t>
  </si>
  <si>
    <t>OS0020002597</t>
  </si>
  <si>
    <t>OS0020002602</t>
  </si>
  <si>
    <t>OS0020002599</t>
  </si>
  <si>
    <t>OS0020002608</t>
  </si>
  <si>
    <t>OS0020002605</t>
  </si>
  <si>
    <t>OS0020002609</t>
  </si>
  <si>
    <t>959, 961</t>
  </si>
  <si>
    <t>22.09.23, 23.09.23</t>
  </si>
  <si>
    <t>962, 963</t>
  </si>
  <si>
    <t>23.09.23, 24.09.23</t>
  </si>
  <si>
    <t>24.09.23, 24.09.23, 26.09.23</t>
  </si>
  <si>
    <t>964, 965, 966</t>
  </si>
  <si>
    <t>967, 968</t>
  </si>
  <si>
    <t>26.09.23, 26.09.23</t>
  </si>
  <si>
    <t>969, 970</t>
  </si>
  <si>
    <t>26.09.23, 27.09.23</t>
  </si>
  <si>
    <t>971, 972</t>
  </si>
  <si>
    <t>27.09.23, 27.09.23</t>
  </si>
  <si>
    <t>974, 975</t>
  </si>
  <si>
    <t>28.09.23, 29.09.23</t>
  </si>
  <si>
    <t>973, 976, 977</t>
  </si>
  <si>
    <t>27.09.23, 29.09.23, 29.09.23</t>
  </si>
  <si>
    <t>29.09.23</t>
  </si>
  <si>
    <t>978, 979</t>
  </si>
  <si>
    <t>29.09.23, 29.09.23</t>
  </si>
  <si>
    <t>981, 982</t>
  </si>
  <si>
    <t>29.09.23, 30.09.23</t>
  </si>
  <si>
    <t>30.09.23</t>
  </si>
  <si>
    <t>983, 984</t>
  </si>
  <si>
    <t>30.09.23, 30.09.23</t>
  </si>
  <si>
    <t>985, 986</t>
  </si>
  <si>
    <t>987, 988, 989</t>
  </si>
  <si>
    <t>30.09.23, 30.09.23, 30.09.23</t>
  </si>
  <si>
    <t>992, 993</t>
  </si>
  <si>
    <t>994, 995</t>
  </si>
  <si>
    <r>
      <t xml:space="preserve">997, </t>
    </r>
    <r>
      <rPr>
        <sz val="14"/>
        <color theme="1"/>
        <rFont val="Arial Narrow"/>
        <family val="2"/>
      </rPr>
      <t>998</t>
    </r>
  </si>
  <si>
    <r>
      <t xml:space="preserve">30.09.23, </t>
    </r>
    <r>
      <rPr>
        <sz val="14"/>
        <color theme="1"/>
        <rFont val="Arial Narrow"/>
        <family val="2"/>
      </rPr>
      <t>01.10.23</t>
    </r>
  </si>
  <si>
    <t>999, 1000</t>
  </si>
  <si>
    <t>01.10.23, 01.10.23</t>
  </si>
  <si>
    <t>1001, 1003</t>
  </si>
  <si>
    <t>01.10.23, 02.10.23</t>
  </si>
  <si>
    <t>1002, 1004, 1005</t>
  </si>
  <si>
    <t>01.10.23, 02.10.23, 02.10.23</t>
  </si>
  <si>
    <t>02.10.23</t>
  </si>
  <si>
    <t>1007, 1008</t>
  </si>
  <si>
    <t>02.10.23, 02.10.23</t>
  </si>
  <si>
    <t>1009, 110</t>
  </si>
  <si>
    <t>1011, 1012</t>
  </si>
  <si>
    <t>1013, 1014</t>
  </si>
  <si>
    <t>1015, 1017</t>
  </si>
  <si>
    <t>02.10.23, 03.10.23</t>
  </si>
  <si>
    <t>03.10.23</t>
  </si>
  <si>
    <t>1016, 1019, 1020</t>
  </si>
  <si>
    <t>02.10.23, 03.10.23, 03.10.23</t>
  </si>
  <si>
    <t>OS0020002749</t>
  </si>
  <si>
    <t>OS0020002747</t>
  </si>
  <si>
    <t>OS0020002746</t>
  </si>
  <si>
    <t>OS0020002748</t>
  </si>
  <si>
    <t>OS0020002745</t>
  </si>
  <si>
    <t>OS0020002822</t>
  </si>
  <si>
    <t>OS0020002881</t>
  </si>
  <si>
    <t>OS0020002875</t>
  </si>
  <si>
    <t>OS0020002903</t>
  </si>
  <si>
    <t>OS0020002902</t>
  </si>
  <si>
    <t>OS0020002908</t>
  </si>
  <si>
    <t>OS0020002906</t>
  </si>
  <si>
    <t>1024, 1025</t>
  </si>
  <si>
    <t>03.10.23, 04.10.23</t>
  </si>
  <si>
    <t>1026, 1027</t>
  </si>
  <si>
    <t>04.10.23, 04.10.23</t>
  </si>
  <si>
    <t>1022, 1023, 1034</t>
  </si>
  <si>
    <t>03.10.23, 03.10.23, 06.10.23</t>
  </si>
  <si>
    <t>1028, 1035</t>
  </si>
  <si>
    <t>04.10.23, 06.10.23</t>
  </si>
  <si>
    <t>1030, 1036</t>
  </si>
  <si>
    <t>1031, 1037</t>
  </si>
  <si>
    <t>1032, 1038</t>
  </si>
  <si>
    <t>05.10.23, 06.10.23</t>
  </si>
  <si>
    <t>1033, 1039, 1040</t>
  </si>
  <si>
    <t>05.10.23, 06.10.23, 06.10.23</t>
  </si>
  <si>
    <t>21.09.23, 22.09.23, 07.10.23</t>
  </si>
  <si>
    <t>21.09.23, 07.10.23</t>
  </si>
  <si>
    <t>04.10.23, 07.10.23</t>
  </si>
  <si>
    <t>07.10.23</t>
  </si>
  <si>
    <t>944, 960, 1044</t>
  </si>
  <si>
    <t>948, 1045</t>
  </si>
  <si>
    <t>1029, 1046</t>
  </si>
  <si>
    <t>1047, 1048</t>
  </si>
  <si>
    <t>07.10.23, 07.10.23</t>
  </si>
  <si>
    <t>1043, 1049, 1050</t>
  </si>
  <si>
    <t>07.10.23, 07.10.23, 07.10.23</t>
  </si>
  <si>
    <t>1051, 1052</t>
  </si>
  <si>
    <t>07.10.23, 08.10.23</t>
  </si>
  <si>
    <t>1041, 1054</t>
  </si>
  <si>
    <t>06.10.23, 08.10.23</t>
  </si>
  <si>
    <t>1055, 1056</t>
  </si>
  <si>
    <t>08.10.23, 09.10.23</t>
  </si>
  <si>
    <t>1057, 1058</t>
  </si>
  <si>
    <t>09.10.23, 09.10.23</t>
  </si>
  <si>
    <t>1059, 1060</t>
  </si>
  <si>
    <t>09.10.23, 11.10.23</t>
  </si>
  <si>
    <t>11.10.23</t>
  </si>
  <si>
    <t>1053, 1062</t>
  </si>
  <si>
    <t>08.10.23, 11.10.23</t>
  </si>
  <si>
    <t>1063, 1064</t>
  </si>
  <si>
    <t>11.10.23, 11.10.23</t>
  </si>
  <si>
    <t>1065, 1066</t>
  </si>
  <si>
    <t>1061, 1068</t>
  </si>
  <si>
    <t>1069, 1070</t>
  </si>
  <si>
    <t>RV6000063350</t>
  </si>
  <si>
    <t>12.10.23</t>
  </si>
  <si>
    <t>1073, 1074</t>
  </si>
  <si>
    <t>12.10.23, 12.10.23</t>
  </si>
  <si>
    <t>1071, 1077</t>
  </si>
  <si>
    <t>1076, 1078</t>
  </si>
  <si>
    <t>11.10.23, 14.10.23</t>
  </si>
  <si>
    <t>12.10.23, 14.10.23</t>
  </si>
  <si>
    <t>14.10.23</t>
  </si>
  <si>
    <t>1081, 1082, 1083</t>
  </si>
  <si>
    <t>14.10.23, 14.10.23, 15.10.23</t>
  </si>
  <si>
    <t>15.10.23</t>
  </si>
  <si>
    <t>1067, 1085</t>
  </si>
  <si>
    <t>11.10.23, 16.10.23</t>
  </si>
  <si>
    <t>1087, 1089</t>
  </si>
  <si>
    <t>16.10.23, 16.10.23</t>
  </si>
  <si>
    <t>1088, 1090</t>
  </si>
  <si>
    <t>17.10.23</t>
  </si>
  <si>
    <t>1092, 1093</t>
  </si>
  <si>
    <t>1075, 1086 ,1098</t>
  </si>
  <si>
    <t>12.10.23, 16.10.23, 19.10.23</t>
  </si>
  <si>
    <t>19.10.23</t>
  </si>
  <si>
    <t>1100, 1101</t>
  </si>
  <si>
    <t>19.10.23, 19.10.23</t>
  </si>
  <si>
    <t>1102, 1103</t>
  </si>
  <si>
    <t>1104, 1105</t>
  </si>
  <si>
    <t>1106, 1107</t>
  </si>
  <si>
    <t>1108, 1109</t>
  </si>
  <si>
    <t>19.10.23, 20.10.23</t>
  </si>
  <si>
    <t>1110, 1111</t>
  </si>
  <si>
    <t>20.10.23, 20.10.23</t>
  </si>
  <si>
    <t>1112, 1113</t>
  </si>
  <si>
    <t>1114, 1115</t>
  </si>
  <si>
    <t>1116, 1117</t>
  </si>
  <si>
    <t>1118, 1119, 1120</t>
  </si>
  <si>
    <t>20.10.23, 20.10.23, 20.10.23</t>
  </si>
  <si>
    <t>1121, 1122</t>
  </si>
  <si>
    <t>1123, 1124</t>
  </si>
  <si>
    <t>1125, 1126, 1127, 1128, 1129</t>
  </si>
  <si>
    <t>20.10.23, 21.10.23, 21.10.23, 21.10.23, 21.10.23</t>
  </si>
  <si>
    <t>1091, 1132</t>
  </si>
  <si>
    <t>16.10.23, 21.10.23</t>
  </si>
  <si>
    <t>1130, 1131, 1135</t>
  </si>
  <si>
    <t>21.10.23, 21.10.23, 22.10.23.</t>
  </si>
  <si>
    <t>1134, 1136</t>
  </si>
  <si>
    <t>21.10.23, 22.10.23</t>
  </si>
  <si>
    <t>22.10.23</t>
  </si>
  <si>
    <t>1137, 1138</t>
  </si>
  <si>
    <t>22.10.23, 22.10.23</t>
  </si>
  <si>
    <t>1139, 1140, 1142</t>
  </si>
  <si>
    <t>1141, 1143</t>
  </si>
  <si>
    <t>22.10.23, 22.10.23, 22.10.23</t>
  </si>
  <si>
    <t>1144, 1145</t>
  </si>
  <si>
    <t>1146, 1147</t>
  </si>
  <si>
    <t>22.10.23, 23.10.23</t>
  </si>
  <si>
    <t>1148, 1151</t>
  </si>
  <si>
    <t>23.10.23, 27.10.23</t>
  </si>
  <si>
    <t>1152, 1153</t>
  </si>
  <si>
    <t>27.10.23, 28.10.23</t>
  </si>
  <si>
    <t>1096, 1155</t>
  </si>
  <si>
    <t>17.10.23, 29.10.23</t>
  </si>
  <si>
    <t>1133, 1156</t>
  </si>
  <si>
    <t>21.10.23, 29.10.23</t>
  </si>
  <si>
    <t>29.10.23</t>
  </si>
  <si>
    <t>1154, 1158</t>
  </si>
  <si>
    <t>28.10.23, 29.10.23</t>
  </si>
  <si>
    <t>1160, 1161</t>
  </si>
  <si>
    <t>29.10.23, 29.10.23</t>
  </si>
  <si>
    <t>23.10.23, 29.10.23</t>
  </si>
  <si>
    <t>1149, 1162, 1163</t>
  </si>
  <si>
    <t>23.10.23, 29.10.23, 29.10.23</t>
  </si>
  <si>
    <t>1150, 1164</t>
  </si>
  <si>
    <t>1165, 1166</t>
  </si>
  <si>
    <t>29.10.23, 30.10.23</t>
  </si>
  <si>
    <t>30.10.23</t>
  </si>
  <si>
    <t>1157, 1168</t>
  </si>
  <si>
    <t>1095, 1169</t>
  </si>
  <si>
    <t>17.10.23, 30.10.23</t>
  </si>
  <si>
    <t>1097, 1170</t>
  </si>
  <si>
    <t>18.10.23, 30.10.23</t>
  </si>
  <si>
    <t>1171, 1172</t>
  </si>
  <si>
    <t>30.10.23, 30.10.23</t>
  </si>
  <si>
    <t>1173, 1174</t>
  </si>
  <si>
    <t>1167, 1177</t>
  </si>
  <si>
    <t>1176, 1179</t>
  </si>
  <si>
    <t>1180, 1181</t>
  </si>
  <si>
    <t>30.10.23, 31.10.23</t>
  </si>
  <si>
    <t>31.10.23, 31.10.23</t>
  </si>
  <si>
    <t>1182, 1183</t>
  </si>
  <si>
    <t>1184, 1185</t>
  </si>
  <si>
    <t>31.10.23,, 31.10.23</t>
  </si>
  <si>
    <t>1186, 1187</t>
  </si>
  <si>
    <t>1178, 1191</t>
  </si>
  <si>
    <t>1192, 1194</t>
  </si>
  <si>
    <t>1193, 1195</t>
  </si>
  <si>
    <t>1196, 1197</t>
  </si>
  <si>
    <t>1198, 1199</t>
  </si>
  <si>
    <r>
      <t>31.10.23 ,</t>
    </r>
    <r>
      <rPr>
        <sz val="14"/>
        <color theme="1"/>
        <rFont val="Arial Narrow"/>
        <family val="2"/>
      </rPr>
      <t>01.11.23</t>
    </r>
  </si>
  <si>
    <t>1188, 1201</t>
  </si>
  <si>
    <r>
      <t>31.10.23,</t>
    </r>
    <r>
      <rPr>
        <sz val="14"/>
        <color theme="1"/>
        <rFont val="Arial Narrow"/>
        <family val="2"/>
      </rPr>
      <t xml:space="preserve"> 01.11.23</t>
    </r>
  </si>
  <si>
    <t>HT-210X160</t>
  </si>
  <si>
    <t>OS0020003091</t>
  </si>
  <si>
    <t>OS0020003089</t>
  </si>
  <si>
    <t>RV6000064266</t>
  </si>
  <si>
    <t>RV6000065553</t>
  </si>
  <si>
    <t>RV6000065763</t>
  </si>
  <si>
    <t>RV6000065950</t>
  </si>
  <si>
    <t>RV6000065984</t>
  </si>
  <si>
    <t>RV6000065983</t>
  </si>
  <si>
    <t>RV6000065947</t>
  </si>
  <si>
    <t>RV6000065945</t>
  </si>
  <si>
    <t>RV6000064954</t>
  </si>
  <si>
    <t>Sail</t>
  </si>
  <si>
    <t>1202, 1203</t>
  </si>
  <si>
    <t>01.11.23, 01.11.23</t>
  </si>
  <si>
    <t>Billets 31.10.23, 31.10.23 Angle-01.11.23</t>
  </si>
  <si>
    <t>1189, 1190, 1204</t>
  </si>
  <si>
    <t>1200, 1206</t>
  </si>
  <si>
    <t>1205, 1208</t>
  </si>
  <si>
    <t>1209, 1210</t>
  </si>
  <si>
    <t>01.11.23, 02.11.23</t>
  </si>
  <si>
    <t>1211, 1212</t>
  </si>
  <si>
    <t>02.11.23</t>
  </si>
  <si>
    <t>1207, 1214</t>
  </si>
  <si>
    <t>1213, 1217, 1219</t>
  </si>
  <si>
    <t>02.11.23, 02.11.23, 02.11.23</t>
  </si>
  <si>
    <t>1220, 1221</t>
  </si>
  <si>
    <t>02.11.23, 02.11.23</t>
  </si>
  <si>
    <t>RV6000064121</t>
  </si>
  <si>
    <t>RV6000064134</t>
  </si>
  <si>
    <t>RV6000064684</t>
  </si>
  <si>
    <t>RV6000064832</t>
  </si>
  <si>
    <t>RV6000064873</t>
  </si>
  <si>
    <t>RV6000064874</t>
  </si>
  <si>
    <t>RV6000064880</t>
  </si>
  <si>
    <t>RV6000064879</t>
  </si>
  <si>
    <t>RV6000064819</t>
  </si>
  <si>
    <t>RV6000064959</t>
  </si>
  <si>
    <t>RV6000064820</t>
  </si>
  <si>
    <t>RV6000065358</t>
  </si>
  <si>
    <t>RV6000065022</t>
  </si>
  <si>
    <t>RV6000064876</t>
  </si>
  <si>
    <t>RV6000063351</t>
  </si>
  <si>
    <t>RV6000064953</t>
  </si>
  <si>
    <t>RV6000065038</t>
  </si>
  <si>
    <t>HT-130X130</t>
  </si>
  <si>
    <t>RV1000077670</t>
  </si>
  <si>
    <t>RV1000077792</t>
  </si>
  <si>
    <t>RV1000077672</t>
  </si>
  <si>
    <t>1218, 1225</t>
  </si>
  <si>
    <t>02.11.23, 03.11.23</t>
  </si>
  <si>
    <t>03.11.23, 03.11.23</t>
  </si>
  <si>
    <t>1226, 1227, 1228</t>
  </si>
  <si>
    <t>03.11.23, 03.11.23, 03.11.23</t>
  </si>
  <si>
    <t>03.11.23</t>
  </si>
  <si>
    <t>1229, 1230</t>
  </si>
  <si>
    <t>1223, 1224, 1232</t>
  </si>
  <si>
    <t>02.11.23, 02.11.23, 03.11.23</t>
  </si>
  <si>
    <t>1234, 1235</t>
  </si>
  <si>
    <t>1236, 1237</t>
  </si>
  <si>
    <t>03.11.23, 04.11.23</t>
  </si>
  <si>
    <t>1231, 1239</t>
  </si>
  <si>
    <t>RV6000077409</t>
  </si>
  <si>
    <t>RV6000077400</t>
  </si>
  <si>
    <t>RV6000075842</t>
  </si>
  <si>
    <t>RV6000075820</t>
  </si>
  <si>
    <t>RV6000075819</t>
  </si>
  <si>
    <t>RV6000075914</t>
  </si>
  <si>
    <t>RV6000075899</t>
  </si>
  <si>
    <t>RV6000075818</t>
  </si>
  <si>
    <t>RV6000076147</t>
  </si>
  <si>
    <t>RV6000076103</t>
  </si>
  <si>
    <t>RV6000075841</t>
  </si>
  <si>
    <t>RV6000075903</t>
  </si>
  <si>
    <t>RV6000075900</t>
  </si>
  <si>
    <t>RV6000075904</t>
  </si>
  <si>
    <t>RV6000076120</t>
  </si>
  <si>
    <t>RV6000076157</t>
  </si>
  <si>
    <t>RV6000076318</t>
  </si>
  <si>
    <t>RV6000076717</t>
  </si>
  <si>
    <t>RV6000076148</t>
  </si>
  <si>
    <t>RV6000076146</t>
  </si>
  <si>
    <t>RV6000076104</t>
  </si>
  <si>
    <t>RV6000077135</t>
  </si>
  <si>
    <t>RV6000077134</t>
  </si>
  <si>
    <t>RV6000075878</t>
  </si>
  <si>
    <t>RV6000077408</t>
  </si>
  <si>
    <t>RV6000076287</t>
  </si>
  <si>
    <t>RV6000077402</t>
  </si>
  <si>
    <t>RV6000078931</t>
  </si>
  <si>
    <t>RV6000078930</t>
  </si>
  <si>
    <t>RV6000077136</t>
  </si>
  <si>
    <t>RV6000076765</t>
  </si>
  <si>
    <t>RV6000076764</t>
  </si>
  <si>
    <t>RV6000076691</t>
  </si>
  <si>
    <t>1238, ,1243</t>
  </si>
  <si>
    <t>1242, 1244</t>
  </si>
  <si>
    <t>04.11.23, 06.11.23</t>
  </si>
  <si>
    <t>05.11.23, 06.11.23</t>
  </si>
  <si>
    <t>1245, 1246</t>
  </si>
  <si>
    <t>06.11.23, 06.11.23</t>
  </si>
  <si>
    <t>1247, 1249</t>
  </si>
  <si>
    <t>06.11.23, 07.11.23</t>
  </si>
  <si>
    <t>1250, 1251</t>
  </si>
  <si>
    <t>07.11.23, 07.11.23</t>
  </si>
  <si>
    <t>1252, 1253</t>
  </si>
  <si>
    <t>1254, 1255</t>
  </si>
  <si>
    <t>1256, 1257</t>
  </si>
  <si>
    <t>1240, 1259</t>
  </si>
  <si>
    <t>04.11.23, 08.11.23</t>
  </si>
  <si>
    <t>06.11.23, 08.11.23</t>
  </si>
  <si>
    <t>1241, 1260</t>
  </si>
  <si>
    <t>1248, 1261</t>
  </si>
  <si>
    <t>08.11.23</t>
  </si>
  <si>
    <t>1263, 1264</t>
  </si>
  <si>
    <t>08.11.23, 08.11.23</t>
  </si>
  <si>
    <t>1258, 1266</t>
  </si>
  <si>
    <t>07.11.23, 08.11.23</t>
  </si>
  <si>
    <t>1267, 1268</t>
  </si>
  <si>
    <t>1270, 1271</t>
  </si>
  <si>
    <t>1272, 1274</t>
  </si>
  <si>
    <t>08.11.23, 09.11.23</t>
  </si>
  <si>
    <t>1275, 1276, 1277</t>
  </si>
  <si>
    <t>09.11.23, 09.11.23, 09.11.23</t>
  </si>
  <si>
    <t>1278, 1279</t>
  </si>
  <si>
    <t>09.11.23, 09.11.23</t>
  </si>
  <si>
    <t>1280, 1281</t>
  </si>
  <si>
    <t>1282, 1283</t>
  </si>
  <si>
    <t>09.11.23, 10.11.23</t>
  </si>
  <si>
    <t>1265, 1285</t>
  </si>
  <si>
    <t>08.11.23, 10.11.23</t>
  </si>
  <si>
    <t>1273, 1286</t>
  </si>
  <si>
    <t>1284, 1288</t>
  </si>
  <si>
    <t>10.11.23, 10.11.23</t>
  </si>
  <si>
    <t>1289, 1290</t>
  </si>
  <si>
    <t>10.11.23, 11.11.23</t>
  </si>
  <si>
    <t>1291, 1292</t>
  </si>
  <si>
    <t>11.11.23, 11.11.23</t>
  </si>
  <si>
    <t>1287, 1294</t>
  </si>
  <si>
    <t>11.11.23, 15.11.23</t>
  </si>
  <si>
    <t>1296, 1300</t>
  </si>
  <si>
    <t>11.11.23, 16.11.23</t>
  </si>
  <si>
    <t>16.11.23</t>
  </si>
  <si>
    <t>1293, 1303</t>
  </si>
  <si>
    <t>1297, 1305</t>
  </si>
  <si>
    <t>1295, 1306</t>
  </si>
  <si>
    <t>1304, 1308</t>
  </si>
  <si>
    <t>15.11.23, 16.11.23, 16.11.23</t>
  </si>
  <si>
    <t>1301, 1307, 1310</t>
  </si>
  <si>
    <t>1309, 1312</t>
  </si>
  <si>
    <t>16.11.23, 17.11.23</t>
  </si>
  <si>
    <t>1298, 1313</t>
  </si>
  <si>
    <t>15.11.23, 17.11.23</t>
  </si>
  <si>
    <t>17.11.23</t>
  </si>
  <si>
    <t>1299, 1315</t>
  </si>
  <si>
    <t>1316, 1318</t>
  </si>
  <si>
    <t>17.11.23, 17.11.23</t>
  </si>
  <si>
    <t>1317, 1319</t>
  </si>
  <si>
    <t>1320, 1321, 1322</t>
  </si>
  <si>
    <t>17.11.23, 17.11.23, 18.11.23.</t>
  </si>
  <si>
    <t>18.11.23</t>
  </si>
  <si>
    <t>1324, 1325</t>
  </si>
  <si>
    <t>18.11.23, 18.11.23</t>
  </si>
  <si>
    <t>1302, 1328</t>
  </si>
  <si>
    <t>15.11.23, 18.11.23</t>
  </si>
  <si>
    <t>1311, 1329</t>
  </si>
  <si>
    <t>16.11.23, 18.11.23</t>
  </si>
  <si>
    <t>1330, 1331</t>
  </si>
  <si>
    <t>1326, 1333</t>
  </si>
  <si>
    <t>1332, 1335</t>
  </si>
  <si>
    <t>18.11.23, 19.11.23</t>
  </si>
  <si>
    <t>1336, 1338</t>
  </si>
  <si>
    <t>19.11.23, 19.11.23</t>
  </si>
  <si>
    <t>1334, 1342</t>
  </si>
  <si>
    <t>1337, 1344</t>
  </si>
  <si>
    <t>19.11.23, 20.11.23</t>
  </si>
  <si>
    <t>1340, 1345</t>
  </si>
  <si>
    <t>1341, 1346</t>
  </si>
  <si>
    <t>1343, 1347, 1348</t>
  </si>
  <si>
    <t>19.11.23, 20.11.23, 20.11.23</t>
  </si>
  <si>
    <t>1349, 1350</t>
  </si>
  <si>
    <t>20.11.23, 20.11.23</t>
  </si>
  <si>
    <t>1339 , 1353</t>
  </si>
  <si>
    <t>19.11.23, 21.11.23</t>
  </si>
  <si>
    <t>1355, 1357</t>
  </si>
  <si>
    <t>21.11.23, 21.11.23</t>
  </si>
  <si>
    <t>1356, 1360</t>
  </si>
  <si>
    <t>21.11.23, 22.11.23</t>
  </si>
  <si>
    <t>1351, 1352, 1362</t>
  </si>
  <si>
    <t>20.11.23, 20.11.23, 22.11.23</t>
  </si>
  <si>
    <t>1358, 1363</t>
  </si>
  <si>
    <t>1361, 1364</t>
  </si>
  <si>
    <t>22.11.23, 22.11.23</t>
  </si>
  <si>
    <t>1365, 1368</t>
  </si>
  <si>
    <t>22.11.23, 23.11.23</t>
  </si>
  <si>
    <t>1366, 1369</t>
  </si>
  <si>
    <t>23.11.23</t>
  </si>
  <si>
    <t>1354, 1371</t>
  </si>
  <si>
    <t>21.11.23, 23.11.23</t>
  </si>
  <si>
    <t>1370, 1375</t>
  </si>
  <si>
    <t>23.11.23, 23.11.23</t>
  </si>
  <si>
    <t>1376, 1378</t>
  </si>
  <si>
    <t>1379, 1380</t>
  </si>
  <si>
    <t>23.11.23, 24.11.23</t>
  </si>
  <si>
    <t>1381, 1382</t>
  </si>
  <si>
    <t>24.11.23, 24.11.23</t>
  </si>
  <si>
    <t>1374, 1384</t>
  </si>
  <si>
    <t>1359, 1385</t>
  </si>
  <si>
    <t>1367, 1386</t>
  </si>
  <si>
    <t>1377, 1387</t>
  </si>
  <si>
    <t>21.11.23, 24.11.23</t>
  </si>
  <si>
    <t>22.11.23, 24.11.23</t>
  </si>
  <si>
    <t>1383, 1389</t>
  </si>
  <si>
    <t>1388, 1392</t>
  </si>
  <si>
    <t>24.11.23, 25.11.23</t>
  </si>
  <si>
    <t>RV6000077401</t>
  </si>
  <si>
    <t>RV6000075967</t>
  </si>
  <si>
    <t>RV6000075927</t>
  </si>
  <si>
    <t>RV6000075938</t>
  </si>
  <si>
    <t>RV6000075958</t>
  </si>
  <si>
    <t>RV6000076108</t>
  </si>
  <si>
    <t>RV6000076516</t>
  </si>
  <si>
    <t>RV6000076068</t>
  </si>
  <si>
    <t>RV6000076692</t>
  </si>
  <si>
    <t>RV6000076247</t>
  </si>
  <si>
    <t>RV6000075901</t>
  </si>
  <si>
    <t>RV6000076763</t>
  </si>
  <si>
    <t>RV600071655</t>
  </si>
  <si>
    <t>RV600071656</t>
  </si>
  <si>
    <t>23OD2191512954</t>
  </si>
  <si>
    <t>23OD2191512953</t>
  </si>
  <si>
    <t>23OD2191512942</t>
  </si>
  <si>
    <t>23OD2191512943</t>
  </si>
  <si>
    <t>23OD2191512941</t>
  </si>
  <si>
    <t>23OD2191512950</t>
  </si>
  <si>
    <t>23OD2191512949</t>
  </si>
  <si>
    <t>23OD2191512890</t>
  </si>
  <si>
    <t>23OD2191512889</t>
  </si>
  <si>
    <t>23OD2191513391</t>
  </si>
  <si>
    <t>23OD2191513943</t>
  </si>
  <si>
    <t>23OD2191513970</t>
  </si>
  <si>
    <t>23OD2191513573</t>
  </si>
  <si>
    <t>23OD2191513574</t>
  </si>
  <si>
    <t>23OD2191513575</t>
  </si>
  <si>
    <t>23OD2191514483</t>
  </si>
  <si>
    <t>23OD2191514568</t>
  </si>
  <si>
    <t>23OD2191514854</t>
  </si>
  <si>
    <t>23OD2191514853</t>
  </si>
  <si>
    <t>23OD2191515363</t>
  </si>
  <si>
    <t>23OD2191515364</t>
  </si>
  <si>
    <t>23OD2191516103</t>
  </si>
  <si>
    <t>23OD2191516104</t>
  </si>
  <si>
    <t>23OD2191516105</t>
  </si>
  <si>
    <t>23OD2191515877</t>
  </si>
  <si>
    <t>23OD2191515876</t>
  </si>
  <si>
    <t>23OD2191515875</t>
  </si>
  <si>
    <t>23OD2191515878</t>
  </si>
  <si>
    <t>23OD2191515880</t>
  </si>
  <si>
    <t>23OD2191515881</t>
  </si>
  <si>
    <t>23OD2191515879</t>
  </si>
  <si>
    <t>23OD2191515696</t>
  </si>
  <si>
    <t>23OD2191515697</t>
  </si>
  <si>
    <t>23OD2191515693</t>
  </si>
  <si>
    <t>23OD2191515694</t>
  </si>
  <si>
    <t>23OD2191515695</t>
  </si>
  <si>
    <t>23OD2191516078</t>
  </si>
  <si>
    <t>23OD2191516077</t>
  </si>
  <si>
    <t>23OD2191516144</t>
  </si>
  <si>
    <t>23OD2191516143</t>
  </si>
  <si>
    <t>23OD2191516091</t>
  </si>
  <si>
    <t>23OD2191516092</t>
  </si>
  <si>
    <t>23OD2191516089</t>
  </si>
  <si>
    <t>23OD2191516378</t>
  </si>
  <si>
    <t>23OD2191516377</t>
  </si>
  <si>
    <t>23OD2191517011</t>
  </si>
  <si>
    <t>23OD2191517012</t>
  </si>
  <si>
    <t>23OD2191517010</t>
  </si>
  <si>
    <t>23OD2191512940</t>
  </si>
  <si>
    <t>23OD2191512939</t>
  </si>
  <si>
    <t>23OD2191515870</t>
  </si>
  <si>
    <t>23OD2191515872</t>
  </si>
  <si>
    <t>23OD2191515873</t>
  </si>
  <si>
    <t>23OD2191515871</t>
  </si>
  <si>
    <t>23OD2191515874</t>
  </si>
  <si>
    <t>23OD2191517014</t>
  </si>
  <si>
    <t>23OD2191517013</t>
  </si>
  <si>
    <t>RV6000078932</t>
  </si>
  <si>
    <t>RV6000078899</t>
  </si>
  <si>
    <t>RV6000078897</t>
  </si>
  <si>
    <t>Bhusan</t>
  </si>
  <si>
    <t>RV10000781193</t>
  </si>
  <si>
    <t>1390, 1394</t>
  </si>
  <si>
    <t>25.11.23</t>
  </si>
  <si>
    <t>1396, 1397</t>
  </si>
  <si>
    <t>1398, 1400</t>
  </si>
  <si>
    <t>25.11.23, 26.11.23</t>
  </si>
  <si>
    <t>25.11.23, 25.11.23</t>
  </si>
  <si>
    <t>1401, 1402</t>
  </si>
  <si>
    <t>26.11.23, 26.11.23</t>
  </si>
  <si>
    <t>1403, 1404</t>
  </si>
  <si>
    <t>1405, 1406</t>
  </si>
  <si>
    <t>1407, 1408</t>
  </si>
  <si>
    <t>26.11.23, 27.11.23</t>
  </si>
  <si>
    <t>1391, 1393, 1410</t>
  </si>
  <si>
    <t>1399, 1411</t>
  </si>
  <si>
    <t>24.11.23, 25.11.23, 27.11.23</t>
  </si>
  <si>
    <t>25.11.23, 27.11.23</t>
  </si>
  <si>
    <t>1409, 1413</t>
  </si>
  <si>
    <t>27.11.23, 27.11.23</t>
  </si>
  <si>
    <t>1414, 1418</t>
  </si>
  <si>
    <t>1415, 1419</t>
  </si>
  <si>
    <t>1417, 1420</t>
  </si>
  <si>
    <t>27.11.23, 28.11.23</t>
  </si>
  <si>
    <t>28.11.23</t>
  </si>
  <si>
    <t>1421, 1422</t>
  </si>
  <si>
    <t>28.11.23, 28.11.23</t>
  </si>
  <si>
    <t>1423, 1424</t>
  </si>
  <si>
    <t>1426, 1427</t>
  </si>
  <si>
    <t>28.11.23, 29.11.23</t>
  </si>
  <si>
    <t>29.11.23</t>
  </si>
  <si>
    <t>1428, 1429</t>
  </si>
  <si>
    <t>1431, 1432</t>
  </si>
  <si>
    <t>1433, 1436</t>
  </si>
  <si>
    <t>1438, 1439</t>
  </si>
  <si>
    <t>29.11.23, 30.11.23</t>
  </si>
  <si>
    <t>30.11.23</t>
  </si>
  <si>
    <t>30.11.23, 30.11.23</t>
  </si>
  <si>
    <t>1440, 1441</t>
  </si>
  <si>
    <t>1442, 1443</t>
  </si>
  <si>
    <t>1444, 1445</t>
  </si>
  <si>
    <t>1434, 1446</t>
  </si>
  <si>
    <t>1447, 1448</t>
  </si>
  <si>
    <t>1435., 1449</t>
  </si>
  <si>
    <t>30.11.23, 01.12.23</t>
  </si>
  <si>
    <t>29.11.23, 01.12.23</t>
  </si>
  <si>
    <t>01.12.23</t>
  </si>
  <si>
    <t>1450,</t>
  </si>
  <si>
    <t>1451, 1452</t>
  </si>
  <si>
    <t>01.12.23, 01.12.23</t>
  </si>
  <si>
    <t>1453, 1454</t>
  </si>
  <si>
    <t>1455, 1456</t>
  </si>
  <si>
    <t>1457, 1458</t>
  </si>
  <si>
    <t>01.12.23, 02.12.23</t>
  </si>
  <si>
    <t>1459, 1460</t>
  </si>
  <si>
    <t>1461, 1462</t>
  </si>
  <si>
    <t>02.12.23, 02.12.23</t>
  </si>
  <si>
    <t>02.12.23</t>
  </si>
  <si>
    <t>1464, 1465, 1466</t>
  </si>
  <si>
    <t>1468, 1469</t>
  </si>
  <si>
    <t>1412, 1471</t>
  </si>
  <si>
    <t>27.11.23, 02.12.23</t>
  </si>
  <si>
    <t>1416, 1472</t>
  </si>
  <si>
    <t>1470, 1474</t>
  </si>
  <si>
    <t>02.12.23, 03.12.23</t>
  </si>
  <si>
    <t>03.12.23</t>
  </si>
  <si>
    <t>1475, 1476</t>
  </si>
  <si>
    <t>03.12.23, 03.12.23</t>
  </si>
  <si>
    <t>1477, 1478</t>
  </si>
  <si>
    <t>1479, 1480</t>
  </si>
  <si>
    <t>1481, 1482</t>
  </si>
  <si>
    <t>1483, 1484</t>
  </si>
  <si>
    <t>03.12.23, 04.12.23</t>
  </si>
  <si>
    <t>1488, 1490</t>
  </si>
  <si>
    <t>1486, 1489</t>
  </si>
  <si>
    <t>04.12.23</t>
  </si>
  <si>
    <t>1491, 1492</t>
  </si>
  <si>
    <t>04.12.23, 04.12.23</t>
  </si>
  <si>
    <t>1493, 1494</t>
  </si>
  <si>
    <t>1496, 1497</t>
  </si>
  <si>
    <t>1498, 1499</t>
  </si>
  <si>
    <t>1500, 1501</t>
  </si>
  <si>
    <t>1502, 1503</t>
  </si>
  <si>
    <t>1473, 1505</t>
  </si>
  <si>
    <t>02.12.23, 04.12.23</t>
  </si>
  <si>
    <t>1504, 1508</t>
  </si>
  <si>
    <t>04.12.23, 05.12.23</t>
  </si>
  <si>
    <t>1510, 1511</t>
  </si>
  <si>
    <t>05.12.23, 05.12.23</t>
  </si>
  <si>
    <t>1509, 1512</t>
  </si>
  <si>
    <t>1514, 1516</t>
  </si>
  <si>
    <t>1515, 1518</t>
  </si>
  <si>
    <t>05.12.23, 06.12.23</t>
  </si>
  <si>
    <t>05.12.23, 05.12.23, 06.12.23</t>
  </si>
  <si>
    <t>06.12.23</t>
  </si>
  <si>
    <t>1513, 1517, 1520</t>
  </si>
  <si>
    <t>1519, 1521</t>
  </si>
  <si>
    <t>06.12.23, 06.12.23</t>
  </si>
  <si>
    <t>1507, 1524</t>
  </si>
  <si>
    <t>04.12.23, 06.12.23</t>
  </si>
  <si>
    <t>1525, 1526</t>
  </si>
  <si>
    <t>1522, 1528</t>
  </si>
  <si>
    <t>1529, 1530</t>
  </si>
  <si>
    <t>1531, 1532</t>
  </si>
  <si>
    <t>1533, 1534</t>
  </si>
  <si>
    <t>1535, 1536</t>
  </si>
  <si>
    <t>06.12.23, 07.12.23</t>
  </si>
  <si>
    <t>07.12.23</t>
  </si>
  <si>
    <t>1537, 1538</t>
  </si>
  <si>
    <t>07.12.23, 07.12.23</t>
  </si>
  <si>
    <t>1542, 1543</t>
  </si>
  <si>
    <t>1541, 1544</t>
  </si>
  <si>
    <t>1546, 1547</t>
  </si>
  <si>
    <t>1549, 1550</t>
  </si>
  <si>
    <t>07.12.23, 08.12.23</t>
  </si>
  <si>
    <t>08.12.23</t>
  </si>
  <si>
    <t>1551, 1552</t>
  </si>
  <si>
    <t>1553, 1554</t>
  </si>
  <si>
    <t>08.12.23, 08.12.23</t>
  </si>
  <si>
    <t>1527, 1556</t>
  </si>
  <si>
    <t>06.12.23, 08.12.23</t>
  </si>
  <si>
    <t>1557, 1558</t>
  </si>
  <si>
    <t xml:space="preserve">1559, </t>
  </si>
  <si>
    <t>1560, 1561</t>
  </si>
  <si>
    <t>1555, 1563</t>
  </si>
  <si>
    <t>1562, 1565</t>
  </si>
  <si>
    <t>1564, 1568</t>
  </si>
  <si>
    <t>1567, 1569</t>
  </si>
  <si>
    <t>08.12.23, 09.12.23</t>
  </si>
  <si>
    <t>09.12.23</t>
  </si>
  <si>
    <t>1571, 1573</t>
  </si>
  <si>
    <t>09.12.23, 09.12.23</t>
  </si>
  <si>
    <t>1572, 1574</t>
  </si>
  <si>
    <t>1566, 1577</t>
  </si>
  <si>
    <t>1576, 1579</t>
  </si>
  <si>
    <t>1583, 1584</t>
  </si>
  <si>
    <t>1581, 1585</t>
  </si>
  <si>
    <t>09.12.23, 10.12.23</t>
  </si>
  <si>
    <t>10.12.23</t>
  </si>
  <si>
    <t>1587, 1589</t>
  </si>
  <si>
    <t>10.12.23, 10.12.23</t>
  </si>
  <si>
    <t>1578, 1591</t>
  </si>
  <si>
    <t>1590, 1595</t>
  </si>
  <si>
    <t>1582, 1601</t>
  </si>
  <si>
    <t>1594, 1602</t>
  </si>
  <si>
    <t>1599, 1603</t>
  </si>
  <si>
    <t>1604, 1607</t>
  </si>
  <si>
    <t>10.12.23, 11.12.23</t>
  </si>
  <si>
    <t>11.12.23</t>
  </si>
  <si>
    <t>1609, 1610</t>
  </si>
  <si>
    <t>11.12.23, 11.12.23</t>
  </si>
  <si>
    <t>OS0022002630</t>
  </si>
  <si>
    <t>OS0022002631</t>
  </si>
  <si>
    <t>OS0022002632</t>
  </si>
  <si>
    <t>OS0022002633</t>
  </si>
  <si>
    <t>OS0022002634</t>
  </si>
  <si>
    <t>OS0022002635</t>
  </si>
  <si>
    <t>OS0022002636</t>
  </si>
  <si>
    <t>OS0022002637</t>
  </si>
  <si>
    <t>OS0022002638</t>
  </si>
  <si>
    <t>OS0022002639</t>
  </si>
  <si>
    <t>OS0022002716</t>
  </si>
  <si>
    <t>OS0022002717</t>
  </si>
  <si>
    <t>OS0022002685</t>
  </si>
  <si>
    <t>OS0022002684</t>
  </si>
  <si>
    <t>OS0022002683</t>
  </si>
  <si>
    <t>OS0022002682</t>
  </si>
  <si>
    <t>OS0022002681</t>
  </si>
  <si>
    <t>OS0022002680</t>
  </si>
  <si>
    <t>OS0022002679</t>
  </si>
  <si>
    <t>OS0022002678</t>
  </si>
  <si>
    <t>OS0022002677</t>
  </si>
  <si>
    <t>OS0022002789</t>
  </si>
  <si>
    <t>OS0022002790</t>
  </si>
  <si>
    <t>OS0022002791</t>
  </si>
  <si>
    <t>OS0022002792</t>
  </si>
  <si>
    <t>OS0022002793</t>
  </si>
  <si>
    <t>OS0022002794</t>
  </si>
  <si>
    <t>RV6000075822</t>
  </si>
  <si>
    <t>RV6000075823</t>
  </si>
  <si>
    <t>RV6000078272</t>
  </si>
  <si>
    <t>RV6000075825</t>
  </si>
  <si>
    <t>1611, 1612</t>
  </si>
  <si>
    <t>11.12.23, 12.12.23</t>
  </si>
  <si>
    <t>12.12.23</t>
  </si>
  <si>
    <t>1615, 1616</t>
  </si>
  <si>
    <t>1606, 1618</t>
  </si>
  <si>
    <t>RV6000082037</t>
  </si>
  <si>
    <t>RV6000082038</t>
  </si>
  <si>
    <t>RV6000075824</t>
  </si>
  <si>
    <t>RV6000075826</t>
  </si>
  <si>
    <t>RV6000078271</t>
  </si>
  <si>
    <t>HT-230X160</t>
  </si>
  <si>
    <t>OS0022002819</t>
  </si>
  <si>
    <t>OS0022002820</t>
  </si>
  <si>
    <t>OS0022002821</t>
  </si>
  <si>
    <t>OS0022002854</t>
  </si>
  <si>
    <t>OS0022002855</t>
  </si>
  <si>
    <t>OS0022002836</t>
  </si>
  <si>
    <t>OS0022002837</t>
  </si>
  <si>
    <t>OS0022002838</t>
  </si>
  <si>
    <t>OS0022002839</t>
  </si>
  <si>
    <t>1617, 1620</t>
  </si>
  <si>
    <t>1621, 1625</t>
  </si>
  <si>
    <t>12.12.23, 12.12.223</t>
  </si>
  <si>
    <t>1626, 1627</t>
  </si>
  <si>
    <t>12.12.23, 12.12.23</t>
  </si>
  <si>
    <t>1628, 1629</t>
  </si>
  <si>
    <t>13.12.23</t>
  </si>
  <si>
    <t>OS0022002910</t>
  </si>
  <si>
    <t>OS0022002909</t>
  </si>
  <si>
    <t>OS0022002908</t>
  </si>
  <si>
    <t>OS0022002907</t>
  </si>
  <si>
    <t>OS0022002906</t>
  </si>
  <si>
    <t>OS0022002905</t>
  </si>
  <si>
    <t>OS0022002901</t>
  </si>
  <si>
    <t>OS0022002900</t>
  </si>
  <si>
    <t>1630, 1638</t>
  </si>
  <si>
    <t>12.12.23, 14.12.23</t>
  </si>
  <si>
    <t>14.12.23</t>
  </si>
  <si>
    <t>13.12.23, 14.12.23</t>
  </si>
  <si>
    <t>1634, 1640, 1643</t>
  </si>
  <si>
    <t>13.12.23, 14.12.23, 14.12.23</t>
  </si>
  <si>
    <t>1644, 1645</t>
  </si>
  <si>
    <t>14.12.23, 14.12.23</t>
  </si>
  <si>
    <t>1619, 1647</t>
  </si>
  <si>
    <t>1623, 1648</t>
  </si>
  <si>
    <t>11.12.23, 14.12.23</t>
  </si>
  <si>
    <t>1632, 1650</t>
  </si>
  <si>
    <t>15.12.23</t>
  </si>
  <si>
    <t>1642, 1655</t>
  </si>
  <si>
    <t>14.12.23, 15.12.23</t>
  </si>
  <si>
    <t>1639, 1657</t>
  </si>
  <si>
    <t>1646 1660, 1661</t>
  </si>
  <si>
    <t>14.12.23, 16.12.23, 16.12.23</t>
  </si>
  <si>
    <t>1658, 1662</t>
  </si>
  <si>
    <t>15.12.23, 16.12.23</t>
  </si>
  <si>
    <t>1659, 1663</t>
  </si>
  <si>
    <t>16.12.23</t>
  </si>
  <si>
    <t>1664, 1665</t>
  </si>
  <si>
    <t>1667, 1668</t>
  </si>
  <si>
    <t>16.12.23, 16.12.23</t>
  </si>
  <si>
    <t>1669, 1672</t>
  </si>
  <si>
    <t>16.12.23, 17.12.23</t>
  </si>
  <si>
    <r>
      <t xml:space="preserve">16.12.23, 17.12.23, </t>
    </r>
    <r>
      <rPr>
        <sz val="14"/>
        <color theme="1"/>
        <rFont val="Arial Narrow"/>
        <family val="2"/>
      </rPr>
      <t>14.12.23</t>
    </r>
    <r>
      <rPr>
        <sz val="14"/>
        <color rgb="FFFF0000"/>
        <rFont val="Arial Narrow"/>
        <family val="2"/>
      </rPr>
      <t>, 17.12.23</t>
    </r>
  </si>
  <si>
    <r>
      <t xml:space="preserve">1671, 1673, </t>
    </r>
    <r>
      <rPr>
        <sz val="14"/>
        <color theme="1"/>
        <rFont val="Arial Narrow"/>
        <family val="2"/>
      </rPr>
      <t xml:space="preserve">1674, </t>
    </r>
    <r>
      <rPr>
        <sz val="14"/>
        <color rgb="FFFF0000"/>
        <rFont val="Arial Narrow"/>
        <family val="2"/>
      </rPr>
      <t>1675</t>
    </r>
  </si>
  <si>
    <t>17.12.23</t>
  </si>
  <si>
    <t>1676, 1677</t>
  </si>
  <si>
    <t>17.12.23, 17.12.23</t>
  </si>
  <si>
    <t>1678, 1679</t>
  </si>
  <si>
    <t>1598, 1600, 1683</t>
  </si>
  <si>
    <t>10.12.23, 10.12.23, 17.12.23</t>
  </si>
  <si>
    <t>1653, 1685</t>
  </si>
  <si>
    <t>15.12.23, 17.12.23</t>
  </si>
  <si>
    <t>1680, 1687</t>
  </si>
  <si>
    <t>17.12.23, 18.12.23</t>
  </si>
  <si>
    <t>18.12.23</t>
  </si>
  <si>
    <t>1688, 1691</t>
  </si>
  <si>
    <t>18.12.23, 18.12.23</t>
  </si>
  <si>
    <t>1692, 1693</t>
  </si>
  <si>
    <t>1694, 1695</t>
  </si>
  <si>
    <t>1696, 1697</t>
  </si>
  <si>
    <t>19.12.23</t>
  </si>
  <si>
    <t>18.12.23, 19.12.23</t>
  </si>
  <si>
    <t>1690, 1700</t>
  </si>
  <si>
    <t>1698, 1702</t>
  </si>
  <si>
    <t>19.12.23, 20.12.23</t>
  </si>
  <si>
    <t>OS0022002904</t>
  </si>
  <si>
    <t>OS0022002903</t>
  </si>
  <si>
    <t>OS0022002902</t>
  </si>
  <si>
    <t>OS0022002899</t>
  </si>
  <si>
    <t>OS0022002898</t>
  </si>
  <si>
    <t>OS0022002897</t>
  </si>
  <si>
    <t>OS0022002896</t>
  </si>
  <si>
    <t>OS0022002895</t>
  </si>
  <si>
    <t>OS0022002894</t>
  </si>
  <si>
    <t>OS0022002893</t>
  </si>
  <si>
    <t>OS0022002892</t>
  </si>
  <si>
    <t>OS0022002891</t>
  </si>
  <si>
    <t>OS0022002890</t>
  </si>
  <si>
    <t>OS0022002889</t>
  </si>
  <si>
    <t>OS0022002888</t>
  </si>
  <si>
    <t>OS0022002887</t>
  </si>
  <si>
    <t>OS0022002886</t>
  </si>
  <si>
    <t>OS0022002885</t>
  </si>
  <si>
    <t>OS0022002884</t>
  </si>
  <si>
    <t>OS0022002883</t>
  </si>
  <si>
    <t>22.12.23</t>
  </si>
  <si>
    <t>1624, 1707</t>
  </si>
  <si>
    <t>12.12.23, 22.12.23</t>
  </si>
  <si>
    <t>15.12.23, 22.12.23</t>
  </si>
  <si>
    <t>1656, 1713</t>
  </si>
  <si>
    <t>1686, 1714</t>
  </si>
  <si>
    <t>17.12.23, 22.12.23</t>
  </si>
  <si>
    <t>1701, 1716, 1717</t>
  </si>
  <si>
    <t>1635, 1715, 1718</t>
  </si>
  <si>
    <t>13.12.2023, 22.12.23, 23.12.23</t>
  </si>
  <si>
    <t>19.12.23, 22.12.23, 23.12.23</t>
  </si>
  <si>
    <t>1636, 1719</t>
  </si>
  <si>
    <t>13.12.2023 23.12.23</t>
  </si>
  <si>
    <t>1637, 1720</t>
  </si>
  <si>
    <t>13.12.2023, 23.12.23</t>
  </si>
  <si>
    <t>1721, 1723</t>
  </si>
  <si>
    <t>23.12.23, 23.12.23</t>
  </si>
  <si>
    <t>1722, 1724</t>
  </si>
  <si>
    <t>1725, 1726, 1727</t>
  </si>
  <si>
    <t>23.12.23, , 23.12.23, 24.12.23</t>
  </si>
  <si>
    <t>1728, 1729</t>
  </si>
  <si>
    <t>24.12.23, 24.12.23</t>
  </si>
  <si>
    <t>1730, 1731, 1732</t>
  </si>
  <si>
    <t>1733, 1734</t>
  </si>
  <si>
    <t>24.12.23, 24.12.23, 24.12.23</t>
  </si>
  <si>
    <t>24.12.23, 25.12.23</t>
  </si>
  <si>
    <t>25.12.23, 25.12.23</t>
  </si>
  <si>
    <t>1735, 1736</t>
  </si>
  <si>
    <t>1703, 1738</t>
  </si>
  <si>
    <t>OS0022003040</t>
  </si>
  <si>
    <t>OS0022003044</t>
  </si>
  <si>
    <t>OS0022003039</t>
  </si>
  <si>
    <t>OS0022003043</t>
  </si>
  <si>
    <t>OS0022003045</t>
  </si>
  <si>
    <t>OS0022003041</t>
  </si>
  <si>
    <t>OS0022003042</t>
  </si>
  <si>
    <t>OS0022003038</t>
  </si>
  <si>
    <t>OS0022003046</t>
  </si>
  <si>
    <t>20.12.23 , 26.12.23</t>
  </si>
  <si>
    <t>26.12.23</t>
  </si>
  <si>
    <t>1339, 1740</t>
  </si>
  <si>
    <t>26.12.23, 26.12.23</t>
  </si>
  <si>
    <t>1742, 1743</t>
  </si>
  <si>
    <t>1744, 1745</t>
  </si>
  <si>
    <t>25.12.23, 27.12.23</t>
  </si>
  <si>
    <t>1737, 1747</t>
  </si>
  <si>
    <t>1746, 1749</t>
  </si>
  <si>
    <t>26.12.23, 28.12.23</t>
  </si>
  <si>
    <t>1750, 1751</t>
  </si>
  <si>
    <t>28.12.23, 28.12.23</t>
  </si>
  <si>
    <t>1752, 1753</t>
  </si>
  <si>
    <t>28.12.23, 29.12.23</t>
  </si>
  <si>
    <t>29.12.23</t>
  </si>
  <si>
    <t>1754, 1755</t>
  </si>
  <si>
    <t>29.12.23, 29.12.23</t>
  </si>
  <si>
    <t>1756, 1757</t>
  </si>
  <si>
    <t>1748, 1759</t>
  </si>
  <si>
    <t>27.12.23, 29.12.23</t>
  </si>
  <si>
    <t>1758, 1761</t>
  </si>
  <si>
    <t>1762, 1763</t>
  </si>
  <si>
    <t>29.12.23, 30.12.23</t>
  </si>
  <si>
    <t>30.12.23</t>
  </si>
  <si>
    <t>1764, 1765</t>
  </si>
  <si>
    <t>30.12.23, 30.12.23</t>
  </si>
  <si>
    <t>1766, 1767</t>
  </si>
  <si>
    <t>1769, 1770</t>
  </si>
  <si>
    <t>30.12.23, 31.12.23</t>
  </si>
  <si>
    <t>1771, 1772</t>
  </si>
  <si>
    <t>31.12.23, 31.12.23</t>
  </si>
  <si>
    <r>
      <t xml:space="preserve">1773, </t>
    </r>
    <r>
      <rPr>
        <sz val="14"/>
        <color theme="1"/>
        <rFont val="Arial Narrow"/>
        <family val="2"/>
      </rPr>
      <t>1774</t>
    </r>
  </si>
  <si>
    <r>
      <t xml:space="preserve">31.12.23, </t>
    </r>
    <r>
      <rPr>
        <sz val="14"/>
        <color theme="1"/>
        <rFont val="Arial Narrow"/>
        <family val="2"/>
      </rPr>
      <t>01.01.24</t>
    </r>
  </si>
  <si>
    <t>1775, 1776</t>
  </si>
  <si>
    <t>1777, 1778</t>
  </si>
  <si>
    <t>01.01.24, 01.01.24</t>
  </si>
  <si>
    <t>1779, 1780</t>
  </si>
  <si>
    <t>02.01.24</t>
  </si>
  <si>
    <t>01.01.24, 02.01.24</t>
  </si>
  <si>
    <t>1781, 1783</t>
  </si>
  <si>
    <t>02.01.24, 02.01.24</t>
  </si>
  <si>
    <t>1784, 1786</t>
  </si>
  <si>
    <t>1787, 1788</t>
  </si>
  <si>
    <t>1790, 1791</t>
  </si>
  <si>
    <t>02.01.24, 03.01.24</t>
  </si>
  <si>
    <t>03.01.24</t>
  </si>
  <si>
    <t>1760, 1793</t>
  </si>
  <si>
    <t>29.12.23, 03.01.24</t>
  </si>
  <si>
    <t>1782, 1794</t>
  </si>
  <si>
    <t>1795, 1796</t>
  </si>
  <si>
    <t>03.01.24, 03.01.24</t>
  </si>
  <si>
    <t>1785, 1798</t>
  </si>
  <si>
    <t>1792, 1800</t>
  </si>
  <si>
    <t>1799, 1802</t>
  </si>
  <si>
    <t>1801, 1804, 1805</t>
  </si>
  <si>
    <t>04.01.23</t>
  </si>
  <si>
    <t>03.01.24, 04.01.24, 04.01.24</t>
  </si>
  <si>
    <t>1803, 1808</t>
  </si>
  <si>
    <t>03.01.24, 04.01.24</t>
  </si>
  <si>
    <t>04.01.24</t>
  </si>
  <si>
    <t>1810, 1811</t>
  </si>
  <si>
    <t>04.01.24, 04.01.23</t>
  </si>
  <si>
    <t>1812, 1813</t>
  </si>
  <si>
    <t>04.01.23, 04.01.23</t>
  </si>
  <si>
    <t>1807, 1815</t>
  </si>
  <si>
    <t>04.01.23, 04.01.24</t>
  </si>
  <si>
    <t>1817, 1818</t>
  </si>
  <si>
    <t>04.01.24, 05.01.24</t>
  </si>
  <si>
    <t>05.01.23</t>
  </si>
  <si>
    <t>1819, 1821</t>
  </si>
  <si>
    <t>05.01.24, 05.01.24</t>
  </si>
  <si>
    <t>05.01.24</t>
  </si>
  <si>
    <t>1820, 1823</t>
  </si>
  <si>
    <t>05.01.23, 05.01.23</t>
  </si>
  <si>
    <t>1814, 1824</t>
  </si>
  <si>
    <t>04.01.23, 05.01.23</t>
  </si>
  <si>
    <t>1825, 1826</t>
  </si>
  <si>
    <t>1827, 1828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</si>
</sst>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0.000"/>
    <numFmt numFmtId="165" formatCode="m/d/yyyy;@"/>
    <numFmt numFmtId="166" formatCode="_(* #,##0.000_);_(* \(#,##0.000\);_(* &quot;-&quot;??_);_(@_)"/>
    <numFmt numFmtId="167" formatCode="mm/dd/yy;@"/>
  </numFmts>
  <fonts count="3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FF0000"/>
      <name val="Times New Roman"/>
      <family val="1"/>
    </font>
    <font>
      <sz val="14"/>
      <color theme="1"/>
      <name val="Arial Narrow"/>
      <family val="2"/>
    </font>
    <font>
      <sz val="10"/>
      <name val="Arial"/>
      <family val="2"/>
    </font>
    <font>
      <sz val="10"/>
      <name val="Rockwell"/>
      <family val="1"/>
    </font>
    <font>
      <b/>
      <sz val="14"/>
      <color theme="1"/>
      <name val="Arial Narrow"/>
      <family val="2"/>
    </font>
    <font>
      <b/>
      <u/>
      <sz val="14"/>
      <color theme="5"/>
      <name val="Arial Narrow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FF0000"/>
      <name val="Arial Narrow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 Narrow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Arial Narrow"/>
      <family val="2"/>
    </font>
    <font>
      <sz val="11"/>
      <color rgb="FFFF0000"/>
      <name val="Calibri"/>
      <family val="2"/>
      <scheme val="minor"/>
    </font>
    <font>
      <b/>
      <sz val="14"/>
      <color rgb="FFFF0000"/>
      <name val="Arial Narrow"/>
      <family val="2"/>
    </font>
    <font>
      <b/>
      <sz val="16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rgb="FFFFFF00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3" fontId="15" fillId="0" borderId="0" applyFont="0" applyFill="0" applyBorder="0" applyAlignment="0" applyProtection="0"/>
  </cellStyleXfs>
  <cellXfs count="406">
    <xf numFmtId="0" fontId="0" fillId="0" borderId="0" xfId="0"/>
    <xf numFmtId="0" fontId="1" fillId="0" borderId="12" xfId="0" applyFont="1" applyBorder="1"/>
    <xf numFmtId="0" fontId="1" fillId="0" borderId="0" xfId="0" applyFont="1" applyBorder="1"/>
    <xf numFmtId="0" fontId="2" fillId="5" borderId="1" xfId="0" applyFont="1" applyFill="1" applyBorder="1" applyAlignment="1">
      <alignment vertical="top" wrapText="1"/>
    </xf>
    <xf numFmtId="0" fontId="1" fillId="5" borderId="0" xfId="0" applyFont="1" applyFill="1" applyBorder="1"/>
    <xf numFmtId="0" fontId="1" fillId="12" borderId="26" xfId="0" applyFont="1" applyFill="1" applyBorder="1"/>
    <xf numFmtId="0" fontId="3" fillId="0" borderId="0" xfId="0" applyFont="1"/>
    <xf numFmtId="0" fontId="1" fillId="0" borderId="13" xfId="0" applyFont="1" applyBorder="1"/>
    <xf numFmtId="0" fontId="2" fillId="13" borderId="15" xfId="0" applyFont="1" applyFill="1" applyBorder="1"/>
    <xf numFmtId="14" fontId="2" fillId="13" borderId="14" xfId="0" applyNumberFormat="1" applyFont="1" applyFill="1" applyBorder="1"/>
    <xf numFmtId="14" fontId="1" fillId="0" borderId="0" xfId="0" applyNumberFormat="1" applyFont="1"/>
    <xf numFmtId="0" fontId="2" fillId="0" borderId="0" xfId="0" applyFont="1"/>
    <xf numFmtId="0" fontId="2" fillId="10" borderId="21" xfId="0" applyFont="1" applyFill="1" applyBorder="1" applyAlignment="1">
      <alignment vertical="top"/>
    </xf>
    <xf numFmtId="0" fontId="2" fillId="10" borderId="1" xfId="0" applyFont="1" applyFill="1" applyBorder="1" applyAlignment="1">
      <alignment vertical="top"/>
    </xf>
    <xf numFmtId="0" fontId="2" fillId="10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vertical="top" wrapText="1"/>
    </xf>
    <xf numFmtId="0" fontId="2" fillId="16" borderId="1" xfId="0" applyFont="1" applyFill="1" applyBorder="1" applyAlignment="1">
      <alignment vertical="top" wrapText="1"/>
    </xf>
    <xf numFmtId="0" fontId="2" fillId="14" borderId="1" xfId="0" applyFont="1" applyFill="1" applyBorder="1" applyAlignment="1">
      <alignment vertical="top" wrapText="1"/>
    </xf>
    <xf numFmtId="0" fontId="2" fillId="12" borderId="21" xfId="0" applyFont="1" applyFill="1" applyBorder="1" applyAlignment="1">
      <alignment vertical="top" wrapText="1"/>
    </xf>
    <xf numFmtId="0" fontId="2" fillId="12" borderId="16" xfId="0" applyFont="1" applyFill="1" applyBorder="1" applyAlignment="1">
      <alignment vertical="top" wrapText="1"/>
    </xf>
    <xf numFmtId="14" fontId="2" fillId="15" borderId="1" xfId="0" applyNumberFormat="1" applyFont="1" applyFill="1" applyBorder="1" applyAlignment="1">
      <alignment vertical="top"/>
    </xf>
    <xf numFmtId="0" fontId="2" fillId="10" borderId="18" xfId="0" applyFont="1" applyFill="1" applyBorder="1"/>
    <xf numFmtId="164" fontId="2" fillId="10" borderId="20" xfId="0" applyNumberFormat="1" applyFont="1" applyFill="1" applyBorder="1"/>
    <xf numFmtId="164" fontId="2" fillId="12" borderId="21" xfId="0" applyNumberFormat="1" applyFont="1" applyFill="1" applyBorder="1" applyAlignment="1">
      <alignment vertical="top"/>
    </xf>
    <xf numFmtId="164" fontId="2" fillId="16" borderId="16" xfId="0" applyNumberFormat="1" applyFont="1" applyFill="1" applyBorder="1" applyAlignment="1">
      <alignment vertical="top"/>
    </xf>
    <xf numFmtId="164" fontId="2" fillId="5" borderId="16" xfId="0" applyNumberFormat="1" applyFont="1" applyFill="1" applyBorder="1" applyAlignment="1">
      <alignment vertical="top"/>
    </xf>
    <xf numFmtId="0" fontId="1" fillId="16" borderId="22" xfId="0" applyFont="1" applyFill="1" applyBorder="1"/>
    <xf numFmtId="0" fontId="1" fillId="14" borderId="22" xfId="0" applyFont="1" applyFill="1" applyBorder="1"/>
    <xf numFmtId="0" fontId="1" fillId="15" borderId="1" xfId="0" applyFont="1" applyFill="1" applyBorder="1"/>
    <xf numFmtId="164" fontId="2" fillId="10" borderId="19" xfId="0" applyNumberFormat="1" applyFont="1" applyFill="1" applyBorder="1"/>
    <xf numFmtId="164" fontId="2" fillId="10" borderId="27" xfId="0" applyNumberFormat="1" applyFont="1" applyFill="1" applyBorder="1"/>
    <xf numFmtId="0" fontId="1" fillId="12" borderId="24" xfId="0" applyFont="1" applyFill="1" applyBorder="1"/>
    <xf numFmtId="0" fontId="2" fillId="12" borderId="25" xfId="0" applyFont="1" applyFill="1" applyBorder="1" applyAlignment="1">
      <alignment horizontal="left"/>
    </xf>
    <xf numFmtId="0" fontId="2" fillId="12" borderId="26" xfId="0" applyFont="1" applyFill="1" applyBorder="1" applyAlignment="1">
      <alignment horizontal="left"/>
    </xf>
    <xf numFmtId="164" fontId="2" fillId="12" borderId="23" xfId="0" applyNumberFormat="1" applyFont="1" applyFill="1" applyBorder="1" applyAlignment="1">
      <alignment horizontal="center"/>
    </xf>
    <xf numFmtId="0" fontId="1" fillId="12" borderId="1" xfId="0" applyFont="1" applyFill="1" applyBorder="1"/>
    <xf numFmtId="0" fontId="2" fillId="12" borderId="21" xfId="0" applyFont="1" applyFill="1" applyBorder="1" applyAlignment="1">
      <alignment horizontal="left" vertical="top" wrapText="1"/>
    </xf>
    <xf numFmtId="0" fontId="2" fillId="0" borderId="1" xfId="0" applyFont="1" applyBorder="1"/>
    <xf numFmtId="164" fontId="2" fillId="0" borderId="1" xfId="0" applyNumberFormat="1" applyFont="1" applyBorder="1"/>
    <xf numFmtId="0" fontId="1" fillId="0" borderId="1" xfId="0" applyFont="1" applyBorder="1"/>
    <xf numFmtId="1" fontId="2" fillId="5" borderId="15" xfId="0" applyNumberFormat="1" applyFont="1" applyFill="1" applyBorder="1" applyAlignment="1">
      <alignment vertical="top"/>
    </xf>
    <xf numFmtId="1" fontId="1" fillId="5" borderId="0" xfId="0" applyNumberFormat="1" applyFont="1" applyFill="1" applyBorder="1"/>
    <xf numFmtId="0" fontId="2" fillId="15" borderId="28" xfId="0" applyFont="1" applyFill="1" applyBorder="1" applyAlignment="1">
      <alignment vertical="top" wrapText="1"/>
    </xf>
    <xf numFmtId="14" fontId="2" fillId="15" borderId="21" xfId="0" applyNumberFormat="1" applyFont="1" applyFill="1" applyBorder="1" applyAlignment="1">
      <alignment vertical="top"/>
    </xf>
    <xf numFmtId="0" fontId="1" fillId="15" borderId="17" xfId="0" applyFont="1" applyFill="1" applyBorder="1"/>
    <xf numFmtId="0" fontId="2" fillId="5" borderId="29" xfId="0" applyFont="1" applyFill="1" applyBorder="1" applyAlignment="1">
      <alignment vertical="top" wrapText="1"/>
    </xf>
    <xf numFmtId="164" fontId="1" fillId="0" borderId="0" xfId="0" applyNumberFormat="1" applyFont="1"/>
    <xf numFmtId="0" fontId="2" fillId="10" borderId="0" xfId="0" applyFont="1" applyFill="1" applyBorder="1" applyAlignment="1">
      <alignment vertical="top" wrapText="1"/>
    </xf>
    <xf numFmtId="0" fontId="2" fillId="10" borderId="0" xfId="0" applyFont="1" applyFill="1" applyBorder="1" applyAlignment="1">
      <alignment horizontal="left" vertical="top" wrapText="1"/>
    </xf>
    <xf numFmtId="164" fontId="2" fillId="10" borderId="0" xfId="0" applyNumberFormat="1" applyFont="1" applyFill="1" applyBorder="1" applyAlignment="1">
      <alignment vertical="top"/>
    </xf>
    <xf numFmtId="14" fontId="2" fillId="10" borderId="0" xfId="0" applyNumberFormat="1" applyFont="1" applyFill="1" applyBorder="1" applyAlignment="1">
      <alignment vertical="top"/>
    </xf>
    <xf numFmtId="14" fontId="2" fillId="13" borderId="30" xfId="0" applyNumberFormat="1" applyFont="1" applyFill="1" applyBorder="1"/>
    <xf numFmtId="0" fontId="2" fillId="12" borderId="1" xfId="0" applyFont="1" applyFill="1" applyBorder="1" applyAlignment="1">
      <alignment horizontal="left" vertical="top" wrapText="1"/>
    </xf>
    <xf numFmtId="164" fontId="1" fillId="0" borderId="0" xfId="0" applyNumberFormat="1" applyFont="1" applyBorder="1"/>
    <xf numFmtId="164" fontId="2" fillId="0" borderId="0" xfId="0" applyNumberFormat="1" applyFont="1" applyBorder="1"/>
    <xf numFmtId="164" fontId="2" fillId="0" borderId="1" xfId="0" applyNumberFormat="1" applyFont="1" applyBorder="1" applyAlignment="1">
      <alignment horizontal="center"/>
    </xf>
    <xf numFmtId="0" fontId="4" fillId="2" borderId="0" xfId="0" applyFont="1" applyFill="1"/>
    <xf numFmtId="2" fontId="2" fillId="0" borderId="1" xfId="0" applyNumberFormat="1" applyFont="1" applyBorder="1" applyAlignment="1">
      <alignment horizontal="center"/>
    </xf>
    <xf numFmtId="0" fontId="2" fillId="0" borderId="0" xfId="0" applyFont="1" applyBorder="1"/>
    <xf numFmtId="164" fontId="2" fillId="0" borderId="0" xfId="0" applyNumberFormat="1" applyFont="1"/>
    <xf numFmtId="164" fontId="2" fillId="0" borderId="0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vertical="top"/>
    </xf>
    <xf numFmtId="164" fontId="2" fillId="14" borderId="21" xfId="0" applyNumberFormat="1" applyFont="1" applyFill="1" applyBorder="1" applyAlignment="1">
      <alignment vertical="top"/>
    </xf>
    <xf numFmtId="164" fontId="1" fillId="0" borderId="0" xfId="0" applyNumberFormat="1" applyFont="1" applyAlignment="1">
      <alignment horizontal="center"/>
    </xf>
    <xf numFmtId="16" fontId="2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4" fontId="0" fillId="0" borderId="0" xfId="0" applyNumberFormat="1"/>
    <xf numFmtId="164" fontId="2" fillId="12" borderId="23" xfId="0" applyNumberFormat="1" applyFont="1" applyFill="1" applyBorder="1" applyAlignment="1">
      <alignment horizontal="right"/>
    </xf>
    <xf numFmtId="0" fontId="5" fillId="0" borderId="0" xfId="0" applyFont="1"/>
    <xf numFmtId="0" fontId="8" fillId="2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vertical="top" wrapText="1"/>
    </xf>
    <xf numFmtId="0" fontId="8" fillId="5" borderId="0" xfId="0" applyFont="1" applyFill="1" applyBorder="1" applyAlignment="1">
      <alignment vertical="top" wrapText="1"/>
    </xf>
    <xf numFmtId="0" fontId="5" fillId="7" borderId="0" xfId="0" applyFont="1" applyFill="1" applyBorder="1"/>
    <xf numFmtId="0" fontId="8" fillId="6" borderId="1" xfId="0" applyFont="1" applyFill="1" applyBorder="1" applyAlignment="1">
      <alignment vertical="top" wrapText="1"/>
    </xf>
    <xf numFmtId="0" fontId="8" fillId="6" borderId="8" xfId="0" applyFont="1" applyFill="1" applyBorder="1" applyAlignment="1">
      <alignment vertical="top" wrapText="1"/>
    </xf>
    <xf numFmtId="0" fontId="8" fillId="6" borderId="9" xfId="0" applyFont="1" applyFill="1" applyBorder="1" applyAlignment="1">
      <alignment vertical="top" wrapText="1"/>
    </xf>
    <xf numFmtId="0" fontId="8" fillId="7" borderId="0" xfId="0" applyFont="1" applyFill="1" applyBorder="1" applyAlignment="1">
      <alignment horizontal="center"/>
    </xf>
    <xf numFmtId="0" fontId="8" fillId="4" borderId="10" xfId="0" applyFont="1" applyFill="1" applyBorder="1" applyAlignment="1">
      <alignment vertical="top" wrapText="1"/>
    </xf>
    <xf numFmtId="0" fontId="8" fillId="17" borderId="10" xfId="0" applyFont="1" applyFill="1" applyBorder="1" applyAlignment="1">
      <alignment vertical="top" wrapText="1"/>
    </xf>
    <xf numFmtId="0" fontId="8" fillId="4" borderId="5" xfId="0" applyFont="1" applyFill="1" applyBorder="1" applyAlignment="1">
      <alignment vertical="top" wrapText="1"/>
    </xf>
    <xf numFmtId="0" fontId="8" fillId="18" borderId="11" xfId="0" applyFont="1" applyFill="1" applyBorder="1" applyAlignment="1">
      <alignment vertical="top" wrapText="1"/>
    </xf>
    <xf numFmtId="0" fontId="8" fillId="3" borderId="6" xfId="0" applyFont="1" applyFill="1" applyBorder="1" applyAlignment="1">
      <alignment vertical="top" wrapText="1"/>
    </xf>
    <xf numFmtId="0" fontId="9" fillId="0" borderId="0" xfId="0" applyFont="1"/>
    <xf numFmtId="0" fontId="5" fillId="10" borderId="0" xfId="0" applyFont="1" applyFill="1"/>
    <xf numFmtId="14" fontId="8" fillId="9" borderId="2" xfId="0" applyNumberFormat="1" applyFont="1" applyFill="1" applyBorder="1" applyAlignment="1">
      <alignment horizontal="right"/>
    </xf>
    <xf numFmtId="14" fontId="8" fillId="9" borderId="2" xfId="0" applyNumberFormat="1" applyFont="1" applyFill="1" applyBorder="1" applyAlignment="1"/>
    <xf numFmtId="0" fontId="5" fillId="0" borderId="3" xfId="0" applyFont="1" applyBorder="1"/>
    <xf numFmtId="164" fontId="5" fillId="0" borderId="0" xfId="0" applyNumberFormat="1" applyFont="1"/>
    <xf numFmtId="0" fontId="5" fillId="10" borderId="1" xfId="0" applyFont="1" applyFill="1" applyBorder="1"/>
    <xf numFmtId="0" fontId="5" fillId="7" borderId="1" xfId="0" applyFont="1" applyFill="1" applyBorder="1"/>
    <xf numFmtId="164" fontId="8" fillId="4" borderId="1" xfId="0" applyNumberFormat="1" applyFont="1" applyFill="1" applyBorder="1" applyAlignment="1">
      <alignment vertical="top" wrapText="1"/>
    </xf>
    <xf numFmtId="164" fontId="8" fillId="18" borderId="1" xfId="0" applyNumberFormat="1" applyFont="1" applyFill="1" applyBorder="1" applyAlignment="1">
      <alignment vertical="top" wrapText="1"/>
    </xf>
    <xf numFmtId="1" fontId="5" fillId="11" borderId="1" xfId="0" applyNumberFormat="1" applyFont="1" applyFill="1" applyBorder="1" applyAlignment="1">
      <alignment horizontal="center"/>
    </xf>
    <xf numFmtId="1" fontId="5" fillId="10" borderId="1" xfId="0" applyNumberFormat="1" applyFont="1" applyFill="1" applyBorder="1" applyAlignment="1">
      <alignment horizontal="left"/>
    </xf>
    <xf numFmtId="1" fontId="5" fillId="0" borderId="1" xfId="0" applyNumberFormat="1" applyFont="1" applyFill="1" applyBorder="1"/>
    <xf numFmtId="14" fontId="5" fillId="0" borderId="1" xfId="0" applyNumberFormat="1" applyFont="1" applyFill="1" applyBorder="1" applyAlignment="1">
      <alignment horizontal="center"/>
    </xf>
    <xf numFmtId="164" fontId="5" fillId="0" borderId="1" xfId="0" applyNumberFormat="1" applyFont="1" applyFill="1" applyBorder="1"/>
    <xf numFmtId="0" fontId="5" fillId="0" borderId="1" xfId="0" applyFont="1" applyFill="1" applyBorder="1"/>
    <xf numFmtId="164" fontId="5" fillId="10" borderId="1" xfId="0" applyNumberFormat="1" applyFont="1" applyFill="1" applyBorder="1"/>
    <xf numFmtId="14" fontId="5" fillId="19" borderId="1" xfId="0" applyNumberFormat="1" applyFont="1" applyFill="1" applyBorder="1"/>
    <xf numFmtId="164" fontId="11" fillId="19" borderId="1" xfId="0" applyNumberFormat="1" applyFont="1" applyFill="1" applyBorder="1"/>
    <xf numFmtId="0" fontId="5" fillId="19" borderId="1" xfId="0" applyFont="1" applyFill="1" applyBorder="1"/>
    <xf numFmtId="1" fontId="10" fillId="19" borderId="1" xfId="0" applyNumberFormat="1" applyFont="1" applyFill="1" applyBorder="1"/>
    <xf numFmtId="164" fontId="5" fillId="19" borderId="7" xfId="0" applyNumberFormat="1" applyFont="1" applyFill="1" applyBorder="1" applyAlignment="1">
      <alignment horizontal="center"/>
    </xf>
    <xf numFmtId="1" fontId="5" fillId="10" borderId="1" xfId="0" applyNumberFormat="1" applyFont="1" applyFill="1" applyBorder="1" applyAlignment="1">
      <alignment horizontal="right"/>
    </xf>
    <xf numFmtId="0" fontId="5" fillId="0" borderId="28" xfId="0" applyFont="1" applyFill="1" applyBorder="1"/>
    <xf numFmtId="0" fontId="5" fillId="0" borderId="4" xfId="0" applyFont="1" applyFill="1" applyBorder="1"/>
    <xf numFmtId="0" fontId="5" fillId="0" borderId="31" xfId="0" applyFont="1" applyBorder="1"/>
    <xf numFmtId="1" fontId="10" fillId="19" borderId="1" xfId="0" applyNumberFormat="1" applyFont="1" applyFill="1" applyBorder="1" applyAlignment="1">
      <alignment horizontal="left"/>
    </xf>
    <xf numFmtId="164" fontId="10" fillId="19" borderId="1" xfId="0" applyNumberFormat="1" applyFont="1" applyFill="1" applyBorder="1"/>
    <xf numFmtId="2" fontId="5" fillId="19" borderId="1" xfId="0" applyNumberFormat="1" applyFont="1" applyFill="1" applyBorder="1"/>
    <xf numFmtId="164" fontId="8" fillId="8" borderId="1" xfId="0" applyNumberFormat="1" applyFont="1" applyFill="1" applyBorder="1" applyAlignment="1">
      <alignment vertical="top" wrapText="1"/>
    </xf>
    <xf numFmtId="0" fontId="5" fillId="0" borderId="28" xfId="0" applyFont="1" applyFill="1" applyBorder="1" applyAlignment="1">
      <alignment horizontal="right"/>
    </xf>
    <xf numFmtId="0" fontId="13" fillId="0" borderId="1" xfId="0" applyFont="1" applyBorder="1"/>
    <xf numFmtId="0" fontId="13" fillId="10" borderId="1" xfId="0" applyFont="1" applyFill="1" applyBorder="1"/>
    <xf numFmtId="0" fontId="13" fillId="7" borderId="0" xfId="0" applyFont="1" applyFill="1" applyBorder="1"/>
    <xf numFmtId="0" fontId="13" fillId="0" borderId="31" xfId="0" applyFont="1" applyBorder="1"/>
    <xf numFmtId="14" fontId="13" fillId="0" borderId="1" xfId="0" applyNumberFormat="1" applyFont="1" applyBorder="1"/>
    <xf numFmtId="0" fontId="13" fillId="0" borderId="3" xfId="0" applyFont="1" applyBorder="1"/>
    <xf numFmtId="2" fontId="13" fillId="7" borderId="1" xfId="0" applyNumberFormat="1" applyFont="1" applyFill="1" applyBorder="1"/>
    <xf numFmtId="0" fontId="13" fillId="7" borderId="1" xfId="0" applyFont="1" applyFill="1" applyBorder="1"/>
    <xf numFmtId="1" fontId="12" fillId="10" borderId="1" xfId="0" applyNumberFormat="1" applyFont="1" applyFill="1" applyBorder="1" applyAlignment="1">
      <alignment horizontal="left"/>
    </xf>
    <xf numFmtId="1" fontId="12" fillId="10" borderId="1" xfId="0" applyNumberFormat="1" applyFont="1" applyFill="1" applyBorder="1"/>
    <xf numFmtId="165" fontId="12" fillId="10" borderId="1" xfId="0" applyNumberFormat="1" applyFont="1" applyFill="1" applyBorder="1" applyAlignment="1">
      <alignment horizontal="center"/>
    </xf>
    <xf numFmtId="164" fontId="12" fillId="10" borderId="1" xfId="0" applyNumberFormat="1" applyFont="1" applyFill="1" applyBorder="1"/>
    <xf numFmtId="0" fontId="5" fillId="0" borderId="1" xfId="0" applyFont="1" applyFill="1" applyBorder="1" applyAlignment="1">
      <alignment horizontal="right"/>
    </xf>
    <xf numFmtId="14" fontId="5" fillId="10" borderId="1" xfId="0" applyNumberFormat="1" applyFont="1" applyFill="1" applyBorder="1"/>
    <xf numFmtId="9" fontId="0" fillId="0" borderId="0" xfId="0" applyNumberFormat="1"/>
    <xf numFmtId="0" fontId="14" fillId="10" borderId="1" xfId="0" applyFont="1" applyFill="1" applyBorder="1"/>
    <xf numFmtId="1" fontId="14" fillId="10" borderId="1" xfId="0" applyNumberFormat="1" applyFont="1" applyFill="1" applyBorder="1" applyAlignment="1">
      <alignment horizontal="left"/>
    </xf>
    <xf numFmtId="1" fontId="13" fillId="11" borderId="1" xfId="0" applyNumberFormat="1" applyFont="1" applyFill="1" applyBorder="1" applyAlignment="1">
      <alignment horizontal="center"/>
    </xf>
    <xf numFmtId="0" fontId="13" fillId="2" borderId="1" xfId="0" applyFont="1" applyFill="1" applyBorder="1"/>
    <xf numFmtId="1" fontId="5" fillId="10" borderId="1" xfId="0" applyNumberFormat="1" applyFont="1" applyFill="1" applyBorder="1" applyAlignment="1">
      <alignment horizontal="center"/>
    </xf>
    <xf numFmtId="164" fontId="13" fillId="0" borderId="1" xfId="0" applyNumberFormat="1" applyFont="1" applyBorder="1"/>
    <xf numFmtId="0" fontId="13" fillId="0" borderId="1" xfId="0" applyFont="1" applyFill="1" applyBorder="1"/>
    <xf numFmtId="0" fontId="5" fillId="10" borderId="28" xfId="0" applyFont="1" applyFill="1" applyBorder="1"/>
    <xf numFmtId="14" fontId="5" fillId="10" borderId="1" xfId="0" applyNumberFormat="1" applyFont="1" applyFill="1" applyBorder="1" applyAlignment="1">
      <alignment horizontal="center"/>
    </xf>
    <xf numFmtId="16" fontId="2" fillId="0" borderId="1" xfId="0" quotePrefix="1" applyNumberFormat="1" applyFont="1" applyBorder="1"/>
    <xf numFmtId="166" fontId="5" fillId="0" borderId="1" xfId="6" applyNumberFormat="1" applyFont="1" applyBorder="1" applyAlignment="1">
      <alignment vertical="center"/>
    </xf>
    <xf numFmtId="164" fontId="5" fillId="0" borderId="1" xfId="0" applyNumberFormat="1" applyFont="1" applyBorder="1"/>
    <xf numFmtId="2" fontId="13" fillId="2" borderId="1" xfId="0" applyNumberFormat="1" applyFont="1" applyFill="1" applyBorder="1"/>
    <xf numFmtId="0" fontId="5" fillId="2" borderId="4" xfId="0" applyFont="1" applyFill="1" applyBorder="1"/>
    <xf numFmtId="3" fontId="13" fillId="0" borderId="31" xfId="0" applyNumberFormat="1" applyFont="1" applyBorder="1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164" fontId="13" fillId="0" borderId="3" xfId="0" applyNumberFormat="1" applyFont="1" applyBorder="1"/>
    <xf numFmtId="164" fontId="16" fillId="10" borderId="1" xfId="0" applyNumberFormat="1" applyFont="1" applyFill="1" applyBorder="1"/>
    <xf numFmtId="1" fontId="5" fillId="10" borderId="1" xfId="0" applyNumberFormat="1" applyFont="1" applyFill="1" applyBorder="1"/>
    <xf numFmtId="0" fontId="17" fillId="0" borderId="0" xfId="0" applyFont="1"/>
    <xf numFmtId="0" fontId="18" fillId="0" borderId="0" xfId="0" applyFont="1"/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left"/>
    </xf>
    <xf numFmtId="3" fontId="13" fillId="0" borderId="1" xfId="0" applyNumberFormat="1" applyFont="1" applyBorder="1" applyAlignment="1">
      <alignment horizontal="left"/>
    </xf>
    <xf numFmtId="0" fontId="13" fillId="9" borderId="1" xfId="0" applyFont="1" applyFill="1" applyBorder="1"/>
    <xf numFmtId="14" fontId="13" fillId="0" borderId="1" xfId="0" applyNumberFormat="1" applyFont="1" applyFill="1" applyBorder="1"/>
    <xf numFmtId="0" fontId="0" fillId="9" borderId="1" xfId="0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horizontal="center"/>
    </xf>
    <xf numFmtId="164" fontId="5" fillId="9" borderId="1" xfId="0" applyNumberFormat="1" applyFont="1" applyFill="1" applyBorder="1"/>
    <xf numFmtId="0" fontId="0" fillId="0" borderId="1" xfId="0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/>
    </xf>
    <xf numFmtId="1" fontId="13" fillId="0" borderId="1" xfId="0" applyNumberFormat="1" applyFont="1" applyFill="1" applyBorder="1"/>
    <xf numFmtId="164" fontId="16" fillId="9" borderId="1" xfId="0" applyNumberFormat="1" applyFont="1" applyFill="1" applyBorder="1"/>
    <xf numFmtId="0" fontId="5" fillId="9" borderId="1" xfId="0" applyFont="1" applyFill="1" applyBorder="1"/>
    <xf numFmtId="166" fontId="5" fillId="9" borderId="1" xfId="6" applyNumberFormat="1" applyFont="1" applyFill="1" applyBorder="1" applyAlignment="1">
      <alignment vertical="center"/>
    </xf>
    <xf numFmtId="0" fontId="5" fillId="9" borderId="28" xfId="0" applyFont="1" applyFill="1" applyBorder="1"/>
    <xf numFmtId="1" fontId="5" fillId="9" borderId="1" xfId="0" applyNumberFormat="1" applyFont="1" applyFill="1" applyBorder="1" applyAlignment="1">
      <alignment horizontal="right"/>
    </xf>
    <xf numFmtId="1" fontId="5" fillId="9" borderId="1" xfId="0" applyNumberFormat="1" applyFont="1" applyFill="1" applyBorder="1" applyAlignment="1">
      <alignment horizontal="left"/>
    </xf>
    <xf numFmtId="1" fontId="5" fillId="9" borderId="1" xfId="0" applyNumberFormat="1" applyFont="1" applyFill="1" applyBorder="1"/>
    <xf numFmtId="0" fontId="13" fillId="20" borderId="1" xfId="0" applyFont="1" applyFill="1" applyBorder="1"/>
    <xf numFmtId="0" fontId="14" fillId="0" borderId="1" xfId="0" applyFont="1" applyFill="1" applyBorder="1"/>
    <xf numFmtId="1" fontId="14" fillId="0" borderId="1" xfId="0" applyNumberFormat="1" applyFont="1" applyFill="1" applyBorder="1" applyAlignment="1">
      <alignment horizontal="left"/>
    </xf>
    <xf numFmtId="1" fontId="5" fillId="0" borderId="1" xfId="0" applyNumberFormat="1" applyFont="1" applyFill="1" applyBorder="1" applyAlignment="1">
      <alignment horizontal="right"/>
    </xf>
    <xf numFmtId="0" fontId="0" fillId="2" borderId="0" xfId="0" applyFill="1"/>
    <xf numFmtId="0" fontId="0" fillId="0" borderId="0" xfId="0" applyAlignment="1">
      <alignment horizontal="left"/>
    </xf>
    <xf numFmtId="0" fontId="8" fillId="6" borderId="1" xfId="0" applyFont="1" applyFill="1" applyBorder="1" applyAlignment="1">
      <alignment horizontal="left" vertical="top" wrapText="1"/>
    </xf>
    <xf numFmtId="0" fontId="13" fillId="0" borderId="31" xfId="0" applyFont="1" applyBorder="1" applyAlignment="1">
      <alignment horizontal="left"/>
    </xf>
    <xf numFmtId="0" fontId="5" fillId="0" borderId="31" xfId="0" applyFont="1" applyBorder="1" applyAlignment="1">
      <alignment horizontal="left"/>
    </xf>
    <xf numFmtId="3" fontId="13" fillId="0" borderId="3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3" fontId="13" fillId="0" borderId="1" xfId="0" applyNumberFormat="1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13" fillId="0" borderId="1" xfId="0" applyNumberFormat="1" applyFont="1" applyFill="1" applyBorder="1" applyAlignment="1">
      <alignment horizontal="left"/>
    </xf>
    <xf numFmtId="164" fontId="13" fillId="0" borderId="1" xfId="0" applyNumberFormat="1" applyFont="1" applyFill="1" applyBorder="1"/>
    <xf numFmtId="14" fontId="5" fillId="0" borderId="1" xfId="0" applyNumberFormat="1" applyFont="1" applyFill="1" applyBorder="1"/>
    <xf numFmtId="164" fontId="5" fillId="0" borderId="0" xfId="0" applyNumberFormat="1" applyFont="1" applyFill="1"/>
    <xf numFmtId="0" fontId="0" fillId="0" borderId="0" xfId="0" applyFill="1"/>
    <xf numFmtId="0" fontId="16" fillId="21" borderId="1" xfId="0" applyFont="1" applyFill="1" applyBorder="1"/>
    <xf numFmtId="0" fontId="13" fillId="21" borderId="1" xfId="0" applyFont="1" applyFill="1" applyBorder="1"/>
    <xf numFmtId="0" fontId="16" fillId="0" borderId="1" xfId="0" applyFont="1" applyFill="1" applyBorder="1" applyAlignment="1">
      <alignment horizontal="left"/>
    </xf>
    <xf numFmtId="0" fontId="19" fillId="0" borderId="1" xfId="0" applyFont="1" applyFill="1" applyBorder="1" applyAlignment="1">
      <alignment horizontal="center"/>
    </xf>
    <xf numFmtId="164" fontId="8" fillId="21" borderId="1" xfId="0" applyNumberFormat="1" applyFont="1" applyFill="1" applyBorder="1" applyAlignment="1">
      <alignment vertical="top" wrapText="1"/>
    </xf>
    <xf numFmtId="1" fontId="16" fillId="9" borderId="1" xfId="0" applyNumberFormat="1" applyFont="1" applyFill="1" applyBorder="1" applyAlignment="1">
      <alignment horizontal="right"/>
    </xf>
    <xf numFmtId="0" fontId="0" fillId="21" borderId="1" xfId="0" applyFill="1" applyBorder="1"/>
    <xf numFmtId="0" fontId="16" fillId="9" borderId="1" xfId="0" applyFont="1" applyFill="1" applyBorder="1"/>
    <xf numFmtId="0" fontId="16" fillId="10" borderId="1" xfId="0" applyFont="1" applyFill="1" applyBorder="1"/>
    <xf numFmtId="1" fontId="21" fillId="10" borderId="1" xfId="0" applyNumberFormat="1" applyFont="1" applyFill="1" applyBorder="1" applyAlignment="1">
      <alignment horizontal="left"/>
    </xf>
    <xf numFmtId="0" fontId="19" fillId="0" borderId="1" xfId="0" applyFont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center"/>
    </xf>
    <xf numFmtId="1" fontId="16" fillId="10" borderId="1" xfId="0" applyNumberFormat="1" applyFont="1" applyFill="1" applyBorder="1" applyAlignment="1">
      <alignment horizontal="center"/>
    </xf>
    <xf numFmtId="1" fontId="16" fillId="10" borderId="1" xfId="0" applyNumberFormat="1" applyFont="1" applyFill="1" applyBorder="1"/>
    <xf numFmtId="14" fontId="16" fillId="9" borderId="1" xfId="0" applyNumberFormat="1" applyFont="1" applyFill="1" applyBorder="1" applyAlignment="1">
      <alignment horizontal="center"/>
    </xf>
    <xf numFmtId="1" fontId="16" fillId="9" borderId="1" xfId="0" applyNumberFormat="1" applyFont="1" applyFill="1" applyBorder="1" applyAlignment="1">
      <alignment horizontal="center"/>
    </xf>
    <xf numFmtId="1" fontId="16" fillId="9" borderId="1" xfId="0" applyNumberFormat="1" applyFont="1" applyFill="1" applyBorder="1"/>
    <xf numFmtId="0" fontId="16" fillId="0" borderId="1" xfId="0" applyFont="1" applyFill="1" applyBorder="1"/>
    <xf numFmtId="1" fontId="21" fillId="0" borderId="1" xfId="0" applyNumberFormat="1" applyFont="1" applyFill="1" applyBorder="1" applyAlignment="1">
      <alignment horizontal="left"/>
    </xf>
    <xf numFmtId="0" fontId="19" fillId="0" borderId="1" xfId="0" applyFont="1" applyFill="1" applyBorder="1" applyAlignment="1">
      <alignment horizontal="center" vertical="center"/>
    </xf>
    <xf numFmtId="164" fontId="16" fillId="0" borderId="1" xfId="0" applyNumberFormat="1" applyFont="1" applyFill="1" applyBorder="1"/>
    <xf numFmtId="1" fontId="16" fillId="0" borderId="1" xfId="0" applyNumberFormat="1" applyFont="1" applyFill="1" applyBorder="1" applyAlignment="1">
      <alignment horizontal="center"/>
    </xf>
    <xf numFmtId="1" fontId="16" fillId="0" borderId="1" xfId="0" applyNumberFormat="1" applyFont="1" applyFill="1" applyBorder="1"/>
    <xf numFmtId="1" fontId="16" fillId="10" borderId="1" xfId="0" applyNumberFormat="1" applyFont="1" applyFill="1" applyBorder="1" applyAlignment="1">
      <alignment horizontal="left"/>
    </xf>
    <xf numFmtId="1" fontId="16" fillId="10" borderId="1" xfId="0" applyNumberFormat="1" applyFont="1" applyFill="1" applyBorder="1" applyAlignment="1">
      <alignment horizontal="right"/>
    </xf>
    <xf numFmtId="1" fontId="20" fillId="10" borderId="1" xfId="0" applyNumberFormat="1" applyFont="1" applyFill="1" applyBorder="1" applyAlignment="1">
      <alignment horizontal="left"/>
    </xf>
    <xf numFmtId="1" fontId="5" fillId="0" borderId="1" xfId="0" applyNumberFormat="1" applyFont="1" applyFill="1" applyBorder="1" applyAlignment="1">
      <alignment horizontal="left"/>
    </xf>
    <xf numFmtId="1" fontId="16" fillId="0" borderId="1" xfId="0" applyNumberFormat="1" applyFont="1" applyFill="1" applyBorder="1" applyAlignment="1">
      <alignment horizontal="right"/>
    </xf>
    <xf numFmtId="0" fontId="13" fillId="0" borderId="31" xfId="0" applyFont="1" applyFill="1" applyBorder="1"/>
    <xf numFmtId="164" fontId="13" fillId="0" borderId="3" xfId="0" applyNumberFormat="1" applyFont="1" applyFill="1" applyBorder="1"/>
    <xf numFmtId="3" fontId="13" fillId="0" borderId="1" xfId="0" applyNumberFormat="1" applyFont="1" applyFill="1" applyBorder="1"/>
    <xf numFmtId="0" fontId="16" fillId="0" borderId="4" xfId="0" applyFont="1" applyFill="1" applyBorder="1"/>
    <xf numFmtId="166" fontId="16" fillId="0" borderId="1" xfId="6" applyNumberFormat="1" applyFont="1" applyFill="1" applyBorder="1" applyAlignment="1">
      <alignment vertical="center"/>
    </xf>
    <xf numFmtId="1" fontId="16" fillId="0" borderId="1" xfId="0" applyNumberFormat="1" applyFont="1" applyFill="1" applyBorder="1" applyAlignment="1">
      <alignment horizontal="left"/>
    </xf>
    <xf numFmtId="166" fontId="16" fillId="9" borderId="1" xfId="6" applyNumberFormat="1" applyFont="1" applyFill="1" applyBorder="1" applyAlignment="1">
      <alignment vertical="center"/>
    </xf>
    <xf numFmtId="1" fontId="16" fillId="9" borderId="1" xfId="0" applyNumberFormat="1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14" fontId="13" fillId="2" borderId="1" xfId="0" applyNumberFormat="1" applyFont="1" applyFill="1" applyBorder="1"/>
    <xf numFmtId="164" fontId="8" fillId="2" borderId="1" xfId="0" applyNumberFormat="1" applyFont="1" applyFill="1" applyBorder="1" applyAlignment="1">
      <alignment vertical="top" wrapText="1"/>
    </xf>
    <xf numFmtId="3" fontId="13" fillId="2" borderId="1" xfId="0" applyNumberFormat="1" applyFont="1" applyFill="1" applyBorder="1" applyAlignment="1">
      <alignment horizontal="left"/>
    </xf>
    <xf numFmtId="1" fontId="5" fillId="2" borderId="1" xfId="0" applyNumberFormat="1" applyFont="1" applyFill="1" applyBorder="1"/>
    <xf numFmtId="3" fontId="13" fillId="0" borderId="1" xfId="0" applyNumberFormat="1" applyFont="1" applyBorder="1"/>
    <xf numFmtId="0" fontId="0" fillId="2" borderId="1" xfId="0" applyFill="1" applyBorder="1" applyAlignment="1">
      <alignment horizontal="center" vertical="center"/>
    </xf>
    <xf numFmtId="164" fontId="13" fillId="2" borderId="3" xfId="0" applyNumberFormat="1" applyFont="1" applyFill="1" applyBorder="1"/>
    <xf numFmtId="0" fontId="13" fillId="2" borderId="0" xfId="0" applyFont="1" applyFill="1" applyBorder="1"/>
    <xf numFmtId="164" fontId="8" fillId="9" borderId="1" xfId="0" applyNumberFormat="1" applyFont="1" applyFill="1" applyBorder="1" applyAlignment="1">
      <alignment vertical="top" wrapText="1"/>
    </xf>
    <xf numFmtId="1" fontId="13" fillId="2" borderId="1" xfId="0" applyNumberFormat="1" applyFont="1" applyFill="1" applyBorder="1"/>
    <xf numFmtId="2" fontId="13" fillId="0" borderId="1" xfId="0" applyNumberFormat="1" applyFont="1" applyFill="1" applyBorder="1"/>
    <xf numFmtId="164" fontId="22" fillId="2" borderId="1" xfId="0" applyNumberFormat="1" applyFont="1" applyFill="1" applyBorder="1" applyAlignment="1">
      <alignment vertical="top" wrapText="1"/>
    </xf>
    <xf numFmtId="0" fontId="5" fillId="0" borderId="1" xfId="0" quotePrefix="1" applyFont="1" applyBorder="1"/>
    <xf numFmtId="0" fontId="13" fillId="11" borderId="1" xfId="0" applyFont="1" applyFill="1" applyBorder="1"/>
    <xf numFmtId="1" fontId="0" fillId="0" borderId="1" xfId="0" applyNumberFormat="1" applyFill="1" applyBorder="1" applyAlignment="1">
      <alignment horizontal="center"/>
    </xf>
    <xf numFmtId="164" fontId="14" fillId="0" borderId="1" xfId="0" applyNumberFormat="1" applyFont="1" applyFill="1" applyBorder="1"/>
    <xf numFmtId="1" fontId="23" fillId="0" borderId="1" xfId="0" applyNumberFormat="1" applyFont="1" applyFill="1" applyBorder="1" applyAlignment="1">
      <alignment horizontal="right"/>
    </xf>
    <xf numFmtId="0" fontId="13" fillId="0" borderId="1" xfId="0" applyFont="1" applyFill="1" applyBorder="1" applyAlignment="1">
      <alignment horizontal="right"/>
    </xf>
    <xf numFmtId="3" fontId="13" fillId="2" borderId="31" xfId="0" applyNumberFormat="1" applyFont="1" applyFill="1" applyBorder="1"/>
    <xf numFmtId="0" fontId="5" fillId="2" borderId="1" xfId="0" applyFont="1" applyFill="1" applyBorder="1"/>
    <xf numFmtId="164" fontId="13" fillId="2" borderId="1" xfId="0" applyNumberFormat="1" applyFont="1" applyFill="1" applyBorder="1"/>
    <xf numFmtId="164" fontId="14" fillId="10" borderId="1" xfId="0" applyNumberFormat="1" applyFont="1" applyFill="1" applyBorder="1"/>
    <xf numFmtId="1" fontId="13" fillId="0" borderId="1" xfId="0" applyNumberFormat="1" applyFont="1" applyBorder="1" applyAlignment="1">
      <alignment horizontal="left"/>
    </xf>
    <xf numFmtId="164" fontId="14" fillId="10" borderId="1" xfId="0" applyNumberFormat="1" applyFont="1" applyFill="1" applyBorder="1" applyAlignment="1">
      <alignment vertical="center"/>
    </xf>
    <xf numFmtId="1" fontId="0" fillId="10" borderId="1" xfId="0" applyNumberFormat="1" applyFont="1" applyFill="1" applyBorder="1" applyAlignment="1">
      <alignment horizontal="center"/>
    </xf>
    <xf numFmtId="164" fontId="5" fillId="10" borderId="1" xfId="0" applyNumberFormat="1" applyFont="1" applyFill="1" applyBorder="1" applyAlignment="1">
      <alignment horizontal="center"/>
    </xf>
    <xf numFmtId="1" fontId="14" fillId="10" borderId="1" xfId="0" applyNumberFormat="1" applyFont="1" applyFill="1" applyBorder="1" applyAlignment="1">
      <alignment horizontal="center"/>
    </xf>
    <xf numFmtId="1" fontId="14" fillId="17" borderId="1" xfId="0" applyNumberFormat="1" applyFont="1" applyFill="1" applyBorder="1" applyAlignment="1">
      <alignment horizontal="left"/>
    </xf>
    <xf numFmtId="164" fontId="14" fillId="2" borderId="1" xfId="0" applyNumberFormat="1" applyFont="1" applyFill="1" applyBorder="1"/>
    <xf numFmtId="0" fontId="5" fillId="0" borderId="1" xfId="0" applyFont="1" applyBorder="1"/>
    <xf numFmtId="1" fontId="5" fillId="10" borderId="1" xfId="0" applyNumberFormat="1" applyFont="1" applyFill="1" applyBorder="1" applyAlignment="1">
      <alignment horizontal="left"/>
    </xf>
    <xf numFmtId="1" fontId="5" fillId="0" borderId="1" xfId="0" applyNumberFormat="1" applyFont="1" applyFill="1" applyBorder="1"/>
    <xf numFmtId="14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/>
    <xf numFmtId="164" fontId="5" fillId="10" borderId="1" xfId="0" applyNumberFormat="1" applyFont="1" applyFill="1" applyBorder="1"/>
    <xf numFmtId="1" fontId="5" fillId="10" borderId="1" xfId="0" applyNumberFormat="1" applyFont="1" applyFill="1" applyBorder="1" applyAlignment="1">
      <alignment horizontal="center"/>
    </xf>
    <xf numFmtId="164" fontId="5" fillId="10" borderId="1" xfId="0" applyNumberFormat="1" applyFont="1" applyFill="1" applyBorder="1" applyAlignment="1">
      <alignment vertical="center"/>
    </xf>
    <xf numFmtId="164" fontId="10" fillId="10" borderId="1" xfId="0" applyNumberFormat="1" applyFont="1" applyFill="1" applyBorder="1"/>
    <xf numFmtId="1" fontId="10" fillId="10" borderId="1" xfId="0" applyNumberFormat="1" applyFont="1" applyFill="1" applyBorder="1"/>
    <xf numFmtId="0" fontId="13" fillId="15" borderId="1" xfId="0" applyFont="1" applyFill="1" applyBorder="1"/>
    <xf numFmtId="0" fontId="5" fillId="15" borderId="1" xfId="0" applyFont="1" applyFill="1" applyBorder="1"/>
    <xf numFmtId="0" fontId="14" fillId="15" borderId="1" xfId="0" applyFont="1" applyFill="1" applyBorder="1"/>
    <xf numFmtId="1" fontId="14" fillId="15" borderId="1" xfId="0" applyNumberFormat="1" applyFont="1" applyFill="1" applyBorder="1" applyAlignment="1">
      <alignment horizontal="left"/>
    </xf>
    <xf numFmtId="1" fontId="0" fillId="15" borderId="1" xfId="0" applyNumberFormat="1" applyFill="1" applyBorder="1" applyAlignment="1">
      <alignment horizontal="center"/>
    </xf>
    <xf numFmtId="14" fontId="5" fillId="15" borderId="1" xfId="0" applyNumberFormat="1" applyFont="1" applyFill="1" applyBorder="1" applyAlignment="1">
      <alignment horizontal="center"/>
    </xf>
    <xf numFmtId="164" fontId="14" fillId="15" borderId="1" xfId="0" applyNumberFormat="1" applyFont="1" applyFill="1" applyBorder="1"/>
    <xf numFmtId="1" fontId="14" fillId="15" borderId="1" xfId="0" applyNumberFormat="1" applyFont="1" applyFill="1" applyBorder="1" applyAlignment="1">
      <alignment horizontal="center"/>
    </xf>
    <xf numFmtId="1" fontId="5" fillId="15" borderId="1" xfId="0" applyNumberFormat="1" applyFont="1" applyFill="1" applyBorder="1" applyAlignment="1">
      <alignment horizontal="right"/>
    </xf>
    <xf numFmtId="0" fontId="13" fillId="15" borderId="1" xfId="0" applyFont="1" applyFill="1" applyBorder="1" applyAlignment="1">
      <alignment horizontal="left"/>
    </xf>
    <xf numFmtId="1" fontId="13" fillId="15" borderId="1" xfId="0" applyNumberFormat="1" applyFont="1" applyFill="1" applyBorder="1"/>
    <xf numFmtId="14" fontId="13" fillId="15" borderId="1" xfId="0" applyNumberFormat="1" applyFont="1" applyFill="1" applyBorder="1"/>
    <xf numFmtId="164" fontId="8" fillId="15" borderId="1" xfId="0" applyNumberFormat="1" applyFont="1" applyFill="1" applyBorder="1" applyAlignment="1">
      <alignment vertical="top" wrapText="1"/>
    </xf>
    <xf numFmtId="2" fontId="13" fillId="15" borderId="1" xfId="0" applyNumberFormat="1" applyFont="1" applyFill="1" applyBorder="1"/>
    <xf numFmtId="1" fontId="5" fillId="15" borderId="1" xfId="0" applyNumberFormat="1" applyFont="1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left"/>
    </xf>
    <xf numFmtId="14" fontId="13" fillId="2" borderId="1" xfId="0" applyNumberFormat="1" applyFont="1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right"/>
    </xf>
    <xf numFmtId="164" fontId="24" fillId="2" borderId="1" xfId="0" applyNumberFormat="1" applyFont="1" applyFill="1" applyBorder="1" applyAlignment="1">
      <alignment vertical="top" wrapText="1"/>
    </xf>
    <xf numFmtId="164" fontId="13" fillId="2" borderId="0" xfId="0" applyNumberFormat="1" applyFont="1" applyFill="1"/>
    <xf numFmtId="0" fontId="23" fillId="2" borderId="0" xfId="0" applyFont="1" applyFill="1"/>
    <xf numFmtId="1" fontId="5" fillId="2" borderId="1" xfId="0" applyNumberFormat="1" applyFont="1" applyFill="1" applyBorder="1" applyAlignment="1">
      <alignment horizontal="left"/>
    </xf>
    <xf numFmtId="14" fontId="5" fillId="2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/>
    <xf numFmtId="1" fontId="5" fillId="2" borderId="1" xfId="0" applyNumberFormat="1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right"/>
    </xf>
    <xf numFmtId="1" fontId="0" fillId="0" borderId="1" xfId="0" applyNumberFormat="1" applyFill="1" applyBorder="1"/>
    <xf numFmtId="0" fontId="25" fillId="2" borderId="0" xfId="0" applyFont="1" applyFill="1"/>
    <xf numFmtId="164" fontId="25" fillId="2" borderId="0" xfId="0" applyNumberFormat="1" applyFont="1" applyFill="1"/>
    <xf numFmtId="1" fontId="0" fillId="0" borderId="1" xfId="0" applyNumberFormat="1" applyFill="1" applyBorder="1"/>
    <xf numFmtId="43" fontId="26" fillId="0" borderId="1" xfId="6" applyNumberFormat="1" applyFont="1" applyFill="1" applyBorder="1"/>
    <xf numFmtId="43" fontId="27" fillId="0" borderId="1" xfId="0" applyNumberFormat="1" applyFont="1" applyBorder="1"/>
    <xf numFmtId="0" fontId="27" fillId="0" borderId="1" xfId="0" applyFont="1" applyFill="1" applyBorder="1"/>
    <xf numFmtId="164" fontId="27" fillId="0" borderId="1" xfId="0" applyNumberFormat="1" applyFont="1" applyFill="1" applyBorder="1"/>
    <xf numFmtId="0" fontId="27" fillId="0" borderId="1" xfId="0" applyFont="1" applyBorder="1"/>
    <xf numFmtId="164" fontId="27" fillId="0" borderId="1" xfId="0" applyNumberFormat="1" applyFont="1" applyBorder="1"/>
    <xf numFmtId="164" fontId="28" fillId="2" borderId="1" xfId="0" applyNumberFormat="1" applyFont="1" applyFill="1" applyBorder="1"/>
    <xf numFmtId="0" fontId="28" fillId="2" borderId="1" xfId="0" applyFont="1" applyFill="1" applyBorder="1"/>
    <xf numFmtId="164" fontId="27" fillId="10" borderId="1" xfId="0" applyNumberFormat="1" applyFont="1" applyFill="1" applyBorder="1"/>
    <xf numFmtId="164" fontId="26" fillId="10" borderId="1" xfId="0" applyNumberFormat="1" applyFont="1" applyFill="1" applyBorder="1"/>
    <xf numFmtId="0" fontId="27" fillId="10" borderId="1" xfId="0" applyFont="1" applyFill="1" applyBorder="1"/>
    <xf numFmtId="0" fontId="0" fillId="0" borderId="0" xfId="0"/>
    <xf numFmtId="1" fontId="0" fillId="0" borderId="1" xfId="0" applyNumberFormat="1" applyFill="1" applyBorder="1"/>
    <xf numFmtId="0" fontId="13" fillId="10" borderId="1" xfId="0" applyFont="1" applyFill="1" applyBorder="1" applyAlignment="1">
      <alignment horizontal="left"/>
    </xf>
    <xf numFmtId="1" fontId="13" fillId="10" borderId="1" xfId="0" applyNumberFormat="1" applyFont="1" applyFill="1" applyBorder="1"/>
    <xf numFmtId="14" fontId="13" fillId="10" borderId="1" xfId="0" applyNumberFormat="1" applyFont="1" applyFill="1" applyBorder="1"/>
    <xf numFmtId="1" fontId="0" fillId="0" borderId="1" xfId="0" applyNumberFormat="1" applyFill="1" applyBorder="1"/>
    <xf numFmtId="0" fontId="13" fillId="0" borderId="4" xfId="0" applyFont="1" applyBorder="1"/>
    <xf numFmtId="0" fontId="5" fillId="0" borderId="4" xfId="0" applyFont="1" applyBorder="1"/>
    <xf numFmtId="0" fontId="5" fillId="10" borderId="4" xfId="0" applyFont="1" applyFill="1" applyBorder="1"/>
    <xf numFmtId="1" fontId="14" fillId="10" borderId="4" xfId="0" applyNumberFormat="1" applyFont="1" applyFill="1" applyBorder="1" applyAlignment="1">
      <alignment horizontal="left"/>
    </xf>
    <xf numFmtId="1" fontId="0" fillId="0" borderId="4" xfId="0" applyNumberFormat="1" applyFill="1" applyBorder="1"/>
    <xf numFmtId="14" fontId="5" fillId="10" borderId="4" xfId="0" applyNumberFormat="1" applyFont="1" applyFill="1" applyBorder="1" applyAlignment="1">
      <alignment horizontal="center"/>
    </xf>
    <xf numFmtId="164" fontId="14" fillId="10" borderId="4" xfId="0" applyNumberFormat="1" applyFont="1" applyFill="1" applyBorder="1"/>
    <xf numFmtId="1" fontId="5" fillId="10" borderId="4" xfId="0" applyNumberFormat="1" applyFont="1" applyFill="1" applyBorder="1"/>
    <xf numFmtId="0" fontId="13" fillId="7" borderId="4" xfId="0" applyFont="1" applyFill="1" applyBorder="1"/>
    <xf numFmtId="0" fontId="13" fillId="0" borderId="4" xfId="0" applyFont="1" applyFill="1" applyBorder="1"/>
    <xf numFmtId="14" fontId="13" fillId="0" borderId="4" xfId="0" applyNumberFormat="1" applyFont="1" applyFill="1" applyBorder="1"/>
    <xf numFmtId="164" fontId="8" fillId="4" borderId="4" xfId="0" applyNumberFormat="1" applyFont="1" applyFill="1" applyBorder="1" applyAlignment="1">
      <alignment vertical="top" wrapText="1"/>
    </xf>
    <xf numFmtId="164" fontId="8" fillId="8" borderId="4" xfId="0" applyNumberFormat="1" applyFont="1" applyFill="1" applyBorder="1" applyAlignment="1">
      <alignment vertical="top" wrapText="1"/>
    </xf>
    <xf numFmtId="2" fontId="13" fillId="7" borderId="4" xfId="0" applyNumberFormat="1" applyFont="1" applyFill="1" applyBorder="1"/>
    <xf numFmtId="164" fontId="8" fillId="18" borderId="4" xfId="0" applyNumberFormat="1" applyFont="1" applyFill="1" applyBorder="1" applyAlignment="1">
      <alignment vertical="top" wrapText="1"/>
    </xf>
    <xf numFmtId="1" fontId="5" fillId="11" borderId="4" xfId="0" applyNumberFormat="1" applyFont="1" applyFill="1" applyBorder="1" applyAlignment="1">
      <alignment horizontal="center"/>
    </xf>
    <xf numFmtId="0" fontId="24" fillId="10" borderId="1" xfId="0" applyFont="1" applyFill="1" applyBorder="1"/>
    <xf numFmtId="0" fontId="13" fillId="0" borderId="4" xfId="0" applyFont="1" applyFill="1" applyBorder="1" applyAlignment="1">
      <alignment horizontal="left"/>
    </xf>
    <xf numFmtId="1" fontId="14" fillId="10" borderId="1" xfId="0" applyNumberFormat="1" applyFont="1" applyFill="1" applyBorder="1" applyAlignment="1">
      <alignment horizontal="right"/>
    </xf>
    <xf numFmtId="1" fontId="14" fillId="10" borderId="32" xfId="0" applyNumberFormat="1" applyFont="1" applyFill="1" applyBorder="1" applyAlignment="1">
      <alignment horizontal="right" vertical="center"/>
    </xf>
    <xf numFmtId="164" fontId="14" fillId="10" borderId="1" xfId="0" applyNumberFormat="1" applyFont="1" applyFill="1" applyBorder="1" applyAlignment="1">
      <alignment horizontal="right"/>
    </xf>
    <xf numFmtId="164" fontId="14" fillId="10" borderId="32" xfId="0" applyNumberFormat="1" applyFont="1" applyFill="1" applyBorder="1" applyAlignment="1">
      <alignment horizontal="right" vertical="center"/>
    </xf>
    <xf numFmtId="0" fontId="29" fillId="10" borderId="1" xfId="0" applyFont="1" applyFill="1" applyBorder="1"/>
    <xf numFmtId="164" fontId="14" fillId="10" borderId="1" xfId="0" applyNumberFormat="1" applyFont="1" applyFill="1" applyBorder="1" applyAlignment="1"/>
    <xf numFmtId="1" fontId="0" fillId="10" borderId="1" xfId="0" applyNumberFormat="1" applyFill="1" applyBorder="1"/>
    <xf numFmtId="0" fontId="5" fillId="12" borderId="1" xfId="0" applyFont="1" applyFill="1" applyBorder="1"/>
    <xf numFmtId="0" fontId="14" fillId="12" borderId="1" xfId="0" applyFont="1" applyFill="1" applyBorder="1"/>
    <xf numFmtId="1" fontId="14" fillId="12" borderId="1" xfId="0" applyNumberFormat="1" applyFont="1" applyFill="1" applyBorder="1" applyAlignment="1">
      <alignment horizontal="left"/>
    </xf>
    <xf numFmtId="1" fontId="14" fillId="12" borderId="32" xfId="0" applyNumberFormat="1" applyFont="1" applyFill="1" applyBorder="1" applyAlignment="1">
      <alignment horizontal="right" vertical="center"/>
    </xf>
    <xf numFmtId="14" fontId="5" fillId="12" borderId="1" xfId="0" applyNumberFormat="1" applyFont="1" applyFill="1" applyBorder="1" applyAlignment="1">
      <alignment horizontal="center"/>
    </xf>
    <xf numFmtId="164" fontId="14" fillId="12" borderId="32" xfId="0" applyNumberFormat="1" applyFont="1" applyFill="1" applyBorder="1" applyAlignment="1">
      <alignment horizontal="right" vertical="center"/>
    </xf>
    <xf numFmtId="1" fontId="5" fillId="12" borderId="1" xfId="0" applyNumberFormat="1" applyFont="1" applyFill="1" applyBorder="1" applyAlignment="1">
      <alignment horizontal="right"/>
    </xf>
    <xf numFmtId="0" fontId="13" fillId="12" borderId="1" xfId="0" applyFont="1" applyFill="1" applyBorder="1"/>
    <xf numFmtId="0" fontId="13" fillId="12" borderId="1" xfId="0" applyFont="1" applyFill="1" applyBorder="1" applyAlignment="1">
      <alignment horizontal="left"/>
    </xf>
    <xf numFmtId="1" fontId="13" fillId="12" borderId="1" xfId="0" applyNumberFormat="1" applyFont="1" applyFill="1" applyBorder="1"/>
    <xf numFmtId="14" fontId="13" fillId="12" borderId="1" xfId="0" applyNumberFormat="1" applyFont="1" applyFill="1" applyBorder="1"/>
    <xf numFmtId="164" fontId="13" fillId="12" borderId="1" xfId="0" applyNumberFormat="1" applyFont="1" applyFill="1" applyBorder="1"/>
    <xf numFmtId="164" fontId="8" fillId="12" borderId="1" xfId="0" applyNumberFormat="1" applyFont="1" applyFill="1" applyBorder="1" applyAlignment="1">
      <alignment vertical="top" wrapText="1"/>
    </xf>
    <xf numFmtId="2" fontId="13" fillId="12" borderId="1" xfId="0" applyNumberFormat="1" applyFont="1" applyFill="1" applyBorder="1"/>
    <xf numFmtId="0" fontId="0" fillId="10" borderId="1" xfId="0" applyFill="1" applyBorder="1" applyAlignment="1">
      <alignment horizontal="right"/>
    </xf>
    <xf numFmtId="167" fontId="14" fillId="10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0" fontId="30" fillId="10" borderId="1" xfId="0" applyFont="1" applyFill="1" applyBorder="1" applyAlignment="1">
      <alignment horizontal="right" vertical="center"/>
    </xf>
    <xf numFmtId="0" fontId="0" fillId="10" borderId="1" xfId="0" applyFill="1" applyBorder="1" applyAlignment="1">
      <alignment horizontal="center"/>
    </xf>
    <xf numFmtId="164" fontId="14" fillId="9" borderId="1" xfId="0" applyNumberFormat="1" applyFont="1" applyFill="1" applyBorder="1"/>
    <xf numFmtId="164" fontId="14" fillId="22" borderId="1" xfId="0" applyNumberFormat="1" applyFont="1" applyFill="1" applyBorder="1"/>
    <xf numFmtId="164" fontId="11" fillId="19" borderId="0" xfId="0" applyNumberFormat="1" applyFont="1" applyFill="1"/>
    <xf numFmtId="1" fontId="27" fillId="10" borderId="1" xfId="0" applyNumberFormat="1" applyFont="1" applyFill="1" applyBorder="1" applyAlignment="1">
      <alignment horizontal="left"/>
    </xf>
    <xf numFmtId="164" fontId="8" fillId="23" borderId="1" xfId="0" applyNumberFormat="1" applyFont="1" applyFill="1" applyBorder="1" applyAlignment="1">
      <alignment vertical="top" wrapText="1"/>
    </xf>
    <xf numFmtId="1" fontId="31" fillId="10" borderId="1" xfId="0" applyNumberFormat="1" applyFont="1" applyFill="1" applyBorder="1" applyAlignment="1">
      <alignment horizontal="left"/>
    </xf>
    <xf numFmtId="164" fontId="8" fillId="6" borderId="1" xfId="0" applyNumberFormat="1" applyFont="1" applyFill="1" applyBorder="1" applyAlignment="1">
      <alignment vertical="top" wrapText="1"/>
    </xf>
    <xf numFmtId="0" fontId="0" fillId="10" borderId="1" xfId="0" applyFont="1" applyFill="1" applyBorder="1" applyAlignment="1">
      <alignment horizontal="center"/>
    </xf>
    <xf numFmtId="1" fontId="14" fillId="10" borderId="1" xfId="0" applyNumberFormat="1" applyFont="1" applyFill="1" applyBorder="1"/>
    <xf numFmtId="164" fontId="26" fillId="0" borderId="1" xfId="0" applyNumberFormat="1" applyFont="1" applyFill="1" applyBorder="1" applyAlignment="1">
      <alignment horizontal="right"/>
    </xf>
    <xf numFmtId="164" fontId="27" fillId="10" borderId="1" xfId="0" applyNumberFormat="1" applyFont="1" applyFill="1" applyBorder="1" applyAlignment="1">
      <alignment horizontal="right"/>
    </xf>
    <xf numFmtId="0" fontId="27" fillId="0" borderId="1" xfId="0" applyFont="1" applyBorder="1" applyAlignment="1">
      <alignment horizontal="center"/>
    </xf>
    <xf numFmtId="0" fontId="5" fillId="10" borderId="1" xfId="0" applyFont="1" applyFill="1" applyBorder="1" applyAlignment="1">
      <alignment horizontal="right"/>
    </xf>
    <xf numFmtId="1" fontId="5" fillId="10" borderId="1" xfId="0" applyNumberFormat="1" applyFont="1" applyFill="1" applyBorder="1" applyAlignment="1"/>
    <xf numFmtId="0" fontId="19" fillId="0" borderId="3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16" fillId="0" borderId="32" xfId="0" applyNumberFormat="1" applyFont="1" applyFill="1" applyBorder="1" applyAlignment="1">
      <alignment horizontal="right" vertical="center"/>
    </xf>
    <xf numFmtId="14" fontId="16" fillId="0" borderId="4" xfId="0" applyNumberFormat="1" applyFont="1" applyFill="1" applyBorder="1" applyAlignment="1">
      <alignment horizontal="right" vertical="center"/>
    </xf>
    <xf numFmtId="164" fontId="16" fillId="10" borderId="32" xfId="0" applyNumberFormat="1" applyFont="1" applyFill="1" applyBorder="1" applyAlignment="1">
      <alignment horizontal="right" vertical="center"/>
    </xf>
    <xf numFmtId="164" fontId="16" fillId="10" borderId="4" xfId="0" applyNumberFormat="1" applyFont="1" applyFill="1" applyBorder="1" applyAlignment="1">
      <alignment horizontal="right" vertical="center"/>
    </xf>
    <xf numFmtId="1" fontId="16" fillId="10" borderId="32" xfId="0" applyNumberFormat="1" applyFont="1" applyFill="1" applyBorder="1" applyAlignment="1">
      <alignment horizontal="center" vertical="center"/>
    </xf>
    <xf numFmtId="1" fontId="16" fillId="10" borderId="4" xfId="0" applyNumberFormat="1" applyFont="1" applyFill="1" applyBorder="1" applyAlignment="1">
      <alignment horizontal="center" vertical="center"/>
    </xf>
    <xf numFmtId="1" fontId="16" fillId="10" borderId="32" xfId="0" applyNumberFormat="1" applyFont="1" applyFill="1" applyBorder="1" applyAlignment="1">
      <alignment horizontal="right" vertical="center"/>
    </xf>
    <xf numFmtId="1" fontId="16" fillId="10" borderId="4" xfId="0" applyNumberFormat="1" applyFont="1" applyFill="1" applyBorder="1" applyAlignment="1">
      <alignment horizontal="right" vertical="center"/>
    </xf>
    <xf numFmtId="0" fontId="13" fillId="7" borderId="32" xfId="0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right" vertical="center"/>
    </xf>
    <xf numFmtId="0" fontId="13" fillId="0" borderId="4" xfId="0" applyFont="1" applyFill="1" applyBorder="1" applyAlignment="1">
      <alignment horizontal="right" vertical="center"/>
    </xf>
    <xf numFmtId="14" fontId="13" fillId="0" borderId="32" xfId="0" applyNumberFormat="1" applyFont="1" applyFill="1" applyBorder="1" applyAlignment="1">
      <alignment horizontal="center"/>
    </xf>
    <xf numFmtId="14" fontId="13" fillId="0" borderId="4" xfId="0" applyNumberFormat="1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/>
    </xf>
    <xf numFmtId="164" fontId="8" fillId="4" borderId="32" xfId="0" applyNumberFormat="1" applyFont="1" applyFill="1" applyBorder="1" applyAlignment="1">
      <alignment horizontal="right" vertical="center" wrapText="1"/>
    </xf>
    <xf numFmtId="164" fontId="8" fillId="4" borderId="4" xfId="0" applyNumberFormat="1" applyFont="1" applyFill="1" applyBorder="1" applyAlignment="1">
      <alignment horizontal="right" vertical="center" wrapText="1"/>
    </xf>
    <xf numFmtId="164" fontId="8" fillId="18" borderId="32" xfId="0" applyNumberFormat="1" applyFont="1" applyFill="1" applyBorder="1" applyAlignment="1">
      <alignment horizontal="right" vertical="center" wrapText="1"/>
    </xf>
    <xf numFmtId="164" fontId="8" fillId="18" borderId="4" xfId="0" applyNumberFormat="1" applyFont="1" applyFill="1" applyBorder="1" applyAlignment="1">
      <alignment horizontal="right" vertical="center" wrapText="1"/>
    </xf>
    <xf numFmtId="2" fontId="13" fillId="7" borderId="32" xfId="0" applyNumberFormat="1" applyFont="1" applyFill="1" applyBorder="1" applyAlignment="1">
      <alignment horizontal="center"/>
    </xf>
    <xf numFmtId="2" fontId="13" fillId="7" borderId="4" xfId="0" applyNumberFormat="1" applyFont="1" applyFill="1" applyBorder="1" applyAlignment="1">
      <alignment horizontal="center"/>
    </xf>
    <xf numFmtId="1" fontId="5" fillId="11" borderId="32" xfId="0" applyNumberFormat="1" applyFont="1" applyFill="1" applyBorder="1" applyAlignment="1">
      <alignment horizontal="center" vertical="center"/>
    </xf>
    <xf numFmtId="1" fontId="5" fillId="11" borderId="4" xfId="0" applyNumberFormat="1" applyFont="1" applyFill="1" applyBorder="1" applyAlignment="1">
      <alignment horizontal="center" vertical="center"/>
    </xf>
    <xf numFmtId="164" fontId="8" fillId="8" borderId="32" xfId="0" applyNumberFormat="1" applyFont="1" applyFill="1" applyBorder="1" applyAlignment="1">
      <alignment horizontal="center" vertical="top" wrapText="1"/>
    </xf>
    <xf numFmtId="164" fontId="8" fillId="8" borderId="4" xfId="0" applyNumberFormat="1" applyFont="1" applyFill="1" applyBorder="1" applyAlignment="1">
      <alignment horizontal="center" vertical="top" wrapText="1"/>
    </xf>
    <xf numFmtId="164" fontId="8" fillId="4" borderId="32" xfId="0" applyNumberFormat="1" applyFont="1" applyFill="1" applyBorder="1" applyAlignment="1">
      <alignment horizontal="center" vertical="top" wrapText="1"/>
    </xf>
    <xf numFmtId="164" fontId="8" fillId="4" borderId="4" xfId="0" applyNumberFormat="1" applyFont="1" applyFill="1" applyBorder="1" applyAlignment="1">
      <alignment horizontal="center" vertical="top" wrapText="1"/>
    </xf>
  </cellXfs>
  <cellStyles count="7">
    <cellStyle name="Comma" xfId="6" builtinId="3"/>
    <cellStyle name="Normal" xfId="0" builtinId="0"/>
    <cellStyle name="Normal 12" xfId="1"/>
    <cellStyle name="Normal 13" xfId="2"/>
    <cellStyle name="Normal 15" xfId="3"/>
    <cellStyle name="Normal 17" xfId="4"/>
    <cellStyle name="Normal 3" xf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R56"/>
  <sheetViews>
    <sheetView topLeftCell="A7" zoomScale="75" zoomScaleNormal="75" workbookViewId="0">
      <selection activeCell="L63" sqref="L63"/>
    </sheetView>
  </sheetViews>
  <sheetFormatPr defaultRowHeight="15"/>
  <cols>
    <col min="1" max="1" width="15.42578125" customWidth="1"/>
    <col min="3" max="3" width="13.85546875" bestFit="1" customWidth="1"/>
    <col min="4" max="4" width="20" customWidth="1"/>
    <col min="5" max="5" width="14" customWidth="1"/>
    <col min="6" max="6" width="10.7109375" bestFit="1" customWidth="1"/>
    <col min="7" max="7" width="11.7109375" bestFit="1" customWidth="1"/>
    <col min="8" max="8" width="10.5703125" bestFit="1" customWidth="1"/>
    <col min="9" max="9" width="10" bestFit="1" customWidth="1"/>
    <col min="10" max="10" width="11.140625" bestFit="1" customWidth="1"/>
    <col min="11" max="11" width="10" bestFit="1" customWidth="1"/>
    <col min="12" max="12" width="10.28515625" bestFit="1" customWidth="1"/>
    <col min="13" max="14" width="10" bestFit="1" customWidth="1"/>
    <col min="15" max="15" width="9.28515625" bestFit="1" customWidth="1"/>
    <col min="17" max="17" width="9.28515625" bestFit="1" customWidth="1"/>
  </cols>
  <sheetData>
    <row r="2" spans="1:14" ht="15.75">
      <c r="B2" s="6" t="s">
        <v>14</v>
      </c>
      <c r="C2" s="6"/>
    </row>
    <row r="3" spans="1:14">
      <c r="B3" s="7"/>
      <c r="C3" s="7"/>
      <c r="D3" s="7"/>
      <c r="E3" s="2"/>
      <c r="F3" s="2"/>
    </row>
    <row r="4" spans="1:14">
      <c r="A4" s="1"/>
      <c r="B4" s="8" t="s">
        <v>15</v>
      </c>
      <c r="C4" s="9">
        <f ca="1">NOW()</f>
        <v>45297.535555208335</v>
      </c>
      <c r="E4" s="2"/>
      <c r="F4" s="2"/>
      <c r="G4" s="10"/>
      <c r="H4" s="10"/>
      <c r="I4" s="1"/>
    </row>
    <row r="5" spans="1:14">
      <c r="B5" s="11"/>
      <c r="C5" s="11"/>
      <c r="D5" s="11"/>
      <c r="E5" s="11"/>
      <c r="F5" s="11"/>
    </row>
    <row r="6" spans="1:14">
      <c r="B6" s="11"/>
      <c r="C6" s="11"/>
      <c r="D6" s="11"/>
      <c r="E6" s="11"/>
      <c r="F6" s="11"/>
    </row>
    <row r="7" spans="1:14">
      <c r="A7" s="7"/>
      <c r="B7" s="7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4" ht="57">
      <c r="A8" s="12" t="s">
        <v>10</v>
      </c>
      <c r="B8" s="12" t="s">
        <v>22</v>
      </c>
      <c r="C8" s="13" t="s">
        <v>23</v>
      </c>
      <c r="D8" s="14" t="s">
        <v>21</v>
      </c>
      <c r="E8" s="14" t="s">
        <v>25</v>
      </c>
      <c r="F8" s="14" t="s">
        <v>26</v>
      </c>
      <c r="G8" s="42" t="s">
        <v>8</v>
      </c>
      <c r="H8" s="15" t="s">
        <v>34</v>
      </c>
      <c r="I8" s="45" t="s">
        <v>27</v>
      </c>
      <c r="J8" s="16" t="s">
        <v>24</v>
      </c>
      <c r="K8" s="3" t="s">
        <v>17</v>
      </c>
      <c r="L8" s="17" t="s">
        <v>13</v>
      </c>
      <c r="M8" s="14" t="s">
        <v>41</v>
      </c>
    </row>
    <row r="9" spans="1:14">
      <c r="A9" s="21" t="s">
        <v>48</v>
      </c>
      <c r="B9" s="29"/>
      <c r="C9" s="30"/>
      <c r="D9" s="21"/>
      <c r="E9" s="22"/>
      <c r="F9" s="22"/>
      <c r="G9" s="44"/>
      <c r="H9" s="28"/>
      <c r="I9" s="41"/>
      <c r="J9" s="26"/>
      <c r="K9" s="4"/>
      <c r="L9" s="27"/>
    </row>
    <row r="10" spans="1:14">
      <c r="A10" s="18">
        <v>1</v>
      </c>
      <c r="B10" s="19"/>
      <c r="C10" s="36" t="s">
        <v>49</v>
      </c>
      <c r="D10" s="23">
        <f>+'KEC BB JOB WORK '!G1263</f>
        <v>37613.458000000079</v>
      </c>
      <c r="E10" s="23">
        <f>+'KEC BB JOB WORK '!G1263</f>
        <v>37613.458000000079</v>
      </c>
      <c r="F10" s="23">
        <f>D10-E10</f>
        <v>0</v>
      </c>
      <c r="G10" s="43"/>
      <c r="H10" s="20"/>
      <c r="I10" s="40"/>
      <c r="J10" s="24">
        <f>+'KEC BB JOB WORK '!N1263</f>
        <v>32665.871999999948</v>
      </c>
      <c r="K10" s="25">
        <f>+'KEC BB JOB WORK '!Q1263+'KEC BB JOB WORK '!R1263</f>
        <v>2711.7339200000015</v>
      </c>
      <c r="L10" s="62">
        <f>+'KEC BB JOB WORK '!T1263</f>
        <v>2235.8520800000001</v>
      </c>
      <c r="M10" s="61">
        <f>L10/92%</f>
        <v>2430.2739999999999</v>
      </c>
    </row>
    <row r="11" spans="1:14">
      <c r="A11" s="21"/>
      <c r="B11" s="29"/>
      <c r="C11" s="30"/>
      <c r="D11" s="21"/>
      <c r="E11" s="22"/>
      <c r="F11" s="22"/>
      <c r="G11" s="44"/>
      <c r="H11" s="28"/>
      <c r="I11" s="41"/>
      <c r="J11" s="26"/>
      <c r="K11" s="4"/>
      <c r="L11" s="27"/>
      <c r="M11" s="46"/>
    </row>
    <row r="12" spans="1:14">
      <c r="A12" s="47"/>
      <c r="B12" s="47"/>
      <c r="C12" s="48"/>
      <c r="D12" s="49"/>
      <c r="E12" s="49"/>
      <c r="F12" s="49"/>
      <c r="G12" s="50"/>
      <c r="H12" s="49"/>
      <c r="I12" s="50"/>
      <c r="J12" s="49"/>
      <c r="K12" s="49"/>
      <c r="L12" s="49"/>
      <c r="M12" s="49"/>
    </row>
    <row r="13" spans="1:14">
      <c r="A13" s="31"/>
      <c r="B13" s="32" t="s">
        <v>1</v>
      </c>
      <c r="C13" s="33"/>
      <c r="D13" s="34">
        <f>+D10</f>
        <v>37613.458000000079</v>
      </c>
      <c r="E13" s="34">
        <f>+E10</f>
        <v>37613.458000000079</v>
      </c>
      <c r="F13" s="68">
        <f>+F10</f>
        <v>0</v>
      </c>
      <c r="G13" s="5"/>
      <c r="H13" s="35"/>
      <c r="I13" s="5"/>
      <c r="J13" s="34">
        <f>+J10</f>
        <v>32665.871999999948</v>
      </c>
      <c r="K13" s="34">
        <f>+K10</f>
        <v>2711.7339200000015</v>
      </c>
      <c r="L13" s="34">
        <f>+L10</f>
        <v>2235.8520800000001</v>
      </c>
      <c r="M13" s="34">
        <f>+M10</f>
        <v>2430.2739999999999</v>
      </c>
    </row>
    <row r="14" spans="1:14">
      <c r="A14" s="56"/>
      <c r="B14" s="56" t="s">
        <v>38</v>
      </c>
    </row>
    <row r="15" spans="1:14">
      <c r="A15" s="52" t="s">
        <v>30</v>
      </c>
      <c r="B15" s="63"/>
      <c r="C15" s="52" t="s">
        <v>30</v>
      </c>
      <c r="D15" s="38">
        <f>+D10</f>
        <v>37613.458000000079</v>
      </c>
      <c r="E15" s="38">
        <f>+E10</f>
        <v>37613.458000000079</v>
      </c>
      <c r="F15" s="38">
        <f>+F10</f>
        <v>0</v>
      </c>
      <c r="J15" s="38">
        <f>+J10</f>
        <v>32665.871999999948</v>
      </c>
      <c r="K15" s="38">
        <f>+K10</f>
        <v>2711.7339200000015</v>
      </c>
      <c r="L15" s="38">
        <f>+L10</f>
        <v>2235.8520800000001</v>
      </c>
      <c r="M15" s="38">
        <f>+M10</f>
        <v>2430.2739999999999</v>
      </c>
      <c r="N15" s="59">
        <f>M15-B15</f>
        <v>2430.2739999999999</v>
      </c>
    </row>
    <row r="16" spans="1:14">
      <c r="A16" s="52" t="s">
        <v>28</v>
      </c>
      <c r="B16" s="63"/>
      <c r="C16" s="52" t="s">
        <v>28</v>
      </c>
      <c r="D16" s="38"/>
      <c r="E16" s="38"/>
      <c r="F16" s="38"/>
      <c r="J16" s="38"/>
      <c r="K16" s="38"/>
      <c r="L16" s="38"/>
      <c r="M16" s="38"/>
      <c r="N16" s="59"/>
    </row>
    <row r="17" spans="1:18">
      <c r="A17" s="37" t="s">
        <v>18</v>
      </c>
      <c r="B17" s="55">
        <f>SUM(B15:B16)</f>
        <v>0</v>
      </c>
      <c r="C17" s="39"/>
      <c r="D17" s="38">
        <f>SUM(D15:D16)</f>
        <v>37613.458000000079</v>
      </c>
      <c r="E17" s="38">
        <f>SUM(E15:E16)</f>
        <v>37613.458000000079</v>
      </c>
      <c r="F17" s="38">
        <f>SUM(F15:F16)</f>
        <v>0</v>
      </c>
      <c r="J17" s="38">
        <f>SUM(J15:J16)</f>
        <v>32665.871999999948</v>
      </c>
      <c r="K17" s="38">
        <f>SUM(K15:K16)</f>
        <v>2711.7339200000015</v>
      </c>
      <c r="L17" s="38">
        <f>SUM(L15:L16)</f>
        <v>2235.8520800000001</v>
      </c>
      <c r="M17" s="38">
        <f>SUM(M15:M16)</f>
        <v>2430.2739999999999</v>
      </c>
      <c r="N17" s="38">
        <f>SUM(N15:N16)</f>
        <v>2430.2739999999999</v>
      </c>
    </row>
    <row r="18" spans="1:18">
      <c r="A18" s="46"/>
      <c r="C18" s="2"/>
      <c r="D18" s="54"/>
      <c r="E18" s="54"/>
      <c r="F18" s="54"/>
      <c r="J18" s="54"/>
      <c r="K18" s="54"/>
      <c r="L18" s="54" t="s">
        <v>42</v>
      </c>
    </row>
    <row r="19" spans="1:18">
      <c r="A19" s="46"/>
      <c r="C19" s="2"/>
      <c r="D19" s="54"/>
      <c r="E19" s="54"/>
      <c r="F19" s="54"/>
      <c r="J19" s="54"/>
      <c r="K19" s="54"/>
      <c r="L19" s="54"/>
    </row>
    <row r="20" spans="1:18">
      <c r="A20" s="1"/>
      <c r="B20" s="8" t="s">
        <v>16</v>
      </c>
      <c r="C20" s="51">
        <f ca="1">+C4</f>
        <v>45297.535555208335</v>
      </c>
      <c r="D20" s="11"/>
      <c r="E20" s="53"/>
      <c r="F20" s="2"/>
      <c r="K20" s="46"/>
    </row>
    <row r="21" spans="1:18">
      <c r="K21" s="46"/>
    </row>
    <row r="22" spans="1:18">
      <c r="B22" s="11"/>
      <c r="C22" s="11"/>
      <c r="D22" s="11"/>
      <c r="E22" s="11"/>
      <c r="F22" s="11"/>
    </row>
    <row r="25" spans="1:18">
      <c r="F25" s="11"/>
      <c r="G25" s="11"/>
    </row>
    <row r="26" spans="1:18">
      <c r="A26" s="37" t="s">
        <v>31</v>
      </c>
      <c r="D26" s="64" t="s">
        <v>98</v>
      </c>
      <c r="E26" s="64"/>
      <c r="F26" s="11"/>
      <c r="G26" s="11"/>
    </row>
    <row r="27" spans="1:18">
      <c r="A27" s="37" t="s">
        <v>33</v>
      </c>
      <c r="B27" s="37" t="s">
        <v>39</v>
      </c>
      <c r="C27" s="37" t="s">
        <v>35</v>
      </c>
      <c r="D27" s="37" t="s">
        <v>33</v>
      </c>
      <c r="E27" s="139" t="s">
        <v>97</v>
      </c>
      <c r="F27" s="139" t="s">
        <v>282</v>
      </c>
      <c r="G27" s="37" t="s">
        <v>32</v>
      </c>
      <c r="H27" s="64"/>
      <c r="I27" s="64"/>
      <c r="J27" s="64"/>
      <c r="K27" s="64"/>
      <c r="L27" s="64"/>
      <c r="M27" s="64"/>
      <c r="N27" s="64"/>
      <c r="O27" s="64"/>
      <c r="P27" s="37" t="s">
        <v>32</v>
      </c>
    </row>
    <row r="28" spans="1:18">
      <c r="A28" s="11" t="s">
        <v>50</v>
      </c>
      <c r="B28" s="57"/>
      <c r="C28" s="37" t="s">
        <v>29</v>
      </c>
      <c r="D28" s="38">
        <f>+J15</f>
        <v>32665.871999999948</v>
      </c>
      <c r="E28" s="38">
        <v>3966.3919999999998</v>
      </c>
      <c r="F28" s="145">
        <v>147.858</v>
      </c>
      <c r="G28" s="38">
        <f>D28-E28-F28</f>
        <v>28551.621999999948</v>
      </c>
      <c r="H28" s="38"/>
      <c r="I28" s="38"/>
      <c r="J28" s="38"/>
      <c r="K28" s="38"/>
      <c r="L28" s="38"/>
      <c r="M28" s="38"/>
      <c r="N28" s="38"/>
      <c r="O28" s="38"/>
      <c r="P28" s="38" t="e">
        <f>D28-E28-G28-#REF!-H28-I28-J28-K28-L28-M28-N28-O28</f>
        <v>#REF!</v>
      </c>
      <c r="Q28" s="67"/>
      <c r="R28" s="67" t="e">
        <f>Q28-P28</f>
        <v>#REF!</v>
      </c>
    </row>
    <row r="29" spans="1:18">
      <c r="A29" s="39"/>
      <c r="B29" s="57"/>
      <c r="C29" s="37" t="s">
        <v>28</v>
      </c>
      <c r="D29" s="38">
        <f>+J16</f>
        <v>0</v>
      </c>
      <c r="E29" s="38"/>
      <c r="F29" s="145"/>
      <c r="G29" s="38"/>
      <c r="H29" s="38"/>
      <c r="I29" s="38"/>
      <c r="J29" s="38"/>
      <c r="K29" s="38"/>
      <c r="L29" s="38"/>
      <c r="M29" s="38"/>
      <c r="N29" s="38"/>
      <c r="O29" s="38"/>
      <c r="P29" s="38" t="e">
        <f>D29-E29-G29-#REF!-H29-I29-J29-K29-L29-M29-N29-O29</f>
        <v>#REF!</v>
      </c>
    </row>
    <row r="30" spans="1:18">
      <c r="A30" s="38"/>
      <c r="B30" s="55"/>
      <c r="C30" s="37"/>
      <c r="D30" s="38">
        <f t="shared" ref="D30:P30" si="0">SUM(D28:D29)</f>
        <v>32665.871999999948</v>
      </c>
      <c r="E30" s="38">
        <f t="shared" si="0"/>
        <v>3966.3919999999998</v>
      </c>
      <c r="F30" s="38">
        <f t="shared" si="0"/>
        <v>147.858</v>
      </c>
      <c r="G30" s="38">
        <f t="shared" si="0"/>
        <v>28551.621999999948</v>
      </c>
      <c r="H30" s="38">
        <f t="shared" si="0"/>
        <v>0</v>
      </c>
      <c r="I30" s="38">
        <f t="shared" si="0"/>
        <v>0</v>
      </c>
      <c r="J30" s="38">
        <f t="shared" si="0"/>
        <v>0</v>
      </c>
      <c r="K30" s="38">
        <f t="shared" si="0"/>
        <v>0</v>
      </c>
      <c r="L30" s="38">
        <f t="shared" si="0"/>
        <v>0</v>
      </c>
      <c r="M30" s="38">
        <f t="shared" si="0"/>
        <v>0</v>
      </c>
      <c r="N30" s="38">
        <f t="shared" si="0"/>
        <v>0</v>
      </c>
      <c r="O30" s="38">
        <f t="shared" si="0"/>
        <v>0</v>
      </c>
      <c r="P30" s="38" t="e">
        <f t="shared" si="0"/>
        <v>#REF!</v>
      </c>
    </row>
    <row r="31" spans="1:18">
      <c r="A31" s="54"/>
      <c r="B31" s="60"/>
      <c r="C31" s="58"/>
      <c r="D31" s="54"/>
      <c r="G31" s="46"/>
      <c r="H31" s="46"/>
      <c r="I31" s="46"/>
      <c r="J31" s="46"/>
      <c r="K31" s="54"/>
      <c r="L31" s="54"/>
      <c r="M31" s="54"/>
      <c r="N31" s="54"/>
      <c r="O31" s="54"/>
      <c r="P31" s="54"/>
    </row>
    <row r="32" spans="1:18">
      <c r="G32" s="46"/>
      <c r="H32" s="46"/>
      <c r="I32" s="46"/>
      <c r="J32" s="46"/>
      <c r="K32" s="46"/>
      <c r="P32" s="46"/>
    </row>
    <row r="33" spans="1:15">
      <c r="G33" s="46"/>
      <c r="H33" s="46"/>
      <c r="I33" s="46"/>
      <c r="J33" s="46"/>
      <c r="K33" s="46"/>
      <c r="L33" s="46"/>
      <c r="M33" s="46"/>
      <c r="N33" s="46"/>
      <c r="O33" s="46"/>
    </row>
    <row r="34" spans="1:15" ht="57">
      <c r="A34" s="12" t="s">
        <v>10</v>
      </c>
      <c r="B34" s="12" t="s">
        <v>22</v>
      </c>
      <c r="C34" s="13" t="s">
        <v>23</v>
      </c>
      <c r="D34" s="14" t="s">
        <v>21</v>
      </c>
      <c r="E34" s="14" t="s">
        <v>25</v>
      </c>
      <c r="F34" s="14" t="s">
        <v>26</v>
      </c>
      <c r="G34" s="42" t="s">
        <v>8</v>
      </c>
      <c r="H34" s="15" t="s">
        <v>34</v>
      </c>
      <c r="I34" s="45" t="s">
        <v>27</v>
      </c>
      <c r="J34" s="16" t="s">
        <v>24</v>
      </c>
      <c r="K34" s="3" t="s">
        <v>17</v>
      </c>
      <c r="L34" s="17" t="s">
        <v>13</v>
      </c>
      <c r="M34" s="14" t="s">
        <v>41</v>
      </c>
    </row>
    <row r="35" spans="1:15">
      <c r="A35" s="21" t="s">
        <v>48</v>
      </c>
      <c r="B35" s="29"/>
      <c r="C35" s="30"/>
      <c r="D35" s="21"/>
      <c r="E35" s="22"/>
      <c r="F35" s="22"/>
      <c r="G35" s="44"/>
      <c r="H35" s="28"/>
      <c r="I35" s="41"/>
      <c r="J35" s="26"/>
      <c r="K35" s="4"/>
      <c r="L35" s="27"/>
    </row>
    <row r="36" spans="1:15">
      <c r="A36" s="18">
        <v>1</v>
      </c>
      <c r="B36" s="19"/>
      <c r="C36" s="36" t="s">
        <v>49</v>
      </c>
      <c r="D36" s="23">
        <f>+'KEC JBP JOB WORK  '!G89</f>
        <v>2714.04</v>
      </c>
      <c r="E36" s="23">
        <f>+'KEC JBP JOB WORK  '!G89</f>
        <v>2714.04</v>
      </c>
      <c r="F36" s="23">
        <f>D36-E36</f>
        <v>0</v>
      </c>
      <c r="G36" s="43"/>
      <c r="H36" s="20"/>
      <c r="I36" s="40"/>
      <c r="J36" s="24">
        <f>+'KEC JBP JOB WORK  '!N89</f>
        <v>2511.4989999999993</v>
      </c>
      <c r="K36" s="25">
        <f>+'KEC JBP JOB WORK  '!Q89+'KEC JBP JOB WORK  '!R89</f>
        <v>202.54227999999995</v>
      </c>
      <c r="L36" s="62">
        <f>+'KEC JBP JOB WORK  '!T89</f>
        <v>-1.2800000000064427E-3</v>
      </c>
      <c r="M36" s="61">
        <f>L36/92%</f>
        <v>-1.3913043478330897E-3</v>
      </c>
    </row>
    <row r="37" spans="1:15">
      <c r="A37" s="21"/>
      <c r="B37" s="29"/>
      <c r="C37" s="30"/>
      <c r="D37" s="21"/>
      <c r="E37" s="22"/>
      <c r="F37" s="22"/>
      <c r="G37" s="44"/>
      <c r="H37" s="28"/>
      <c r="I37" s="41"/>
      <c r="J37" s="26"/>
      <c r="K37" s="4"/>
      <c r="L37" s="27"/>
      <c r="M37" s="46"/>
    </row>
    <row r="38" spans="1:15" ht="15.75" thickBot="1">
      <c r="A38" s="47"/>
      <c r="B38" s="47"/>
      <c r="C38" s="48"/>
      <c r="D38" s="49"/>
      <c r="E38" s="49"/>
      <c r="F38" s="49"/>
      <c r="G38" s="50"/>
      <c r="H38" s="49"/>
      <c r="I38" s="50"/>
      <c r="J38" s="49"/>
      <c r="K38" s="49"/>
      <c r="L38" s="49"/>
      <c r="M38" s="49"/>
    </row>
    <row r="39" spans="1:15" ht="15.75" thickBot="1">
      <c r="A39" s="31"/>
      <c r="B39" s="32" t="s">
        <v>1</v>
      </c>
      <c r="C39" s="33"/>
      <c r="D39" s="34">
        <f>+D36</f>
        <v>2714.04</v>
      </c>
      <c r="E39" s="34">
        <f>+E36</f>
        <v>2714.04</v>
      </c>
      <c r="F39" s="68">
        <f>+F36</f>
        <v>0</v>
      </c>
      <c r="G39" s="5"/>
      <c r="H39" s="35"/>
      <c r="I39" s="5"/>
      <c r="J39" s="34">
        <f>+J36</f>
        <v>2511.4989999999993</v>
      </c>
      <c r="K39" s="34">
        <f>+K36</f>
        <v>202.54227999999995</v>
      </c>
      <c r="L39" s="34">
        <f>+L36</f>
        <v>-1.2800000000064427E-3</v>
      </c>
      <c r="M39" s="34">
        <f>+M36</f>
        <v>-1.3913043478330897E-3</v>
      </c>
    </row>
    <row r="40" spans="1:15">
      <c r="A40" s="56"/>
      <c r="B40" s="56" t="s">
        <v>38</v>
      </c>
    </row>
    <row r="41" spans="1:15">
      <c r="A41" s="52" t="s">
        <v>30</v>
      </c>
      <c r="B41" s="63"/>
      <c r="C41" s="52" t="s">
        <v>30</v>
      </c>
      <c r="D41" s="38">
        <f>+D36</f>
        <v>2714.04</v>
      </c>
      <c r="E41" s="38">
        <f>+E36</f>
        <v>2714.04</v>
      </c>
      <c r="F41" s="38">
        <f>+F36</f>
        <v>0</v>
      </c>
      <c r="J41" s="38">
        <f>+J36</f>
        <v>2511.4989999999993</v>
      </c>
      <c r="K41" s="38">
        <f>+K36</f>
        <v>202.54227999999995</v>
      </c>
      <c r="L41" s="38">
        <f>+L36</f>
        <v>-1.2800000000064427E-3</v>
      </c>
      <c r="M41" s="38">
        <f>+M36</f>
        <v>-1.3913043478330897E-3</v>
      </c>
      <c r="N41" s="59">
        <f>M41-B41</f>
        <v>-1.3913043478330897E-3</v>
      </c>
    </row>
    <row r="42" spans="1:15">
      <c r="A42" s="52" t="s">
        <v>28</v>
      </c>
      <c r="B42" s="63"/>
      <c r="C42" s="52" t="s">
        <v>28</v>
      </c>
      <c r="D42" s="38"/>
      <c r="E42" s="38"/>
      <c r="F42" s="38"/>
      <c r="J42" s="38"/>
      <c r="K42" s="38"/>
      <c r="L42" s="38"/>
      <c r="M42" s="38"/>
      <c r="N42" s="59"/>
    </row>
    <row r="43" spans="1:15">
      <c r="A43" s="37" t="s">
        <v>18</v>
      </c>
      <c r="B43" s="55">
        <f>SUM(B41:B42)</f>
        <v>0</v>
      </c>
      <c r="C43" s="39"/>
      <c r="D43" s="38">
        <f>SUM(D41:D42)</f>
        <v>2714.04</v>
      </c>
      <c r="E43" s="38">
        <f>SUM(E41:E42)</f>
        <v>2714.04</v>
      </c>
      <c r="F43" s="38">
        <f>SUM(F41:F42)</f>
        <v>0</v>
      </c>
      <c r="J43" s="38">
        <f>SUM(J41:J42)</f>
        <v>2511.4989999999993</v>
      </c>
      <c r="K43" s="38">
        <f>SUM(K41:K42)</f>
        <v>202.54227999999995</v>
      </c>
      <c r="L43" s="38">
        <f>SUM(L41:L42)</f>
        <v>-1.2800000000064427E-3</v>
      </c>
      <c r="M43" s="38">
        <f>SUM(M41:M42)</f>
        <v>-1.3913043478330897E-3</v>
      </c>
      <c r="N43" s="38">
        <f>SUM(N41:N42)</f>
        <v>-1.3913043478330897E-3</v>
      </c>
    </row>
    <row r="44" spans="1:15">
      <c r="A44" s="46"/>
      <c r="C44" s="2"/>
      <c r="D44" s="54"/>
      <c r="E44" s="54"/>
      <c r="F44" s="54"/>
      <c r="J44" s="54"/>
      <c r="K44" s="54"/>
      <c r="L44" s="54" t="s">
        <v>42</v>
      </c>
    </row>
    <row r="45" spans="1:15">
      <c r="A45" s="46"/>
      <c r="C45" s="2"/>
      <c r="D45" s="54"/>
      <c r="E45" s="54"/>
      <c r="F45" s="54"/>
      <c r="J45" s="54"/>
      <c r="K45" s="54"/>
      <c r="L45" s="54"/>
    </row>
    <row r="46" spans="1:15">
      <c r="A46" s="1"/>
      <c r="B46" s="8" t="s">
        <v>16</v>
      </c>
      <c r="C46" s="51">
        <f>+C30</f>
        <v>0</v>
      </c>
      <c r="D46" s="11"/>
      <c r="E46" s="53"/>
      <c r="F46" s="2"/>
      <c r="K46" s="46"/>
    </row>
    <row r="47" spans="1:15">
      <c r="K47" s="46"/>
    </row>
    <row r="48" spans="1:15">
      <c r="B48" s="11"/>
      <c r="C48" s="11"/>
      <c r="D48" s="11"/>
      <c r="E48" s="11"/>
      <c r="F48" s="11"/>
    </row>
    <row r="51" spans="1:16">
      <c r="F51" s="11"/>
      <c r="G51" s="11"/>
    </row>
    <row r="52" spans="1:16">
      <c r="A52" s="37" t="s">
        <v>31</v>
      </c>
      <c r="D52" s="64" t="s">
        <v>307</v>
      </c>
      <c r="E52" s="64"/>
      <c r="F52" s="11"/>
      <c r="G52" s="11"/>
    </row>
    <row r="53" spans="1:16">
      <c r="A53" s="37" t="s">
        <v>33</v>
      </c>
      <c r="B53" s="37" t="s">
        <v>39</v>
      </c>
      <c r="C53" s="37" t="s">
        <v>35</v>
      </c>
      <c r="D53" s="37" t="s">
        <v>33</v>
      </c>
      <c r="E53" s="139" t="s">
        <v>330</v>
      </c>
      <c r="F53" s="139" t="s">
        <v>329</v>
      </c>
      <c r="G53" s="37" t="s">
        <v>32</v>
      </c>
      <c r="H53" s="64"/>
      <c r="I53" s="64"/>
      <c r="J53" s="64"/>
      <c r="K53" s="64"/>
      <c r="L53" s="64"/>
      <c r="M53" s="64"/>
      <c r="N53" s="64"/>
      <c r="O53" s="64"/>
      <c r="P53" s="37" t="s">
        <v>32</v>
      </c>
    </row>
    <row r="54" spans="1:16">
      <c r="A54" s="11" t="s">
        <v>50</v>
      </c>
      <c r="B54" s="57"/>
      <c r="C54" s="37" t="s">
        <v>29</v>
      </c>
      <c r="D54" s="38">
        <f>+J41</f>
        <v>2511.4989999999993</v>
      </c>
      <c r="E54" s="38">
        <f>629.149+164.143</f>
        <v>793.29200000000003</v>
      </c>
      <c r="F54" s="145"/>
      <c r="G54" s="38">
        <f>D54-E54-F54</f>
        <v>1718.2069999999994</v>
      </c>
      <c r="H54" s="38"/>
      <c r="I54" s="38"/>
      <c r="J54" s="38"/>
      <c r="K54" s="38"/>
      <c r="L54" s="38"/>
      <c r="M54" s="38"/>
      <c r="N54" s="38"/>
      <c r="O54" s="38"/>
      <c r="P54" s="38" t="e">
        <f>D54-E54-G54-#REF!-H54-I54-J54-K54-L54-M54-N54-O54</f>
        <v>#REF!</v>
      </c>
    </row>
    <row r="55" spans="1:16">
      <c r="A55" s="39"/>
      <c r="B55" s="57"/>
      <c r="C55" s="37" t="s">
        <v>28</v>
      </c>
      <c r="D55" s="38">
        <f>+J42</f>
        <v>0</v>
      </c>
      <c r="E55" s="38"/>
      <c r="F55" s="145"/>
      <c r="G55" s="38"/>
      <c r="H55" s="38"/>
      <c r="I55" s="38"/>
      <c r="J55" s="38"/>
      <c r="K55" s="38"/>
      <c r="L55" s="38"/>
      <c r="M55" s="38"/>
      <c r="N55" s="38"/>
      <c r="O55" s="38"/>
      <c r="P55" s="38" t="e">
        <f>D55-E55-G55-#REF!-H55-I55-J55-K55-L55-M55-N55-O55</f>
        <v>#REF!</v>
      </c>
    </row>
    <row r="56" spans="1:16">
      <c r="A56" s="38"/>
      <c r="B56" s="55"/>
      <c r="C56" s="37"/>
      <c r="D56" s="38">
        <f>SUM(D54:D55)</f>
        <v>2511.4989999999993</v>
      </c>
      <c r="E56" s="38">
        <f>SUM(E54:E55)</f>
        <v>793.29200000000003</v>
      </c>
      <c r="F56" s="38">
        <f>SUM(F54:F55)</f>
        <v>0</v>
      </c>
      <c r="G56" s="38">
        <f>SUM(G54:G55)</f>
        <v>1718.2069999999994</v>
      </c>
      <c r="H56" s="38">
        <f t="shared" ref="H56:O56" si="1">SUM(H54:H55)</f>
        <v>0</v>
      </c>
      <c r="I56" s="38">
        <f t="shared" si="1"/>
        <v>0</v>
      </c>
      <c r="J56" s="38">
        <f t="shared" si="1"/>
        <v>0</v>
      </c>
      <c r="K56" s="38">
        <f t="shared" si="1"/>
        <v>0</v>
      </c>
      <c r="L56" s="38">
        <f t="shared" si="1"/>
        <v>0</v>
      </c>
      <c r="M56" s="38">
        <f t="shared" si="1"/>
        <v>0</v>
      </c>
      <c r="N56" s="38">
        <f t="shared" si="1"/>
        <v>0</v>
      </c>
      <c r="O56" s="38">
        <f t="shared" si="1"/>
        <v>0</v>
      </c>
      <c r="P56" s="38" t="e">
        <f>SUM(P54:P55)</f>
        <v>#REF!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AA1338"/>
  <sheetViews>
    <sheetView zoomScale="75" zoomScaleNormal="75" workbookViewId="0">
      <pane ySplit="4" topLeftCell="A1157" activePane="bottomLeft" state="frozen"/>
      <selection pane="bottomLeft" activeCell="N1168" sqref="N1168"/>
    </sheetView>
  </sheetViews>
  <sheetFormatPr defaultRowHeight="15"/>
  <cols>
    <col min="1" max="1" width="5.42578125" customWidth="1"/>
    <col min="2" max="2" width="11.140625" bestFit="1" customWidth="1"/>
    <col min="3" max="3" width="14.5703125" bestFit="1" customWidth="1"/>
    <col min="4" max="4" width="21.140625" bestFit="1" customWidth="1"/>
    <col min="5" max="5" width="9.42578125" customWidth="1"/>
    <col min="6" max="6" width="12.7109375" customWidth="1"/>
    <col min="7" max="7" width="9.7109375" customWidth="1"/>
    <col min="8" max="8" width="12.85546875" customWidth="1"/>
    <col min="9" max="9" width="9.7109375" customWidth="1"/>
    <col min="10" max="10" width="1.140625" customWidth="1"/>
    <col min="11" max="11" width="22.140625" style="179" customWidth="1"/>
    <col min="12" max="12" width="9.5703125" bestFit="1" customWidth="1"/>
    <col min="13" max="13" width="30.28515625" customWidth="1"/>
    <col min="14" max="14" width="13.5703125" bestFit="1" customWidth="1"/>
    <col min="15" max="15" width="1.5703125" customWidth="1"/>
    <col min="16" max="16" width="12.28515625" customWidth="1"/>
    <col min="17" max="17" width="10.5703125" customWidth="1"/>
    <col min="18" max="18" width="10.7109375" customWidth="1"/>
    <col min="19" max="19" width="1.42578125" customWidth="1"/>
    <col min="20" max="20" width="11.42578125" customWidth="1"/>
    <col min="21" max="21" width="1.5703125" customWidth="1"/>
    <col min="22" max="22" width="17.28515625" bestFit="1" customWidth="1"/>
    <col min="23" max="23" width="15.28515625" bestFit="1" customWidth="1"/>
    <col min="24" max="25" width="9.28515625" bestFit="1" customWidth="1"/>
  </cols>
  <sheetData>
    <row r="1" spans="1:23" ht="15.75" thickBot="1"/>
    <row r="2" spans="1:23" ht="18.75" thickBot="1">
      <c r="V2" s="86" t="s">
        <v>36</v>
      </c>
    </row>
    <row r="3" spans="1:23" ht="18.75" thickBot="1">
      <c r="A3" s="84" t="s">
        <v>0</v>
      </c>
      <c r="V3" s="87">
        <f ca="1">+SUMMARY!C4</f>
        <v>45297.535555208335</v>
      </c>
    </row>
    <row r="4" spans="1:23" ht="72">
      <c r="A4" s="70" t="s">
        <v>40</v>
      </c>
      <c r="B4" s="71" t="s">
        <v>44</v>
      </c>
      <c r="C4" s="71" t="s">
        <v>43</v>
      </c>
      <c r="D4" s="72" t="s">
        <v>7</v>
      </c>
      <c r="E4" s="72" t="s">
        <v>2</v>
      </c>
      <c r="F4" s="72" t="s">
        <v>37</v>
      </c>
      <c r="G4" s="72" t="s">
        <v>3</v>
      </c>
      <c r="H4" s="72" t="s">
        <v>4</v>
      </c>
      <c r="I4" s="72" t="s">
        <v>47</v>
      </c>
      <c r="J4" s="74"/>
      <c r="K4" s="180" t="s">
        <v>46</v>
      </c>
      <c r="L4" s="75" t="s">
        <v>45</v>
      </c>
      <c r="M4" s="76" t="s">
        <v>5</v>
      </c>
      <c r="N4" s="77" t="s">
        <v>6</v>
      </c>
      <c r="O4" s="78"/>
      <c r="P4" s="79" t="s">
        <v>19</v>
      </c>
      <c r="Q4" s="80" t="s">
        <v>11</v>
      </c>
      <c r="R4" s="81" t="s">
        <v>12</v>
      </c>
      <c r="S4" s="74"/>
      <c r="T4" s="82" t="s">
        <v>20</v>
      </c>
      <c r="U4" s="74"/>
      <c r="V4" s="83" t="s">
        <v>9</v>
      </c>
    </row>
    <row r="5" spans="1:23" ht="18">
      <c r="A5" s="66">
        <v>1</v>
      </c>
      <c r="B5" s="108" t="s">
        <v>54</v>
      </c>
      <c r="C5" s="90" t="s">
        <v>55</v>
      </c>
      <c r="D5" s="140" t="s">
        <v>56</v>
      </c>
      <c r="E5" s="66">
        <v>498</v>
      </c>
      <c r="F5" s="97">
        <v>44562</v>
      </c>
      <c r="G5" s="66">
        <v>32.079000000000001</v>
      </c>
      <c r="H5" s="107">
        <v>1594700</v>
      </c>
      <c r="I5" s="106">
        <f t="shared" ref="I5:I36" si="0">H5/G5</f>
        <v>49711.649365628604</v>
      </c>
      <c r="J5" s="117"/>
      <c r="K5" s="181" t="s">
        <v>116</v>
      </c>
      <c r="L5" s="66">
        <v>498</v>
      </c>
      <c r="M5" s="119" t="s">
        <v>119</v>
      </c>
      <c r="N5" s="120">
        <f>27.033+2.48</f>
        <v>29.513000000000002</v>
      </c>
      <c r="O5" s="117"/>
      <c r="P5" s="92">
        <f t="shared" ref="P5:P10" si="1">G5*0.92</f>
        <v>29.512680000000003</v>
      </c>
      <c r="Q5" s="113">
        <f t="shared" ref="Q5:Q10" si="2">G5*4.5%</f>
        <v>1.4435549999999999</v>
      </c>
      <c r="R5" s="92">
        <f t="shared" ref="R5:R10" si="3">G5*3.5%</f>
        <v>1.1227650000000002</v>
      </c>
      <c r="S5" s="121"/>
      <c r="T5" s="93">
        <f>G5-N5-Q5-R5</f>
        <v>-3.2000000000120821E-4</v>
      </c>
      <c r="U5" s="74"/>
      <c r="V5" s="94">
        <f ca="1">360-($V$3-F5)</f>
        <v>-375.5355552083347</v>
      </c>
      <c r="W5" s="89">
        <f>T5/0.92%/100</f>
        <v>-3.47826086957835E-4</v>
      </c>
    </row>
    <row r="6" spans="1:23" ht="18">
      <c r="A6" s="66">
        <v>2</v>
      </c>
      <c r="B6" s="108" t="s">
        <v>54</v>
      </c>
      <c r="C6" s="90" t="s">
        <v>55</v>
      </c>
      <c r="D6" s="140" t="s">
        <v>56</v>
      </c>
      <c r="E6" s="66">
        <v>499</v>
      </c>
      <c r="F6" s="97">
        <v>44562</v>
      </c>
      <c r="G6" s="66">
        <v>29.940999999999999</v>
      </c>
      <c r="H6" s="107">
        <v>1488386</v>
      </c>
      <c r="I6" s="106">
        <f t="shared" si="0"/>
        <v>49710.630907451319</v>
      </c>
      <c r="J6" s="117"/>
      <c r="K6" s="181">
        <v>79</v>
      </c>
      <c r="L6" s="66">
        <v>499</v>
      </c>
      <c r="M6" s="119" t="s">
        <v>118</v>
      </c>
      <c r="N6" s="120">
        <v>27.545999999999999</v>
      </c>
      <c r="O6" s="117"/>
      <c r="P6" s="92">
        <f t="shared" si="1"/>
        <v>27.545719999999999</v>
      </c>
      <c r="Q6" s="113">
        <f t="shared" si="2"/>
        <v>1.3473449999999998</v>
      </c>
      <c r="R6" s="92">
        <f t="shared" si="3"/>
        <v>1.0479350000000001</v>
      </c>
      <c r="S6" s="121"/>
      <c r="T6" s="93">
        <f t="shared" ref="T6:T63" si="4">G6-N6-Q6-R6</f>
        <v>-2.8000000000028002E-4</v>
      </c>
      <c r="U6" s="74"/>
      <c r="V6" s="94">
        <f t="shared" ref="V6:V63" ca="1" si="5">360-($V$3-F6)</f>
        <v>-375.5355552083347</v>
      </c>
      <c r="W6" s="89">
        <f>T6/0.92%/100</f>
        <v>-3.0434782608726088E-4</v>
      </c>
    </row>
    <row r="7" spans="1:23" ht="18">
      <c r="A7" s="66">
        <v>3</v>
      </c>
      <c r="B7" s="108" t="s">
        <v>54</v>
      </c>
      <c r="C7" s="90" t="s">
        <v>55</v>
      </c>
      <c r="D7" s="140" t="s">
        <v>57</v>
      </c>
      <c r="E7" s="66">
        <v>500</v>
      </c>
      <c r="F7" s="97">
        <v>44562</v>
      </c>
      <c r="G7" s="66">
        <v>30.693999999999999</v>
      </c>
      <c r="H7" s="107">
        <v>1524731</v>
      </c>
      <c r="I7" s="106">
        <f t="shared" si="0"/>
        <v>49675.213396755069</v>
      </c>
      <c r="J7" s="117"/>
      <c r="K7" s="181" t="s">
        <v>117</v>
      </c>
      <c r="L7" s="66">
        <v>500</v>
      </c>
      <c r="M7" s="119" t="s">
        <v>120</v>
      </c>
      <c r="N7" s="120">
        <f>1.339+26.899</f>
        <v>28.238</v>
      </c>
      <c r="O7" s="117"/>
      <c r="P7" s="92">
        <f t="shared" si="1"/>
        <v>28.238479999999999</v>
      </c>
      <c r="Q7" s="113">
        <f t="shared" si="2"/>
        <v>1.38123</v>
      </c>
      <c r="R7" s="92">
        <f t="shared" si="3"/>
        <v>1.07429</v>
      </c>
      <c r="S7" s="121"/>
      <c r="T7" s="93">
        <f t="shared" si="4"/>
        <v>4.7999999999959186E-4</v>
      </c>
      <c r="U7" s="74"/>
      <c r="V7" s="94">
        <f t="shared" ca="1" si="5"/>
        <v>-375.5355552083347</v>
      </c>
      <c r="W7" s="89">
        <f>T7/0.92%/100</f>
        <v>5.2173913043433902E-4</v>
      </c>
    </row>
    <row r="8" spans="1:23" ht="18">
      <c r="A8" s="66">
        <v>4</v>
      </c>
      <c r="B8" s="108" t="s">
        <v>54</v>
      </c>
      <c r="C8" s="90" t="s">
        <v>55</v>
      </c>
      <c r="D8" s="140" t="s">
        <v>57</v>
      </c>
      <c r="E8" s="66">
        <v>501</v>
      </c>
      <c r="F8" s="97">
        <v>44562</v>
      </c>
      <c r="G8" s="66">
        <v>32.886000000000003</v>
      </c>
      <c r="H8" s="107">
        <v>1633640</v>
      </c>
      <c r="I8" s="106">
        <f t="shared" si="0"/>
        <v>49675.849905734962</v>
      </c>
      <c r="J8" s="117"/>
      <c r="K8" s="181" t="s">
        <v>121</v>
      </c>
      <c r="L8" s="66">
        <v>501</v>
      </c>
      <c r="M8" s="119" t="s">
        <v>122</v>
      </c>
      <c r="N8" s="120">
        <f>5.054+25.201</f>
        <v>30.255000000000003</v>
      </c>
      <c r="O8" s="117"/>
      <c r="P8" s="92">
        <f t="shared" si="1"/>
        <v>30.255120000000005</v>
      </c>
      <c r="Q8" s="113">
        <f t="shared" si="2"/>
        <v>1.47987</v>
      </c>
      <c r="R8" s="92">
        <f t="shared" si="3"/>
        <v>1.1510100000000003</v>
      </c>
      <c r="S8" s="121"/>
      <c r="T8" s="93">
        <f t="shared" si="4"/>
        <v>1.1999999999989797E-4</v>
      </c>
      <c r="U8" s="74"/>
      <c r="V8" s="94">
        <f t="shared" ca="1" si="5"/>
        <v>-375.5355552083347</v>
      </c>
      <c r="W8" s="89">
        <f t="shared" ref="W8:W26" si="6">T8/0.92%/100</f>
        <v>1.3043478260858475E-4</v>
      </c>
    </row>
    <row r="9" spans="1:23" ht="18">
      <c r="A9" s="66">
        <v>5</v>
      </c>
      <c r="B9" s="108" t="s">
        <v>54</v>
      </c>
      <c r="C9" s="90" t="s">
        <v>55</v>
      </c>
      <c r="D9" s="140" t="s">
        <v>58</v>
      </c>
      <c r="E9" s="66">
        <v>502</v>
      </c>
      <c r="F9" s="97">
        <v>44562</v>
      </c>
      <c r="G9" s="66">
        <v>30.847999999999999</v>
      </c>
      <c r="H9" s="107">
        <v>1531678</v>
      </c>
      <c r="I9" s="106">
        <f t="shared" si="0"/>
        <v>49652.424792531121</v>
      </c>
      <c r="J9" s="117"/>
      <c r="K9" s="181" t="s">
        <v>123</v>
      </c>
      <c r="L9" s="66">
        <v>502</v>
      </c>
      <c r="M9" s="119" t="s">
        <v>124</v>
      </c>
      <c r="N9" s="120">
        <f>7.999+20.381</f>
        <v>28.38</v>
      </c>
      <c r="O9" s="117"/>
      <c r="P9" s="92">
        <f t="shared" si="1"/>
        <v>28.38016</v>
      </c>
      <c r="Q9" s="113">
        <f t="shared" si="2"/>
        <v>1.3881599999999998</v>
      </c>
      <c r="R9" s="92">
        <f t="shared" si="3"/>
        <v>1.07968</v>
      </c>
      <c r="S9" s="121"/>
      <c r="T9" s="93">
        <f t="shared" si="4"/>
        <v>1.6000000000016001E-4</v>
      </c>
      <c r="U9" s="74"/>
      <c r="V9" s="94">
        <f t="shared" ca="1" si="5"/>
        <v>-375.5355552083347</v>
      </c>
      <c r="W9" s="89">
        <f t="shared" si="6"/>
        <v>1.7391304347843479E-4</v>
      </c>
    </row>
    <row r="10" spans="1:23" ht="18">
      <c r="A10" s="66">
        <v>6</v>
      </c>
      <c r="B10" s="108" t="s">
        <v>54</v>
      </c>
      <c r="C10" s="90" t="s">
        <v>55</v>
      </c>
      <c r="D10" s="140" t="s">
        <v>58</v>
      </c>
      <c r="E10" s="66">
        <v>503</v>
      </c>
      <c r="F10" s="97">
        <v>44562</v>
      </c>
      <c r="G10" s="66">
        <v>33.052</v>
      </c>
      <c r="H10" s="114">
        <v>1641084</v>
      </c>
      <c r="I10" s="106">
        <f t="shared" si="0"/>
        <v>49651.579329541331</v>
      </c>
      <c r="J10" s="117"/>
      <c r="K10" s="181" t="s">
        <v>125</v>
      </c>
      <c r="L10" s="66">
        <v>503</v>
      </c>
      <c r="M10" s="119" t="s">
        <v>126</v>
      </c>
      <c r="N10" s="120">
        <f>12.39+18.018</f>
        <v>30.408000000000001</v>
      </c>
      <c r="O10" s="117"/>
      <c r="P10" s="92">
        <f t="shared" si="1"/>
        <v>30.40784</v>
      </c>
      <c r="Q10" s="113">
        <f t="shared" si="2"/>
        <v>1.4873399999999999</v>
      </c>
      <c r="R10" s="92">
        <f t="shared" si="3"/>
        <v>1.1568200000000002</v>
      </c>
      <c r="S10" s="121"/>
      <c r="T10" s="93">
        <f t="shared" si="4"/>
        <v>-1.6000000000171433E-4</v>
      </c>
      <c r="U10" s="74"/>
      <c r="V10" s="94">
        <f t="shared" ca="1" si="5"/>
        <v>-375.5355552083347</v>
      </c>
      <c r="W10" s="89">
        <f t="shared" si="6"/>
        <v>-1.7391304348012427E-4</v>
      </c>
    </row>
    <row r="11" spans="1:23" ht="18">
      <c r="A11" s="66">
        <v>7</v>
      </c>
      <c r="B11" s="108" t="s">
        <v>54</v>
      </c>
      <c r="C11" s="90" t="s">
        <v>55</v>
      </c>
      <c r="D11" s="140" t="s">
        <v>59</v>
      </c>
      <c r="E11" s="66">
        <v>504</v>
      </c>
      <c r="F11" s="97">
        <v>44562</v>
      </c>
      <c r="G11" s="66">
        <v>30.896999999999998</v>
      </c>
      <c r="H11" s="114">
        <v>1534403</v>
      </c>
      <c r="I11" s="106">
        <f t="shared" si="0"/>
        <v>49661.876557594594</v>
      </c>
      <c r="J11" s="117"/>
      <c r="K11" s="181" t="s">
        <v>127</v>
      </c>
      <c r="L11" s="66">
        <v>504</v>
      </c>
      <c r="M11" s="119" t="s">
        <v>128</v>
      </c>
      <c r="N11" s="120">
        <f>14.633+13.792</f>
        <v>28.424999999999997</v>
      </c>
      <c r="O11" s="117"/>
      <c r="P11" s="92">
        <f t="shared" ref="P11:P20" si="7">G11*0.92</f>
        <v>28.425239999999999</v>
      </c>
      <c r="Q11" s="113">
        <f t="shared" ref="Q11:Q20" si="8">G11*4.5%</f>
        <v>1.3903649999999999</v>
      </c>
      <c r="R11" s="92">
        <f t="shared" ref="R11:R20" si="9">G11*3.5%</f>
        <v>1.0813950000000001</v>
      </c>
      <c r="S11" s="121"/>
      <c r="T11" s="93">
        <f t="shared" si="4"/>
        <v>2.4000000000135024E-4</v>
      </c>
      <c r="U11" s="74"/>
      <c r="V11" s="94">
        <f t="shared" ca="1" si="5"/>
        <v>-375.5355552083347</v>
      </c>
      <c r="W11" s="89">
        <f t="shared" si="6"/>
        <v>2.6086956521885897E-4</v>
      </c>
    </row>
    <row r="12" spans="1:23" ht="18">
      <c r="A12" s="66">
        <v>8</v>
      </c>
      <c r="B12" s="108" t="s">
        <v>54</v>
      </c>
      <c r="C12" s="90" t="s">
        <v>55</v>
      </c>
      <c r="D12" s="140" t="s">
        <v>59</v>
      </c>
      <c r="E12" s="66">
        <v>505</v>
      </c>
      <c r="F12" s="97">
        <v>44562</v>
      </c>
      <c r="G12" s="66">
        <v>33.103000000000002</v>
      </c>
      <c r="H12" s="114">
        <v>1644003</v>
      </c>
      <c r="I12" s="106">
        <f t="shared" si="0"/>
        <v>49663.26314835513</v>
      </c>
      <c r="J12" s="117"/>
      <c r="K12" s="181" t="s">
        <v>129</v>
      </c>
      <c r="L12" s="66">
        <v>505</v>
      </c>
      <c r="M12" s="119" t="s">
        <v>130</v>
      </c>
      <c r="N12" s="120">
        <f>17.442+13.013</f>
        <v>30.454999999999998</v>
      </c>
      <c r="O12" s="117"/>
      <c r="P12" s="92">
        <f t="shared" si="7"/>
        <v>30.454760000000004</v>
      </c>
      <c r="Q12" s="113">
        <f t="shared" si="8"/>
        <v>1.489635</v>
      </c>
      <c r="R12" s="92">
        <f t="shared" si="9"/>
        <v>1.1586050000000001</v>
      </c>
      <c r="S12" s="121"/>
      <c r="T12" s="93">
        <f t="shared" si="4"/>
        <v>-2.3999999999690935E-4</v>
      </c>
      <c r="U12" s="74"/>
      <c r="V12" s="94">
        <f t="shared" ca="1" si="5"/>
        <v>-375.5355552083347</v>
      </c>
      <c r="W12" s="89">
        <f t="shared" si="6"/>
        <v>-2.6086956521403188E-4</v>
      </c>
    </row>
    <row r="13" spans="1:23" ht="18">
      <c r="A13" s="66">
        <v>9</v>
      </c>
      <c r="B13" s="108" t="s">
        <v>54</v>
      </c>
      <c r="C13" s="90" t="s">
        <v>55</v>
      </c>
      <c r="D13" s="140" t="s">
        <v>60</v>
      </c>
      <c r="E13" s="66">
        <v>506</v>
      </c>
      <c r="F13" s="97">
        <v>44562</v>
      </c>
      <c r="G13" s="66">
        <v>32.069000000000003</v>
      </c>
      <c r="H13" s="114">
        <v>1594206</v>
      </c>
      <c r="I13" s="106">
        <f t="shared" si="0"/>
        <v>49711.746546509086</v>
      </c>
      <c r="J13" s="74"/>
      <c r="K13" s="182" t="s">
        <v>132</v>
      </c>
      <c r="L13" s="66">
        <v>506</v>
      </c>
      <c r="M13" s="65" t="s">
        <v>133</v>
      </c>
      <c r="N13" s="88">
        <f>20.315+9.188</f>
        <v>29.503</v>
      </c>
      <c r="O13" s="74"/>
      <c r="P13" s="92">
        <f t="shared" si="7"/>
        <v>29.503480000000003</v>
      </c>
      <c r="Q13" s="113">
        <f t="shared" si="8"/>
        <v>1.4431050000000001</v>
      </c>
      <c r="R13" s="92">
        <f t="shared" si="9"/>
        <v>1.1224150000000002</v>
      </c>
      <c r="S13" s="121"/>
      <c r="T13" s="93">
        <f t="shared" si="4"/>
        <v>4.800000000022564E-4</v>
      </c>
      <c r="U13" s="117"/>
      <c r="V13" s="94">
        <f t="shared" ca="1" si="5"/>
        <v>-375.5355552083347</v>
      </c>
      <c r="W13" s="89">
        <f t="shared" si="6"/>
        <v>5.2173913043723525E-4</v>
      </c>
    </row>
    <row r="14" spans="1:23" ht="18">
      <c r="A14" s="66">
        <v>10</v>
      </c>
      <c r="B14" s="108" t="s">
        <v>54</v>
      </c>
      <c r="C14" s="90" t="s">
        <v>55</v>
      </c>
      <c r="D14" s="140" t="s">
        <v>60</v>
      </c>
      <c r="E14" s="66">
        <v>507</v>
      </c>
      <c r="F14" s="97">
        <v>44562</v>
      </c>
      <c r="G14" s="66">
        <v>29.931000000000001</v>
      </c>
      <c r="H14" s="114">
        <v>1487926</v>
      </c>
      <c r="I14" s="106">
        <f t="shared" si="0"/>
        <v>49711.870635795662</v>
      </c>
      <c r="J14" s="74"/>
      <c r="K14" s="182" t="s">
        <v>134</v>
      </c>
      <c r="L14" s="66">
        <v>507</v>
      </c>
      <c r="M14" s="65" t="s">
        <v>136</v>
      </c>
      <c r="N14" s="88">
        <f>23.075+4.372+0.09</f>
        <v>27.536999999999999</v>
      </c>
      <c r="O14" s="74"/>
      <c r="P14" s="92">
        <f>G14*0.92</f>
        <v>27.536520000000003</v>
      </c>
      <c r="Q14" s="113">
        <f>G14*4.5%</f>
        <v>1.346895</v>
      </c>
      <c r="R14" s="92">
        <f>G14*3.5%</f>
        <v>1.0475850000000002</v>
      </c>
      <c r="S14" s="121"/>
      <c r="T14" s="93">
        <f t="shared" si="4"/>
        <v>-4.799999999982596E-4</v>
      </c>
      <c r="U14" s="117"/>
      <c r="V14" s="94">
        <f t="shared" ca="1" si="5"/>
        <v>-375.5355552083347</v>
      </c>
      <c r="W14" s="89">
        <f t="shared" si="6"/>
        <v>-5.2173913043289085E-4</v>
      </c>
    </row>
    <row r="15" spans="1:23" ht="18">
      <c r="A15" s="66">
        <v>12</v>
      </c>
      <c r="B15" s="108" t="s">
        <v>54</v>
      </c>
      <c r="C15" s="90" t="s">
        <v>55</v>
      </c>
      <c r="D15" s="140" t="s">
        <v>61</v>
      </c>
      <c r="E15" s="66">
        <v>508</v>
      </c>
      <c r="F15" s="97">
        <v>44562</v>
      </c>
      <c r="G15" s="66">
        <v>29.931000000000001</v>
      </c>
      <c r="H15" s="114">
        <v>1487926</v>
      </c>
      <c r="I15" s="106">
        <f t="shared" si="0"/>
        <v>49711.870635795662</v>
      </c>
      <c r="J15" s="74"/>
      <c r="K15" s="182">
        <v>99</v>
      </c>
      <c r="L15" s="66">
        <v>508</v>
      </c>
      <c r="M15" s="65" t="s">
        <v>131</v>
      </c>
      <c r="N15" s="88">
        <v>27.536999999999999</v>
      </c>
      <c r="O15" s="74"/>
      <c r="P15" s="92">
        <f t="shared" si="7"/>
        <v>27.536520000000003</v>
      </c>
      <c r="Q15" s="113">
        <f t="shared" si="8"/>
        <v>1.346895</v>
      </c>
      <c r="R15" s="92">
        <f t="shared" si="9"/>
        <v>1.0475850000000002</v>
      </c>
      <c r="S15" s="121"/>
      <c r="T15" s="93">
        <f t="shared" si="4"/>
        <v>-4.799999999982596E-4</v>
      </c>
      <c r="U15" s="117"/>
      <c r="V15" s="94">
        <f t="shared" ca="1" si="5"/>
        <v>-375.5355552083347</v>
      </c>
      <c r="W15" s="89">
        <f t="shared" si="6"/>
        <v>-5.2173913043289085E-4</v>
      </c>
    </row>
    <row r="16" spans="1:23" ht="18">
      <c r="A16" s="66">
        <v>13</v>
      </c>
      <c r="B16" s="108" t="s">
        <v>54</v>
      </c>
      <c r="C16" s="90" t="s">
        <v>55</v>
      </c>
      <c r="D16" s="140" t="s">
        <v>62</v>
      </c>
      <c r="E16" s="66">
        <v>509</v>
      </c>
      <c r="F16" s="97">
        <v>44562</v>
      </c>
      <c r="G16" s="66">
        <v>32.069000000000003</v>
      </c>
      <c r="H16" s="114">
        <v>1594206</v>
      </c>
      <c r="I16" s="106">
        <f t="shared" si="0"/>
        <v>49711.746546509086</v>
      </c>
      <c r="J16" s="74"/>
      <c r="K16" s="182" t="s">
        <v>135</v>
      </c>
      <c r="L16" s="66">
        <v>509</v>
      </c>
      <c r="M16" s="65" t="s">
        <v>133</v>
      </c>
      <c r="N16" s="88">
        <f>0.203+29.3</f>
        <v>29.503</v>
      </c>
      <c r="O16" s="74"/>
      <c r="P16" s="92">
        <f t="shared" si="7"/>
        <v>29.503480000000003</v>
      </c>
      <c r="Q16" s="113">
        <f t="shared" si="8"/>
        <v>1.4431050000000001</v>
      </c>
      <c r="R16" s="92">
        <f t="shared" si="9"/>
        <v>1.1224150000000002</v>
      </c>
      <c r="S16" s="121"/>
      <c r="T16" s="93">
        <f t="shared" si="4"/>
        <v>4.800000000022564E-4</v>
      </c>
      <c r="U16" s="117"/>
      <c r="V16" s="94">
        <f t="shared" ca="1" si="5"/>
        <v>-375.5355552083347</v>
      </c>
      <c r="W16" s="89">
        <f t="shared" si="6"/>
        <v>5.2173913043723525E-4</v>
      </c>
    </row>
    <row r="17" spans="1:25" ht="18">
      <c r="A17" s="66">
        <v>14</v>
      </c>
      <c r="B17" s="108" t="s">
        <v>54</v>
      </c>
      <c r="C17" s="90" t="s">
        <v>55</v>
      </c>
      <c r="D17" s="140" t="s">
        <v>62</v>
      </c>
      <c r="E17" s="66">
        <v>510</v>
      </c>
      <c r="F17" s="97">
        <v>44562</v>
      </c>
      <c r="G17" s="66">
        <v>29.931000000000001</v>
      </c>
      <c r="H17" s="114">
        <v>1487926</v>
      </c>
      <c r="I17" s="106">
        <f t="shared" si="0"/>
        <v>49711.870635795662</v>
      </c>
      <c r="J17" s="74"/>
      <c r="K17" s="182" t="s">
        <v>137</v>
      </c>
      <c r="L17" s="66">
        <v>510</v>
      </c>
      <c r="M17" s="65" t="s">
        <v>138</v>
      </c>
      <c r="N17" s="88">
        <f>2.74+24.797</f>
        <v>27.536999999999999</v>
      </c>
      <c r="O17" s="74"/>
      <c r="P17" s="92">
        <f t="shared" si="7"/>
        <v>27.536520000000003</v>
      </c>
      <c r="Q17" s="113">
        <f t="shared" si="8"/>
        <v>1.346895</v>
      </c>
      <c r="R17" s="92">
        <f t="shared" si="9"/>
        <v>1.0475850000000002</v>
      </c>
      <c r="S17" s="121"/>
      <c r="T17" s="93">
        <f t="shared" si="4"/>
        <v>-4.799999999982596E-4</v>
      </c>
      <c r="U17" s="117"/>
      <c r="V17" s="94">
        <f t="shared" ca="1" si="5"/>
        <v>-375.5355552083347</v>
      </c>
      <c r="W17" s="89">
        <f t="shared" si="6"/>
        <v>-5.2173913043289085E-4</v>
      </c>
    </row>
    <row r="18" spans="1:25" ht="18">
      <c r="A18" s="66">
        <v>16</v>
      </c>
      <c r="B18" s="108" t="s">
        <v>54</v>
      </c>
      <c r="C18" s="90" t="s">
        <v>55</v>
      </c>
      <c r="D18" s="140" t="s">
        <v>63</v>
      </c>
      <c r="E18" s="66">
        <v>511</v>
      </c>
      <c r="F18" s="97">
        <v>44562</v>
      </c>
      <c r="G18" s="66">
        <v>32.906999999999996</v>
      </c>
      <c r="H18" s="114">
        <v>1634627</v>
      </c>
      <c r="I18" s="106">
        <f t="shared" si="0"/>
        <v>49674.142279758111</v>
      </c>
      <c r="J18" s="74"/>
      <c r="K18" s="182" t="s">
        <v>140</v>
      </c>
      <c r="L18" s="66">
        <v>511</v>
      </c>
      <c r="M18" s="65" t="s">
        <v>139</v>
      </c>
      <c r="N18" s="88">
        <f>8.314+21.96</f>
        <v>30.274000000000001</v>
      </c>
      <c r="O18" s="74"/>
      <c r="P18" s="92">
        <f t="shared" si="7"/>
        <v>30.274439999999998</v>
      </c>
      <c r="Q18" s="113">
        <f t="shared" si="8"/>
        <v>1.4808149999999998</v>
      </c>
      <c r="R18" s="92">
        <f t="shared" si="9"/>
        <v>1.151745</v>
      </c>
      <c r="S18" s="121"/>
      <c r="T18" s="93">
        <f t="shared" si="4"/>
        <v>4.399999999957771E-4</v>
      </c>
      <c r="U18" s="117"/>
      <c r="V18" s="94">
        <f t="shared" ca="1" si="5"/>
        <v>-375.5355552083347</v>
      </c>
      <c r="W18" s="89">
        <f t="shared" si="6"/>
        <v>4.7826086956062733E-4</v>
      </c>
    </row>
    <row r="19" spans="1:25" ht="18">
      <c r="A19" s="66">
        <v>17</v>
      </c>
      <c r="B19" s="108" t="s">
        <v>54</v>
      </c>
      <c r="C19" s="90" t="s">
        <v>55</v>
      </c>
      <c r="D19" s="140" t="s">
        <v>63</v>
      </c>
      <c r="E19" s="66">
        <v>512</v>
      </c>
      <c r="F19" s="97">
        <v>44562</v>
      </c>
      <c r="G19" s="66">
        <v>30.713000000000001</v>
      </c>
      <c r="H19" s="114">
        <v>1525652</v>
      </c>
      <c r="I19" s="106">
        <f t="shared" si="0"/>
        <v>49674.470094096963</v>
      </c>
      <c r="J19" s="74"/>
      <c r="K19" s="182" t="s">
        <v>141</v>
      </c>
      <c r="L19" s="66">
        <v>512</v>
      </c>
      <c r="M19" s="65" t="s">
        <v>142</v>
      </c>
      <c r="N19" s="88">
        <f>9.357+18.899</f>
        <v>28.256</v>
      </c>
      <c r="O19" s="74"/>
      <c r="P19" s="92">
        <f t="shared" si="7"/>
        <v>28.255960000000002</v>
      </c>
      <c r="Q19" s="113">
        <f t="shared" si="8"/>
        <v>1.382085</v>
      </c>
      <c r="R19" s="92">
        <f t="shared" si="9"/>
        <v>1.0749550000000001</v>
      </c>
      <c r="S19" s="121"/>
      <c r="T19" s="93">
        <f t="shared" si="4"/>
        <v>-3.999999999937387E-5</v>
      </c>
      <c r="U19" s="117"/>
      <c r="V19" s="94">
        <f t="shared" ca="1" si="5"/>
        <v>-375.5355552083347</v>
      </c>
      <c r="W19" s="89">
        <f t="shared" si="6"/>
        <v>-4.347826086888464E-5</v>
      </c>
    </row>
    <row r="20" spans="1:25" ht="18">
      <c r="A20" s="66">
        <v>18</v>
      </c>
      <c r="B20" s="108" t="s">
        <v>54</v>
      </c>
      <c r="C20" s="90" t="s">
        <v>55</v>
      </c>
      <c r="D20" s="140" t="s">
        <v>64</v>
      </c>
      <c r="E20" s="66">
        <v>513</v>
      </c>
      <c r="F20" s="97">
        <v>44562</v>
      </c>
      <c r="G20" s="66">
        <v>29.940999999999999</v>
      </c>
      <c r="H20" s="114">
        <v>1488386</v>
      </c>
      <c r="I20" s="106">
        <f t="shared" si="0"/>
        <v>49710.630907451319</v>
      </c>
      <c r="J20" s="117"/>
      <c r="K20" s="183" t="s">
        <v>144</v>
      </c>
      <c r="L20" s="66">
        <v>513</v>
      </c>
      <c r="M20" s="119" t="s">
        <v>143</v>
      </c>
      <c r="N20" s="120">
        <f>12.408+15.138</f>
        <v>27.545999999999999</v>
      </c>
      <c r="O20" s="117"/>
      <c r="P20" s="92">
        <f t="shared" si="7"/>
        <v>27.545719999999999</v>
      </c>
      <c r="Q20" s="113">
        <f t="shared" si="8"/>
        <v>1.3473449999999998</v>
      </c>
      <c r="R20" s="92">
        <f t="shared" si="9"/>
        <v>1.0479350000000001</v>
      </c>
      <c r="S20" s="121"/>
      <c r="T20" s="93">
        <f t="shared" si="4"/>
        <v>-2.8000000000028002E-4</v>
      </c>
      <c r="U20" s="74"/>
      <c r="V20" s="94">
        <f t="shared" ca="1" si="5"/>
        <v>-375.5355552083347</v>
      </c>
      <c r="W20" s="89">
        <f t="shared" si="6"/>
        <v>-3.0434782608726088E-4</v>
      </c>
    </row>
    <row r="21" spans="1:25" ht="18">
      <c r="A21" s="66">
        <v>19</v>
      </c>
      <c r="B21" s="108" t="s">
        <v>54</v>
      </c>
      <c r="C21" s="90" t="s">
        <v>55</v>
      </c>
      <c r="D21" s="140" t="s">
        <v>64</v>
      </c>
      <c r="E21" s="66">
        <v>514</v>
      </c>
      <c r="F21" s="97">
        <v>44562</v>
      </c>
      <c r="G21" s="66">
        <v>32.079000000000001</v>
      </c>
      <c r="H21" s="114">
        <v>1594700</v>
      </c>
      <c r="I21" s="106">
        <f t="shared" si="0"/>
        <v>49711.649365628604</v>
      </c>
      <c r="J21" s="74"/>
      <c r="K21" s="182">
        <v>68</v>
      </c>
      <c r="L21" s="66">
        <v>514</v>
      </c>
      <c r="M21" s="65" t="s">
        <v>109</v>
      </c>
      <c r="N21" s="88">
        <v>32.079000000000001</v>
      </c>
      <c r="O21" s="74"/>
      <c r="P21" s="92"/>
      <c r="Q21" s="113"/>
      <c r="R21" s="92"/>
      <c r="S21" s="121"/>
      <c r="T21" s="93">
        <f t="shared" si="4"/>
        <v>0</v>
      </c>
      <c r="U21" s="117"/>
      <c r="V21" s="94">
        <f t="shared" ca="1" si="5"/>
        <v>-375.5355552083347</v>
      </c>
      <c r="W21" s="89">
        <f t="shared" si="6"/>
        <v>0</v>
      </c>
    </row>
    <row r="22" spans="1:25" ht="18">
      <c r="A22" s="66">
        <v>20</v>
      </c>
      <c r="B22" s="108" t="s">
        <v>54</v>
      </c>
      <c r="C22" s="90" t="s">
        <v>55</v>
      </c>
      <c r="D22" s="140" t="s">
        <v>61</v>
      </c>
      <c r="E22" s="66">
        <v>515</v>
      </c>
      <c r="F22" s="97">
        <v>44563</v>
      </c>
      <c r="G22" s="66">
        <v>32.069000000000003</v>
      </c>
      <c r="H22" s="114">
        <v>1594206</v>
      </c>
      <c r="I22" s="106">
        <f t="shared" si="0"/>
        <v>49711.746546509086</v>
      </c>
      <c r="J22" s="74"/>
      <c r="K22" s="182">
        <v>69</v>
      </c>
      <c r="L22" s="66">
        <v>515</v>
      </c>
      <c r="M22" s="65" t="s">
        <v>109</v>
      </c>
      <c r="N22" s="88">
        <v>32.069000000000003</v>
      </c>
      <c r="O22" s="74"/>
      <c r="P22" s="92"/>
      <c r="Q22" s="113"/>
      <c r="R22" s="92"/>
      <c r="S22" s="121"/>
      <c r="T22" s="93">
        <f t="shared" si="4"/>
        <v>0</v>
      </c>
      <c r="U22" s="117"/>
      <c r="V22" s="94">
        <f t="shared" ca="1" si="5"/>
        <v>-374.5355552083347</v>
      </c>
      <c r="W22" s="89">
        <f t="shared" si="6"/>
        <v>0</v>
      </c>
    </row>
    <row r="23" spans="1:25" ht="18">
      <c r="A23" s="66">
        <v>21</v>
      </c>
      <c r="B23" s="108" t="s">
        <v>54</v>
      </c>
      <c r="C23" s="90" t="s">
        <v>55</v>
      </c>
      <c r="D23" s="140" t="s">
        <v>65</v>
      </c>
      <c r="E23" s="90">
        <v>516</v>
      </c>
      <c r="F23" s="138">
        <v>44563</v>
      </c>
      <c r="G23" s="90">
        <v>32.886000000000003</v>
      </c>
      <c r="H23" s="114">
        <v>1633640</v>
      </c>
      <c r="I23" s="106">
        <f t="shared" si="0"/>
        <v>49675.849905734962</v>
      </c>
      <c r="J23" s="74"/>
      <c r="K23" s="182" t="s">
        <v>145</v>
      </c>
      <c r="L23" s="90">
        <v>516</v>
      </c>
      <c r="M23" s="65" t="s">
        <v>146</v>
      </c>
      <c r="N23" s="88">
        <f>17.651+12.604</f>
        <v>30.254999999999999</v>
      </c>
      <c r="O23" s="74"/>
      <c r="P23" s="92">
        <f>G23*0.92</f>
        <v>30.255120000000005</v>
      </c>
      <c r="Q23" s="113">
        <f>G23*4.5%</f>
        <v>1.47987</v>
      </c>
      <c r="R23" s="92">
        <f>G23*3.5%</f>
        <v>1.1510100000000003</v>
      </c>
      <c r="S23" s="121"/>
      <c r="T23" s="93">
        <f t="shared" si="4"/>
        <v>1.2000000000345068E-4</v>
      </c>
      <c r="U23" s="117"/>
      <c r="V23" s="94">
        <f t="shared" ca="1" si="5"/>
        <v>-374.5355552083347</v>
      </c>
      <c r="W23" s="89">
        <f t="shared" si="6"/>
        <v>1.3043478261244638E-4</v>
      </c>
    </row>
    <row r="24" spans="1:25" ht="18">
      <c r="A24" s="66">
        <v>22</v>
      </c>
      <c r="B24" s="108" t="s">
        <v>54</v>
      </c>
      <c r="C24" s="90" t="s">
        <v>55</v>
      </c>
      <c r="D24" s="140" t="s">
        <v>65</v>
      </c>
      <c r="E24" s="90">
        <v>517</v>
      </c>
      <c r="F24" s="138">
        <v>44563</v>
      </c>
      <c r="G24" s="90">
        <v>30.693999999999999</v>
      </c>
      <c r="H24" s="114">
        <v>1524731</v>
      </c>
      <c r="I24" s="106">
        <f t="shared" si="0"/>
        <v>49675.213396755069</v>
      </c>
      <c r="J24" s="74"/>
      <c r="K24" s="182" t="s">
        <v>162</v>
      </c>
      <c r="L24" s="90">
        <v>517</v>
      </c>
      <c r="M24" s="65" t="s">
        <v>163</v>
      </c>
      <c r="N24" s="88">
        <f>20.14+8.098</f>
        <v>28.238</v>
      </c>
      <c r="O24" s="74"/>
      <c r="P24" s="92">
        <f>G24*0.92</f>
        <v>28.238479999999999</v>
      </c>
      <c r="Q24" s="113">
        <f>G24*4.5%</f>
        <v>1.38123</v>
      </c>
      <c r="R24" s="92">
        <f>G24*3.5%</f>
        <v>1.07429</v>
      </c>
      <c r="S24" s="121"/>
      <c r="T24" s="93">
        <f t="shared" si="4"/>
        <v>4.7999999999959186E-4</v>
      </c>
      <c r="U24" s="117"/>
      <c r="V24" s="94">
        <f t="shared" ca="1" si="5"/>
        <v>-374.5355552083347</v>
      </c>
      <c r="W24" s="89">
        <f t="shared" si="6"/>
        <v>5.2173913043433902E-4</v>
      </c>
    </row>
    <row r="25" spans="1:25" ht="18">
      <c r="A25" s="66">
        <v>23</v>
      </c>
      <c r="B25" s="108" t="s">
        <v>54</v>
      </c>
      <c r="C25" s="90" t="s">
        <v>55</v>
      </c>
      <c r="D25" s="140" t="s">
        <v>66</v>
      </c>
      <c r="E25" s="90">
        <v>518</v>
      </c>
      <c r="F25" s="138">
        <v>44563</v>
      </c>
      <c r="G25" s="90">
        <v>32.886000000000003</v>
      </c>
      <c r="H25" s="114">
        <v>1633189</v>
      </c>
      <c r="I25" s="106">
        <f t="shared" si="0"/>
        <v>49662.135863285286</v>
      </c>
      <c r="J25" s="74"/>
      <c r="K25" s="182" t="s">
        <v>164</v>
      </c>
      <c r="L25" s="90">
        <v>518</v>
      </c>
      <c r="M25" s="65" t="s">
        <v>163</v>
      </c>
      <c r="N25" s="88">
        <f>28.891+1.364</f>
        <v>30.254999999999999</v>
      </c>
      <c r="O25" s="74"/>
      <c r="P25" s="92">
        <f>G25*0.92</f>
        <v>30.255120000000005</v>
      </c>
      <c r="Q25" s="113">
        <f>G25*4.5%</f>
        <v>1.47987</v>
      </c>
      <c r="R25" s="92">
        <f>G25*3.5%</f>
        <v>1.1510100000000003</v>
      </c>
      <c r="S25" s="121"/>
      <c r="T25" s="93">
        <f t="shared" si="4"/>
        <v>1.2000000000345068E-4</v>
      </c>
      <c r="U25" s="117"/>
      <c r="V25" s="94">
        <f t="shared" ca="1" si="5"/>
        <v>-374.5355552083347</v>
      </c>
      <c r="W25" s="89">
        <f t="shared" si="6"/>
        <v>1.3043478261244638E-4</v>
      </c>
    </row>
    <row r="26" spans="1:25" ht="18">
      <c r="A26" s="66">
        <v>24</v>
      </c>
      <c r="B26" s="108" t="s">
        <v>54</v>
      </c>
      <c r="C26" s="90" t="s">
        <v>55</v>
      </c>
      <c r="D26" s="140" t="s">
        <v>66</v>
      </c>
      <c r="E26" s="90">
        <v>519</v>
      </c>
      <c r="F26" s="138">
        <v>44563</v>
      </c>
      <c r="G26" s="90">
        <v>30.693999999999999</v>
      </c>
      <c r="H26" s="114">
        <v>1524309</v>
      </c>
      <c r="I26" s="106">
        <f t="shared" si="0"/>
        <v>49661.464781390503</v>
      </c>
      <c r="J26" s="74"/>
      <c r="K26" s="182" t="s">
        <v>165</v>
      </c>
      <c r="L26" s="90">
        <v>519</v>
      </c>
      <c r="M26" s="65" t="s">
        <v>166</v>
      </c>
      <c r="N26" s="88">
        <f>20.346+7.892</f>
        <v>28.238</v>
      </c>
      <c r="O26" s="74"/>
      <c r="P26" s="92">
        <f>G26*0.92</f>
        <v>28.238479999999999</v>
      </c>
      <c r="Q26" s="113">
        <f>G26*4.5%</f>
        <v>1.38123</v>
      </c>
      <c r="R26" s="92">
        <f>G26*3.5%</f>
        <v>1.07429</v>
      </c>
      <c r="S26" s="121"/>
      <c r="T26" s="93">
        <f t="shared" si="4"/>
        <v>4.7999999999959186E-4</v>
      </c>
      <c r="U26" s="117"/>
      <c r="V26" s="94">
        <f t="shared" ca="1" si="5"/>
        <v>-374.5355552083347</v>
      </c>
      <c r="W26" s="89">
        <f t="shared" si="6"/>
        <v>5.2173913043433902E-4</v>
      </c>
    </row>
    <row r="27" spans="1:25" ht="18">
      <c r="A27" s="66">
        <v>25</v>
      </c>
      <c r="B27" s="108" t="s">
        <v>54</v>
      </c>
      <c r="C27" s="90" t="s">
        <v>55</v>
      </c>
      <c r="D27" s="140" t="s">
        <v>67</v>
      </c>
      <c r="E27" s="66">
        <v>520</v>
      </c>
      <c r="F27" s="97">
        <v>44563</v>
      </c>
      <c r="G27" s="66">
        <v>29.978999999999999</v>
      </c>
      <c r="H27" s="114">
        <v>1490229</v>
      </c>
      <c r="I27" s="106">
        <f t="shared" si="0"/>
        <v>49709.096367457219</v>
      </c>
      <c r="J27" s="74"/>
      <c r="K27" s="182" t="s">
        <v>186</v>
      </c>
      <c r="L27" s="66">
        <v>520</v>
      </c>
      <c r="M27" s="65" t="s">
        <v>187</v>
      </c>
      <c r="N27" s="88">
        <f>15.46+12.121</f>
        <v>27.581000000000003</v>
      </c>
      <c r="O27" s="74"/>
      <c r="P27" s="92">
        <f>G27*0.92</f>
        <v>27.580680000000001</v>
      </c>
      <c r="Q27" s="113">
        <f>G27*4.5%</f>
        <v>1.3490549999999999</v>
      </c>
      <c r="R27" s="92">
        <f>G27*3.5%</f>
        <v>1.0492650000000001</v>
      </c>
      <c r="S27" s="121"/>
      <c r="T27" s="93">
        <f t="shared" si="4"/>
        <v>-3.2000000000387274E-4</v>
      </c>
      <c r="U27" s="117"/>
      <c r="V27" s="94">
        <f t="shared" ca="1" si="5"/>
        <v>-374.5355552083347</v>
      </c>
      <c r="W27" s="89">
        <f>T27/0.92%/100</f>
        <v>-3.4782608696073123E-4</v>
      </c>
      <c r="Y27" s="67"/>
    </row>
    <row r="28" spans="1:25" ht="18">
      <c r="A28" s="66">
        <v>26</v>
      </c>
      <c r="B28" s="108" t="s">
        <v>54</v>
      </c>
      <c r="C28" s="90" t="s">
        <v>55</v>
      </c>
      <c r="D28" s="140" t="s">
        <v>67</v>
      </c>
      <c r="E28" s="66">
        <v>521</v>
      </c>
      <c r="F28" s="97">
        <v>44563</v>
      </c>
      <c r="G28" s="66">
        <v>32.121000000000002</v>
      </c>
      <c r="H28" s="107">
        <v>1596676</v>
      </c>
      <c r="I28" s="106">
        <f t="shared" si="0"/>
        <v>49708.16599732262</v>
      </c>
      <c r="J28" s="74"/>
      <c r="K28" s="182">
        <v>74</v>
      </c>
      <c r="L28" s="66">
        <v>521</v>
      </c>
      <c r="M28" s="65" t="s">
        <v>114</v>
      </c>
      <c r="N28" s="88">
        <v>32.121000000000002</v>
      </c>
      <c r="O28" s="74"/>
      <c r="P28" s="92"/>
      <c r="Q28" s="113"/>
      <c r="R28" s="92"/>
      <c r="S28" s="121"/>
      <c r="T28" s="93">
        <f t="shared" si="4"/>
        <v>0</v>
      </c>
      <c r="U28" s="117"/>
      <c r="V28" s="94">
        <f t="shared" ca="1" si="5"/>
        <v>-374.5355552083347</v>
      </c>
      <c r="W28" s="89">
        <f t="shared" ref="W28:W33" si="10">T28/0.92%/100</f>
        <v>0</v>
      </c>
      <c r="X28" s="67">
        <f>+T28+T26+T25</f>
        <v>6.0000000000304254E-4</v>
      </c>
    </row>
    <row r="29" spans="1:25" ht="18">
      <c r="A29" s="66">
        <v>27</v>
      </c>
      <c r="B29" s="108" t="s">
        <v>54</v>
      </c>
      <c r="C29" s="90" t="s">
        <v>55</v>
      </c>
      <c r="D29" s="140" t="s">
        <v>68</v>
      </c>
      <c r="E29" s="66">
        <v>522</v>
      </c>
      <c r="F29" s="97">
        <v>44563</v>
      </c>
      <c r="G29" s="141">
        <v>29.96</v>
      </c>
      <c r="H29" s="107">
        <v>1489307</v>
      </c>
      <c r="I29" s="106">
        <f t="shared" si="0"/>
        <v>49709.846461949266</v>
      </c>
      <c r="J29" s="74"/>
      <c r="K29" s="182" t="s">
        <v>284</v>
      </c>
      <c r="L29" s="66">
        <v>522</v>
      </c>
      <c r="M29" s="65" t="s">
        <v>285</v>
      </c>
      <c r="N29" s="88">
        <f>16.033+7.234+4.296</f>
        <v>27.563000000000002</v>
      </c>
      <c r="O29" s="74"/>
      <c r="P29" s="92">
        <f>G29*0.92</f>
        <v>27.563200000000002</v>
      </c>
      <c r="Q29" s="113">
        <f>G29*4.5%</f>
        <v>1.3482000000000001</v>
      </c>
      <c r="R29" s="92">
        <f>G29*3.5%</f>
        <v>1.0486000000000002</v>
      </c>
      <c r="S29" s="121"/>
      <c r="T29" s="93">
        <f t="shared" si="4"/>
        <v>1.9999999999820162E-4</v>
      </c>
      <c r="U29" s="117"/>
      <c r="V29" s="94">
        <f t="shared" ca="1" si="5"/>
        <v>-374.5355552083347</v>
      </c>
      <c r="W29" s="89">
        <f t="shared" si="10"/>
        <v>2.1739130434587133E-4</v>
      </c>
    </row>
    <row r="30" spans="1:25" ht="18">
      <c r="A30" s="66">
        <v>28</v>
      </c>
      <c r="B30" s="108" t="s">
        <v>54</v>
      </c>
      <c r="C30" s="90" t="s">
        <v>55</v>
      </c>
      <c r="D30" s="140" t="s">
        <v>68</v>
      </c>
      <c r="E30" s="66">
        <v>523</v>
      </c>
      <c r="F30" s="97">
        <v>44563</v>
      </c>
      <c r="G30" s="141">
        <v>32.1</v>
      </c>
      <c r="H30" s="137">
        <v>1595687</v>
      </c>
      <c r="I30" s="106">
        <f t="shared" si="0"/>
        <v>49709.875389408095</v>
      </c>
      <c r="J30" s="74"/>
      <c r="K30" s="182">
        <v>40</v>
      </c>
      <c r="L30" s="66">
        <v>523</v>
      </c>
      <c r="M30" s="65" t="s">
        <v>103</v>
      </c>
      <c r="N30" s="88">
        <v>32.1</v>
      </c>
      <c r="O30" s="74"/>
      <c r="P30" s="92"/>
      <c r="Q30" s="113"/>
      <c r="R30" s="92"/>
      <c r="S30" s="121"/>
      <c r="T30" s="93">
        <f t="shared" si="4"/>
        <v>0</v>
      </c>
      <c r="U30" s="117"/>
      <c r="V30" s="94">
        <f t="shared" ca="1" si="5"/>
        <v>-374.5355552083347</v>
      </c>
      <c r="W30" s="89">
        <f t="shared" si="10"/>
        <v>0</v>
      </c>
    </row>
    <row r="31" spans="1:25" ht="18">
      <c r="A31" s="66">
        <v>29</v>
      </c>
      <c r="B31" s="108" t="s">
        <v>54</v>
      </c>
      <c r="C31" s="90" t="s">
        <v>55</v>
      </c>
      <c r="D31" s="140" t="s">
        <v>69</v>
      </c>
      <c r="E31" s="66">
        <v>524</v>
      </c>
      <c r="F31" s="97">
        <v>44563</v>
      </c>
      <c r="G31" s="141">
        <v>33.103000000000002</v>
      </c>
      <c r="H31" s="137">
        <v>1643551</v>
      </c>
      <c r="I31" s="106">
        <f t="shared" si="0"/>
        <v>49649.608796785789</v>
      </c>
      <c r="J31" s="74"/>
      <c r="K31" s="182" t="s">
        <v>286</v>
      </c>
      <c r="L31" s="66">
        <v>524</v>
      </c>
      <c r="M31" s="128" t="s">
        <v>287</v>
      </c>
      <c r="N31" s="88">
        <f>19.284+3.89+7.281</f>
        <v>30.454999999999998</v>
      </c>
      <c r="O31" s="74"/>
      <c r="P31" s="92">
        <f>G31*0.92</f>
        <v>30.454760000000004</v>
      </c>
      <c r="Q31" s="113">
        <f>G31*4.5%</f>
        <v>1.489635</v>
      </c>
      <c r="R31" s="92">
        <f>G31*3.5%</f>
        <v>1.1586050000000001</v>
      </c>
      <c r="S31" s="121"/>
      <c r="T31" s="93">
        <f t="shared" si="4"/>
        <v>-2.3999999999690935E-4</v>
      </c>
      <c r="U31" s="117"/>
      <c r="V31" s="94">
        <f t="shared" ca="1" si="5"/>
        <v>-374.5355552083347</v>
      </c>
      <c r="W31" s="89">
        <f t="shared" si="10"/>
        <v>-2.6086956521403188E-4</v>
      </c>
      <c r="X31" s="67"/>
    </row>
    <row r="32" spans="1:25" ht="18">
      <c r="A32" s="66">
        <v>30</v>
      </c>
      <c r="B32" s="108" t="s">
        <v>54</v>
      </c>
      <c r="C32" s="90" t="s">
        <v>55</v>
      </c>
      <c r="D32" s="140" t="s">
        <v>69</v>
      </c>
      <c r="E32" s="66">
        <v>525</v>
      </c>
      <c r="F32" s="97">
        <v>44564</v>
      </c>
      <c r="G32" s="141">
        <v>20.597999999999999</v>
      </c>
      <c r="H32" s="137">
        <v>1022669</v>
      </c>
      <c r="I32" s="106">
        <f t="shared" si="0"/>
        <v>49648.94649966016</v>
      </c>
      <c r="J32" s="74"/>
      <c r="K32" s="182" t="s">
        <v>288</v>
      </c>
      <c r="L32" s="66">
        <v>525</v>
      </c>
      <c r="M32" s="65" t="s">
        <v>289</v>
      </c>
      <c r="N32" s="88">
        <f>16.582+2.368</f>
        <v>18.95</v>
      </c>
      <c r="O32" s="74"/>
      <c r="P32" s="92">
        <f>G32*0.92</f>
        <v>18.95016</v>
      </c>
      <c r="Q32" s="113">
        <f>G32*4.5%</f>
        <v>0.9269099999999999</v>
      </c>
      <c r="R32" s="92">
        <f>G32*3.5%</f>
        <v>0.72093000000000007</v>
      </c>
      <c r="S32" s="121"/>
      <c r="T32" s="93">
        <f t="shared" si="4"/>
        <v>1.5999999999971593E-4</v>
      </c>
      <c r="U32" s="117"/>
      <c r="V32" s="94">
        <f t="shared" ca="1" si="5"/>
        <v>-373.5355552083347</v>
      </c>
      <c r="W32" s="89">
        <f t="shared" si="10"/>
        <v>1.739130434779521E-4</v>
      </c>
    </row>
    <row r="33" spans="1:27" ht="18">
      <c r="A33" s="66">
        <v>31</v>
      </c>
      <c r="B33" s="108" t="s">
        <v>54</v>
      </c>
      <c r="C33" s="90" t="s">
        <v>55</v>
      </c>
      <c r="D33" s="140" t="s">
        <v>69</v>
      </c>
      <c r="E33" s="66">
        <v>526</v>
      </c>
      <c r="F33" s="97">
        <v>44564</v>
      </c>
      <c r="G33" s="141">
        <v>10.298999999999999</v>
      </c>
      <c r="H33" s="137">
        <v>511312</v>
      </c>
      <c r="I33" s="106">
        <f t="shared" si="0"/>
        <v>49646.761821536071</v>
      </c>
      <c r="J33" s="74"/>
      <c r="K33" s="182">
        <v>112</v>
      </c>
      <c r="L33" s="66">
        <v>526</v>
      </c>
      <c r="M33" s="65" t="s">
        <v>283</v>
      </c>
      <c r="N33" s="88">
        <v>9.4749999999999996</v>
      </c>
      <c r="O33" s="74"/>
      <c r="P33" s="92">
        <f>G33*0.92</f>
        <v>9.4750800000000002</v>
      </c>
      <c r="Q33" s="113">
        <f>G33*4.5%</f>
        <v>0.46345499999999995</v>
      </c>
      <c r="R33" s="92">
        <f>G33*3.5%</f>
        <v>0.36046500000000004</v>
      </c>
      <c r="S33" s="121"/>
      <c r="T33" s="93">
        <f t="shared" si="4"/>
        <v>7.9999999999857963E-5</v>
      </c>
      <c r="U33" s="117"/>
      <c r="V33" s="94">
        <f t="shared" ca="1" si="5"/>
        <v>-373.5355552083347</v>
      </c>
      <c r="W33" s="89">
        <f t="shared" si="10"/>
        <v>8.695652173897605E-5</v>
      </c>
    </row>
    <row r="34" spans="1:27" ht="18">
      <c r="A34" s="66">
        <v>32</v>
      </c>
      <c r="B34" s="108" t="s">
        <v>54</v>
      </c>
      <c r="C34" s="90" t="s">
        <v>55</v>
      </c>
      <c r="D34" s="140" t="s">
        <v>70</v>
      </c>
      <c r="E34" s="66">
        <v>527</v>
      </c>
      <c r="F34" s="97">
        <v>44564</v>
      </c>
      <c r="G34" s="141">
        <v>29.792000000000002</v>
      </c>
      <c r="H34" s="137">
        <v>1479759</v>
      </c>
      <c r="I34" s="106">
        <f t="shared" si="0"/>
        <v>49669.676423200857</v>
      </c>
      <c r="J34" s="74"/>
      <c r="K34" s="182">
        <v>65</v>
      </c>
      <c r="L34" s="66">
        <v>527</v>
      </c>
      <c r="M34" s="65" t="s">
        <v>109</v>
      </c>
      <c r="N34" s="88">
        <v>29.792000000000002</v>
      </c>
      <c r="O34" s="74"/>
      <c r="P34" s="92"/>
      <c r="Q34" s="113"/>
      <c r="R34" s="92"/>
      <c r="S34" s="121"/>
      <c r="T34" s="93">
        <f t="shared" si="4"/>
        <v>0</v>
      </c>
      <c r="U34" s="117"/>
      <c r="V34" s="94">
        <f t="shared" ca="1" si="5"/>
        <v>-373.5355552083347</v>
      </c>
      <c r="W34" s="89">
        <f t="shared" ref="W34:W42" si="11">T34/0.92%/100</f>
        <v>0</v>
      </c>
      <c r="X34">
        <v>30.050999999999998</v>
      </c>
      <c r="Y34" s="67">
        <f>T34-X34</f>
        <v>-30.050999999999998</v>
      </c>
    </row>
    <row r="35" spans="1:27" ht="18">
      <c r="A35" s="66">
        <v>33</v>
      </c>
      <c r="B35" s="108" t="s">
        <v>54</v>
      </c>
      <c r="C35" s="90" t="s">
        <v>55</v>
      </c>
      <c r="D35" s="140" t="s">
        <v>71</v>
      </c>
      <c r="E35" s="66">
        <v>528</v>
      </c>
      <c r="F35" s="97">
        <v>44564</v>
      </c>
      <c r="G35" s="141">
        <v>31.88</v>
      </c>
      <c r="H35" s="137">
        <v>1583576</v>
      </c>
      <c r="I35" s="106">
        <f t="shared" si="0"/>
        <v>49673.023839397742</v>
      </c>
      <c r="J35" s="74"/>
      <c r="K35" s="182">
        <v>16</v>
      </c>
      <c r="L35" s="66">
        <v>528</v>
      </c>
      <c r="M35" s="65" t="s">
        <v>100</v>
      </c>
      <c r="N35" s="88">
        <v>31.88</v>
      </c>
      <c r="O35" s="74"/>
      <c r="P35" s="92"/>
      <c r="Q35" s="113"/>
      <c r="R35" s="92"/>
      <c r="S35" s="121"/>
      <c r="T35" s="93">
        <f t="shared" si="4"/>
        <v>0</v>
      </c>
      <c r="U35" s="117"/>
      <c r="V35" s="94">
        <f t="shared" ca="1" si="5"/>
        <v>-373.5355552083347</v>
      </c>
      <c r="W35" s="89">
        <f t="shared" si="11"/>
        <v>0</v>
      </c>
      <c r="Y35">
        <f>Y34/2</f>
        <v>-15.025499999999999</v>
      </c>
    </row>
    <row r="36" spans="1:27" ht="18">
      <c r="A36" s="66">
        <v>34</v>
      </c>
      <c r="B36" s="108" t="s">
        <v>54</v>
      </c>
      <c r="C36" s="90" t="s">
        <v>55</v>
      </c>
      <c r="D36" s="140" t="s">
        <v>71</v>
      </c>
      <c r="E36" s="66">
        <v>529</v>
      </c>
      <c r="F36" s="97">
        <v>44564</v>
      </c>
      <c r="G36" s="141">
        <v>31.88</v>
      </c>
      <c r="H36" s="137">
        <v>1583576</v>
      </c>
      <c r="I36" s="106">
        <f t="shared" si="0"/>
        <v>49673.023839397742</v>
      </c>
      <c r="J36" s="74"/>
      <c r="K36" s="182">
        <v>21</v>
      </c>
      <c r="L36" s="66">
        <v>529</v>
      </c>
      <c r="M36" s="65" t="s">
        <v>100</v>
      </c>
      <c r="N36" s="88">
        <v>31.88</v>
      </c>
      <c r="O36" s="74"/>
      <c r="P36" s="92"/>
      <c r="Q36" s="113"/>
      <c r="R36" s="92"/>
      <c r="S36" s="121"/>
      <c r="T36" s="93">
        <f t="shared" si="4"/>
        <v>0</v>
      </c>
      <c r="U36" s="117"/>
      <c r="V36" s="94">
        <f t="shared" ca="1" si="5"/>
        <v>-373.5355552083347</v>
      </c>
      <c r="W36" s="89">
        <f t="shared" si="11"/>
        <v>0</v>
      </c>
    </row>
    <row r="37" spans="1:27" ht="18">
      <c r="A37" s="66">
        <v>35</v>
      </c>
      <c r="B37" s="108" t="s">
        <v>54</v>
      </c>
      <c r="C37" s="90" t="s">
        <v>55</v>
      </c>
      <c r="D37" s="140" t="s">
        <v>72</v>
      </c>
      <c r="E37" s="66">
        <v>530</v>
      </c>
      <c r="F37" s="97">
        <v>44564</v>
      </c>
      <c r="G37" s="141">
        <v>31.72</v>
      </c>
      <c r="H37" s="137">
        <v>1575916</v>
      </c>
      <c r="I37" s="106">
        <f t="shared" ref="I37:I68" si="12">H37/G37</f>
        <v>49682.093316519546</v>
      </c>
      <c r="J37" s="74"/>
      <c r="K37" s="182">
        <v>67</v>
      </c>
      <c r="L37" s="66">
        <v>530</v>
      </c>
      <c r="M37" s="65" t="s">
        <v>109</v>
      </c>
      <c r="N37" s="88">
        <v>31.72</v>
      </c>
      <c r="O37" s="74"/>
      <c r="P37" s="92"/>
      <c r="Q37" s="113"/>
      <c r="R37" s="92"/>
      <c r="S37" s="121"/>
      <c r="T37" s="93">
        <f t="shared" si="4"/>
        <v>0</v>
      </c>
      <c r="U37" s="117"/>
      <c r="V37" s="94">
        <f t="shared" ca="1" si="5"/>
        <v>-373.5355552083347</v>
      </c>
      <c r="W37" s="89">
        <f t="shared" si="11"/>
        <v>0</v>
      </c>
    </row>
    <row r="38" spans="1:27" ht="18">
      <c r="A38" s="66">
        <v>36</v>
      </c>
      <c r="B38" s="108" t="s">
        <v>54</v>
      </c>
      <c r="C38" s="90" t="s">
        <v>55</v>
      </c>
      <c r="D38" s="140" t="s">
        <v>73</v>
      </c>
      <c r="E38" s="66">
        <v>531</v>
      </c>
      <c r="F38" s="97">
        <v>44564</v>
      </c>
      <c r="G38" s="141">
        <v>29.699000000000002</v>
      </c>
      <c r="H38" s="137">
        <v>1475307</v>
      </c>
      <c r="I38" s="106">
        <f t="shared" si="12"/>
        <v>49675.308932960703</v>
      </c>
      <c r="J38" s="74"/>
      <c r="K38" s="182" t="s">
        <v>173</v>
      </c>
      <c r="L38" s="66">
        <v>531</v>
      </c>
      <c r="M38" s="65" t="s">
        <v>174</v>
      </c>
      <c r="N38" s="88">
        <f>27.69+2.009</f>
        <v>29.699000000000002</v>
      </c>
      <c r="O38" s="74"/>
      <c r="P38" s="92"/>
      <c r="Q38" s="113"/>
      <c r="R38" s="92"/>
      <c r="S38" s="121"/>
      <c r="T38" s="93">
        <f t="shared" si="4"/>
        <v>0</v>
      </c>
      <c r="U38" s="117"/>
      <c r="V38" s="94">
        <f t="shared" ca="1" si="5"/>
        <v>-373.5355552083347</v>
      </c>
      <c r="W38" s="89">
        <f t="shared" si="11"/>
        <v>0</v>
      </c>
    </row>
    <row r="39" spans="1:27" ht="18">
      <c r="A39" s="66">
        <v>38</v>
      </c>
      <c r="B39" s="108" t="s">
        <v>54</v>
      </c>
      <c r="C39" s="90" t="s">
        <v>55</v>
      </c>
      <c r="D39" s="140" t="s">
        <v>74</v>
      </c>
      <c r="E39" s="66">
        <v>532</v>
      </c>
      <c r="F39" s="97">
        <v>44564</v>
      </c>
      <c r="G39" s="141">
        <v>31.86</v>
      </c>
      <c r="H39" s="137">
        <v>1582594</v>
      </c>
      <c r="I39" s="106">
        <f t="shared" si="12"/>
        <v>49673.383553044572</v>
      </c>
      <c r="J39" s="74"/>
      <c r="K39" s="182">
        <v>49</v>
      </c>
      <c r="L39" s="66">
        <v>532</v>
      </c>
      <c r="M39" s="65" t="s">
        <v>106</v>
      </c>
      <c r="N39" s="88">
        <v>31.86</v>
      </c>
      <c r="O39" s="74"/>
      <c r="P39" s="92"/>
      <c r="Q39" s="113"/>
      <c r="R39" s="92"/>
      <c r="S39" s="121"/>
      <c r="T39" s="93">
        <f t="shared" si="4"/>
        <v>0</v>
      </c>
      <c r="U39" s="117"/>
      <c r="V39" s="94">
        <f t="shared" ca="1" si="5"/>
        <v>-373.5355552083347</v>
      </c>
      <c r="W39" s="89">
        <f t="shared" si="11"/>
        <v>0</v>
      </c>
      <c r="Y39" s="67">
        <f>+T30+T32+T33+T35+T39</f>
        <v>2.3999999999957389E-4</v>
      </c>
    </row>
    <row r="40" spans="1:27" ht="18">
      <c r="A40" s="66">
        <v>39</v>
      </c>
      <c r="B40" s="108" t="s">
        <v>54</v>
      </c>
      <c r="C40" s="90" t="s">
        <v>55</v>
      </c>
      <c r="D40" s="140" t="s">
        <v>74</v>
      </c>
      <c r="E40" s="66">
        <v>533</v>
      </c>
      <c r="F40" s="97">
        <v>44564</v>
      </c>
      <c r="G40" s="141">
        <v>31.86</v>
      </c>
      <c r="H40" s="137">
        <v>1582594</v>
      </c>
      <c r="I40" s="106">
        <f t="shared" si="12"/>
        <v>49673.383553044572</v>
      </c>
      <c r="J40" s="74"/>
      <c r="K40" s="182">
        <v>18</v>
      </c>
      <c r="L40" s="66">
        <v>533</v>
      </c>
      <c r="M40" s="65" t="s">
        <v>100</v>
      </c>
      <c r="N40" s="88">
        <v>31.86</v>
      </c>
      <c r="O40" s="74"/>
      <c r="P40" s="92"/>
      <c r="Q40" s="113"/>
      <c r="R40" s="92"/>
      <c r="S40" s="121"/>
      <c r="T40" s="93">
        <f t="shared" si="4"/>
        <v>0</v>
      </c>
      <c r="U40" s="117"/>
      <c r="V40" s="94">
        <f t="shared" ca="1" si="5"/>
        <v>-373.5355552083347</v>
      </c>
      <c r="W40" s="89">
        <f t="shared" si="11"/>
        <v>0</v>
      </c>
    </row>
    <row r="41" spans="1:27" ht="18">
      <c r="A41" s="66">
        <v>40</v>
      </c>
      <c r="B41" s="108" t="s">
        <v>54</v>
      </c>
      <c r="C41" s="90" t="s">
        <v>55</v>
      </c>
      <c r="D41" s="66" t="s">
        <v>75</v>
      </c>
      <c r="E41" s="66">
        <v>534</v>
      </c>
      <c r="F41" s="97">
        <v>44564</v>
      </c>
      <c r="G41" s="141">
        <v>31.98</v>
      </c>
      <c r="H41" s="137">
        <v>1588318</v>
      </c>
      <c r="I41" s="106">
        <f t="shared" si="12"/>
        <v>49665.978736710444</v>
      </c>
      <c r="J41" s="74"/>
      <c r="K41" s="182">
        <v>58</v>
      </c>
      <c r="L41" s="66">
        <v>534</v>
      </c>
      <c r="M41" s="65" t="s">
        <v>104</v>
      </c>
      <c r="N41" s="88">
        <v>31.98</v>
      </c>
      <c r="O41" s="74"/>
      <c r="P41" s="92"/>
      <c r="Q41" s="113"/>
      <c r="R41" s="92"/>
      <c r="S41" s="121"/>
      <c r="T41" s="93">
        <f t="shared" si="4"/>
        <v>0</v>
      </c>
      <c r="U41" s="117"/>
      <c r="V41" s="94">
        <f t="shared" ca="1" si="5"/>
        <v>-373.5355552083347</v>
      </c>
      <c r="W41" s="89">
        <f t="shared" si="11"/>
        <v>0</v>
      </c>
      <c r="Y41" s="67" t="e">
        <f>+T41+#REF!</f>
        <v>#REF!</v>
      </c>
      <c r="Z41">
        <v>14.515000000000001</v>
      </c>
      <c r="AA41" s="67" t="e">
        <f>Y41-Z41</f>
        <v>#REF!</v>
      </c>
    </row>
    <row r="42" spans="1:27" ht="18">
      <c r="A42" s="66">
        <v>41</v>
      </c>
      <c r="B42" s="108" t="s">
        <v>54</v>
      </c>
      <c r="C42" s="90" t="s">
        <v>55</v>
      </c>
      <c r="D42" s="140" t="s">
        <v>75</v>
      </c>
      <c r="E42" s="66">
        <v>535</v>
      </c>
      <c r="F42" s="97">
        <v>44564</v>
      </c>
      <c r="G42" s="141">
        <v>31.98</v>
      </c>
      <c r="H42" s="107">
        <v>1588318</v>
      </c>
      <c r="I42" s="106">
        <f t="shared" si="12"/>
        <v>49665.978736710444</v>
      </c>
      <c r="J42" s="74"/>
      <c r="K42" s="182">
        <v>60</v>
      </c>
      <c r="L42" s="66">
        <v>535</v>
      </c>
      <c r="M42" s="65" t="s">
        <v>108</v>
      </c>
      <c r="N42" s="88">
        <v>31.98</v>
      </c>
      <c r="O42" s="74"/>
      <c r="P42" s="92"/>
      <c r="Q42" s="113"/>
      <c r="R42" s="92"/>
      <c r="S42" s="121"/>
      <c r="T42" s="93">
        <f t="shared" si="4"/>
        <v>0</v>
      </c>
      <c r="U42" s="117"/>
      <c r="V42" s="94">
        <f t="shared" ca="1" si="5"/>
        <v>-373.5355552083347</v>
      </c>
      <c r="W42" s="89">
        <f t="shared" si="11"/>
        <v>0</v>
      </c>
    </row>
    <row r="43" spans="1:27" ht="18">
      <c r="A43" s="66">
        <v>42</v>
      </c>
      <c r="B43" s="108" t="s">
        <v>54</v>
      </c>
      <c r="C43" s="90" t="s">
        <v>55</v>
      </c>
      <c r="D43" s="140" t="s">
        <v>76</v>
      </c>
      <c r="E43" s="66">
        <v>536</v>
      </c>
      <c r="F43" s="97">
        <v>44564</v>
      </c>
      <c r="G43" s="141">
        <v>31.82</v>
      </c>
      <c r="H43" s="90">
        <v>1580686</v>
      </c>
      <c r="I43" s="106">
        <f t="shared" si="12"/>
        <v>49675.864236329355</v>
      </c>
      <c r="J43" s="91"/>
      <c r="K43" s="184" t="s">
        <v>175</v>
      </c>
      <c r="L43" s="66">
        <v>536</v>
      </c>
      <c r="M43" s="65" t="s">
        <v>176</v>
      </c>
      <c r="N43" s="66">
        <f>30.391+1.429</f>
        <v>31.819999999999997</v>
      </c>
      <c r="O43" s="91"/>
      <c r="P43" s="92"/>
      <c r="Q43" s="113"/>
      <c r="R43" s="92"/>
      <c r="S43" s="121"/>
      <c r="T43" s="93">
        <f t="shared" si="4"/>
        <v>3.5527136788005009E-15</v>
      </c>
      <c r="U43" s="122"/>
      <c r="V43" s="94">
        <f t="shared" ca="1" si="5"/>
        <v>-373.5355552083347</v>
      </c>
      <c r="W43" s="89">
        <f>T43/0.92%/100</f>
        <v>3.8616453030440225E-15</v>
      </c>
    </row>
    <row r="44" spans="1:27" ht="18">
      <c r="A44" s="66">
        <v>43</v>
      </c>
      <c r="B44" s="108" t="s">
        <v>54</v>
      </c>
      <c r="C44" s="90" t="s">
        <v>55</v>
      </c>
      <c r="D44" s="140" t="s">
        <v>77</v>
      </c>
      <c r="E44" s="66">
        <v>537</v>
      </c>
      <c r="F44" s="97">
        <v>44565</v>
      </c>
      <c r="G44" s="141">
        <v>32</v>
      </c>
      <c r="H44" s="90">
        <v>1589272</v>
      </c>
      <c r="I44" s="106">
        <f t="shared" si="12"/>
        <v>49664.75</v>
      </c>
      <c r="J44" s="91"/>
      <c r="K44" s="184">
        <v>23</v>
      </c>
      <c r="L44" s="66">
        <v>537</v>
      </c>
      <c r="M44" s="65" t="s">
        <v>100</v>
      </c>
      <c r="N44" s="66">
        <v>32</v>
      </c>
      <c r="O44" s="91"/>
      <c r="P44" s="92"/>
      <c r="Q44" s="113"/>
      <c r="R44" s="92"/>
      <c r="S44" s="121"/>
      <c r="T44" s="93">
        <f t="shared" si="4"/>
        <v>0</v>
      </c>
      <c r="U44" s="122"/>
      <c r="V44" s="94">
        <f t="shared" ca="1" si="5"/>
        <v>-372.5355552083347</v>
      </c>
      <c r="W44" s="89">
        <f t="shared" ref="W44:W50" si="13">T44/0.92%/100</f>
        <v>0</v>
      </c>
    </row>
    <row r="45" spans="1:27" ht="18">
      <c r="A45" s="66">
        <v>44</v>
      </c>
      <c r="B45" s="108" t="s">
        <v>54</v>
      </c>
      <c r="C45" s="90" t="s">
        <v>55</v>
      </c>
      <c r="D45" s="140" t="s">
        <v>77</v>
      </c>
      <c r="E45" s="66">
        <v>538</v>
      </c>
      <c r="F45" s="97">
        <v>44565</v>
      </c>
      <c r="G45" s="141">
        <v>32</v>
      </c>
      <c r="H45" s="90">
        <v>1589272</v>
      </c>
      <c r="I45" s="106">
        <f t="shared" si="12"/>
        <v>49664.75</v>
      </c>
      <c r="J45" s="91"/>
      <c r="K45" s="184">
        <v>52</v>
      </c>
      <c r="L45" s="66">
        <v>538</v>
      </c>
      <c r="M45" s="65" t="s">
        <v>107</v>
      </c>
      <c r="N45" s="66">
        <v>32</v>
      </c>
      <c r="O45" s="91"/>
      <c r="P45" s="92"/>
      <c r="Q45" s="113"/>
      <c r="R45" s="92"/>
      <c r="S45" s="121"/>
      <c r="T45" s="93">
        <f t="shared" si="4"/>
        <v>0</v>
      </c>
      <c r="U45" s="122"/>
      <c r="V45" s="94">
        <f t="shared" ca="1" si="5"/>
        <v>-372.5355552083347</v>
      </c>
      <c r="W45" s="89">
        <f t="shared" si="13"/>
        <v>0</v>
      </c>
      <c r="X45" s="67">
        <f>+T45+T44</f>
        <v>0</v>
      </c>
    </row>
    <row r="46" spans="1:27" ht="18">
      <c r="A46" s="66">
        <v>45</v>
      </c>
      <c r="B46" s="108" t="s">
        <v>54</v>
      </c>
      <c r="C46" s="90" t="s">
        <v>55</v>
      </c>
      <c r="D46" s="66" t="s">
        <v>78</v>
      </c>
      <c r="E46" s="66">
        <v>539</v>
      </c>
      <c r="F46" s="97">
        <v>44565</v>
      </c>
      <c r="G46" s="141">
        <v>30.094999999999999</v>
      </c>
      <c r="H46" s="90">
        <v>1496244</v>
      </c>
      <c r="I46" s="106">
        <f t="shared" si="12"/>
        <v>49717.361687988043</v>
      </c>
      <c r="J46" s="91"/>
      <c r="K46" s="184">
        <v>36</v>
      </c>
      <c r="L46" s="66">
        <v>539</v>
      </c>
      <c r="M46" s="65" t="s">
        <v>103</v>
      </c>
      <c r="N46" s="66">
        <v>30.094999999999999</v>
      </c>
      <c r="O46" s="91"/>
      <c r="P46" s="92"/>
      <c r="Q46" s="113"/>
      <c r="R46" s="92"/>
      <c r="S46" s="121"/>
      <c r="T46" s="93">
        <f t="shared" si="4"/>
        <v>0</v>
      </c>
      <c r="U46" s="122"/>
      <c r="V46" s="94">
        <f t="shared" ca="1" si="5"/>
        <v>-372.5355552083347</v>
      </c>
      <c r="W46" s="89">
        <f t="shared" si="13"/>
        <v>0</v>
      </c>
    </row>
    <row r="47" spans="1:27" ht="18">
      <c r="A47" s="66">
        <v>46</v>
      </c>
      <c r="B47" s="108" t="s">
        <v>54</v>
      </c>
      <c r="C47" s="90" t="s">
        <v>55</v>
      </c>
      <c r="D47" s="140" t="s">
        <v>78</v>
      </c>
      <c r="E47" s="66">
        <v>540</v>
      </c>
      <c r="F47" s="97">
        <v>44565</v>
      </c>
      <c r="G47" s="141">
        <v>32.244999999999997</v>
      </c>
      <c r="H47" s="90">
        <v>1603118</v>
      </c>
      <c r="I47" s="106">
        <f t="shared" si="12"/>
        <v>49716.793301287027</v>
      </c>
      <c r="J47" s="91"/>
      <c r="K47" s="184">
        <v>35</v>
      </c>
      <c r="L47" s="66">
        <v>540</v>
      </c>
      <c r="M47" s="65" t="s">
        <v>102</v>
      </c>
      <c r="N47" s="66">
        <v>32.244999999999997</v>
      </c>
      <c r="O47" s="91"/>
      <c r="P47" s="92"/>
      <c r="Q47" s="113"/>
      <c r="R47" s="92"/>
      <c r="S47" s="121"/>
      <c r="T47" s="93">
        <f t="shared" si="4"/>
        <v>0</v>
      </c>
      <c r="U47" s="122"/>
      <c r="V47" s="94">
        <f t="shared" ca="1" si="5"/>
        <v>-372.5355552083347</v>
      </c>
      <c r="W47" s="89">
        <f t="shared" si="13"/>
        <v>0</v>
      </c>
    </row>
    <row r="48" spans="1:27" ht="18">
      <c r="A48" s="66">
        <v>47</v>
      </c>
      <c r="B48" s="108" t="s">
        <v>54</v>
      </c>
      <c r="C48" s="90" t="s">
        <v>55</v>
      </c>
      <c r="D48" s="66" t="s">
        <v>79</v>
      </c>
      <c r="E48" s="66">
        <v>541</v>
      </c>
      <c r="F48" s="97">
        <v>44565</v>
      </c>
      <c r="G48" s="141">
        <v>31.83</v>
      </c>
      <c r="H48" s="90">
        <v>1581163</v>
      </c>
      <c r="I48" s="106">
        <f t="shared" si="12"/>
        <v>49675.24348099278</v>
      </c>
      <c r="J48" s="91"/>
      <c r="K48" s="184">
        <v>59</v>
      </c>
      <c r="L48" s="66">
        <v>541</v>
      </c>
      <c r="M48" s="65" t="s">
        <v>108</v>
      </c>
      <c r="N48" s="66">
        <v>31.83</v>
      </c>
      <c r="O48" s="91"/>
      <c r="P48" s="92"/>
      <c r="Q48" s="113"/>
      <c r="R48" s="92"/>
      <c r="S48" s="121"/>
      <c r="T48" s="93">
        <f t="shared" si="4"/>
        <v>0</v>
      </c>
      <c r="U48" s="122"/>
      <c r="V48" s="94">
        <f t="shared" ca="1" si="5"/>
        <v>-372.5355552083347</v>
      </c>
      <c r="W48" s="89">
        <f t="shared" si="13"/>
        <v>0</v>
      </c>
    </row>
    <row r="49" spans="1:24" ht="18">
      <c r="A49" s="66">
        <v>48</v>
      </c>
      <c r="B49" s="108" t="s">
        <v>54</v>
      </c>
      <c r="C49" s="90" t="s">
        <v>55</v>
      </c>
      <c r="D49" s="140" t="s">
        <v>79</v>
      </c>
      <c r="E49" s="66">
        <v>542</v>
      </c>
      <c r="F49" s="97">
        <v>44565</v>
      </c>
      <c r="G49" s="141">
        <v>31.83</v>
      </c>
      <c r="H49" s="90">
        <v>1581163</v>
      </c>
      <c r="I49" s="106">
        <f t="shared" si="12"/>
        <v>49675.24348099278</v>
      </c>
      <c r="J49" s="91"/>
      <c r="K49" s="184" t="s">
        <v>111</v>
      </c>
      <c r="L49" s="66">
        <v>542</v>
      </c>
      <c r="M49" s="65" t="s">
        <v>112</v>
      </c>
      <c r="N49" s="66">
        <f>23.58+8.25</f>
        <v>31.83</v>
      </c>
      <c r="O49" s="91"/>
      <c r="P49" s="92"/>
      <c r="Q49" s="113"/>
      <c r="R49" s="92"/>
      <c r="S49" s="121"/>
      <c r="T49" s="93">
        <f t="shared" si="4"/>
        <v>0</v>
      </c>
      <c r="U49" s="122"/>
      <c r="V49" s="94">
        <f t="shared" ca="1" si="5"/>
        <v>-372.5355552083347</v>
      </c>
      <c r="W49" s="89">
        <f t="shared" si="13"/>
        <v>0</v>
      </c>
    </row>
    <row r="50" spans="1:24" ht="18">
      <c r="A50" s="66">
        <v>49</v>
      </c>
      <c r="B50" s="108" t="s">
        <v>54</v>
      </c>
      <c r="C50" s="90" t="s">
        <v>55</v>
      </c>
      <c r="D50" s="140" t="s">
        <v>72</v>
      </c>
      <c r="E50" s="66">
        <v>543</v>
      </c>
      <c r="F50" s="97">
        <v>44565</v>
      </c>
      <c r="G50" s="141">
        <v>31.72</v>
      </c>
      <c r="H50" s="90">
        <v>1575916</v>
      </c>
      <c r="I50" s="106">
        <f t="shared" si="12"/>
        <v>49682.093316519546</v>
      </c>
      <c r="J50" s="91"/>
      <c r="K50" s="185">
        <v>75</v>
      </c>
      <c r="L50" s="66">
        <v>543</v>
      </c>
      <c r="M50" s="65" t="s">
        <v>115</v>
      </c>
      <c r="N50" s="66">
        <v>31.72</v>
      </c>
      <c r="O50" s="91"/>
      <c r="P50" s="92"/>
      <c r="Q50" s="113"/>
      <c r="R50" s="92"/>
      <c r="S50" s="121"/>
      <c r="T50" s="93">
        <f t="shared" si="4"/>
        <v>0</v>
      </c>
      <c r="U50" s="122"/>
      <c r="V50" s="94">
        <f t="shared" ca="1" si="5"/>
        <v>-372.5355552083347</v>
      </c>
      <c r="W50" s="89">
        <f t="shared" si="13"/>
        <v>0</v>
      </c>
    </row>
    <row r="51" spans="1:24" ht="18">
      <c r="A51" s="66">
        <v>50</v>
      </c>
      <c r="B51" s="108" t="s">
        <v>54</v>
      </c>
      <c r="C51" s="90" t="s">
        <v>55</v>
      </c>
      <c r="D51" s="66" t="s">
        <v>80</v>
      </c>
      <c r="E51" s="66">
        <v>544</v>
      </c>
      <c r="F51" s="97">
        <v>44565</v>
      </c>
      <c r="G51" s="141">
        <v>31.95</v>
      </c>
      <c r="H51" s="90">
        <v>1586887</v>
      </c>
      <c r="I51" s="106">
        <f t="shared" si="12"/>
        <v>49667.82472613459</v>
      </c>
      <c r="J51" s="91"/>
      <c r="K51" s="184">
        <v>17</v>
      </c>
      <c r="L51" s="66">
        <v>544</v>
      </c>
      <c r="M51" s="65" t="s">
        <v>100</v>
      </c>
      <c r="N51" s="66">
        <v>31.95</v>
      </c>
      <c r="O51" s="91"/>
      <c r="P51" s="92"/>
      <c r="Q51" s="113"/>
      <c r="R51" s="92"/>
      <c r="S51" s="121"/>
      <c r="T51" s="93">
        <f t="shared" si="4"/>
        <v>0</v>
      </c>
      <c r="U51" s="122"/>
      <c r="V51" s="94">
        <f t="shared" ca="1" si="5"/>
        <v>-372.5355552083347</v>
      </c>
      <c r="W51" s="89">
        <f>T51/0.92%/100</f>
        <v>0</v>
      </c>
    </row>
    <row r="52" spans="1:24" ht="18">
      <c r="A52" s="66">
        <v>51</v>
      </c>
      <c r="B52" s="108" t="s">
        <v>54</v>
      </c>
      <c r="C52" s="90" t="s">
        <v>55</v>
      </c>
      <c r="D52" s="140" t="s">
        <v>80</v>
      </c>
      <c r="E52" s="66">
        <v>545</v>
      </c>
      <c r="F52" s="97">
        <v>44565</v>
      </c>
      <c r="G52" s="141">
        <v>31.95</v>
      </c>
      <c r="H52" s="90">
        <v>1586887</v>
      </c>
      <c r="I52" s="106">
        <f t="shared" si="12"/>
        <v>49667.82472613459</v>
      </c>
      <c r="J52" s="91"/>
      <c r="K52" s="184">
        <v>39</v>
      </c>
      <c r="L52" s="66">
        <v>545</v>
      </c>
      <c r="M52" s="65" t="s">
        <v>103</v>
      </c>
      <c r="N52" s="66">
        <v>31.95</v>
      </c>
      <c r="O52" s="91"/>
      <c r="P52" s="92"/>
      <c r="Q52" s="113"/>
      <c r="R52" s="92"/>
      <c r="S52" s="121"/>
      <c r="T52" s="93">
        <f t="shared" si="4"/>
        <v>0</v>
      </c>
      <c r="U52" s="122"/>
      <c r="V52" s="94">
        <f t="shared" ca="1" si="5"/>
        <v>-372.5355552083347</v>
      </c>
      <c r="W52" s="89">
        <f>T52/0.92%/100</f>
        <v>0</v>
      </c>
    </row>
    <row r="53" spans="1:24" ht="18">
      <c r="A53" s="66">
        <v>53</v>
      </c>
      <c r="B53" s="108" t="s">
        <v>54</v>
      </c>
      <c r="C53" s="90" t="s">
        <v>55</v>
      </c>
      <c r="D53" s="140" t="s">
        <v>81</v>
      </c>
      <c r="E53" s="66">
        <v>546</v>
      </c>
      <c r="F53" s="97">
        <v>44565</v>
      </c>
      <c r="G53" s="141">
        <v>31.99</v>
      </c>
      <c r="H53" s="90">
        <v>1588795</v>
      </c>
      <c r="I53" s="106">
        <f t="shared" si="12"/>
        <v>49665.364176305098</v>
      </c>
      <c r="J53" s="91"/>
      <c r="K53" s="184">
        <v>50</v>
      </c>
      <c r="L53" s="66">
        <v>546</v>
      </c>
      <c r="M53" s="65" t="s">
        <v>106</v>
      </c>
      <c r="N53" s="66">
        <v>31.99</v>
      </c>
      <c r="O53" s="91"/>
      <c r="P53" s="92"/>
      <c r="Q53" s="113"/>
      <c r="R53" s="92"/>
      <c r="S53" s="121"/>
      <c r="T53" s="93">
        <f t="shared" si="4"/>
        <v>0</v>
      </c>
      <c r="U53" s="122"/>
      <c r="V53" s="94">
        <f t="shared" ca="1" si="5"/>
        <v>-372.5355552083347</v>
      </c>
      <c r="W53" s="89">
        <f t="shared" ref="W53:W153" si="14">T53/0.92%/100</f>
        <v>0</v>
      </c>
    </row>
    <row r="54" spans="1:24" ht="18">
      <c r="A54" s="66"/>
      <c r="B54" s="108" t="s">
        <v>54</v>
      </c>
      <c r="C54" s="90" t="s">
        <v>55</v>
      </c>
      <c r="D54" s="140" t="s">
        <v>81</v>
      </c>
      <c r="E54" s="66">
        <v>547</v>
      </c>
      <c r="F54" s="97">
        <v>44565</v>
      </c>
      <c r="G54" s="141">
        <v>31.99</v>
      </c>
      <c r="H54" s="90">
        <v>1588795</v>
      </c>
      <c r="I54" s="106">
        <f t="shared" si="12"/>
        <v>49665.364176305098</v>
      </c>
      <c r="J54" s="91"/>
      <c r="K54" s="184">
        <v>51</v>
      </c>
      <c r="L54" s="66">
        <v>547</v>
      </c>
      <c r="M54" s="65" t="s">
        <v>106</v>
      </c>
      <c r="N54" s="66">
        <v>31.99</v>
      </c>
      <c r="O54" s="91"/>
      <c r="P54" s="92"/>
      <c r="Q54" s="113"/>
      <c r="R54" s="92"/>
      <c r="S54" s="121"/>
      <c r="T54" s="93">
        <f t="shared" si="4"/>
        <v>0</v>
      </c>
      <c r="U54" s="122"/>
      <c r="V54" s="94">
        <f t="shared" ca="1" si="5"/>
        <v>-372.5355552083347</v>
      </c>
      <c r="W54" s="89">
        <f t="shared" si="14"/>
        <v>0</v>
      </c>
    </row>
    <row r="55" spans="1:24" ht="18">
      <c r="A55" s="66"/>
      <c r="B55" s="108" t="s">
        <v>54</v>
      </c>
      <c r="C55" s="90" t="s">
        <v>55</v>
      </c>
      <c r="D55" s="140" t="s">
        <v>82</v>
      </c>
      <c r="E55" s="66">
        <v>548</v>
      </c>
      <c r="F55" s="97">
        <v>44565</v>
      </c>
      <c r="G55" s="141">
        <v>32</v>
      </c>
      <c r="H55" s="90">
        <v>1589272</v>
      </c>
      <c r="I55" s="106">
        <f t="shared" si="12"/>
        <v>49664.75</v>
      </c>
      <c r="J55" s="91"/>
      <c r="K55" s="184">
        <v>32</v>
      </c>
      <c r="L55" s="66">
        <v>548</v>
      </c>
      <c r="M55" s="65" t="s">
        <v>102</v>
      </c>
      <c r="N55" s="66">
        <v>32</v>
      </c>
      <c r="O55" s="91"/>
      <c r="P55" s="92"/>
      <c r="Q55" s="113"/>
      <c r="R55" s="92"/>
      <c r="S55" s="121"/>
      <c r="T55" s="93">
        <f t="shared" si="4"/>
        <v>0</v>
      </c>
      <c r="U55" s="122"/>
      <c r="V55" s="94">
        <f t="shared" ca="1" si="5"/>
        <v>-372.5355552083347</v>
      </c>
      <c r="W55" s="89">
        <f t="shared" si="14"/>
        <v>0</v>
      </c>
    </row>
    <row r="56" spans="1:24" ht="18">
      <c r="A56" s="66"/>
      <c r="B56" s="108" t="s">
        <v>54</v>
      </c>
      <c r="C56" s="90" t="s">
        <v>55</v>
      </c>
      <c r="D56" s="140" t="s">
        <v>70</v>
      </c>
      <c r="E56" s="66">
        <v>549</v>
      </c>
      <c r="F56" s="97">
        <v>44565</v>
      </c>
      <c r="G56" s="141">
        <v>34.048000000000002</v>
      </c>
      <c r="H56" s="90">
        <v>1691153</v>
      </c>
      <c r="I56" s="106">
        <f t="shared" si="12"/>
        <v>49669.672227443603</v>
      </c>
      <c r="J56" s="91"/>
      <c r="K56" s="184">
        <v>66</v>
      </c>
      <c r="L56" s="66">
        <v>549</v>
      </c>
      <c r="M56" s="65" t="s">
        <v>110</v>
      </c>
      <c r="N56" s="66">
        <v>34.048000000000002</v>
      </c>
      <c r="O56" s="91"/>
      <c r="P56" s="92"/>
      <c r="Q56" s="113"/>
      <c r="R56" s="92"/>
      <c r="S56" s="121"/>
      <c r="T56" s="93">
        <f t="shared" si="4"/>
        <v>0</v>
      </c>
      <c r="U56" s="122"/>
      <c r="V56" s="94">
        <f t="shared" ca="1" si="5"/>
        <v>-372.5355552083347</v>
      </c>
      <c r="W56" s="89">
        <f t="shared" si="14"/>
        <v>0</v>
      </c>
      <c r="X56" s="67">
        <f>+T50+T61</f>
        <v>0</v>
      </c>
    </row>
    <row r="57" spans="1:24" ht="18">
      <c r="A57" s="66"/>
      <c r="B57" s="108" t="s">
        <v>54</v>
      </c>
      <c r="C57" s="90" t="s">
        <v>55</v>
      </c>
      <c r="D57" s="140" t="s">
        <v>82</v>
      </c>
      <c r="E57" s="66">
        <v>550</v>
      </c>
      <c r="F57" s="97">
        <v>44565</v>
      </c>
      <c r="G57" s="141">
        <v>32</v>
      </c>
      <c r="H57" s="90">
        <v>1589272</v>
      </c>
      <c r="I57" s="106">
        <f t="shared" si="12"/>
        <v>49664.75</v>
      </c>
      <c r="J57" s="91"/>
      <c r="K57" s="184">
        <v>22</v>
      </c>
      <c r="L57" s="66">
        <v>550</v>
      </c>
      <c r="M57" s="65" t="s">
        <v>100</v>
      </c>
      <c r="N57" s="66">
        <v>32</v>
      </c>
      <c r="O57" s="91"/>
      <c r="P57" s="92"/>
      <c r="Q57" s="113"/>
      <c r="R57" s="92"/>
      <c r="S57" s="121"/>
      <c r="T57" s="93">
        <f t="shared" si="4"/>
        <v>0</v>
      </c>
      <c r="U57" s="122"/>
      <c r="V57" s="94">
        <f t="shared" ca="1" si="5"/>
        <v>-372.5355552083347</v>
      </c>
      <c r="W57" s="89">
        <f t="shared" si="14"/>
        <v>0</v>
      </c>
    </row>
    <row r="58" spans="1:24" ht="18">
      <c r="A58" s="66"/>
      <c r="B58" s="108" t="s">
        <v>54</v>
      </c>
      <c r="C58" s="90" t="s">
        <v>55</v>
      </c>
      <c r="D58" s="140" t="s">
        <v>83</v>
      </c>
      <c r="E58" s="66">
        <v>551</v>
      </c>
      <c r="F58" s="97">
        <v>44565</v>
      </c>
      <c r="G58" s="141">
        <v>31.95</v>
      </c>
      <c r="H58" s="90">
        <v>1586942</v>
      </c>
      <c r="I58" s="106">
        <f t="shared" si="12"/>
        <v>49669.546165884196</v>
      </c>
      <c r="J58" s="91"/>
      <c r="K58" s="184">
        <v>29</v>
      </c>
      <c r="L58" s="66">
        <v>551</v>
      </c>
      <c r="M58" s="65" t="s">
        <v>101</v>
      </c>
      <c r="N58" s="66">
        <v>31.95</v>
      </c>
      <c r="O58" s="91"/>
      <c r="P58" s="92"/>
      <c r="Q58" s="113"/>
      <c r="R58" s="92"/>
      <c r="S58" s="121"/>
      <c r="T58" s="93">
        <f t="shared" si="4"/>
        <v>0</v>
      </c>
      <c r="U58" s="122"/>
      <c r="V58" s="94">
        <f t="shared" ca="1" si="5"/>
        <v>-372.5355552083347</v>
      </c>
      <c r="W58" s="89">
        <f t="shared" si="14"/>
        <v>0</v>
      </c>
    </row>
    <row r="59" spans="1:24" ht="18">
      <c r="A59" s="66"/>
      <c r="B59" s="108" t="s">
        <v>54</v>
      </c>
      <c r="C59" s="90" t="s">
        <v>55</v>
      </c>
      <c r="D59" s="140" t="s">
        <v>83</v>
      </c>
      <c r="E59" s="66">
        <v>552</v>
      </c>
      <c r="F59" s="97">
        <v>44566</v>
      </c>
      <c r="G59" s="141">
        <v>31.95</v>
      </c>
      <c r="H59" s="90">
        <v>1586942</v>
      </c>
      <c r="I59" s="106">
        <f t="shared" si="12"/>
        <v>49669.546165884196</v>
      </c>
      <c r="J59" s="91"/>
      <c r="K59" s="184">
        <v>25</v>
      </c>
      <c r="L59" s="66">
        <v>552</v>
      </c>
      <c r="M59" s="65" t="s">
        <v>101</v>
      </c>
      <c r="N59" s="66">
        <v>31.95</v>
      </c>
      <c r="O59" s="91"/>
      <c r="P59" s="92"/>
      <c r="Q59" s="113"/>
      <c r="R59" s="92"/>
      <c r="S59" s="121"/>
      <c r="T59" s="93">
        <f t="shared" si="4"/>
        <v>0</v>
      </c>
      <c r="U59" s="122"/>
      <c r="V59" s="94">
        <f t="shared" ca="1" si="5"/>
        <v>-371.5355552083347</v>
      </c>
      <c r="W59" s="89">
        <f t="shared" si="14"/>
        <v>0</v>
      </c>
    </row>
    <row r="60" spans="1:24" ht="18">
      <c r="A60" s="66"/>
      <c r="B60" s="108" t="s">
        <v>54</v>
      </c>
      <c r="C60" s="90" t="s">
        <v>55</v>
      </c>
      <c r="D60" s="140" t="s">
        <v>84</v>
      </c>
      <c r="E60" s="66">
        <v>553</v>
      </c>
      <c r="F60" s="97">
        <v>44566</v>
      </c>
      <c r="G60" s="141">
        <v>31.94</v>
      </c>
      <c r="H60" s="90">
        <v>1586466</v>
      </c>
      <c r="I60" s="106">
        <f t="shared" si="12"/>
        <v>49670.194113963677</v>
      </c>
      <c r="J60" s="91"/>
      <c r="K60" s="184">
        <v>28</v>
      </c>
      <c r="L60" s="66">
        <v>553</v>
      </c>
      <c r="M60" s="65" t="s">
        <v>101</v>
      </c>
      <c r="N60" s="66">
        <v>31.94</v>
      </c>
      <c r="O60" s="91"/>
      <c r="P60" s="92"/>
      <c r="Q60" s="113"/>
      <c r="R60" s="92"/>
      <c r="S60" s="121"/>
      <c r="T60" s="93">
        <f t="shared" si="4"/>
        <v>0</v>
      </c>
      <c r="U60" s="122"/>
      <c r="V60" s="94">
        <f t="shared" ca="1" si="5"/>
        <v>-371.5355552083347</v>
      </c>
      <c r="W60" s="89">
        <f t="shared" si="14"/>
        <v>0</v>
      </c>
    </row>
    <row r="61" spans="1:24" ht="18">
      <c r="A61" s="66"/>
      <c r="B61" s="108" t="s">
        <v>54</v>
      </c>
      <c r="C61" s="90" t="s">
        <v>55</v>
      </c>
      <c r="D61" s="140" t="s">
        <v>84</v>
      </c>
      <c r="E61" s="66">
        <v>554</v>
      </c>
      <c r="F61" s="97">
        <v>44566</v>
      </c>
      <c r="G61" s="141">
        <v>31.94</v>
      </c>
      <c r="H61" s="90">
        <v>1586466</v>
      </c>
      <c r="I61" s="106">
        <f t="shared" si="12"/>
        <v>49670.194113963677</v>
      </c>
      <c r="J61" s="91"/>
      <c r="K61" s="184">
        <v>26</v>
      </c>
      <c r="L61" s="66">
        <v>554</v>
      </c>
      <c r="M61" s="65" t="s">
        <v>101</v>
      </c>
      <c r="N61" s="66">
        <v>31.94</v>
      </c>
      <c r="O61" s="91"/>
      <c r="P61" s="92"/>
      <c r="Q61" s="113"/>
      <c r="R61" s="92"/>
      <c r="S61" s="121"/>
      <c r="T61" s="93">
        <f t="shared" si="4"/>
        <v>0</v>
      </c>
      <c r="U61" s="122"/>
      <c r="V61" s="94">
        <f t="shared" ca="1" si="5"/>
        <v>-371.5355552083347</v>
      </c>
      <c r="W61" s="89">
        <f t="shared" si="14"/>
        <v>0</v>
      </c>
    </row>
    <row r="62" spans="1:24" ht="18">
      <c r="A62" s="66"/>
      <c r="B62" s="108" t="s">
        <v>54</v>
      </c>
      <c r="C62" s="90" t="s">
        <v>55</v>
      </c>
      <c r="D62" s="140" t="s">
        <v>85</v>
      </c>
      <c r="E62" s="66">
        <v>555</v>
      </c>
      <c r="F62" s="97">
        <v>44566</v>
      </c>
      <c r="G62" s="141">
        <v>31.94</v>
      </c>
      <c r="H62" s="90">
        <v>1586466</v>
      </c>
      <c r="I62" s="106">
        <f t="shared" si="12"/>
        <v>49670.194113963677</v>
      </c>
      <c r="J62" s="91"/>
      <c r="K62" s="184">
        <v>27</v>
      </c>
      <c r="L62" s="66">
        <v>555</v>
      </c>
      <c r="M62" s="65" t="s">
        <v>101</v>
      </c>
      <c r="N62" s="66">
        <v>31.94</v>
      </c>
      <c r="O62" s="91"/>
      <c r="P62" s="92"/>
      <c r="Q62" s="113"/>
      <c r="R62" s="92"/>
      <c r="S62" s="121"/>
      <c r="T62" s="93">
        <f t="shared" si="4"/>
        <v>0</v>
      </c>
      <c r="U62" s="122"/>
      <c r="V62" s="94">
        <f t="shared" ca="1" si="5"/>
        <v>-371.5355552083347</v>
      </c>
      <c r="W62" s="89">
        <f t="shared" si="14"/>
        <v>0</v>
      </c>
    </row>
    <row r="63" spans="1:24" ht="18">
      <c r="A63" s="66"/>
      <c r="B63" s="108" t="s">
        <v>54</v>
      </c>
      <c r="C63" s="90" t="s">
        <v>55</v>
      </c>
      <c r="D63" s="140" t="s">
        <v>85</v>
      </c>
      <c r="E63" s="66">
        <v>556</v>
      </c>
      <c r="F63" s="97">
        <v>44566</v>
      </c>
      <c r="G63" s="141">
        <v>31.94</v>
      </c>
      <c r="H63" s="90">
        <v>1586466</v>
      </c>
      <c r="I63" s="106">
        <f t="shared" si="12"/>
        <v>49670.194113963677</v>
      </c>
      <c r="J63" s="91"/>
      <c r="K63" s="184">
        <v>24</v>
      </c>
      <c r="L63" s="66">
        <v>556</v>
      </c>
      <c r="M63" s="65" t="s">
        <v>101</v>
      </c>
      <c r="N63" s="66">
        <v>31.94</v>
      </c>
      <c r="O63" s="91"/>
      <c r="P63" s="92"/>
      <c r="Q63" s="113"/>
      <c r="R63" s="92"/>
      <c r="S63" s="121"/>
      <c r="T63" s="93">
        <f t="shared" si="4"/>
        <v>0</v>
      </c>
      <c r="U63" s="122"/>
      <c r="V63" s="94">
        <f t="shared" ca="1" si="5"/>
        <v>-371.5355552083347</v>
      </c>
      <c r="W63" s="89">
        <f t="shared" si="14"/>
        <v>0</v>
      </c>
    </row>
    <row r="64" spans="1:24" ht="18">
      <c r="A64" s="66"/>
      <c r="B64" s="108" t="s">
        <v>54</v>
      </c>
      <c r="C64" s="90" t="s">
        <v>55</v>
      </c>
      <c r="D64" s="140" t="s">
        <v>76</v>
      </c>
      <c r="E64" s="66">
        <v>557</v>
      </c>
      <c r="F64" s="97">
        <v>44566</v>
      </c>
      <c r="G64" s="141">
        <v>31.82</v>
      </c>
      <c r="H64" s="90">
        <v>1580686</v>
      </c>
      <c r="I64" s="106">
        <f t="shared" si="12"/>
        <v>49675.864236329355</v>
      </c>
      <c r="J64" s="91"/>
      <c r="K64" s="184">
        <v>20</v>
      </c>
      <c r="L64" s="66">
        <v>557</v>
      </c>
      <c r="M64" s="65" t="s">
        <v>100</v>
      </c>
      <c r="N64" s="66">
        <v>31.82</v>
      </c>
      <c r="O64" s="91"/>
      <c r="P64" s="92"/>
      <c r="Q64" s="113"/>
      <c r="R64" s="92"/>
      <c r="S64" s="121"/>
      <c r="T64" s="93">
        <f t="shared" ref="T64:T127" si="15">G64-N64-Q64-R64</f>
        <v>0</v>
      </c>
      <c r="U64" s="122"/>
      <c r="V64" s="94">
        <f t="shared" ref="V64:V80" ca="1" si="16">360-($V$3-F64)</f>
        <v>-371.5355552083347</v>
      </c>
      <c r="W64" s="89">
        <f t="shared" si="14"/>
        <v>0</v>
      </c>
    </row>
    <row r="65" spans="1:23" ht="18">
      <c r="A65" s="66"/>
      <c r="B65" s="108" t="s">
        <v>54</v>
      </c>
      <c r="C65" s="90" t="s">
        <v>55</v>
      </c>
      <c r="D65" s="140" t="s">
        <v>86</v>
      </c>
      <c r="E65" s="66">
        <v>558</v>
      </c>
      <c r="F65" s="97">
        <v>44566</v>
      </c>
      <c r="G65" s="141">
        <v>31.93</v>
      </c>
      <c r="H65" s="90">
        <v>1585989</v>
      </c>
      <c r="I65" s="106">
        <f t="shared" si="12"/>
        <v>49670.811149389287</v>
      </c>
      <c r="J65" s="91"/>
      <c r="K65" s="184">
        <v>30</v>
      </c>
      <c r="L65" s="66">
        <v>558</v>
      </c>
      <c r="M65" s="65" t="s">
        <v>101</v>
      </c>
      <c r="N65" s="66">
        <v>31.93</v>
      </c>
      <c r="O65" s="91"/>
      <c r="P65" s="92"/>
      <c r="Q65" s="113"/>
      <c r="R65" s="92"/>
      <c r="S65" s="121"/>
      <c r="T65" s="93">
        <f t="shared" si="15"/>
        <v>0</v>
      </c>
      <c r="U65" s="122"/>
      <c r="V65" s="94">
        <f t="shared" ca="1" si="16"/>
        <v>-371.5355552083347</v>
      </c>
      <c r="W65" s="89">
        <f t="shared" si="14"/>
        <v>0</v>
      </c>
    </row>
    <row r="66" spans="1:23" ht="18">
      <c r="A66" s="66"/>
      <c r="B66" s="108" t="s">
        <v>54</v>
      </c>
      <c r="C66" s="90" t="s">
        <v>55</v>
      </c>
      <c r="D66" s="140" t="s">
        <v>87</v>
      </c>
      <c r="E66" s="66">
        <v>559</v>
      </c>
      <c r="F66" s="97">
        <v>44566</v>
      </c>
      <c r="G66" s="141">
        <v>31.86</v>
      </c>
      <c r="H66" s="90">
        <v>1582650</v>
      </c>
      <c r="I66" s="106">
        <f t="shared" si="12"/>
        <v>49675.141242937854</v>
      </c>
      <c r="J66" s="91"/>
      <c r="K66" s="184">
        <v>33</v>
      </c>
      <c r="L66" s="66">
        <v>559</v>
      </c>
      <c r="M66" s="65" t="s">
        <v>102</v>
      </c>
      <c r="N66" s="66">
        <v>31.86</v>
      </c>
      <c r="O66" s="91"/>
      <c r="P66" s="92"/>
      <c r="Q66" s="113"/>
      <c r="R66" s="92"/>
      <c r="S66" s="121"/>
      <c r="T66" s="93">
        <f t="shared" si="15"/>
        <v>0</v>
      </c>
      <c r="U66" s="122"/>
      <c r="V66" s="94">
        <f t="shared" ca="1" si="16"/>
        <v>-371.5355552083347</v>
      </c>
      <c r="W66" s="89">
        <f t="shared" si="14"/>
        <v>0</v>
      </c>
    </row>
    <row r="67" spans="1:23" ht="18">
      <c r="A67" s="66"/>
      <c r="B67" s="108" t="s">
        <v>54</v>
      </c>
      <c r="C67" s="90" t="s">
        <v>55</v>
      </c>
      <c r="D67" s="140" t="s">
        <v>87</v>
      </c>
      <c r="E67" s="66">
        <v>560</v>
      </c>
      <c r="F67" s="97">
        <v>44566</v>
      </c>
      <c r="G67" s="141">
        <v>31.86</v>
      </c>
      <c r="H67" s="90">
        <v>1582650</v>
      </c>
      <c r="I67" s="106">
        <f t="shared" si="12"/>
        <v>49675.141242937854</v>
      </c>
      <c r="J67" s="91"/>
      <c r="K67" s="184">
        <v>34</v>
      </c>
      <c r="L67" s="66">
        <v>560</v>
      </c>
      <c r="M67" s="65" t="s">
        <v>102</v>
      </c>
      <c r="N67" s="66">
        <v>31.86</v>
      </c>
      <c r="O67" s="91"/>
      <c r="P67" s="92"/>
      <c r="Q67" s="113"/>
      <c r="R67" s="92"/>
      <c r="S67" s="121"/>
      <c r="T67" s="93">
        <f t="shared" si="15"/>
        <v>0</v>
      </c>
      <c r="U67" s="122"/>
      <c r="V67" s="94">
        <f t="shared" ca="1" si="16"/>
        <v>-371.5355552083347</v>
      </c>
      <c r="W67" s="89">
        <f t="shared" si="14"/>
        <v>0</v>
      </c>
    </row>
    <row r="68" spans="1:23" ht="18">
      <c r="A68" s="66"/>
      <c r="B68" s="108" t="s">
        <v>54</v>
      </c>
      <c r="C68" s="90" t="s">
        <v>55</v>
      </c>
      <c r="D68" s="66" t="s">
        <v>88</v>
      </c>
      <c r="E68" s="66">
        <v>561</v>
      </c>
      <c r="F68" s="97">
        <v>44567</v>
      </c>
      <c r="G68" s="141">
        <v>32</v>
      </c>
      <c r="H68" s="90">
        <v>1589272</v>
      </c>
      <c r="I68" s="106">
        <f t="shared" si="12"/>
        <v>49664.75</v>
      </c>
      <c r="J68" s="91"/>
      <c r="K68" s="184">
        <v>19</v>
      </c>
      <c r="L68" s="66">
        <v>561</v>
      </c>
      <c r="M68" s="65" t="s">
        <v>100</v>
      </c>
      <c r="N68" s="66">
        <v>32</v>
      </c>
      <c r="O68" s="91"/>
      <c r="P68" s="92"/>
      <c r="Q68" s="113"/>
      <c r="R68" s="92"/>
      <c r="S68" s="121"/>
      <c r="T68" s="93">
        <f t="shared" si="15"/>
        <v>0</v>
      </c>
      <c r="U68" s="122"/>
      <c r="V68" s="94">
        <f t="shared" ca="1" si="16"/>
        <v>-370.5355552083347</v>
      </c>
      <c r="W68" s="89">
        <f t="shared" si="14"/>
        <v>0</v>
      </c>
    </row>
    <row r="69" spans="1:23" ht="18">
      <c r="A69" s="66"/>
      <c r="B69" s="108" t="s">
        <v>54</v>
      </c>
      <c r="C69" s="90" t="s">
        <v>55</v>
      </c>
      <c r="D69" s="140" t="s">
        <v>88</v>
      </c>
      <c r="E69" s="66">
        <v>562</v>
      </c>
      <c r="F69" s="97">
        <v>44567</v>
      </c>
      <c r="G69" s="141">
        <v>32</v>
      </c>
      <c r="H69" s="90">
        <v>1589272</v>
      </c>
      <c r="I69" s="106">
        <f t="shared" ref="I69:I100" si="17">H69/G69</f>
        <v>49664.75</v>
      </c>
      <c r="J69" s="91"/>
      <c r="K69" s="184">
        <v>37</v>
      </c>
      <c r="L69" s="66">
        <v>562</v>
      </c>
      <c r="M69" s="65" t="s">
        <v>103</v>
      </c>
      <c r="N69" s="66">
        <v>32</v>
      </c>
      <c r="O69" s="91"/>
      <c r="P69" s="92"/>
      <c r="Q69" s="113"/>
      <c r="R69" s="92"/>
      <c r="S69" s="121"/>
      <c r="T69" s="93">
        <f t="shared" si="15"/>
        <v>0</v>
      </c>
      <c r="U69" s="122"/>
      <c r="V69" s="94">
        <f t="shared" ca="1" si="16"/>
        <v>-370.5355552083347</v>
      </c>
      <c r="W69" s="89">
        <f t="shared" si="14"/>
        <v>0</v>
      </c>
    </row>
    <row r="70" spans="1:23" ht="18">
      <c r="A70" s="66"/>
      <c r="B70" s="108" t="s">
        <v>54</v>
      </c>
      <c r="C70" s="90" t="s">
        <v>55</v>
      </c>
      <c r="D70" s="140" t="s">
        <v>73</v>
      </c>
      <c r="E70" s="66">
        <v>563</v>
      </c>
      <c r="F70" s="97">
        <v>44567</v>
      </c>
      <c r="G70" s="141">
        <v>33.941000000000003</v>
      </c>
      <c r="H70" s="90">
        <v>1686065</v>
      </c>
      <c r="I70" s="106">
        <f t="shared" si="17"/>
        <v>49676.350137002439</v>
      </c>
      <c r="J70" s="91"/>
      <c r="K70" s="184" t="s">
        <v>177</v>
      </c>
      <c r="L70" s="66">
        <v>563</v>
      </c>
      <c r="M70" s="65" t="s">
        <v>178</v>
      </c>
      <c r="N70" s="66">
        <f>25.7+8.241</f>
        <v>33.941000000000003</v>
      </c>
      <c r="O70" s="91"/>
      <c r="P70" s="92"/>
      <c r="Q70" s="113"/>
      <c r="R70" s="92"/>
      <c r="S70" s="121"/>
      <c r="T70" s="93">
        <f t="shared" si="15"/>
        <v>0</v>
      </c>
      <c r="U70" s="122"/>
      <c r="V70" s="94">
        <f t="shared" ca="1" si="16"/>
        <v>-370.5355552083347</v>
      </c>
      <c r="W70" s="89">
        <f t="shared" si="14"/>
        <v>0</v>
      </c>
    </row>
    <row r="71" spans="1:23" ht="18">
      <c r="A71" s="66"/>
      <c r="B71" s="108" t="s">
        <v>54</v>
      </c>
      <c r="C71" s="90" t="s">
        <v>55</v>
      </c>
      <c r="D71" s="140" t="s">
        <v>89</v>
      </c>
      <c r="E71" s="66">
        <v>564</v>
      </c>
      <c r="F71" s="97">
        <v>44568</v>
      </c>
      <c r="G71" s="141">
        <v>32</v>
      </c>
      <c r="H71" s="90">
        <v>1589272</v>
      </c>
      <c r="I71" s="106">
        <f t="shared" si="17"/>
        <v>49664.75</v>
      </c>
      <c r="J71" s="91"/>
      <c r="K71" s="184">
        <v>38</v>
      </c>
      <c r="L71" s="66">
        <v>564</v>
      </c>
      <c r="M71" s="65" t="s">
        <v>103</v>
      </c>
      <c r="N71" s="66">
        <v>32</v>
      </c>
      <c r="O71" s="91"/>
      <c r="P71" s="92"/>
      <c r="Q71" s="113"/>
      <c r="R71" s="92"/>
      <c r="S71" s="121"/>
      <c r="T71" s="93">
        <f t="shared" si="15"/>
        <v>0</v>
      </c>
      <c r="U71" s="122"/>
      <c r="V71" s="94">
        <f t="shared" ca="1" si="16"/>
        <v>-369.5355552083347</v>
      </c>
      <c r="W71" s="89">
        <f t="shared" si="14"/>
        <v>0</v>
      </c>
    </row>
    <row r="72" spans="1:23" ht="18">
      <c r="A72" s="66"/>
      <c r="B72" s="108" t="s">
        <v>54</v>
      </c>
      <c r="C72" s="90" t="s">
        <v>55</v>
      </c>
      <c r="D72" s="140" t="s">
        <v>89</v>
      </c>
      <c r="E72" s="66">
        <v>565</v>
      </c>
      <c r="F72" s="97">
        <v>44568</v>
      </c>
      <c r="G72" s="141">
        <v>32</v>
      </c>
      <c r="H72" s="90">
        <v>1589272</v>
      </c>
      <c r="I72" s="106">
        <f t="shared" si="17"/>
        <v>49664.75</v>
      </c>
      <c r="J72" s="91"/>
      <c r="K72" s="184" t="s">
        <v>179</v>
      </c>
      <c r="L72" s="66">
        <v>565</v>
      </c>
      <c r="M72" s="65" t="s">
        <v>180</v>
      </c>
      <c r="N72" s="66">
        <f>19.21+12.79</f>
        <v>32</v>
      </c>
      <c r="O72" s="91"/>
      <c r="P72" s="92"/>
      <c r="Q72" s="113"/>
      <c r="R72" s="92"/>
      <c r="S72" s="121"/>
      <c r="T72" s="93">
        <f t="shared" si="15"/>
        <v>0</v>
      </c>
      <c r="U72" s="122"/>
      <c r="V72" s="94">
        <f t="shared" ca="1" si="16"/>
        <v>-369.5355552083347</v>
      </c>
      <c r="W72" s="89">
        <f t="shared" si="14"/>
        <v>0</v>
      </c>
    </row>
    <row r="73" spans="1:23" ht="18">
      <c r="A73" s="66"/>
      <c r="B73" s="108" t="s">
        <v>54</v>
      </c>
      <c r="C73" s="90" t="s">
        <v>55</v>
      </c>
      <c r="D73" s="140" t="s">
        <v>90</v>
      </c>
      <c r="E73" s="66">
        <v>566</v>
      </c>
      <c r="F73" s="97">
        <v>44568</v>
      </c>
      <c r="G73" s="141">
        <v>31.9</v>
      </c>
      <c r="H73" s="90">
        <v>1584558</v>
      </c>
      <c r="I73" s="106">
        <f t="shared" si="17"/>
        <v>49672.664576802512</v>
      </c>
      <c r="J73" s="91"/>
      <c r="K73" s="184">
        <v>45</v>
      </c>
      <c r="L73" s="66">
        <v>566</v>
      </c>
      <c r="M73" s="65" t="s">
        <v>105</v>
      </c>
      <c r="N73" s="66">
        <v>31.9</v>
      </c>
      <c r="O73" s="91"/>
      <c r="P73" s="92"/>
      <c r="Q73" s="113"/>
      <c r="R73" s="92"/>
      <c r="S73" s="121"/>
      <c r="T73" s="93">
        <f t="shared" si="15"/>
        <v>0</v>
      </c>
      <c r="U73" s="122"/>
      <c r="V73" s="94">
        <f t="shared" ca="1" si="16"/>
        <v>-369.5355552083347</v>
      </c>
      <c r="W73" s="89">
        <f t="shared" si="14"/>
        <v>0</v>
      </c>
    </row>
    <row r="74" spans="1:23" ht="18">
      <c r="A74" s="66"/>
      <c r="B74" s="108" t="s">
        <v>54</v>
      </c>
      <c r="C74" s="90" t="s">
        <v>55</v>
      </c>
      <c r="D74" s="140" t="s">
        <v>90</v>
      </c>
      <c r="E74" s="66">
        <v>567</v>
      </c>
      <c r="F74" s="97">
        <v>44568</v>
      </c>
      <c r="G74" s="141">
        <v>31.9</v>
      </c>
      <c r="H74" s="90">
        <v>1584558</v>
      </c>
      <c r="I74" s="106">
        <f t="shared" si="17"/>
        <v>49672.664576802512</v>
      </c>
      <c r="J74" s="91"/>
      <c r="K74" s="184">
        <v>46</v>
      </c>
      <c r="L74" s="66">
        <v>567</v>
      </c>
      <c r="M74" s="65" t="s">
        <v>105</v>
      </c>
      <c r="N74" s="66">
        <v>31.9</v>
      </c>
      <c r="O74" s="91"/>
      <c r="P74" s="92"/>
      <c r="Q74" s="113"/>
      <c r="R74" s="92"/>
      <c r="S74" s="121"/>
      <c r="T74" s="93">
        <f t="shared" si="15"/>
        <v>0</v>
      </c>
      <c r="U74" s="122"/>
      <c r="V74" s="94">
        <f t="shared" ca="1" si="16"/>
        <v>-369.5355552083347</v>
      </c>
      <c r="W74" s="89">
        <f t="shared" si="14"/>
        <v>0</v>
      </c>
    </row>
    <row r="75" spans="1:23" ht="18">
      <c r="A75" s="115"/>
      <c r="B75" s="108" t="s">
        <v>54</v>
      </c>
      <c r="C75" s="90" t="s">
        <v>55</v>
      </c>
      <c r="D75" s="140" t="s">
        <v>86</v>
      </c>
      <c r="E75" s="66">
        <v>568</v>
      </c>
      <c r="F75" s="97">
        <v>44568</v>
      </c>
      <c r="G75" s="141">
        <v>31.93</v>
      </c>
      <c r="H75" s="90">
        <v>1585989</v>
      </c>
      <c r="I75" s="106">
        <f t="shared" si="17"/>
        <v>49670.811149389287</v>
      </c>
      <c r="J75" s="122"/>
      <c r="K75" s="157">
        <v>31</v>
      </c>
      <c r="L75" s="66">
        <v>568</v>
      </c>
      <c r="M75" s="65" t="s">
        <v>102</v>
      </c>
      <c r="N75" s="115">
        <v>31.93</v>
      </c>
      <c r="O75" s="122"/>
      <c r="P75" s="92"/>
      <c r="Q75" s="113"/>
      <c r="R75" s="92"/>
      <c r="S75" s="121"/>
      <c r="T75" s="93">
        <f t="shared" si="15"/>
        <v>0</v>
      </c>
      <c r="U75" s="122"/>
      <c r="V75" s="132">
        <f t="shared" ca="1" si="16"/>
        <v>-369.5355552083347</v>
      </c>
      <c r="W75" s="89">
        <f t="shared" si="14"/>
        <v>0</v>
      </c>
    </row>
    <row r="76" spans="1:23" ht="18">
      <c r="A76" s="115"/>
      <c r="B76" s="108" t="s">
        <v>54</v>
      </c>
      <c r="C76" s="90" t="s">
        <v>55</v>
      </c>
      <c r="D76" s="140" t="s">
        <v>91</v>
      </c>
      <c r="E76" s="66">
        <v>569</v>
      </c>
      <c r="F76" s="97">
        <v>44568</v>
      </c>
      <c r="G76" s="141">
        <v>31.9</v>
      </c>
      <c r="H76" s="90">
        <v>1584558</v>
      </c>
      <c r="I76" s="106">
        <f t="shared" si="17"/>
        <v>49672.664576802512</v>
      </c>
      <c r="J76" s="122"/>
      <c r="K76" s="157">
        <v>47</v>
      </c>
      <c r="L76" s="66">
        <v>569</v>
      </c>
      <c r="M76" s="119" t="s">
        <v>105</v>
      </c>
      <c r="N76" s="115">
        <v>31.9</v>
      </c>
      <c r="O76" s="122"/>
      <c r="P76" s="92"/>
      <c r="Q76" s="113"/>
      <c r="R76" s="92"/>
      <c r="S76" s="121"/>
      <c r="T76" s="93">
        <f t="shared" si="15"/>
        <v>0</v>
      </c>
      <c r="U76" s="122"/>
      <c r="V76" s="132">
        <f t="shared" ca="1" si="16"/>
        <v>-369.5355552083347</v>
      </c>
      <c r="W76" s="89">
        <f t="shared" si="14"/>
        <v>0</v>
      </c>
    </row>
    <row r="77" spans="1:23" ht="18">
      <c r="A77" s="66"/>
      <c r="B77" s="108" t="s">
        <v>54</v>
      </c>
      <c r="C77" s="90" t="s">
        <v>55</v>
      </c>
      <c r="D77" s="140" t="s">
        <v>91</v>
      </c>
      <c r="E77" s="66">
        <v>570</v>
      </c>
      <c r="F77" s="97">
        <v>44568</v>
      </c>
      <c r="G77" s="141">
        <v>31.9</v>
      </c>
      <c r="H77" s="90">
        <v>1584558</v>
      </c>
      <c r="I77" s="106">
        <f t="shared" si="17"/>
        <v>49672.664576802512</v>
      </c>
      <c r="J77" s="91"/>
      <c r="K77" s="184">
        <v>48</v>
      </c>
      <c r="L77" s="66">
        <v>570</v>
      </c>
      <c r="M77" s="65" t="s">
        <v>105</v>
      </c>
      <c r="N77" s="66">
        <v>31.9</v>
      </c>
      <c r="O77" s="91"/>
      <c r="P77" s="92"/>
      <c r="Q77" s="113"/>
      <c r="R77" s="92"/>
      <c r="S77" s="121"/>
      <c r="T77" s="93">
        <f t="shared" si="15"/>
        <v>0</v>
      </c>
      <c r="U77" s="91"/>
      <c r="V77" s="94">
        <f t="shared" ca="1" si="16"/>
        <v>-369.5355552083347</v>
      </c>
      <c r="W77" s="89">
        <f t="shared" si="14"/>
        <v>0</v>
      </c>
    </row>
    <row r="78" spans="1:23" ht="18">
      <c r="A78" s="66"/>
      <c r="B78" s="108" t="s">
        <v>54</v>
      </c>
      <c r="C78" s="90" t="s">
        <v>94</v>
      </c>
      <c r="D78" s="140" t="s">
        <v>92</v>
      </c>
      <c r="E78" s="66">
        <v>571</v>
      </c>
      <c r="F78" s="97">
        <v>44570</v>
      </c>
      <c r="G78" s="141">
        <v>31.98</v>
      </c>
      <c r="H78" s="90">
        <v>1508541</v>
      </c>
      <c r="I78" s="106">
        <f t="shared" si="17"/>
        <v>47171.388367729829</v>
      </c>
      <c r="J78" s="91"/>
      <c r="K78" s="184">
        <v>53</v>
      </c>
      <c r="L78" s="66">
        <v>571</v>
      </c>
      <c r="M78" s="65" t="s">
        <v>107</v>
      </c>
      <c r="N78" s="66">
        <v>31.98</v>
      </c>
      <c r="O78" s="91"/>
      <c r="P78" s="92"/>
      <c r="Q78" s="113"/>
      <c r="R78" s="92"/>
      <c r="S78" s="121"/>
      <c r="T78" s="93">
        <f t="shared" si="15"/>
        <v>0</v>
      </c>
      <c r="U78" s="91"/>
      <c r="V78" s="94">
        <f t="shared" ca="1" si="16"/>
        <v>-367.5355552083347</v>
      </c>
      <c r="W78" s="89">
        <f t="shared" si="14"/>
        <v>0</v>
      </c>
    </row>
    <row r="79" spans="1:23" ht="18">
      <c r="A79" s="66"/>
      <c r="B79" s="108" t="s">
        <v>54</v>
      </c>
      <c r="C79" s="90" t="s">
        <v>94</v>
      </c>
      <c r="D79" s="140" t="s">
        <v>92</v>
      </c>
      <c r="E79" s="66">
        <v>572</v>
      </c>
      <c r="F79" s="97">
        <v>44570</v>
      </c>
      <c r="G79" s="141">
        <v>31.98</v>
      </c>
      <c r="H79" s="90">
        <v>1508541</v>
      </c>
      <c r="I79" s="106">
        <f t="shared" si="17"/>
        <v>47171.388367729829</v>
      </c>
      <c r="J79" s="91"/>
      <c r="K79" s="184">
        <v>54</v>
      </c>
      <c r="L79" s="66">
        <v>572</v>
      </c>
      <c r="M79" s="65" t="s">
        <v>107</v>
      </c>
      <c r="N79" s="66">
        <v>31.98</v>
      </c>
      <c r="O79" s="91"/>
      <c r="P79" s="92"/>
      <c r="Q79" s="113"/>
      <c r="R79" s="92"/>
      <c r="S79" s="121"/>
      <c r="T79" s="93">
        <f t="shared" si="15"/>
        <v>0</v>
      </c>
      <c r="U79" s="91"/>
      <c r="V79" s="94">
        <f t="shared" ca="1" si="16"/>
        <v>-367.5355552083347</v>
      </c>
      <c r="W79" s="89">
        <f>T79/0.92%/100</f>
        <v>0</v>
      </c>
    </row>
    <row r="80" spans="1:23" ht="18">
      <c r="A80" s="66"/>
      <c r="B80" s="108" t="s">
        <v>54</v>
      </c>
      <c r="C80" s="90" t="s">
        <v>94</v>
      </c>
      <c r="D80" s="140" t="s">
        <v>93</v>
      </c>
      <c r="E80" s="66">
        <v>573</v>
      </c>
      <c r="F80" s="97">
        <v>44570</v>
      </c>
      <c r="G80" s="141">
        <v>31.95</v>
      </c>
      <c r="H80" s="90">
        <v>1507186</v>
      </c>
      <c r="I80" s="106">
        <f t="shared" si="17"/>
        <v>47173.27073552426</v>
      </c>
      <c r="J80" s="91"/>
      <c r="K80" s="184" t="s">
        <v>181</v>
      </c>
      <c r="L80" s="66">
        <v>573</v>
      </c>
      <c r="M80" s="65" t="s">
        <v>182</v>
      </c>
      <c r="N80" s="66">
        <f>10.68+4.26+9.83+7.18</f>
        <v>31.95</v>
      </c>
      <c r="O80" s="91"/>
      <c r="P80" s="92"/>
      <c r="Q80" s="113"/>
      <c r="R80" s="92"/>
      <c r="S80" s="121"/>
      <c r="T80" s="93">
        <f t="shared" si="15"/>
        <v>0</v>
      </c>
      <c r="U80" s="91"/>
      <c r="V80" s="94">
        <f t="shared" ca="1" si="16"/>
        <v>-367.5355552083347</v>
      </c>
      <c r="W80" s="89">
        <f t="shared" si="14"/>
        <v>0</v>
      </c>
    </row>
    <row r="81" spans="1:23" ht="18">
      <c r="A81" s="66"/>
      <c r="B81" s="108" t="s">
        <v>54</v>
      </c>
      <c r="C81" s="90" t="s">
        <v>94</v>
      </c>
      <c r="D81" s="140" t="s">
        <v>93</v>
      </c>
      <c r="E81" s="66">
        <v>574</v>
      </c>
      <c r="F81" s="97">
        <v>44570</v>
      </c>
      <c r="G81" s="141">
        <v>31.95</v>
      </c>
      <c r="H81" s="90">
        <v>1507186</v>
      </c>
      <c r="I81" s="106">
        <f t="shared" si="17"/>
        <v>47173.27073552426</v>
      </c>
      <c r="J81" s="91"/>
      <c r="K81" s="184" t="s">
        <v>183</v>
      </c>
      <c r="L81" s="66">
        <v>574</v>
      </c>
      <c r="M81" s="65" t="s">
        <v>176</v>
      </c>
      <c r="N81" s="66">
        <f>25.39+6.56</f>
        <v>31.95</v>
      </c>
      <c r="O81" s="91"/>
      <c r="P81" s="92"/>
      <c r="Q81" s="113"/>
      <c r="R81" s="92"/>
      <c r="S81" s="121"/>
      <c r="T81" s="93">
        <f t="shared" si="15"/>
        <v>0</v>
      </c>
      <c r="U81" s="91"/>
      <c r="V81" s="94">
        <f t="shared" ref="V81:V120" ca="1" si="18">360-($V$3-F81)</f>
        <v>-367.5355552083347</v>
      </c>
      <c r="W81" s="89">
        <f t="shared" ref="W81:W120" si="19">T81/0.92%/100</f>
        <v>0</v>
      </c>
    </row>
    <row r="82" spans="1:23" ht="18">
      <c r="A82" s="66"/>
      <c r="B82" s="108" t="s">
        <v>51</v>
      </c>
      <c r="C82" s="90" t="s">
        <v>52</v>
      </c>
      <c r="D82" s="95">
        <v>211151011946</v>
      </c>
      <c r="E82" s="96">
        <v>615</v>
      </c>
      <c r="F82" s="97">
        <v>44601</v>
      </c>
      <c r="G82" s="100">
        <v>33.93</v>
      </c>
      <c r="H82" s="136">
        <v>1635426</v>
      </c>
      <c r="I82" s="106">
        <f t="shared" si="17"/>
        <v>48200</v>
      </c>
      <c r="J82" s="91"/>
      <c r="K82" s="184" t="s">
        <v>184</v>
      </c>
      <c r="L82" s="96">
        <v>615</v>
      </c>
      <c r="M82" s="65" t="s">
        <v>178</v>
      </c>
      <c r="N82" s="66">
        <f>16.3+17.63</f>
        <v>33.93</v>
      </c>
      <c r="O82" s="91"/>
      <c r="P82" s="92"/>
      <c r="Q82" s="113"/>
      <c r="R82" s="92"/>
      <c r="S82" s="121"/>
      <c r="T82" s="93">
        <f t="shared" si="15"/>
        <v>0</v>
      </c>
      <c r="U82" s="91"/>
      <c r="V82" s="94">
        <f t="shared" ca="1" si="18"/>
        <v>-336.5355552083347</v>
      </c>
      <c r="W82" s="89">
        <f t="shared" si="19"/>
        <v>0</v>
      </c>
    </row>
    <row r="83" spans="1:23" ht="18">
      <c r="A83" s="115"/>
      <c r="B83" s="108" t="s">
        <v>51</v>
      </c>
      <c r="C83" s="90" t="s">
        <v>52</v>
      </c>
      <c r="D83" s="95">
        <v>211151011947</v>
      </c>
      <c r="E83" s="96">
        <v>616</v>
      </c>
      <c r="F83" s="97">
        <v>44601</v>
      </c>
      <c r="G83" s="100">
        <v>28.51</v>
      </c>
      <c r="H83" s="136">
        <v>1374182</v>
      </c>
      <c r="I83" s="106">
        <f t="shared" si="17"/>
        <v>48200</v>
      </c>
      <c r="J83" s="122"/>
      <c r="K83" s="157">
        <v>84</v>
      </c>
      <c r="L83" s="96">
        <v>616</v>
      </c>
      <c r="M83" s="119" t="s">
        <v>118</v>
      </c>
      <c r="N83" s="115">
        <v>28.51</v>
      </c>
      <c r="O83" s="122"/>
      <c r="P83" s="92"/>
      <c r="Q83" s="113"/>
      <c r="R83" s="92"/>
      <c r="S83" s="121"/>
      <c r="T83" s="93">
        <f t="shared" si="15"/>
        <v>0</v>
      </c>
      <c r="U83" s="122"/>
      <c r="V83" s="94">
        <f t="shared" ca="1" si="18"/>
        <v>-336.5355552083347</v>
      </c>
      <c r="W83" s="89">
        <f t="shared" si="19"/>
        <v>0</v>
      </c>
    </row>
    <row r="84" spans="1:23" ht="18">
      <c r="A84" s="115"/>
      <c r="B84" s="108" t="s">
        <v>51</v>
      </c>
      <c r="C84" s="90" t="s">
        <v>52</v>
      </c>
      <c r="D84" s="95">
        <v>211151011955</v>
      </c>
      <c r="E84" s="96">
        <v>617</v>
      </c>
      <c r="F84" s="97">
        <v>44601</v>
      </c>
      <c r="G84" s="100">
        <v>28.37</v>
      </c>
      <c r="H84" s="136">
        <v>1367434</v>
      </c>
      <c r="I84" s="106">
        <f t="shared" si="17"/>
        <v>48200</v>
      </c>
      <c r="J84" s="122"/>
      <c r="K84" s="157">
        <v>83</v>
      </c>
      <c r="L84" s="96">
        <v>617</v>
      </c>
      <c r="M84" s="119" t="s">
        <v>118</v>
      </c>
      <c r="N84" s="115">
        <v>28.37</v>
      </c>
      <c r="O84" s="122"/>
      <c r="P84" s="92"/>
      <c r="Q84" s="113"/>
      <c r="R84" s="92"/>
      <c r="S84" s="121"/>
      <c r="T84" s="93">
        <f t="shared" si="15"/>
        <v>0</v>
      </c>
      <c r="U84" s="122"/>
      <c r="V84" s="94">
        <f t="shared" ca="1" si="18"/>
        <v>-336.5355552083347</v>
      </c>
      <c r="W84" s="89">
        <f t="shared" si="19"/>
        <v>0</v>
      </c>
    </row>
    <row r="85" spans="1:23" ht="18">
      <c r="A85" s="115"/>
      <c r="B85" s="108" t="s">
        <v>51</v>
      </c>
      <c r="C85" s="90" t="s">
        <v>52</v>
      </c>
      <c r="D85" s="95">
        <v>211151012045</v>
      </c>
      <c r="E85" s="96">
        <v>618</v>
      </c>
      <c r="F85" s="97">
        <v>44601</v>
      </c>
      <c r="G85" s="100">
        <v>28.33</v>
      </c>
      <c r="H85" s="136">
        <v>1365506</v>
      </c>
      <c r="I85" s="106">
        <f t="shared" si="17"/>
        <v>48200</v>
      </c>
      <c r="J85" s="122"/>
      <c r="K85" s="157">
        <v>85</v>
      </c>
      <c r="L85" s="96">
        <v>618</v>
      </c>
      <c r="M85" s="119" t="s">
        <v>118</v>
      </c>
      <c r="N85" s="115">
        <v>28.33</v>
      </c>
      <c r="O85" s="122"/>
      <c r="P85" s="92"/>
      <c r="Q85" s="113"/>
      <c r="R85" s="92"/>
      <c r="S85" s="121"/>
      <c r="T85" s="93">
        <f t="shared" si="15"/>
        <v>0</v>
      </c>
      <c r="U85" s="122"/>
      <c r="V85" s="94">
        <f t="shared" ca="1" si="18"/>
        <v>-336.5355552083347</v>
      </c>
      <c r="W85" s="89">
        <f t="shared" si="19"/>
        <v>0</v>
      </c>
    </row>
    <row r="86" spans="1:23" ht="18">
      <c r="A86" s="115"/>
      <c r="B86" s="108" t="s">
        <v>51</v>
      </c>
      <c r="C86" s="90" t="s">
        <v>52</v>
      </c>
      <c r="D86" s="95">
        <v>211151012051</v>
      </c>
      <c r="E86" s="96">
        <v>619</v>
      </c>
      <c r="F86" s="97">
        <v>44601</v>
      </c>
      <c r="G86" s="100">
        <v>5.34</v>
      </c>
      <c r="H86" s="136">
        <v>257388</v>
      </c>
      <c r="I86" s="106">
        <f t="shared" si="17"/>
        <v>48200</v>
      </c>
      <c r="J86" s="122"/>
      <c r="K86" s="157">
        <v>42</v>
      </c>
      <c r="L86" s="96">
        <v>619</v>
      </c>
      <c r="M86" s="65" t="s">
        <v>103</v>
      </c>
      <c r="N86" s="115">
        <v>5.34</v>
      </c>
      <c r="O86" s="122"/>
      <c r="P86" s="92"/>
      <c r="Q86" s="113"/>
      <c r="R86" s="92"/>
      <c r="S86" s="121"/>
      <c r="T86" s="93">
        <f t="shared" si="15"/>
        <v>0</v>
      </c>
      <c r="U86" s="122"/>
      <c r="V86" s="94">
        <f t="shared" ca="1" si="18"/>
        <v>-336.5355552083347</v>
      </c>
      <c r="W86" s="89">
        <f t="shared" si="19"/>
        <v>0</v>
      </c>
    </row>
    <row r="87" spans="1:23" ht="18">
      <c r="A87" s="115"/>
      <c r="B87" s="108" t="s">
        <v>51</v>
      </c>
      <c r="C87" s="90" t="s">
        <v>52</v>
      </c>
      <c r="D87" s="95">
        <v>211151012051</v>
      </c>
      <c r="E87" s="96">
        <v>620</v>
      </c>
      <c r="F87" s="97">
        <v>44601</v>
      </c>
      <c r="G87" s="100">
        <v>29.13</v>
      </c>
      <c r="H87" s="99">
        <v>1409892</v>
      </c>
      <c r="I87" s="106">
        <f t="shared" si="17"/>
        <v>48400</v>
      </c>
      <c r="J87" s="122"/>
      <c r="K87" s="157" t="s">
        <v>185</v>
      </c>
      <c r="L87" s="96">
        <v>620</v>
      </c>
      <c r="M87" s="119" t="s">
        <v>176</v>
      </c>
      <c r="N87" s="115">
        <f>7.83+21.3</f>
        <v>29.130000000000003</v>
      </c>
      <c r="O87" s="122"/>
      <c r="P87" s="92"/>
      <c r="Q87" s="113"/>
      <c r="R87" s="92"/>
      <c r="S87" s="121"/>
      <c r="T87" s="93">
        <f t="shared" si="15"/>
        <v>-3.5527136788005009E-15</v>
      </c>
      <c r="U87" s="122"/>
      <c r="V87" s="94">
        <f t="shared" ca="1" si="18"/>
        <v>-336.5355552083347</v>
      </c>
      <c r="W87" s="89">
        <f t="shared" si="19"/>
        <v>-3.8616453030440225E-15</v>
      </c>
    </row>
    <row r="88" spans="1:23" ht="18">
      <c r="A88" s="115"/>
      <c r="B88" s="108" t="s">
        <v>51</v>
      </c>
      <c r="C88" s="90" t="s">
        <v>52</v>
      </c>
      <c r="D88" s="95">
        <v>211151012017</v>
      </c>
      <c r="E88" s="96">
        <v>621</v>
      </c>
      <c r="F88" s="97">
        <v>44601</v>
      </c>
      <c r="G88" s="100">
        <v>33.72</v>
      </c>
      <c r="H88" s="136">
        <v>1625304</v>
      </c>
      <c r="I88" s="106">
        <f t="shared" si="17"/>
        <v>48200</v>
      </c>
      <c r="J88" s="122"/>
      <c r="K88" s="157">
        <v>8</v>
      </c>
      <c r="L88" s="96">
        <v>621</v>
      </c>
      <c r="M88" s="119" t="s">
        <v>99</v>
      </c>
      <c r="N88" s="115">
        <v>33.72</v>
      </c>
      <c r="O88" s="122"/>
      <c r="P88" s="92"/>
      <c r="Q88" s="113"/>
      <c r="R88" s="92"/>
      <c r="S88" s="121"/>
      <c r="T88" s="93">
        <f t="shared" si="15"/>
        <v>0</v>
      </c>
      <c r="U88" s="122"/>
      <c r="V88" s="94">
        <f t="shared" ca="1" si="18"/>
        <v>-336.5355552083347</v>
      </c>
      <c r="W88" s="89">
        <f t="shared" si="19"/>
        <v>0</v>
      </c>
    </row>
    <row r="89" spans="1:23" ht="18">
      <c r="A89" s="115"/>
      <c r="B89" s="108" t="s">
        <v>51</v>
      </c>
      <c r="C89" s="90" t="s">
        <v>52</v>
      </c>
      <c r="D89" s="95">
        <v>211151012042</v>
      </c>
      <c r="E89" s="96">
        <v>622</v>
      </c>
      <c r="F89" s="97">
        <v>44601</v>
      </c>
      <c r="G89" s="100">
        <v>32.28</v>
      </c>
      <c r="H89" s="136">
        <v>1555896</v>
      </c>
      <c r="I89" s="106">
        <f t="shared" si="17"/>
        <v>48200</v>
      </c>
      <c r="J89" s="122"/>
      <c r="K89" s="157">
        <v>5</v>
      </c>
      <c r="L89" s="96">
        <v>622</v>
      </c>
      <c r="M89" s="119" t="s">
        <v>95</v>
      </c>
      <c r="N89" s="115">
        <v>32.28</v>
      </c>
      <c r="O89" s="122"/>
      <c r="P89" s="92"/>
      <c r="Q89" s="113"/>
      <c r="R89" s="92"/>
      <c r="S89" s="121"/>
      <c r="T89" s="93">
        <f t="shared" si="15"/>
        <v>0</v>
      </c>
      <c r="U89" s="122"/>
      <c r="V89" s="94">
        <f t="shared" ca="1" si="18"/>
        <v>-336.5355552083347</v>
      </c>
      <c r="W89" s="89">
        <f t="shared" si="19"/>
        <v>0</v>
      </c>
    </row>
    <row r="90" spans="1:23" ht="18">
      <c r="A90" s="133"/>
      <c r="B90" s="143" t="s">
        <v>51</v>
      </c>
      <c r="C90" s="99" t="s">
        <v>52</v>
      </c>
      <c r="D90" s="220">
        <v>211151012049</v>
      </c>
      <c r="E90" s="96">
        <v>623</v>
      </c>
      <c r="F90" s="97">
        <v>44601</v>
      </c>
      <c r="G90" s="98">
        <v>32.33</v>
      </c>
      <c r="H90" s="136">
        <v>1558306</v>
      </c>
      <c r="I90" s="177">
        <f t="shared" si="17"/>
        <v>48200</v>
      </c>
      <c r="J90" s="136"/>
      <c r="K90" s="186" t="s">
        <v>188</v>
      </c>
      <c r="L90" s="96">
        <v>623</v>
      </c>
      <c r="M90" s="160" t="s">
        <v>189</v>
      </c>
      <c r="N90" s="136">
        <f>9.74+22.59</f>
        <v>32.33</v>
      </c>
      <c r="O90" s="133"/>
      <c r="P90" s="92"/>
      <c r="Q90" s="113"/>
      <c r="R90" s="92"/>
      <c r="S90" s="142"/>
      <c r="T90" s="93">
        <f t="shared" si="15"/>
        <v>0</v>
      </c>
      <c r="U90" s="122"/>
      <c r="V90" s="94">
        <f t="shared" ca="1" si="18"/>
        <v>-336.5355552083347</v>
      </c>
      <c r="W90" s="89">
        <f t="shared" si="19"/>
        <v>0</v>
      </c>
    </row>
    <row r="91" spans="1:23" ht="18">
      <c r="A91" s="133"/>
      <c r="B91" s="143" t="s">
        <v>51</v>
      </c>
      <c r="C91" s="99" t="s">
        <v>52</v>
      </c>
      <c r="D91" s="220">
        <v>211151012043</v>
      </c>
      <c r="E91" s="96">
        <v>624</v>
      </c>
      <c r="F91" s="97">
        <v>44601</v>
      </c>
      <c r="G91" s="98">
        <v>33.89</v>
      </c>
      <c r="H91" s="127">
        <v>1633498</v>
      </c>
      <c r="I91" s="177">
        <f t="shared" si="17"/>
        <v>48200</v>
      </c>
      <c r="J91" s="136"/>
      <c r="K91" s="186" t="s">
        <v>191</v>
      </c>
      <c r="L91" s="96">
        <v>624</v>
      </c>
      <c r="M91" s="160" t="s">
        <v>192</v>
      </c>
      <c r="N91" s="136">
        <f>8.26+25.63</f>
        <v>33.89</v>
      </c>
      <c r="O91" s="133"/>
      <c r="P91" s="92"/>
      <c r="Q91" s="113"/>
      <c r="R91" s="92"/>
      <c r="S91" s="142"/>
      <c r="T91" s="93">
        <f t="shared" si="15"/>
        <v>0</v>
      </c>
      <c r="U91" s="122"/>
      <c r="V91" s="94">
        <f t="shared" ca="1" si="18"/>
        <v>-336.5355552083347</v>
      </c>
      <c r="W91" s="89">
        <f t="shared" si="19"/>
        <v>0</v>
      </c>
    </row>
    <row r="92" spans="1:23" ht="18">
      <c r="A92" s="115"/>
      <c r="B92" s="108" t="s">
        <v>51</v>
      </c>
      <c r="C92" s="90" t="s">
        <v>52</v>
      </c>
      <c r="D92" s="95">
        <v>211151012067</v>
      </c>
      <c r="E92" s="96">
        <v>625</v>
      </c>
      <c r="F92" s="97">
        <v>44601</v>
      </c>
      <c r="G92" s="100">
        <v>20.3</v>
      </c>
      <c r="H92" s="127">
        <v>978460</v>
      </c>
      <c r="I92" s="106">
        <f t="shared" si="17"/>
        <v>48200</v>
      </c>
      <c r="J92" s="122"/>
      <c r="K92" s="157">
        <v>71</v>
      </c>
      <c r="L92" s="96">
        <v>625</v>
      </c>
      <c r="M92" s="119" t="s">
        <v>113</v>
      </c>
      <c r="N92" s="115">
        <v>20.3</v>
      </c>
      <c r="O92" s="122"/>
      <c r="P92" s="92"/>
      <c r="Q92" s="113"/>
      <c r="R92" s="92"/>
      <c r="S92" s="121"/>
      <c r="T92" s="93">
        <f t="shared" si="15"/>
        <v>0</v>
      </c>
      <c r="U92" s="122"/>
      <c r="V92" s="94">
        <f t="shared" ca="1" si="18"/>
        <v>-336.5355552083347</v>
      </c>
      <c r="W92" s="89">
        <f t="shared" si="19"/>
        <v>0</v>
      </c>
    </row>
    <row r="93" spans="1:23" ht="18">
      <c r="A93" s="115"/>
      <c r="B93" s="108" t="s">
        <v>51</v>
      </c>
      <c r="C93" s="90" t="s">
        <v>52</v>
      </c>
      <c r="D93" s="95">
        <v>211151012050</v>
      </c>
      <c r="E93" s="96">
        <v>626</v>
      </c>
      <c r="F93" s="97">
        <v>44601</v>
      </c>
      <c r="G93" s="100">
        <v>28.27</v>
      </c>
      <c r="H93" s="99">
        <v>1368268</v>
      </c>
      <c r="I93" s="106">
        <f t="shared" si="17"/>
        <v>48400</v>
      </c>
      <c r="J93" s="122"/>
      <c r="K93" s="157" t="s">
        <v>193</v>
      </c>
      <c r="L93" s="96">
        <v>626</v>
      </c>
      <c r="M93" s="119" t="s">
        <v>192</v>
      </c>
      <c r="N93" s="115">
        <f>7.65+20.62</f>
        <v>28.270000000000003</v>
      </c>
      <c r="O93" s="122"/>
      <c r="P93" s="92"/>
      <c r="Q93" s="113"/>
      <c r="R93" s="92"/>
      <c r="S93" s="121"/>
      <c r="T93" s="93">
        <f t="shared" si="15"/>
        <v>-3.5527136788005009E-15</v>
      </c>
      <c r="U93" s="122"/>
      <c r="V93" s="94">
        <f t="shared" ca="1" si="18"/>
        <v>-336.5355552083347</v>
      </c>
      <c r="W93" s="89">
        <f t="shared" si="19"/>
        <v>-3.8616453030440225E-15</v>
      </c>
    </row>
    <row r="94" spans="1:23" ht="18">
      <c r="A94" s="115"/>
      <c r="B94" s="108" t="s">
        <v>51</v>
      </c>
      <c r="C94" s="90" t="s">
        <v>52</v>
      </c>
      <c r="D94" s="95">
        <v>211151012088</v>
      </c>
      <c r="E94" s="96">
        <v>627</v>
      </c>
      <c r="F94" s="97">
        <v>44601</v>
      </c>
      <c r="G94" s="100">
        <v>5.59</v>
      </c>
      <c r="H94" s="99">
        <v>270556</v>
      </c>
      <c r="I94" s="106">
        <f t="shared" si="17"/>
        <v>48400</v>
      </c>
      <c r="J94" s="122"/>
      <c r="K94" s="157">
        <v>22</v>
      </c>
      <c r="L94" s="96">
        <v>627</v>
      </c>
      <c r="M94" s="119" t="s">
        <v>194</v>
      </c>
      <c r="N94" s="115">
        <v>5.59</v>
      </c>
      <c r="O94" s="122"/>
      <c r="P94" s="92"/>
      <c r="Q94" s="113"/>
      <c r="R94" s="92"/>
      <c r="S94" s="121"/>
      <c r="T94" s="93">
        <f t="shared" si="15"/>
        <v>0</v>
      </c>
      <c r="U94" s="122"/>
      <c r="V94" s="94">
        <f t="shared" ca="1" si="18"/>
        <v>-336.5355552083347</v>
      </c>
      <c r="W94" s="89">
        <f t="shared" si="19"/>
        <v>0</v>
      </c>
    </row>
    <row r="95" spans="1:23" ht="18">
      <c r="A95" s="115"/>
      <c r="B95" s="108" t="s">
        <v>51</v>
      </c>
      <c r="C95" s="90" t="s">
        <v>52</v>
      </c>
      <c r="D95" s="95">
        <v>211151011972</v>
      </c>
      <c r="E95" s="96">
        <v>628</v>
      </c>
      <c r="F95" s="97">
        <v>44601</v>
      </c>
      <c r="G95" s="100">
        <v>32.299999999999997</v>
      </c>
      <c r="H95" s="99">
        <v>1556859.9999999998</v>
      </c>
      <c r="I95" s="106">
        <f>H95/G95</f>
        <v>48200</v>
      </c>
      <c r="J95" s="122"/>
      <c r="K95" s="157">
        <v>10</v>
      </c>
      <c r="L95" s="96">
        <v>628</v>
      </c>
      <c r="M95" s="119" t="s">
        <v>99</v>
      </c>
      <c r="N95" s="115">
        <v>32.299999999999997</v>
      </c>
      <c r="O95" s="122"/>
      <c r="P95" s="92"/>
      <c r="Q95" s="113"/>
      <c r="R95" s="92"/>
      <c r="S95" s="121"/>
      <c r="T95" s="93">
        <f t="shared" si="15"/>
        <v>0</v>
      </c>
      <c r="U95" s="122"/>
      <c r="V95" s="94">
        <f t="shared" ca="1" si="18"/>
        <v>-336.5355552083347</v>
      </c>
      <c r="W95" s="89">
        <f t="shared" si="19"/>
        <v>0</v>
      </c>
    </row>
    <row r="96" spans="1:23" ht="18">
      <c r="A96" s="115"/>
      <c r="B96" s="108" t="s">
        <v>51</v>
      </c>
      <c r="C96" s="90" t="s">
        <v>52</v>
      </c>
      <c r="D96" s="95">
        <v>211151011998</v>
      </c>
      <c r="E96" s="96">
        <v>629</v>
      </c>
      <c r="F96" s="97">
        <v>44601</v>
      </c>
      <c r="G96" s="100">
        <v>32.299999999999997</v>
      </c>
      <c r="H96" s="99">
        <v>1556859.9999999998</v>
      </c>
      <c r="I96" s="106">
        <f t="shared" si="17"/>
        <v>48200</v>
      </c>
      <c r="J96" s="122"/>
      <c r="K96" s="157">
        <v>13</v>
      </c>
      <c r="L96" s="96">
        <v>629</v>
      </c>
      <c r="M96" s="119" t="s">
        <v>99</v>
      </c>
      <c r="N96" s="115">
        <v>32.299999999999997</v>
      </c>
      <c r="O96" s="122"/>
      <c r="P96" s="92"/>
      <c r="Q96" s="113"/>
      <c r="R96" s="92"/>
      <c r="S96" s="121"/>
      <c r="T96" s="93">
        <f t="shared" si="15"/>
        <v>0</v>
      </c>
      <c r="U96" s="122"/>
      <c r="V96" s="94">
        <f t="shared" ca="1" si="18"/>
        <v>-336.5355552083347</v>
      </c>
      <c r="W96" s="89">
        <f t="shared" si="19"/>
        <v>0</v>
      </c>
    </row>
    <row r="97" spans="1:24" ht="18">
      <c r="A97" s="133"/>
      <c r="B97" s="108" t="s">
        <v>51</v>
      </c>
      <c r="C97" s="90" t="s">
        <v>52</v>
      </c>
      <c r="D97" s="95">
        <v>211151012005</v>
      </c>
      <c r="E97" s="96">
        <v>630</v>
      </c>
      <c r="F97" s="97">
        <v>44601</v>
      </c>
      <c r="G97" s="100">
        <v>32.520000000000003</v>
      </c>
      <c r="H97" s="136">
        <v>1567464.0000000002</v>
      </c>
      <c r="I97" s="106">
        <f t="shared" si="17"/>
        <v>48200</v>
      </c>
      <c r="J97" s="122"/>
      <c r="K97" s="157">
        <v>12</v>
      </c>
      <c r="L97" s="96">
        <v>630</v>
      </c>
      <c r="M97" s="119" t="s">
        <v>99</v>
      </c>
      <c r="N97" s="115">
        <v>32.520000000000003</v>
      </c>
      <c r="O97" s="122"/>
      <c r="P97" s="92"/>
      <c r="Q97" s="113"/>
      <c r="R97" s="92"/>
      <c r="S97" s="121"/>
      <c r="T97" s="93">
        <f t="shared" si="15"/>
        <v>0</v>
      </c>
      <c r="U97" s="122"/>
      <c r="V97" s="94">
        <f t="shared" ca="1" si="18"/>
        <v>-336.5355552083347</v>
      </c>
      <c r="W97" s="89">
        <f t="shared" si="19"/>
        <v>0</v>
      </c>
    </row>
    <row r="98" spans="1:24" ht="18">
      <c r="A98" s="115"/>
      <c r="B98" s="108" t="s">
        <v>51</v>
      </c>
      <c r="C98" s="90" t="s">
        <v>52</v>
      </c>
      <c r="D98" s="95">
        <v>211151012040</v>
      </c>
      <c r="E98" s="96">
        <v>631</v>
      </c>
      <c r="F98" s="97">
        <v>44601</v>
      </c>
      <c r="G98" s="100">
        <v>32.340000000000003</v>
      </c>
      <c r="H98" s="99">
        <v>1558788.0000000002</v>
      </c>
      <c r="I98" s="106">
        <f t="shared" si="17"/>
        <v>48200</v>
      </c>
      <c r="J98" s="122"/>
      <c r="K98" s="157">
        <v>2</v>
      </c>
      <c r="L98" s="96">
        <v>631</v>
      </c>
      <c r="M98" s="119" t="s">
        <v>95</v>
      </c>
      <c r="N98" s="115">
        <v>32.340000000000003</v>
      </c>
      <c r="O98" s="122"/>
      <c r="P98" s="92"/>
      <c r="Q98" s="113"/>
      <c r="R98" s="92"/>
      <c r="S98" s="121"/>
      <c r="T98" s="93">
        <f t="shared" si="15"/>
        <v>0</v>
      </c>
      <c r="U98" s="122"/>
      <c r="V98" s="94">
        <f t="shared" ca="1" si="18"/>
        <v>-336.5355552083347</v>
      </c>
      <c r="W98" s="89">
        <f t="shared" si="19"/>
        <v>0</v>
      </c>
      <c r="X98" t="s">
        <v>96</v>
      </c>
    </row>
    <row r="99" spans="1:24" ht="18">
      <c r="A99" s="115"/>
      <c r="B99" s="108" t="s">
        <v>51</v>
      </c>
      <c r="C99" s="90" t="s">
        <v>52</v>
      </c>
      <c r="D99" s="95">
        <v>211151012036</v>
      </c>
      <c r="E99" s="96">
        <v>632</v>
      </c>
      <c r="F99" s="97">
        <v>44601</v>
      </c>
      <c r="G99" s="100">
        <v>32.340000000000003</v>
      </c>
      <c r="H99" s="99">
        <v>1558788.0000000002</v>
      </c>
      <c r="I99" s="106">
        <f t="shared" si="17"/>
        <v>48200</v>
      </c>
      <c r="J99" s="122"/>
      <c r="K99" s="157">
        <v>4</v>
      </c>
      <c r="L99" s="96">
        <v>632</v>
      </c>
      <c r="M99" s="119" t="s">
        <v>95</v>
      </c>
      <c r="N99" s="115">
        <v>32.340000000000003</v>
      </c>
      <c r="O99" s="122"/>
      <c r="P99" s="92"/>
      <c r="Q99" s="113"/>
      <c r="R99" s="92"/>
      <c r="S99" s="121"/>
      <c r="T99" s="93">
        <f t="shared" si="15"/>
        <v>0</v>
      </c>
      <c r="U99" s="122"/>
      <c r="V99" s="94">
        <f t="shared" ca="1" si="18"/>
        <v>-336.5355552083347</v>
      </c>
      <c r="W99" s="89">
        <f t="shared" si="19"/>
        <v>0</v>
      </c>
    </row>
    <row r="100" spans="1:24" ht="18">
      <c r="A100" s="133"/>
      <c r="B100" s="143" t="s">
        <v>51</v>
      </c>
      <c r="C100" s="99" t="s">
        <v>52</v>
      </c>
      <c r="D100" s="220">
        <v>211151012014</v>
      </c>
      <c r="E100" s="96">
        <v>633</v>
      </c>
      <c r="F100" s="97">
        <v>44601</v>
      </c>
      <c r="G100" s="98">
        <v>33.56</v>
      </c>
      <c r="H100" s="99">
        <v>1617592</v>
      </c>
      <c r="I100" s="177">
        <f t="shared" si="17"/>
        <v>48200</v>
      </c>
      <c r="J100" s="133"/>
      <c r="K100" s="186" t="s">
        <v>195</v>
      </c>
      <c r="L100" s="96">
        <v>633</v>
      </c>
      <c r="M100" s="160" t="s">
        <v>192</v>
      </c>
      <c r="N100" s="136">
        <f>6.95+26.61</f>
        <v>33.56</v>
      </c>
      <c r="O100" s="133"/>
      <c r="P100" s="92"/>
      <c r="Q100" s="113"/>
      <c r="R100" s="92"/>
      <c r="S100" s="142"/>
      <c r="T100" s="93">
        <f t="shared" si="15"/>
        <v>0</v>
      </c>
      <c r="U100" s="122"/>
      <c r="V100" s="94">
        <f t="shared" ca="1" si="18"/>
        <v>-336.5355552083347</v>
      </c>
      <c r="W100" s="89">
        <f t="shared" si="19"/>
        <v>0</v>
      </c>
    </row>
    <row r="101" spans="1:24" ht="18">
      <c r="A101" s="115"/>
      <c r="B101" s="108" t="s">
        <v>51</v>
      </c>
      <c r="C101" s="99" t="s">
        <v>52</v>
      </c>
      <c r="D101" s="220">
        <v>211151012013</v>
      </c>
      <c r="E101" s="96">
        <v>634</v>
      </c>
      <c r="F101" s="97">
        <v>44601</v>
      </c>
      <c r="G101" s="98">
        <v>32.49</v>
      </c>
      <c r="H101" s="99">
        <v>1566018</v>
      </c>
      <c r="I101" s="177">
        <f t="shared" ref="I101:I130" si="20">H101/G101</f>
        <v>48200</v>
      </c>
      <c r="J101" s="122"/>
      <c r="K101" s="186">
        <v>3</v>
      </c>
      <c r="L101" s="96">
        <v>634</v>
      </c>
      <c r="M101" s="160" t="s">
        <v>95</v>
      </c>
      <c r="N101" s="136">
        <v>32.49</v>
      </c>
      <c r="O101" s="122"/>
      <c r="P101" s="92"/>
      <c r="Q101" s="113"/>
      <c r="R101" s="92"/>
      <c r="S101" s="121"/>
      <c r="T101" s="93">
        <f t="shared" si="15"/>
        <v>0</v>
      </c>
      <c r="U101" s="122"/>
      <c r="V101" s="94">
        <f t="shared" ca="1" si="18"/>
        <v>-336.5355552083347</v>
      </c>
      <c r="W101" s="89">
        <f t="shared" si="19"/>
        <v>0</v>
      </c>
    </row>
    <row r="102" spans="1:24" ht="18">
      <c r="A102" s="115"/>
      <c r="B102" s="108" t="s">
        <v>51</v>
      </c>
      <c r="C102" s="90" t="s">
        <v>52</v>
      </c>
      <c r="D102" s="95">
        <v>211151012016</v>
      </c>
      <c r="E102" s="96">
        <v>635</v>
      </c>
      <c r="F102" s="97">
        <v>44601</v>
      </c>
      <c r="G102" s="100">
        <v>32.24</v>
      </c>
      <c r="H102" s="99">
        <v>1553968</v>
      </c>
      <c r="I102" s="106">
        <f t="shared" si="20"/>
        <v>48200</v>
      </c>
      <c r="J102" s="122"/>
      <c r="K102" s="186">
        <v>6</v>
      </c>
      <c r="L102" s="96">
        <v>635</v>
      </c>
      <c r="M102" s="160" t="s">
        <v>95</v>
      </c>
      <c r="N102" s="136">
        <v>32.24</v>
      </c>
      <c r="O102" s="122"/>
      <c r="P102" s="92"/>
      <c r="Q102" s="113"/>
      <c r="R102" s="92"/>
      <c r="S102" s="121"/>
      <c r="T102" s="93">
        <f t="shared" si="15"/>
        <v>0</v>
      </c>
      <c r="U102" s="122"/>
      <c r="V102" s="94">
        <f t="shared" ca="1" si="18"/>
        <v>-336.5355552083347</v>
      </c>
      <c r="W102" s="89">
        <f t="shared" si="19"/>
        <v>0</v>
      </c>
    </row>
    <row r="103" spans="1:24" ht="18">
      <c r="A103" s="115"/>
      <c r="B103" s="108" t="s">
        <v>51</v>
      </c>
      <c r="C103" s="90" t="s">
        <v>52</v>
      </c>
      <c r="D103" s="95">
        <v>211151012012</v>
      </c>
      <c r="E103" s="96">
        <v>636</v>
      </c>
      <c r="F103" s="97">
        <v>44601</v>
      </c>
      <c r="G103" s="100">
        <v>31.02</v>
      </c>
      <c r="H103" s="99">
        <v>1495164</v>
      </c>
      <c r="I103" s="106">
        <f>H103/G103</f>
        <v>48200</v>
      </c>
      <c r="J103" s="122"/>
      <c r="K103" s="186">
        <v>9</v>
      </c>
      <c r="L103" s="96">
        <v>636</v>
      </c>
      <c r="M103" s="160" t="s">
        <v>99</v>
      </c>
      <c r="N103" s="136">
        <v>31.02</v>
      </c>
      <c r="O103" s="122"/>
      <c r="P103" s="92"/>
      <c r="Q103" s="113"/>
      <c r="R103" s="92"/>
      <c r="S103" s="121"/>
      <c r="T103" s="93">
        <f t="shared" si="15"/>
        <v>0</v>
      </c>
      <c r="U103" s="122"/>
      <c r="V103" s="94">
        <f t="shared" ca="1" si="18"/>
        <v>-336.5355552083347</v>
      </c>
      <c r="W103" s="89">
        <f t="shared" si="19"/>
        <v>0</v>
      </c>
    </row>
    <row r="104" spans="1:24" ht="18">
      <c r="A104" s="115"/>
      <c r="B104" s="108" t="s">
        <v>51</v>
      </c>
      <c r="C104" s="90" t="s">
        <v>52</v>
      </c>
      <c r="D104" s="95">
        <v>211151012010</v>
      </c>
      <c r="E104" s="96">
        <v>637</v>
      </c>
      <c r="F104" s="97">
        <v>44601</v>
      </c>
      <c r="G104" s="100">
        <v>32.35</v>
      </c>
      <c r="H104" s="99">
        <v>1559270</v>
      </c>
      <c r="I104" s="106">
        <f t="shared" si="20"/>
        <v>48200</v>
      </c>
      <c r="J104" s="122"/>
      <c r="K104" s="186">
        <v>7</v>
      </c>
      <c r="L104" s="96">
        <v>637</v>
      </c>
      <c r="M104" s="160" t="s">
        <v>99</v>
      </c>
      <c r="N104" s="136">
        <v>32.35</v>
      </c>
      <c r="O104" s="122"/>
      <c r="P104" s="92"/>
      <c r="Q104" s="113"/>
      <c r="R104" s="92"/>
      <c r="S104" s="121"/>
      <c r="T104" s="93">
        <f t="shared" si="15"/>
        <v>0</v>
      </c>
      <c r="U104" s="122"/>
      <c r="V104" s="94">
        <f t="shared" ca="1" si="18"/>
        <v>-336.5355552083347</v>
      </c>
      <c r="W104" s="89">
        <f t="shared" si="19"/>
        <v>0</v>
      </c>
    </row>
    <row r="105" spans="1:24" ht="18">
      <c r="A105" s="115"/>
      <c r="B105" s="108" t="s">
        <v>51</v>
      </c>
      <c r="C105" s="90" t="s">
        <v>52</v>
      </c>
      <c r="D105" s="95">
        <v>211151012070</v>
      </c>
      <c r="E105" s="96">
        <v>638</v>
      </c>
      <c r="F105" s="97">
        <v>44601</v>
      </c>
      <c r="G105" s="100">
        <v>28.24</v>
      </c>
      <c r="H105" s="99">
        <v>1361168</v>
      </c>
      <c r="I105" s="106">
        <f t="shared" si="20"/>
        <v>48200</v>
      </c>
      <c r="J105" s="122"/>
      <c r="K105" s="186">
        <v>41</v>
      </c>
      <c r="L105" s="96">
        <v>638</v>
      </c>
      <c r="M105" s="191" t="s">
        <v>103</v>
      </c>
      <c r="N105" s="136">
        <v>28.24</v>
      </c>
      <c r="O105" s="122"/>
      <c r="P105" s="92"/>
      <c r="Q105" s="113"/>
      <c r="R105" s="92"/>
      <c r="S105" s="121"/>
      <c r="T105" s="93">
        <f t="shared" si="15"/>
        <v>0</v>
      </c>
      <c r="U105" s="122"/>
      <c r="V105" s="94">
        <f t="shared" ca="1" si="18"/>
        <v>-336.5355552083347</v>
      </c>
      <c r="W105" s="89">
        <f t="shared" si="19"/>
        <v>0</v>
      </c>
    </row>
    <row r="106" spans="1:24" ht="18">
      <c r="A106" s="115"/>
      <c r="B106" s="108" t="s">
        <v>51</v>
      </c>
      <c r="C106" s="90" t="s">
        <v>52</v>
      </c>
      <c r="D106" s="95">
        <v>211151012077</v>
      </c>
      <c r="E106" s="96">
        <v>639</v>
      </c>
      <c r="F106" s="97">
        <v>44601</v>
      </c>
      <c r="G106" s="100">
        <v>10.73</v>
      </c>
      <c r="H106" s="99">
        <v>517186</v>
      </c>
      <c r="I106" s="106">
        <f t="shared" si="20"/>
        <v>48200</v>
      </c>
      <c r="J106" s="122"/>
      <c r="K106" s="186">
        <v>44</v>
      </c>
      <c r="L106" s="96">
        <v>639</v>
      </c>
      <c r="M106" s="191" t="s">
        <v>103</v>
      </c>
      <c r="N106" s="136">
        <v>10.73</v>
      </c>
      <c r="O106" s="122"/>
      <c r="P106" s="92"/>
      <c r="Q106" s="113"/>
      <c r="R106" s="92"/>
      <c r="S106" s="121"/>
      <c r="T106" s="93">
        <f t="shared" si="15"/>
        <v>0</v>
      </c>
      <c r="U106" s="122"/>
      <c r="V106" s="94">
        <f t="shared" ca="1" si="18"/>
        <v>-336.5355552083347</v>
      </c>
      <c r="W106" s="89">
        <f t="shared" si="19"/>
        <v>0</v>
      </c>
    </row>
    <row r="107" spans="1:24" ht="18">
      <c r="A107" s="115"/>
      <c r="B107" s="108" t="s">
        <v>51</v>
      </c>
      <c r="C107" s="90" t="s">
        <v>52</v>
      </c>
      <c r="D107" s="95">
        <v>211151012091</v>
      </c>
      <c r="E107" s="96">
        <v>640</v>
      </c>
      <c r="F107" s="97">
        <v>44601</v>
      </c>
      <c r="G107" s="100">
        <v>31.6</v>
      </c>
      <c r="H107" s="99">
        <v>1523120</v>
      </c>
      <c r="I107" s="106">
        <f t="shared" si="20"/>
        <v>48200</v>
      </c>
      <c r="J107" s="122"/>
      <c r="K107" s="186" t="s">
        <v>196</v>
      </c>
      <c r="L107" s="96">
        <v>640</v>
      </c>
      <c r="M107" s="160" t="s">
        <v>192</v>
      </c>
      <c r="N107" s="136">
        <f>6.49+25.11</f>
        <v>31.6</v>
      </c>
      <c r="O107" s="122"/>
      <c r="P107" s="92"/>
      <c r="Q107" s="113"/>
      <c r="R107" s="92"/>
      <c r="S107" s="121"/>
      <c r="T107" s="93">
        <f t="shared" si="15"/>
        <v>0</v>
      </c>
      <c r="U107" s="122"/>
      <c r="V107" s="94">
        <f t="shared" ca="1" si="18"/>
        <v>-336.5355552083347</v>
      </c>
      <c r="W107" s="89">
        <f t="shared" si="19"/>
        <v>0</v>
      </c>
    </row>
    <row r="108" spans="1:24" ht="18">
      <c r="A108" s="115"/>
      <c r="B108" s="108" t="s">
        <v>51</v>
      </c>
      <c r="C108" s="90" t="s">
        <v>52</v>
      </c>
      <c r="D108" s="95">
        <v>211151012095</v>
      </c>
      <c r="E108" s="96">
        <v>641</v>
      </c>
      <c r="F108" s="97">
        <v>44601</v>
      </c>
      <c r="G108" s="100">
        <v>32.57</v>
      </c>
      <c r="H108" s="99">
        <v>1569874</v>
      </c>
      <c r="I108" s="106">
        <f t="shared" si="20"/>
        <v>48200</v>
      </c>
      <c r="J108" s="122"/>
      <c r="K108" s="186">
        <v>15</v>
      </c>
      <c r="L108" s="96">
        <v>641</v>
      </c>
      <c r="M108" s="160" t="s">
        <v>99</v>
      </c>
      <c r="N108" s="136">
        <v>32.57</v>
      </c>
      <c r="O108" s="122"/>
      <c r="P108" s="92"/>
      <c r="Q108" s="113"/>
      <c r="R108" s="92"/>
      <c r="S108" s="121"/>
      <c r="T108" s="93">
        <f t="shared" si="15"/>
        <v>0</v>
      </c>
      <c r="U108" s="122"/>
      <c r="V108" s="94">
        <f t="shared" ca="1" si="18"/>
        <v>-336.5355552083347</v>
      </c>
      <c r="W108" s="89">
        <f t="shared" si="19"/>
        <v>0</v>
      </c>
    </row>
    <row r="109" spans="1:24" ht="18">
      <c r="A109" s="115"/>
      <c r="B109" s="108" t="s">
        <v>51</v>
      </c>
      <c r="C109" s="90" t="s">
        <v>52</v>
      </c>
      <c r="D109" s="95">
        <v>211151012098</v>
      </c>
      <c r="E109" s="96">
        <v>642</v>
      </c>
      <c r="F109" s="97">
        <v>44601</v>
      </c>
      <c r="G109" s="100">
        <v>32.46</v>
      </c>
      <c r="H109" s="99">
        <v>1564572</v>
      </c>
      <c r="I109" s="106">
        <f t="shared" si="20"/>
        <v>48200</v>
      </c>
      <c r="J109" s="122"/>
      <c r="K109" s="186" t="s">
        <v>209</v>
      </c>
      <c r="L109" s="96">
        <v>642</v>
      </c>
      <c r="M109" s="160" t="s">
        <v>210</v>
      </c>
      <c r="N109" s="136">
        <f>8.05+16.87+7.54</f>
        <v>32.46</v>
      </c>
      <c r="O109" s="122"/>
      <c r="P109" s="92"/>
      <c r="Q109" s="113"/>
      <c r="R109" s="92"/>
      <c r="S109" s="121"/>
      <c r="T109" s="93">
        <f t="shared" si="15"/>
        <v>0</v>
      </c>
      <c r="U109" s="122"/>
      <c r="V109" s="94">
        <f t="shared" ca="1" si="18"/>
        <v>-336.5355552083347</v>
      </c>
      <c r="W109" s="89">
        <f t="shared" si="19"/>
        <v>0</v>
      </c>
    </row>
    <row r="110" spans="1:24" ht="18">
      <c r="A110" s="115"/>
      <c r="B110" s="108" t="s">
        <v>51</v>
      </c>
      <c r="C110" s="90" t="s">
        <v>52</v>
      </c>
      <c r="D110" s="95">
        <v>211151012099</v>
      </c>
      <c r="E110" s="96">
        <v>643</v>
      </c>
      <c r="F110" s="97">
        <v>44601</v>
      </c>
      <c r="G110" s="100">
        <v>23.18</v>
      </c>
      <c r="H110" s="99">
        <v>1117276</v>
      </c>
      <c r="I110" s="106">
        <f t="shared" si="20"/>
        <v>48200</v>
      </c>
      <c r="J110" s="122"/>
      <c r="K110" s="186">
        <v>33</v>
      </c>
      <c r="L110" s="96">
        <v>643</v>
      </c>
      <c r="M110" s="160" t="s">
        <v>211</v>
      </c>
      <c r="N110" s="136">
        <v>23.18</v>
      </c>
      <c r="O110" s="122"/>
      <c r="P110" s="92"/>
      <c r="Q110" s="113"/>
      <c r="R110" s="92"/>
      <c r="S110" s="121"/>
      <c r="T110" s="93">
        <f t="shared" si="15"/>
        <v>0</v>
      </c>
      <c r="U110" s="122"/>
      <c r="V110" s="94">
        <f t="shared" ca="1" si="18"/>
        <v>-336.5355552083347</v>
      </c>
      <c r="W110" s="89">
        <f t="shared" si="19"/>
        <v>0</v>
      </c>
      <c r="X110" s="129">
        <v>0.13</v>
      </c>
    </row>
    <row r="111" spans="1:24" ht="18">
      <c r="A111" s="115"/>
      <c r="B111" s="108" t="s">
        <v>51</v>
      </c>
      <c r="C111" s="90" t="s">
        <v>52</v>
      </c>
      <c r="D111" s="95">
        <v>211151012110</v>
      </c>
      <c r="E111" s="96">
        <v>644</v>
      </c>
      <c r="F111" s="97">
        <v>44601</v>
      </c>
      <c r="G111" s="100">
        <v>32.79</v>
      </c>
      <c r="H111" s="99">
        <v>1580478</v>
      </c>
      <c r="I111" s="106">
        <f t="shared" si="20"/>
        <v>48200</v>
      </c>
      <c r="J111" s="122"/>
      <c r="K111" s="186">
        <v>14</v>
      </c>
      <c r="L111" s="96">
        <v>644</v>
      </c>
      <c r="M111" s="160" t="s">
        <v>99</v>
      </c>
      <c r="N111" s="136">
        <v>32.79</v>
      </c>
      <c r="O111" s="122"/>
      <c r="P111" s="92"/>
      <c r="Q111" s="113"/>
      <c r="R111" s="92"/>
      <c r="S111" s="121"/>
      <c r="T111" s="93">
        <f t="shared" si="15"/>
        <v>0</v>
      </c>
      <c r="U111" s="122"/>
      <c r="V111" s="94">
        <f t="shared" ca="1" si="18"/>
        <v>-336.5355552083347</v>
      </c>
      <c r="W111" s="89">
        <f t="shared" si="19"/>
        <v>0</v>
      </c>
      <c r="X111" s="129">
        <v>0.13</v>
      </c>
    </row>
    <row r="112" spans="1:24" ht="18">
      <c r="A112" s="133"/>
      <c r="B112" s="143" t="s">
        <v>51</v>
      </c>
      <c r="C112" s="99" t="s">
        <v>52</v>
      </c>
      <c r="D112" s="220">
        <v>211151012129</v>
      </c>
      <c r="E112" s="96">
        <v>645</v>
      </c>
      <c r="F112" s="97">
        <v>44601</v>
      </c>
      <c r="G112" s="98">
        <v>36.549999999999997</v>
      </c>
      <c r="H112" s="99">
        <v>1761709.9999999998</v>
      </c>
      <c r="I112" s="177">
        <f t="shared" si="20"/>
        <v>48200</v>
      </c>
      <c r="J112" s="133"/>
      <c r="K112" s="186" t="s">
        <v>290</v>
      </c>
      <c r="L112" s="96">
        <v>645</v>
      </c>
      <c r="M112" s="160" t="s">
        <v>291</v>
      </c>
      <c r="N112" s="136">
        <f>32.236+1.39</f>
        <v>33.625999999999998</v>
      </c>
      <c r="O112" s="133"/>
      <c r="P112" s="92">
        <f>G112*0.92</f>
        <v>33.625999999999998</v>
      </c>
      <c r="Q112" s="113">
        <f>G112*4.5%</f>
        <v>1.6447499999999997</v>
      </c>
      <c r="R112" s="92">
        <f>G112*3.5%</f>
        <v>1.27925</v>
      </c>
      <c r="S112" s="142"/>
      <c r="T112" s="93">
        <f t="shared" si="15"/>
        <v>0</v>
      </c>
      <c r="U112" s="122"/>
      <c r="V112" s="94">
        <f t="shared" ca="1" si="18"/>
        <v>-336.5355552083347</v>
      </c>
      <c r="W112" s="89">
        <f t="shared" si="19"/>
        <v>0</v>
      </c>
      <c r="X112" s="129">
        <v>0.13</v>
      </c>
    </row>
    <row r="113" spans="1:24" ht="18">
      <c r="A113" s="115"/>
      <c r="B113" s="108" t="s">
        <v>51</v>
      </c>
      <c r="C113" s="99" t="s">
        <v>52</v>
      </c>
      <c r="D113" s="220">
        <v>211151012121</v>
      </c>
      <c r="E113" s="96">
        <v>646</v>
      </c>
      <c r="F113" s="97">
        <v>44601</v>
      </c>
      <c r="G113" s="98">
        <v>28.42</v>
      </c>
      <c r="H113" s="127">
        <v>1369844</v>
      </c>
      <c r="I113" s="177">
        <f t="shared" si="20"/>
        <v>48200</v>
      </c>
      <c r="J113" s="122"/>
      <c r="K113" s="186" t="s">
        <v>214</v>
      </c>
      <c r="L113" s="96">
        <v>646</v>
      </c>
      <c r="M113" s="160" t="s">
        <v>215</v>
      </c>
      <c r="N113" s="136">
        <f>1.08+27.34</f>
        <v>28.42</v>
      </c>
      <c r="O113" s="122"/>
      <c r="P113" s="92"/>
      <c r="Q113" s="113"/>
      <c r="R113" s="92"/>
      <c r="S113" s="121"/>
      <c r="T113" s="93">
        <f t="shared" si="15"/>
        <v>0</v>
      </c>
      <c r="U113" s="122"/>
      <c r="V113" s="94">
        <f t="shared" ca="1" si="18"/>
        <v>-336.5355552083347</v>
      </c>
      <c r="W113" s="89">
        <f t="shared" si="19"/>
        <v>0</v>
      </c>
      <c r="X113" s="129">
        <v>0.13</v>
      </c>
    </row>
    <row r="114" spans="1:24" ht="18">
      <c r="A114" s="133"/>
      <c r="B114" s="143" t="s">
        <v>51</v>
      </c>
      <c r="C114" s="99" t="s">
        <v>52</v>
      </c>
      <c r="D114" s="220">
        <v>211151012132</v>
      </c>
      <c r="E114" s="96">
        <v>647</v>
      </c>
      <c r="F114" s="97">
        <v>44601</v>
      </c>
      <c r="G114" s="98">
        <v>41.57</v>
      </c>
      <c r="H114" s="127">
        <v>2003674</v>
      </c>
      <c r="I114" s="177">
        <f t="shared" si="20"/>
        <v>48200</v>
      </c>
      <c r="J114" s="133"/>
      <c r="K114" s="186" t="s">
        <v>292</v>
      </c>
      <c r="L114" s="96">
        <v>647</v>
      </c>
      <c r="M114" s="160" t="s">
        <v>291</v>
      </c>
      <c r="N114" s="136">
        <f>32.301+5.943</f>
        <v>38.244</v>
      </c>
      <c r="O114" s="133"/>
      <c r="P114" s="92">
        <f>G114*0.92</f>
        <v>38.244399999999999</v>
      </c>
      <c r="Q114" s="113">
        <f>G114*4.5%</f>
        <v>1.8706499999999999</v>
      </c>
      <c r="R114" s="92">
        <f>G114*3.5%</f>
        <v>1.4549500000000002</v>
      </c>
      <c r="S114" s="142"/>
      <c r="T114" s="93">
        <f t="shared" si="15"/>
        <v>4.0000000000040004E-4</v>
      </c>
      <c r="U114" s="122"/>
      <c r="V114" s="94">
        <f t="shared" ca="1" si="18"/>
        <v>-336.5355552083347</v>
      </c>
      <c r="W114" s="89">
        <f t="shared" si="19"/>
        <v>4.3478260869608701E-4</v>
      </c>
      <c r="X114" s="129">
        <v>0.13</v>
      </c>
    </row>
    <row r="115" spans="1:24" ht="18">
      <c r="A115" s="115"/>
      <c r="B115" s="108" t="s">
        <v>51</v>
      </c>
      <c r="C115" s="99" t="s">
        <v>52</v>
      </c>
      <c r="D115" s="220">
        <v>211151012191</v>
      </c>
      <c r="E115" s="96">
        <v>648</v>
      </c>
      <c r="F115" s="97">
        <v>44601</v>
      </c>
      <c r="G115" s="98">
        <v>5.45</v>
      </c>
      <c r="H115" s="127">
        <v>262690</v>
      </c>
      <c r="I115" s="177">
        <f t="shared" si="20"/>
        <v>48200</v>
      </c>
      <c r="J115" s="122"/>
      <c r="K115" s="186">
        <v>28</v>
      </c>
      <c r="L115" s="96">
        <v>648</v>
      </c>
      <c r="M115" s="160" t="s">
        <v>190</v>
      </c>
      <c r="N115" s="136">
        <v>5.45</v>
      </c>
      <c r="O115" s="122"/>
      <c r="P115" s="92"/>
      <c r="Q115" s="113"/>
      <c r="R115" s="92"/>
      <c r="S115" s="121"/>
      <c r="T115" s="93">
        <f t="shared" si="15"/>
        <v>0</v>
      </c>
      <c r="U115" s="122"/>
      <c r="V115" s="94">
        <f t="shared" ca="1" si="18"/>
        <v>-336.5355552083347</v>
      </c>
      <c r="W115" s="89">
        <f t="shared" si="19"/>
        <v>0</v>
      </c>
      <c r="X115" s="129">
        <v>0.13</v>
      </c>
    </row>
    <row r="116" spans="1:24" ht="18">
      <c r="A116" s="115"/>
      <c r="B116" s="108" t="s">
        <v>51</v>
      </c>
      <c r="C116" s="99" t="s">
        <v>52</v>
      </c>
      <c r="D116" s="220">
        <v>211151012191</v>
      </c>
      <c r="E116" s="96">
        <v>649</v>
      </c>
      <c r="F116" s="97">
        <v>44601</v>
      </c>
      <c r="G116" s="98">
        <v>6.62</v>
      </c>
      <c r="H116" s="127">
        <v>320408</v>
      </c>
      <c r="I116" s="177">
        <f t="shared" si="20"/>
        <v>48400</v>
      </c>
      <c r="J116" s="122"/>
      <c r="K116" s="186">
        <v>29</v>
      </c>
      <c r="L116" s="96">
        <v>649</v>
      </c>
      <c r="M116" s="160" t="s">
        <v>190</v>
      </c>
      <c r="N116" s="136">
        <v>6.62</v>
      </c>
      <c r="O116" s="122"/>
      <c r="P116" s="92"/>
      <c r="Q116" s="113"/>
      <c r="R116" s="92"/>
      <c r="S116" s="121"/>
      <c r="T116" s="93">
        <f t="shared" si="15"/>
        <v>0</v>
      </c>
      <c r="U116" s="122"/>
      <c r="V116" s="94">
        <f t="shared" ca="1" si="18"/>
        <v>-336.5355552083347</v>
      </c>
      <c r="W116" s="89">
        <f t="shared" si="19"/>
        <v>0</v>
      </c>
      <c r="X116" s="129">
        <v>0.13</v>
      </c>
    </row>
    <row r="117" spans="1:24" ht="18">
      <c r="A117" s="115"/>
      <c r="B117" s="108" t="s">
        <v>51</v>
      </c>
      <c r="C117" s="99" t="s">
        <v>52</v>
      </c>
      <c r="D117" s="220">
        <v>211151011983</v>
      </c>
      <c r="E117" s="96">
        <v>650</v>
      </c>
      <c r="F117" s="97">
        <v>44601</v>
      </c>
      <c r="G117" s="98">
        <v>32.35</v>
      </c>
      <c r="H117" s="127">
        <v>1565740</v>
      </c>
      <c r="I117" s="177">
        <f t="shared" si="20"/>
        <v>48400</v>
      </c>
      <c r="J117" s="122"/>
      <c r="K117" s="186">
        <v>11</v>
      </c>
      <c r="L117" s="96">
        <v>650</v>
      </c>
      <c r="M117" s="160" t="s">
        <v>99</v>
      </c>
      <c r="N117" s="136">
        <v>32.35</v>
      </c>
      <c r="O117" s="122"/>
      <c r="P117" s="92"/>
      <c r="Q117" s="113"/>
      <c r="R117" s="92"/>
      <c r="S117" s="121"/>
      <c r="T117" s="93">
        <f t="shared" si="15"/>
        <v>0</v>
      </c>
      <c r="U117" s="122"/>
      <c r="V117" s="94">
        <f t="shared" ca="1" si="18"/>
        <v>-336.5355552083347</v>
      </c>
      <c r="W117" s="89">
        <f t="shared" si="19"/>
        <v>0</v>
      </c>
      <c r="X117" s="129">
        <v>0.13</v>
      </c>
    </row>
    <row r="118" spans="1:24" ht="18">
      <c r="A118" s="115"/>
      <c r="B118" s="108" t="s">
        <v>51</v>
      </c>
      <c r="C118" s="99" t="s">
        <v>52</v>
      </c>
      <c r="D118" s="220">
        <v>211151011997</v>
      </c>
      <c r="E118" s="96">
        <v>651</v>
      </c>
      <c r="F118" s="97">
        <v>44601</v>
      </c>
      <c r="G118" s="98">
        <v>32.479999999999997</v>
      </c>
      <c r="H118" s="127">
        <v>1572031.9999999998</v>
      </c>
      <c r="I118" s="177">
        <f t="shared" si="20"/>
        <v>48400</v>
      </c>
      <c r="J118" s="122"/>
      <c r="K118" s="186" t="s">
        <v>197</v>
      </c>
      <c r="L118" s="96">
        <v>651</v>
      </c>
      <c r="M118" s="160" t="s">
        <v>198</v>
      </c>
      <c r="N118" s="136">
        <f>3.75+24.32+4.41</f>
        <v>32.480000000000004</v>
      </c>
      <c r="O118" s="122"/>
      <c r="P118" s="92"/>
      <c r="Q118" s="113"/>
      <c r="R118" s="92"/>
      <c r="S118" s="121"/>
      <c r="T118" s="93">
        <f t="shared" si="15"/>
        <v>-7.1054273576010019E-15</v>
      </c>
      <c r="U118" s="122"/>
      <c r="V118" s="94">
        <f t="shared" ca="1" si="18"/>
        <v>-336.5355552083347</v>
      </c>
      <c r="W118" s="89">
        <f t="shared" si="19"/>
        <v>-7.7232906060880451E-15</v>
      </c>
      <c r="X118" s="129">
        <v>0.13</v>
      </c>
    </row>
    <row r="119" spans="1:24" ht="18">
      <c r="A119" s="115"/>
      <c r="B119" s="108" t="s">
        <v>51</v>
      </c>
      <c r="C119" s="99" t="s">
        <v>52</v>
      </c>
      <c r="D119" s="220">
        <v>211151011996</v>
      </c>
      <c r="E119" s="96">
        <v>652</v>
      </c>
      <c r="F119" s="97">
        <v>44601</v>
      </c>
      <c r="G119" s="98">
        <v>32.32</v>
      </c>
      <c r="H119" s="99">
        <v>1564288</v>
      </c>
      <c r="I119" s="177">
        <f t="shared" si="20"/>
        <v>48400</v>
      </c>
      <c r="J119" s="122"/>
      <c r="K119" s="187" t="s">
        <v>216</v>
      </c>
      <c r="L119" s="96">
        <v>652</v>
      </c>
      <c r="M119" s="160" t="s">
        <v>217</v>
      </c>
      <c r="N119" s="136">
        <f>6.48+25.84</f>
        <v>32.32</v>
      </c>
      <c r="O119" s="122"/>
      <c r="P119" s="92"/>
      <c r="Q119" s="113"/>
      <c r="R119" s="92"/>
      <c r="S119" s="121"/>
      <c r="T119" s="93">
        <f t="shared" si="15"/>
        <v>0</v>
      </c>
      <c r="U119" s="122"/>
      <c r="V119" s="94">
        <f t="shared" ca="1" si="18"/>
        <v>-336.5355552083347</v>
      </c>
      <c r="W119" s="89">
        <f t="shared" si="19"/>
        <v>0</v>
      </c>
      <c r="X119" s="129">
        <v>0.13</v>
      </c>
    </row>
    <row r="120" spans="1:24" ht="18">
      <c r="A120" s="133"/>
      <c r="B120" s="143" t="s">
        <v>51</v>
      </c>
      <c r="C120" s="99" t="s">
        <v>52</v>
      </c>
      <c r="D120" s="220">
        <v>211151011999</v>
      </c>
      <c r="E120" s="96">
        <v>653</v>
      </c>
      <c r="F120" s="97">
        <v>44601</v>
      </c>
      <c r="G120" s="98">
        <v>34.9</v>
      </c>
      <c r="H120" s="99">
        <v>1689160</v>
      </c>
      <c r="I120" s="177">
        <f t="shared" si="20"/>
        <v>48400</v>
      </c>
      <c r="J120" s="133"/>
      <c r="K120" s="186" t="s">
        <v>293</v>
      </c>
      <c r="L120" s="96">
        <v>653</v>
      </c>
      <c r="M120" s="160" t="s">
        <v>291</v>
      </c>
      <c r="N120" s="136">
        <f>30.793+1.315</f>
        <v>32.107999999999997</v>
      </c>
      <c r="O120" s="133"/>
      <c r="P120" s="92">
        <f>G120*0.92</f>
        <v>32.107999999999997</v>
      </c>
      <c r="Q120" s="113">
        <f>G120*4.5%</f>
        <v>1.5704999999999998</v>
      </c>
      <c r="R120" s="92">
        <f>G120*3.5%</f>
        <v>1.2215</v>
      </c>
      <c r="S120" s="142"/>
      <c r="T120" s="93">
        <f t="shared" si="15"/>
        <v>1.7763568394002505E-15</v>
      </c>
      <c r="U120" s="122"/>
      <c r="V120" s="94">
        <f t="shared" ca="1" si="18"/>
        <v>-336.5355552083347</v>
      </c>
      <c r="W120" s="89">
        <f t="shared" si="19"/>
        <v>1.9308226515220113E-15</v>
      </c>
      <c r="X120" s="129">
        <v>0.13</v>
      </c>
    </row>
    <row r="121" spans="1:24" ht="18">
      <c r="A121" s="115"/>
      <c r="B121" s="108" t="s">
        <v>51</v>
      </c>
      <c r="C121" s="99" t="s">
        <v>52</v>
      </c>
      <c r="D121" s="220">
        <v>211151012071</v>
      </c>
      <c r="E121" s="96">
        <v>654</v>
      </c>
      <c r="F121" s="97">
        <v>44601</v>
      </c>
      <c r="G121" s="98">
        <v>33.700000000000003</v>
      </c>
      <c r="H121" s="127">
        <v>1631080.0000000002</v>
      </c>
      <c r="I121" s="177">
        <f t="shared" si="20"/>
        <v>48400</v>
      </c>
      <c r="J121" s="122"/>
      <c r="K121" s="186" t="s">
        <v>221</v>
      </c>
      <c r="L121" s="96">
        <v>654</v>
      </c>
      <c r="M121" s="160" t="s">
        <v>219</v>
      </c>
      <c r="N121" s="136">
        <f>7.47+26.23</f>
        <v>33.700000000000003</v>
      </c>
      <c r="O121" s="122"/>
      <c r="P121" s="92"/>
      <c r="Q121" s="113"/>
      <c r="R121" s="92"/>
      <c r="S121" s="121"/>
      <c r="T121" s="93">
        <f t="shared" si="15"/>
        <v>0</v>
      </c>
      <c r="U121" s="122"/>
      <c r="V121" s="94">
        <f t="shared" ref="V121:V157" ca="1" si="21">360-($V$3-F121)</f>
        <v>-336.5355552083347</v>
      </c>
      <c r="W121" s="89">
        <f t="shared" si="14"/>
        <v>0</v>
      </c>
      <c r="X121" s="129">
        <v>0.13</v>
      </c>
    </row>
    <row r="122" spans="1:24" ht="18">
      <c r="A122" s="115"/>
      <c r="B122" s="108" t="s">
        <v>51</v>
      </c>
      <c r="C122" s="99" t="s">
        <v>52</v>
      </c>
      <c r="D122" s="220">
        <v>211151012076</v>
      </c>
      <c r="E122" s="96">
        <v>655</v>
      </c>
      <c r="F122" s="97">
        <v>44601</v>
      </c>
      <c r="G122" s="98">
        <v>32.159999999999997</v>
      </c>
      <c r="H122" s="127">
        <v>1556543.9999999998</v>
      </c>
      <c r="I122" s="177">
        <f t="shared" si="20"/>
        <v>48400</v>
      </c>
      <c r="J122" s="122"/>
      <c r="K122" s="157" t="s">
        <v>222</v>
      </c>
      <c r="L122" s="96">
        <v>655</v>
      </c>
      <c r="M122" s="119" t="s">
        <v>220</v>
      </c>
      <c r="N122" s="115">
        <f>6.14+26.02</f>
        <v>32.159999999999997</v>
      </c>
      <c r="O122" s="122"/>
      <c r="P122" s="92"/>
      <c r="Q122" s="113"/>
      <c r="R122" s="92"/>
      <c r="S122" s="121"/>
      <c r="T122" s="93">
        <f t="shared" si="15"/>
        <v>0</v>
      </c>
      <c r="U122" s="122"/>
      <c r="V122" s="94">
        <f t="shared" ca="1" si="21"/>
        <v>-336.5355552083347</v>
      </c>
      <c r="W122" s="89">
        <f t="shared" si="14"/>
        <v>0</v>
      </c>
      <c r="X122" s="129">
        <v>0.13</v>
      </c>
    </row>
    <row r="123" spans="1:24" ht="18">
      <c r="A123" s="115"/>
      <c r="B123" s="108" t="s">
        <v>51</v>
      </c>
      <c r="C123" s="99" t="s">
        <v>52</v>
      </c>
      <c r="D123" s="220">
        <v>211151012079</v>
      </c>
      <c r="E123" s="96">
        <v>656</v>
      </c>
      <c r="F123" s="97">
        <v>44601</v>
      </c>
      <c r="G123" s="98">
        <v>32.340000000000003</v>
      </c>
      <c r="H123" s="127">
        <v>1565256.0000000002</v>
      </c>
      <c r="I123" s="177">
        <f t="shared" si="20"/>
        <v>48400</v>
      </c>
      <c r="J123" s="122"/>
      <c r="K123" s="157" t="s">
        <v>234</v>
      </c>
      <c r="L123" s="96">
        <v>656</v>
      </c>
      <c r="M123" s="119" t="s">
        <v>235</v>
      </c>
      <c r="N123" s="115">
        <f>7.04+25.3</f>
        <v>32.340000000000003</v>
      </c>
      <c r="O123" s="122"/>
      <c r="P123" s="92"/>
      <c r="Q123" s="113"/>
      <c r="R123" s="92"/>
      <c r="S123" s="121"/>
      <c r="T123" s="93">
        <f t="shared" si="15"/>
        <v>0</v>
      </c>
      <c r="U123" s="122"/>
      <c r="V123" s="94">
        <f t="shared" ca="1" si="21"/>
        <v>-336.5355552083347</v>
      </c>
      <c r="W123" s="89">
        <f t="shared" si="14"/>
        <v>0</v>
      </c>
      <c r="X123" s="129">
        <v>0.13</v>
      </c>
    </row>
    <row r="124" spans="1:24" ht="18">
      <c r="A124" s="115"/>
      <c r="B124" s="108" t="s">
        <v>51</v>
      </c>
      <c r="C124" s="99" t="s">
        <v>52</v>
      </c>
      <c r="D124" s="220">
        <v>211151012085</v>
      </c>
      <c r="E124" s="96">
        <v>657</v>
      </c>
      <c r="F124" s="97">
        <v>44601</v>
      </c>
      <c r="G124" s="98">
        <v>31.85</v>
      </c>
      <c r="H124" s="127">
        <v>1541540</v>
      </c>
      <c r="I124" s="177">
        <f t="shared" si="20"/>
        <v>48400</v>
      </c>
      <c r="J124" s="122"/>
      <c r="K124" s="157" t="s">
        <v>237</v>
      </c>
      <c r="L124" s="96">
        <v>657</v>
      </c>
      <c r="M124" s="119" t="s">
        <v>238</v>
      </c>
      <c r="N124" s="115">
        <f>7.48+24.37</f>
        <v>31.85</v>
      </c>
      <c r="O124" s="122"/>
      <c r="P124" s="92"/>
      <c r="Q124" s="113"/>
      <c r="R124" s="92"/>
      <c r="S124" s="121"/>
      <c r="T124" s="93">
        <f t="shared" si="15"/>
        <v>0</v>
      </c>
      <c r="U124" s="122"/>
      <c r="V124" s="94">
        <f t="shared" ca="1" si="21"/>
        <v>-336.5355552083347</v>
      </c>
      <c r="W124" s="89">
        <f t="shared" si="14"/>
        <v>0</v>
      </c>
      <c r="X124" s="129">
        <v>0.13</v>
      </c>
    </row>
    <row r="125" spans="1:24" ht="18">
      <c r="A125" s="115"/>
      <c r="B125" s="108" t="s">
        <v>51</v>
      </c>
      <c r="C125" s="99" t="s">
        <v>52</v>
      </c>
      <c r="D125" s="220">
        <v>211151012082</v>
      </c>
      <c r="E125" s="96">
        <v>658</v>
      </c>
      <c r="F125" s="97">
        <v>44601</v>
      </c>
      <c r="G125" s="98">
        <v>32.26</v>
      </c>
      <c r="H125" s="127">
        <v>1561384</v>
      </c>
      <c r="I125" s="177">
        <f t="shared" si="20"/>
        <v>48400</v>
      </c>
      <c r="J125" s="122"/>
      <c r="K125" s="157">
        <v>57</v>
      </c>
      <c r="L125" s="96">
        <v>658</v>
      </c>
      <c r="M125" s="119" t="s">
        <v>104</v>
      </c>
      <c r="N125" s="115">
        <v>32.26</v>
      </c>
      <c r="O125" s="122"/>
      <c r="P125" s="92"/>
      <c r="Q125" s="113"/>
      <c r="R125" s="92"/>
      <c r="S125" s="121"/>
      <c r="T125" s="93">
        <f t="shared" si="15"/>
        <v>0</v>
      </c>
      <c r="U125" s="122"/>
      <c r="V125" s="94">
        <f t="shared" ca="1" si="21"/>
        <v>-336.5355552083347</v>
      </c>
      <c r="W125" s="89">
        <f t="shared" si="14"/>
        <v>0</v>
      </c>
      <c r="X125" s="129">
        <v>0.13</v>
      </c>
    </row>
    <row r="126" spans="1:24" ht="18">
      <c r="A126" s="115"/>
      <c r="B126" s="108" t="s">
        <v>51</v>
      </c>
      <c r="C126" s="99" t="s">
        <v>52</v>
      </c>
      <c r="D126" s="220">
        <v>211151012087</v>
      </c>
      <c r="E126" s="96">
        <v>659</v>
      </c>
      <c r="F126" s="97">
        <v>44601</v>
      </c>
      <c r="G126" s="98">
        <v>32.03</v>
      </c>
      <c r="H126" s="127">
        <v>1550252</v>
      </c>
      <c r="I126" s="177">
        <f t="shared" si="20"/>
        <v>48400</v>
      </c>
      <c r="J126" s="122"/>
      <c r="K126" s="157" t="s">
        <v>239</v>
      </c>
      <c r="L126" s="96">
        <v>659</v>
      </c>
      <c r="M126" s="119" t="s">
        <v>238</v>
      </c>
      <c r="N126" s="115">
        <f>7.49+24.54</f>
        <v>32.03</v>
      </c>
      <c r="O126" s="122"/>
      <c r="P126" s="92"/>
      <c r="Q126" s="113"/>
      <c r="R126" s="92"/>
      <c r="S126" s="121"/>
      <c r="T126" s="93">
        <f t="shared" si="15"/>
        <v>0</v>
      </c>
      <c r="U126" s="122"/>
      <c r="V126" s="94">
        <f t="shared" ca="1" si="21"/>
        <v>-336.5355552083347</v>
      </c>
      <c r="W126" s="89">
        <f t="shared" si="14"/>
        <v>0</v>
      </c>
      <c r="X126" s="129">
        <v>0.13</v>
      </c>
    </row>
    <row r="127" spans="1:24" ht="18">
      <c r="A127" s="115"/>
      <c r="B127" s="108" t="s">
        <v>51</v>
      </c>
      <c r="C127" s="99" t="s">
        <v>52</v>
      </c>
      <c r="D127" s="220">
        <v>211151012122</v>
      </c>
      <c r="E127" s="96">
        <v>660</v>
      </c>
      <c r="F127" s="97">
        <v>44601</v>
      </c>
      <c r="G127" s="98">
        <v>33.15</v>
      </c>
      <c r="H127" s="127">
        <v>1604460</v>
      </c>
      <c r="I127" s="177">
        <f t="shared" si="20"/>
        <v>48400</v>
      </c>
      <c r="J127" s="122"/>
      <c r="K127" s="157" t="s">
        <v>241</v>
      </c>
      <c r="L127" s="96">
        <v>660</v>
      </c>
      <c r="M127" s="119" t="s">
        <v>235</v>
      </c>
      <c r="N127" s="115">
        <f>32.21+0.94</f>
        <v>33.15</v>
      </c>
      <c r="O127" s="122"/>
      <c r="P127" s="92"/>
      <c r="Q127" s="113"/>
      <c r="R127" s="92"/>
      <c r="S127" s="121"/>
      <c r="T127" s="93">
        <f t="shared" si="15"/>
        <v>0</v>
      </c>
      <c r="U127" s="122"/>
      <c r="V127" s="94">
        <f t="shared" ca="1" si="21"/>
        <v>-336.5355552083347</v>
      </c>
      <c r="W127" s="89">
        <f t="shared" si="14"/>
        <v>0</v>
      </c>
      <c r="X127" s="129">
        <v>0.13</v>
      </c>
    </row>
    <row r="128" spans="1:24" ht="18">
      <c r="A128" s="115"/>
      <c r="B128" s="108" t="s">
        <v>51</v>
      </c>
      <c r="C128" s="99" t="s">
        <v>52</v>
      </c>
      <c r="D128" s="220">
        <v>211151012123</v>
      </c>
      <c r="E128" s="96">
        <v>661</v>
      </c>
      <c r="F128" s="97">
        <v>44601</v>
      </c>
      <c r="G128" s="98">
        <v>32.21</v>
      </c>
      <c r="H128" s="127">
        <v>1558964</v>
      </c>
      <c r="I128" s="177">
        <f t="shared" si="20"/>
        <v>48400</v>
      </c>
      <c r="J128" s="122"/>
      <c r="K128" s="157" t="s">
        <v>240</v>
      </c>
      <c r="L128" s="96">
        <v>661</v>
      </c>
      <c r="M128" s="119" t="s">
        <v>107</v>
      </c>
      <c r="N128" s="115">
        <v>32.21</v>
      </c>
      <c r="O128" s="122"/>
      <c r="P128" s="92"/>
      <c r="Q128" s="113"/>
      <c r="R128" s="92"/>
      <c r="S128" s="121"/>
      <c r="T128" s="93">
        <f t="shared" ref="T128:T191" si="22">G128-N128-Q128-R128</f>
        <v>0</v>
      </c>
      <c r="U128" s="122"/>
      <c r="V128" s="94">
        <f t="shared" ca="1" si="21"/>
        <v>-336.5355552083347</v>
      </c>
      <c r="W128" s="89">
        <f t="shared" si="14"/>
        <v>0</v>
      </c>
      <c r="X128" s="129">
        <v>0.13</v>
      </c>
    </row>
    <row r="129" spans="1:24" ht="18">
      <c r="A129" s="115"/>
      <c r="B129" s="108" t="s">
        <v>51</v>
      </c>
      <c r="C129" s="99" t="s">
        <v>52</v>
      </c>
      <c r="D129" s="220">
        <v>211151012131</v>
      </c>
      <c r="E129" s="96">
        <v>662</v>
      </c>
      <c r="F129" s="97">
        <v>44601</v>
      </c>
      <c r="G129" s="98">
        <v>32.33</v>
      </c>
      <c r="H129" s="127">
        <v>1564772</v>
      </c>
      <c r="I129" s="177">
        <f t="shared" si="20"/>
        <v>48400</v>
      </c>
      <c r="J129" s="122"/>
      <c r="K129" s="157">
        <v>56</v>
      </c>
      <c r="L129" s="96">
        <v>662</v>
      </c>
      <c r="M129" s="119" t="s">
        <v>107</v>
      </c>
      <c r="N129" s="115">
        <v>32.33</v>
      </c>
      <c r="O129" s="122"/>
      <c r="P129" s="92"/>
      <c r="Q129" s="113"/>
      <c r="R129" s="92"/>
      <c r="S129" s="121"/>
      <c r="T129" s="93">
        <f t="shared" si="22"/>
        <v>0</v>
      </c>
      <c r="U129" s="122"/>
      <c r="V129" s="94">
        <f t="shared" ca="1" si="21"/>
        <v>-336.5355552083347</v>
      </c>
      <c r="W129" s="89">
        <f t="shared" si="14"/>
        <v>0</v>
      </c>
      <c r="X129" s="129">
        <v>0.13</v>
      </c>
    </row>
    <row r="130" spans="1:24" ht="18">
      <c r="A130" s="115"/>
      <c r="B130" s="108" t="s">
        <v>51</v>
      </c>
      <c r="C130" s="90" t="s">
        <v>53</v>
      </c>
      <c r="D130" s="95">
        <v>211151012205</v>
      </c>
      <c r="E130" s="96">
        <v>663</v>
      </c>
      <c r="F130" s="97">
        <v>44601</v>
      </c>
      <c r="G130" s="98">
        <v>13.38</v>
      </c>
      <c r="H130" s="127">
        <v>679704</v>
      </c>
      <c r="I130" s="106">
        <f t="shared" si="20"/>
        <v>50800</v>
      </c>
      <c r="J130" s="122"/>
      <c r="K130" s="157" t="s">
        <v>242</v>
      </c>
      <c r="L130" s="96">
        <v>663</v>
      </c>
      <c r="M130" s="119" t="s">
        <v>236</v>
      </c>
      <c r="N130" s="115">
        <f>6.85+6.53</f>
        <v>13.379999999999999</v>
      </c>
      <c r="O130" s="122"/>
      <c r="P130" s="92"/>
      <c r="Q130" s="113"/>
      <c r="R130" s="92"/>
      <c r="S130" s="121"/>
      <c r="T130" s="93">
        <f t="shared" si="22"/>
        <v>1.7763568394002505E-15</v>
      </c>
      <c r="U130" s="122"/>
      <c r="V130" s="94">
        <f t="shared" ca="1" si="21"/>
        <v>-336.5355552083347</v>
      </c>
      <c r="W130" s="89">
        <f t="shared" si="14"/>
        <v>1.9308226515220113E-15</v>
      </c>
    </row>
    <row r="131" spans="1:24" ht="18">
      <c r="A131" s="115"/>
      <c r="B131" s="108" t="s">
        <v>199</v>
      </c>
      <c r="C131" s="146" t="s">
        <v>53</v>
      </c>
      <c r="D131" s="131"/>
      <c r="E131" s="147">
        <v>792</v>
      </c>
      <c r="F131" s="97">
        <v>44629</v>
      </c>
      <c r="G131" s="98">
        <v>40.42</v>
      </c>
      <c r="H131" s="147">
        <v>2000790</v>
      </c>
      <c r="I131" s="106">
        <f t="shared" ref="I131:I194" si="23">H131/G131</f>
        <v>49500</v>
      </c>
      <c r="J131" s="122"/>
      <c r="K131" s="157" t="s">
        <v>243</v>
      </c>
      <c r="L131" s="147">
        <v>792</v>
      </c>
      <c r="M131" s="119" t="s">
        <v>244</v>
      </c>
      <c r="N131" s="115">
        <f>32.58+7.84</f>
        <v>40.42</v>
      </c>
      <c r="O131" s="122"/>
      <c r="P131" s="92"/>
      <c r="Q131" s="113"/>
      <c r="R131" s="92"/>
      <c r="S131" s="121"/>
      <c r="T131" s="93">
        <f t="shared" si="22"/>
        <v>0</v>
      </c>
      <c r="U131" s="122"/>
      <c r="V131" s="94">
        <f t="shared" ca="1" si="21"/>
        <v>-308.5355552083347</v>
      </c>
      <c r="W131" s="89">
        <f t="shared" si="14"/>
        <v>0</v>
      </c>
    </row>
    <row r="132" spans="1:24" ht="18">
      <c r="A132" s="115"/>
      <c r="B132" s="108" t="s">
        <v>199</v>
      </c>
      <c r="C132" s="146" t="s">
        <v>200</v>
      </c>
      <c r="D132" s="176"/>
      <c r="E132" s="164">
        <v>798</v>
      </c>
      <c r="F132" s="97">
        <v>44629</v>
      </c>
      <c r="G132" s="98">
        <v>39.049999999999997</v>
      </c>
      <c r="H132" s="164">
        <v>1904181</v>
      </c>
      <c r="I132" s="177">
        <f t="shared" si="23"/>
        <v>48762.637644046095</v>
      </c>
      <c r="J132" s="122"/>
      <c r="K132" s="157" t="s">
        <v>258</v>
      </c>
      <c r="L132" s="147">
        <v>798</v>
      </c>
      <c r="M132" s="119" t="s">
        <v>263</v>
      </c>
      <c r="N132" s="115">
        <f>18.14+20.91</f>
        <v>39.049999999999997</v>
      </c>
      <c r="O132" s="122"/>
      <c r="P132" s="92"/>
      <c r="Q132" s="113"/>
      <c r="R132" s="92"/>
      <c r="S132" s="121"/>
      <c r="T132" s="93">
        <f t="shared" si="22"/>
        <v>0</v>
      </c>
      <c r="U132" s="122"/>
      <c r="V132" s="94">
        <f t="shared" ca="1" si="21"/>
        <v>-308.5355552083347</v>
      </c>
      <c r="W132" s="89">
        <f t="shared" si="14"/>
        <v>0</v>
      </c>
    </row>
    <row r="133" spans="1:24" ht="18">
      <c r="A133" s="115"/>
      <c r="B133" s="108" t="s">
        <v>199</v>
      </c>
      <c r="C133" s="146" t="s">
        <v>201</v>
      </c>
      <c r="D133" s="176"/>
      <c r="E133" s="164">
        <v>799</v>
      </c>
      <c r="F133" s="97">
        <v>44629</v>
      </c>
      <c r="G133" s="98">
        <v>39.42</v>
      </c>
      <c r="H133" s="164">
        <v>1951290</v>
      </c>
      <c r="I133" s="177">
        <f t="shared" si="23"/>
        <v>49500</v>
      </c>
      <c r="J133" s="122"/>
      <c r="K133" s="157" t="s">
        <v>259</v>
      </c>
      <c r="L133" s="147">
        <v>799</v>
      </c>
      <c r="M133" s="119" t="s">
        <v>264</v>
      </c>
      <c r="N133" s="115">
        <f>13.32+26.1</f>
        <v>39.42</v>
      </c>
      <c r="O133" s="122"/>
      <c r="P133" s="92"/>
      <c r="Q133" s="113"/>
      <c r="R133" s="92"/>
      <c r="S133" s="121"/>
      <c r="T133" s="93">
        <f t="shared" si="22"/>
        <v>0</v>
      </c>
      <c r="U133" s="122"/>
      <c r="V133" s="94">
        <f t="shared" ca="1" si="21"/>
        <v>-308.5355552083347</v>
      </c>
      <c r="W133" s="89">
        <f t="shared" si="14"/>
        <v>0</v>
      </c>
    </row>
    <row r="134" spans="1:24" ht="18">
      <c r="A134" s="115"/>
      <c r="B134" s="108" t="s">
        <v>199</v>
      </c>
      <c r="C134" s="146" t="s">
        <v>200</v>
      </c>
      <c r="D134" s="176"/>
      <c r="E134" s="164">
        <v>801</v>
      </c>
      <c r="F134" s="97">
        <v>44630</v>
      </c>
      <c r="G134" s="98">
        <v>39.46</v>
      </c>
      <c r="H134" s="164">
        <v>1953270</v>
      </c>
      <c r="I134" s="177">
        <f t="shared" si="23"/>
        <v>49500</v>
      </c>
      <c r="J134" s="122"/>
      <c r="K134" s="157" t="s">
        <v>260</v>
      </c>
      <c r="L134" s="147">
        <v>801</v>
      </c>
      <c r="M134" s="119" t="s">
        <v>265</v>
      </c>
      <c r="N134" s="115">
        <f>8.66+14.1+16.7</f>
        <v>39.459999999999994</v>
      </c>
      <c r="O134" s="122"/>
      <c r="P134" s="92"/>
      <c r="Q134" s="113"/>
      <c r="R134" s="92"/>
      <c r="S134" s="121"/>
      <c r="T134" s="93">
        <f t="shared" si="22"/>
        <v>7.1054273576010019E-15</v>
      </c>
      <c r="U134" s="122"/>
      <c r="V134" s="94">
        <f t="shared" ca="1" si="21"/>
        <v>-307.5355552083347</v>
      </c>
      <c r="W134" s="89">
        <f t="shared" si="14"/>
        <v>7.7232906060880451E-15</v>
      </c>
    </row>
    <row r="135" spans="1:24" ht="18">
      <c r="A135" s="115"/>
      <c r="B135" s="108" t="s">
        <v>199</v>
      </c>
      <c r="C135" s="146" t="s">
        <v>200</v>
      </c>
      <c r="D135" s="176"/>
      <c r="E135" s="164">
        <v>802</v>
      </c>
      <c r="F135" s="97">
        <v>44630</v>
      </c>
      <c r="G135" s="98">
        <v>39.58</v>
      </c>
      <c r="H135" s="164">
        <v>1959210</v>
      </c>
      <c r="I135" s="177">
        <f t="shared" si="23"/>
        <v>49500</v>
      </c>
      <c r="J135" s="122"/>
      <c r="K135" s="157" t="s">
        <v>268</v>
      </c>
      <c r="L135" s="147">
        <v>802</v>
      </c>
      <c r="M135" s="119" t="s">
        <v>264</v>
      </c>
      <c r="N135" s="115">
        <f>17.91+21.67</f>
        <v>39.58</v>
      </c>
      <c r="O135" s="122"/>
      <c r="P135" s="92"/>
      <c r="Q135" s="113"/>
      <c r="R135" s="92"/>
      <c r="S135" s="121"/>
      <c r="T135" s="93">
        <f t="shared" si="22"/>
        <v>0</v>
      </c>
      <c r="U135" s="122"/>
      <c r="V135" s="94">
        <f t="shared" ca="1" si="21"/>
        <v>-307.5355552083347</v>
      </c>
      <c r="W135" s="89">
        <f t="shared" si="14"/>
        <v>0</v>
      </c>
    </row>
    <row r="136" spans="1:24" ht="18">
      <c r="A136" s="115"/>
      <c r="B136" s="108" t="s">
        <v>199</v>
      </c>
      <c r="C136" s="146" t="s">
        <v>200</v>
      </c>
      <c r="D136" s="176"/>
      <c r="E136" s="164">
        <v>803</v>
      </c>
      <c r="F136" s="97">
        <v>44630</v>
      </c>
      <c r="G136" s="98">
        <v>39.42</v>
      </c>
      <c r="H136" s="164">
        <v>1951290</v>
      </c>
      <c r="I136" s="177">
        <f t="shared" si="23"/>
        <v>49500</v>
      </c>
      <c r="J136" s="122"/>
      <c r="K136" s="157" t="s">
        <v>269</v>
      </c>
      <c r="L136" s="147">
        <v>803</v>
      </c>
      <c r="M136" s="119" t="s">
        <v>264</v>
      </c>
      <c r="N136" s="115">
        <f>12.43+26.99</f>
        <v>39.42</v>
      </c>
      <c r="O136" s="122"/>
      <c r="P136" s="92"/>
      <c r="Q136" s="113"/>
      <c r="R136" s="92"/>
      <c r="S136" s="121"/>
      <c r="T136" s="93">
        <f t="shared" si="22"/>
        <v>0</v>
      </c>
      <c r="U136" s="122"/>
      <c r="V136" s="94">
        <f t="shared" ca="1" si="21"/>
        <v>-307.5355552083347</v>
      </c>
      <c r="W136" s="89">
        <f t="shared" si="14"/>
        <v>0</v>
      </c>
    </row>
    <row r="137" spans="1:24" ht="18">
      <c r="A137" s="115"/>
      <c r="B137" s="108" t="s">
        <v>199</v>
      </c>
      <c r="C137" s="146" t="s">
        <v>200</v>
      </c>
      <c r="D137" s="176" t="s">
        <v>294</v>
      </c>
      <c r="E137" s="164">
        <v>804</v>
      </c>
      <c r="F137" s="97">
        <v>44630</v>
      </c>
      <c r="G137" s="98">
        <f>44.08</f>
        <v>44.08</v>
      </c>
      <c r="H137" s="164">
        <v>2181960</v>
      </c>
      <c r="I137" s="177">
        <f t="shared" si="23"/>
        <v>49500</v>
      </c>
      <c r="J137" s="122"/>
      <c r="K137" s="157" t="s">
        <v>295</v>
      </c>
      <c r="L137" s="147">
        <v>804</v>
      </c>
      <c r="M137" s="119" t="s">
        <v>296</v>
      </c>
      <c r="N137" s="115">
        <f>8.19+32.925+0.094</f>
        <v>41.208999999999996</v>
      </c>
      <c r="O137" s="122"/>
      <c r="P137" s="92">
        <f>33.019+8.19</f>
        <v>41.208999999999996</v>
      </c>
      <c r="Q137" s="113">
        <f>1.615</f>
        <v>1.615</v>
      </c>
      <c r="R137" s="92">
        <f>1.256</f>
        <v>1.256</v>
      </c>
      <c r="S137" s="121"/>
      <c r="T137" s="93">
        <f t="shared" si="22"/>
        <v>2.2204460492503131E-15</v>
      </c>
      <c r="U137" s="122"/>
      <c r="V137" s="94">
        <f t="shared" ca="1" si="21"/>
        <v>-307.5355552083347</v>
      </c>
      <c r="W137" s="89">
        <f t="shared" si="14"/>
        <v>2.4135283144025143E-15</v>
      </c>
    </row>
    <row r="138" spans="1:24" ht="18">
      <c r="A138" s="115"/>
      <c r="B138" s="108" t="s">
        <v>199</v>
      </c>
      <c r="C138" s="146" t="s">
        <v>200</v>
      </c>
      <c r="D138" s="176"/>
      <c r="E138" s="164">
        <v>805</v>
      </c>
      <c r="F138" s="97">
        <v>44630</v>
      </c>
      <c r="G138" s="98">
        <v>40.28</v>
      </c>
      <c r="H138" s="164">
        <v>1992452</v>
      </c>
      <c r="I138" s="177">
        <f t="shared" si="23"/>
        <v>49465.044687189671</v>
      </c>
      <c r="J138" s="122"/>
      <c r="K138" s="157" t="s">
        <v>297</v>
      </c>
      <c r="L138" s="147">
        <v>805</v>
      </c>
      <c r="M138" s="119" t="s">
        <v>298</v>
      </c>
      <c r="N138" s="115">
        <f>0.279+7.132+29.647</f>
        <v>37.058</v>
      </c>
      <c r="O138" s="122"/>
      <c r="P138" s="92">
        <f>G138*0.92</f>
        <v>37.057600000000001</v>
      </c>
      <c r="Q138" s="113">
        <f>G138*4.5%</f>
        <v>1.8126</v>
      </c>
      <c r="R138" s="92">
        <f>G138*3.5%</f>
        <v>1.4098000000000002</v>
      </c>
      <c r="S138" s="121"/>
      <c r="T138" s="93">
        <f t="shared" si="22"/>
        <v>-3.9999999999884572E-4</v>
      </c>
      <c r="U138" s="122"/>
      <c r="V138" s="94">
        <f t="shared" ca="1" si="21"/>
        <v>-307.5355552083347</v>
      </c>
      <c r="W138" s="89">
        <f t="shared" si="14"/>
        <v>-4.3478260869439755E-4</v>
      </c>
    </row>
    <row r="139" spans="1:24" ht="18">
      <c r="A139" s="115"/>
      <c r="B139" s="108" t="s">
        <v>199</v>
      </c>
      <c r="C139" s="146" t="s">
        <v>200</v>
      </c>
      <c r="D139" s="176"/>
      <c r="E139" s="164">
        <v>806</v>
      </c>
      <c r="F139" s="97">
        <v>44630</v>
      </c>
      <c r="G139" s="98">
        <v>40.31</v>
      </c>
      <c r="H139" s="164">
        <v>1884882</v>
      </c>
      <c r="I139" s="177">
        <f t="shared" si="23"/>
        <v>46759.662614735797</v>
      </c>
      <c r="J139" s="122"/>
      <c r="K139" s="157" t="s">
        <v>305</v>
      </c>
      <c r="L139" s="147">
        <v>806</v>
      </c>
      <c r="M139" s="119" t="s">
        <v>306</v>
      </c>
      <c r="N139" s="115">
        <f>2.794+34.291</f>
        <v>37.084999999999994</v>
      </c>
      <c r="O139" s="122"/>
      <c r="P139" s="92">
        <f t="shared" ref="P139:P191" si="24">G139*0.92</f>
        <v>37.0852</v>
      </c>
      <c r="Q139" s="113">
        <f t="shared" ref="Q139:Q191" si="25">G139*4.5%</f>
        <v>1.81395</v>
      </c>
      <c r="R139" s="92">
        <f t="shared" ref="R139:R191" si="26">G139*3.5%</f>
        <v>1.4108500000000002</v>
      </c>
      <c r="S139" s="121"/>
      <c r="T139" s="93">
        <f t="shared" si="22"/>
        <v>2.0000000000841567E-4</v>
      </c>
      <c r="U139" s="122"/>
      <c r="V139" s="94">
        <f t="shared" ca="1" si="21"/>
        <v>-307.5355552083347</v>
      </c>
      <c r="W139" s="89">
        <f t="shared" si="14"/>
        <v>2.1739130435697356E-4</v>
      </c>
    </row>
    <row r="140" spans="1:24" ht="18">
      <c r="A140" s="115"/>
      <c r="B140" s="108" t="s">
        <v>199</v>
      </c>
      <c r="C140" s="146" t="s">
        <v>200</v>
      </c>
      <c r="D140" s="176"/>
      <c r="E140" s="164">
        <v>807</v>
      </c>
      <c r="F140" s="97">
        <v>44630</v>
      </c>
      <c r="G140" s="98">
        <v>40.17</v>
      </c>
      <c r="H140" s="164">
        <v>1877515</v>
      </c>
      <c r="I140" s="177">
        <f t="shared" si="23"/>
        <v>46739.233258650733</v>
      </c>
      <c r="J140" s="122"/>
      <c r="K140" s="157" t="s">
        <v>310</v>
      </c>
      <c r="L140" s="147">
        <v>807</v>
      </c>
      <c r="M140" s="119" t="s">
        <v>311</v>
      </c>
      <c r="N140" s="115">
        <f>8.628+28.328</f>
        <v>36.956000000000003</v>
      </c>
      <c r="O140" s="122"/>
      <c r="P140" s="92">
        <f t="shared" si="24"/>
        <v>36.956400000000002</v>
      </c>
      <c r="Q140" s="113">
        <f t="shared" si="25"/>
        <v>1.80765</v>
      </c>
      <c r="R140" s="92">
        <f t="shared" si="26"/>
        <v>1.4059500000000003</v>
      </c>
      <c r="S140" s="121"/>
      <c r="T140" s="93">
        <f t="shared" si="22"/>
        <v>3.9999999999840163E-4</v>
      </c>
      <c r="U140" s="122"/>
      <c r="V140" s="94">
        <f t="shared" ca="1" si="21"/>
        <v>-307.5355552083347</v>
      </c>
      <c r="W140" s="89">
        <f t="shared" si="14"/>
        <v>4.3478260869391481E-4</v>
      </c>
    </row>
    <row r="141" spans="1:24" ht="18">
      <c r="A141" s="115"/>
      <c r="B141" s="108" t="s">
        <v>199</v>
      </c>
      <c r="C141" s="146" t="s">
        <v>200</v>
      </c>
      <c r="D141" s="176"/>
      <c r="E141" s="164">
        <v>808</v>
      </c>
      <c r="F141" s="97">
        <v>44630</v>
      </c>
      <c r="G141" s="98">
        <v>40.11</v>
      </c>
      <c r="H141" s="164">
        <v>1874364</v>
      </c>
      <c r="I141" s="177">
        <f t="shared" si="23"/>
        <v>46730.59087509349</v>
      </c>
      <c r="J141" s="122"/>
      <c r="K141" s="157" t="s">
        <v>314</v>
      </c>
      <c r="L141" s="147">
        <v>808</v>
      </c>
      <c r="M141" s="119" t="s">
        <v>315</v>
      </c>
      <c r="N141" s="115">
        <f>13.286+23.615</f>
        <v>36.900999999999996</v>
      </c>
      <c r="O141" s="122"/>
      <c r="P141" s="92">
        <f t="shared" si="24"/>
        <v>36.901200000000003</v>
      </c>
      <c r="Q141" s="113">
        <f t="shared" si="25"/>
        <v>1.8049499999999998</v>
      </c>
      <c r="R141" s="92">
        <f t="shared" si="26"/>
        <v>1.40385</v>
      </c>
      <c r="S141" s="121"/>
      <c r="T141" s="93">
        <f t="shared" si="22"/>
        <v>2.0000000000330864E-4</v>
      </c>
      <c r="U141" s="122"/>
      <c r="V141" s="94">
        <f t="shared" ca="1" si="21"/>
        <v>-307.5355552083347</v>
      </c>
      <c r="W141" s="89">
        <f t="shared" si="14"/>
        <v>2.1739130435142245E-4</v>
      </c>
    </row>
    <row r="142" spans="1:24" ht="18">
      <c r="A142" s="115"/>
      <c r="B142" s="108" t="s">
        <v>199</v>
      </c>
      <c r="C142" s="146" t="s">
        <v>200</v>
      </c>
      <c r="D142" s="176"/>
      <c r="E142" s="164">
        <v>809</v>
      </c>
      <c r="F142" s="97">
        <v>44630</v>
      </c>
      <c r="G142" s="98">
        <v>39.24</v>
      </c>
      <c r="H142" s="164">
        <v>1833506</v>
      </c>
      <c r="I142" s="177">
        <f t="shared" si="23"/>
        <v>46725.433231396535</v>
      </c>
      <c r="J142" s="122"/>
      <c r="K142" s="158" t="s">
        <v>323</v>
      </c>
      <c r="L142" s="147">
        <v>809</v>
      </c>
      <c r="M142" s="119" t="s">
        <v>324</v>
      </c>
      <c r="N142" s="115">
        <f>18.178+6.157+11.766</f>
        <v>36.100999999999999</v>
      </c>
      <c r="O142" s="122"/>
      <c r="P142" s="92">
        <f t="shared" si="24"/>
        <v>36.100800000000007</v>
      </c>
      <c r="Q142" s="113">
        <f t="shared" si="25"/>
        <v>1.7658</v>
      </c>
      <c r="R142" s="92">
        <f t="shared" si="26"/>
        <v>1.3734000000000002</v>
      </c>
      <c r="S142" s="121"/>
      <c r="T142" s="93">
        <f t="shared" si="22"/>
        <v>-1.9999999999731344E-4</v>
      </c>
      <c r="U142" s="122"/>
      <c r="V142" s="94">
        <f t="shared" ca="1" si="21"/>
        <v>-307.5355552083347</v>
      </c>
      <c r="W142" s="89">
        <f t="shared" si="14"/>
        <v>-2.173913043449059E-4</v>
      </c>
    </row>
    <row r="143" spans="1:24" ht="18">
      <c r="A143" s="115"/>
      <c r="B143" s="108" t="s">
        <v>199</v>
      </c>
      <c r="C143" s="146" t="s">
        <v>200</v>
      </c>
      <c r="D143" s="176"/>
      <c r="E143" s="164">
        <v>810</v>
      </c>
      <c r="F143" s="97">
        <v>44630</v>
      </c>
      <c r="G143" s="98">
        <v>40.06</v>
      </c>
      <c r="H143" s="164">
        <v>1853394</v>
      </c>
      <c r="I143" s="177">
        <f t="shared" si="23"/>
        <v>46265.451822266601</v>
      </c>
      <c r="J143" s="122"/>
      <c r="K143" s="158" t="s">
        <v>327</v>
      </c>
      <c r="L143" s="147">
        <v>810</v>
      </c>
      <c r="M143" s="119" t="s">
        <v>325</v>
      </c>
      <c r="N143" s="115">
        <f>3.614+33.241</f>
        <v>36.854999999999997</v>
      </c>
      <c r="O143" s="122"/>
      <c r="P143" s="92">
        <f t="shared" si="24"/>
        <v>36.855200000000004</v>
      </c>
      <c r="Q143" s="113">
        <f t="shared" si="25"/>
        <v>1.8027</v>
      </c>
      <c r="R143" s="92">
        <f t="shared" si="26"/>
        <v>1.4021000000000001</v>
      </c>
      <c r="S143" s="121"/>
      <c r="T143" s="93">
        <f t="shared" si="22"/>
        <v>2.0000000000530704E-4</v>
      </c>
      <c r="U143" s="122"/>
      <c r="V143" s="94">
        <f t="shared" ca="1" si="21"/>
        <v>-307.5355552083347</v>
      </c>
      <c r="W143" s="89">
        <f t="shared" si="14"/>
        <v>2.1739130435359462E-4</v>
      </c>
    </row>
    <row r="144" spans="1:24" ht="18">
      <c r="A144" s="115"/>
      <c r="B144" s="108" t="s">
        <v>199</v>
      </c>
      <c r="C144" s="146" t="s">
        <v>200</v>
      </c>
      <c r="D144" s="176"/>
      <c r="E144" s="164">
        <v>813</v>
      </c>
      <c r="F144" s="97">
        <v>44631</v>
      </c>
      <c r="G144" s="98">
        <v>40.32</v>
      </c>
      <c r="H144" s="164">
        <v>1764000</v>
      </c>
      <c r="I144" s="177">
        <f t="shared" si="23"/>
        <v>43750</v>
      </c>
      <c r="J144" s="122"/>
      <c r="K144" s="158" t="s">
        <v>328</v>
      </c>
      <c r="L144" s="147">
        <v>813</v>
      </c>
      <c r="M144" s="119" t="s">
        <v>326</v>
      </c>
      <c r="N144" s="115">
        <f>8.262+28.832</f>
        <v>37.094000000000001</v>
      </c>
      <c r="O144" s="122"/>
      <c r="P144" s="92">
        <f t="shared" si="24"/>
        <v>37.0944</v>
      </c>
      <c r="Q144" s="113">
        <f t="shared" si="25"/>
        <v>1.8144</v>
      </c>
      <c r="R144" s="92">
        <f t="shared" si="26"/>
        <v>1.4112000000000002</v>
      </c>
      <c r="S144" s="121"/>
      <c r="T144" s="93">
        <f t="shared" si="22"/>
        <v>3.9999999999884572E-4</v>
      </c>
      <c r="U144" s="122"/>
      <c r="V144" s="94">
        <f t="shared" ca="1" si="21"/>
        <v>-306.5355552083347</v>
      </c>
      <c r="W144" s="89">
        <f t="shared" si="14"/>
        <v>4.3478260869439755E-4</v>
      </c>
    </row>
    <row r="145" spans="1:23" ht="18">
      <c r="A145" s="115"/>
      <c r="B145" s="108" t="s">
        <v>199</v>
      </c>
      <c r="C145" s="146" t="s">
        <v>200</v>
      </c>
      <c r="D145" s="176"/>
      <c r="E145" s="164">
        <v>814</v>
      </c>
      <c r="F145" s="97">
        <v>44631</v>
      </c>
      <c r="G145" s="98">
        <v>39.44</v>
      </c>
      <c r="H145" s="164">
        <v>1725500</v>
      </c>
      <c r="I145" s="177">
        <f t="shared" si="23"/>
        <v>43750</v>
      </c>
      <c r="J145" s="122"/>
      <c r="K145" s="158" t="s">
        <v>333</v>
      </c>
      <c r="L145" s="147">
        <v>814</v>
      </c>
      <c r="M145" s="119" t="s">
        <v>334</v>
      </c>
      <c r="N145" s="115">
        <f>12.264+2.73+21.306</f>
        <v>36.299999999999997</v>
      </c>
      <c r="O145" s="122"/>
      <c r="P145" s="92">
        <f>G145*0.92+0.015</f>
        <v>36.299799999999998</v>
      </c>
      <c r="Q145" s="113">
        <f>G145*4.5%-0.0075</f>
        <v>1.7672999999999999</v>
      </c>
      <c r="R145" s="92">
        <f>G145*3.5%-0.0075</f>
        <v>1.3729</v>
      </c>
      <c r="S145" s="121"/>
      <c r="T145" s="93">
        <f>G145-N145-Q145-R145</f>
        <v>-1.9999999999931184E-4</v>
      </c>
      <c r="U145" s="122"/>
      <c r="V145" s="94">
        <f t="shared" ca="1" si="21"/>
        <v>-306.5355552083347</v>
      </c>
      <c r="W145" s="89">
        <f t="shared" si="14"/>
        <v>-2.173913043470781E-4</v>
      </c>
    </row>
    <row r="146" spans="1:23" ht="18">
      <c r="A146" s="115"/>
      <c r="B146" s="108" t="s">
        <v>199</v>
      </c>
      <c r="C146" s="146" t="s">
        <v>200</v>
      </c>
      <c r="D146" s="176"/>
      <c r="E146" s="164">
        <v>815</v>
      </c>
      <c r="F146" s="97">
        <v>44631</v>
      </c>
      <c r="G146" s="98">
        <v>39.520000000000003</v>
      </c>
      <c r="H146" s="164">
        <v>1729000</v>
      </c>
      <c r="I146" s="177">
        <f t="shared" si="23"/>
        <v>43750</v>
      </c>
      <c r="J146" s="122"/>
      <c r="K146" s="157" t="s">
        <v>335</v>
      </c>
      <c r="L146" s="147">
        <v>815</v>
      </c>
      <c r="M146" s="119" t="s">
        <v>336</v>
      </c>
      <c r="N146" s="115">
        <f>32.669+3.704</f>
        <v>36.372999999999998</v>
      </c>
      <c r="O146" s="122"/>
      <c r="P146" s="92">
        <f>G146*0.92+0.015</f>
        <v>36.373400000000004</v>
      </c>
      <c r="Q146" s="113">
        <f>G146*4.5%-0.0075</f>
        <v>1.7708999999999999</v>
      </c>
      <c r="R146" s="92">
        <f>G146*3.5%-0.0075</f>
        <v>1.3757000000000001</v>
      </c>
      <c r="S146" s="121"/>
      <c r="T146" s="93">
        <f t="shared" si="22"/>
        <v>4.0000000000550706E-4</v>
      </c>
      <c r="U146" s="122"/>
      <c r="V146" s="94">
        <f t="shared" ca="1" si="21"/>
        <v>-306.5355552083347</v>
      </c>
      <c r="W146" s="89">
        <f t="shared" si="14"/>
        <v>4.3478260870163812E-4</v>
      </c>
    </row>
    <row r="147" spans="1:23" ht="18">
      <c r="A147" s="115"/>
      <c r="B147" s="108" t="s">
        <v>199</v>
      </c>
      <c r="C147" s="146" t="s">
        <v>200</v>
      </c>
      <c r="D147" s="176"/>
      <c r="E147" s="164">
        <v>816</v>
      </c>
      <c r="F147" s="97">
        <v>44631</v>
      </c>
      <c r="G147" s="98">
        <v>39.479999999999997</v>
      </c>
      <c r="H147" s="164">
        <v>1727250</v>
      </c>
      <c r="I147" s="177">
        <f t="shared" si="23"/>
        <v>43750</v>
      </c>
      <c r="J147" s="122"/>
      <c r="K147" s="157" t="s">
        <v>337</v>
      </c>
      <c r="L147" s="147">
        <v>816</v>
      </c>
      <c r="M147" s="119" t="s">
        <v>338</v>
      </c>
      <c r="N147" s="115">
        <f>33.033+3.299</f>
        <v>36.332000000000001</v>
      </c>
      <c r="O147" s="122"/>
      <c r="P147" s="92">
        <f>G147*0.92+0.01</f>
        <v>36.331599999999995</v>
      </c>
      <c r="Q147" s="113">
        <f>G147*4.5%-0.005</f>
        <v>1.7715999999999998</v>
      </c>
      <c r="R147" s="92">
        <f>G147*3.5%-0.005</f>
        <v>1.3768</v>
      </c>
      <c r="S147" s="121"/>
      <c r="T147" s="93">
        <f t="shared" si="22"/>
        <v>-4.000000000037307E-4</v>
      </c>
      <c r="U147" s="122"/>
      <c r="V147" s="94">
        <f t="shared" ca="1" si="21"/>
        <v>-306.5355552083347</v>
      </c>
      <c r="W147" s="89">
        <f t="shared" si="14"/>
        <v>-4.3478260869970732E-4</v>
      </c>
    </row>
    <row r="148" spans="1:23" ht="18">
      <c r="A148" s="115"/>
      <c r="B148" s="108" t="s">
        <v>199</v>
      </c>
      <c r="C148" s="146" t="s">
        <v>94</v>
      </c>
      <c r="D148" s="176"/>
      <c r="E148" s="164">
        <v>820</v>
      </c>
      <c r="F148" s="97">
        <v>44633</v>
      </c>
      <c r="G148" s="98">
        <v>40.229999999999997</v>
      </c>
      <c r="H148" s="164">
        <v>1881289</v>
      </c>
      <c r="I148" s="177">
        <f t="shared" si="23"/>
        <v>46763.33581904052</v>
      </c>
      <c r="J148" s="122"/>
      <c r="K148" s="157" t="s">
        <v>339</v>
      </c>
      <c r="L148" s="147">
        <v>820</v>
      </c>
      <c r="M148" s="119" t="s">
        <v>340</v>
      </c>
      <c r="N148" s="115">
        <f>32.828+4.198</f>
        <v>37.026000000000003</v>
      </c>
      <c r="O148" s="122"/>
      <c r="P148" s="92">
        <f>G148*0.92+0.014</f>
        <v>37.025600000000004</v>
      </c>
      <c r="Q148" s="113">
        <f>G148*4.5%-0.007</f>
        <v>1.8033499999999998</v>
      </c>
      <c r="R148" s="92">
        <f>G148*3.5%-0.007</f>
        <v>1.4010500000000001</v>
      </c>
      <c r="S148" s="121"/>
      <c r="T148" s="93">
        <f t="shared" si="22"/>
        <v>-4.0000000000639524E-4</v>
      </c>
      <c r="U148" s="122"/>
      <c r="V148" s="94">
        <f t="shared" ca="1" si="21"/>
        <v>-304.5355552083347</v>
      </c>
      <c r="W148" s="89">
        <f t="shared" si="14"/>
        <v>-4.3478260870260355E-4</v>
      </c>
    </row>
    <row r="149" spans="1:23" ht="18">
      <c r="A149" s="115"/>
      <c r="B149" s="108" t="s">
        <v>199</v>
      </c>
      <c r="C149" s="146" t="s">
        <v>94</v>
      </c>
      <c r="D149" s="176"/>
      <c r="E149" s="164">
        <v>821</v>
      </c>
      <c r="F149" s="97">
        <v>44633</v>
      </c>
      <c r="G149" s="98">
        <v>40.409999999999997</v>
      </c>
      <c r="H149" s="164">
        <v>1889357</v>
      </c>
      <c r="I149" s="177">
        <f t="shared" si="23"/>
        <v>46754.689433308587</v>
      </c>
      <c r="J149" s="122"/>
      <c r="K149" s="157">
        <v>161</v>
      </c>
      <c r="L149" s="147">
        <v>821</v>
      </c>
      <c r="M149" s="119" t="s">
        <v>341</v>
      </c>
      <c r="N149" s="115">
        <v>37.177</v>
      </c>
      <c r="O149" s="122"/>
      <c r="P149" s="92">
        <f t="shared" si="24"/>
        <v>37.177199999999999</v>
      </c>
      <c r="Q149" s="113">
        <f t="shared" si="25"/>
        <v>1.8184499999999997</v>
      </c>
      <c r="R149" s="92">
        <f t="shared" si="26"/>
        <v>1.41435</v>
      </c>
      <c r="S149" s="121"/>
      <c r="T149" s="93">
        <f t="shared" si="22"/>
        <v>1.9999999999731344E-4</v>
      </c>
      <c r="U149" s="122"/>
      <c r="V149" s="94">
        <f t="shared" ca="1" si="21"/>
        <v>-304.5355552083347</v>
      </c>
      <c r="W149" s="89">
        <f t="shared" si="14"/>
        <v>2.173913043449059E-4</v>
      </c>
    </row>
    <row r="150" spans="1:23" ht="18">
      <c r="A150" s="115"/>
      <c r="B150" s="108" t="s">
        <v>199</v>
      </c>
      <c r="C150" s="146" t="s">
        <v>94</v>
      </c>
      <c r="D150" s="176"/>
      <c r="E150" s="164">
        <v>823</v>
      </c>
      <c r="F150" s="97">
        <v>44633</v>
      </c>
      <c r="G150" s="98">
        <v>40.159999999999997</v>
      </c>
      <c r="H150" s="164">
        <v>1877642</v>
      </c>
      <c r="I150" s="177">
        <f t="shared" si="23"/>
        <v>46754.033864541838</v>
      </c>
      <c r="J150" s="122"/>
      <c r="K150" s="157" t="s">
        <v>403</v>
      </c>
      <c r="L150" s="147">
        <v>823</v>
      </c>
      <c r="M150" s="119" t="s">
        <v>404</v>
      </c>
      <c r="N150" s="115">
        <f>4.323+14.598+12.857+5.169</f>
        <v>36.946999999999996</v>
      </c>
      <c r="O150" s="122"/>
      <c r="P150" s="92">
        <f t="shared" si="24"/>
        <v>36.947199999999995</v>
      </c>
      <c r="Q150" s="113">
        <f t="shared" si="25"/>
        <v>1.8071999999999997</v>
      </c>
      <c r="R150" s="92">
        <f t="shared" si="26"/>
        <v>1.4056</v>
      </c>
      <c r="S150" s="121"/>
      <c r="T150" s="93">
        <f t="shared" si="22"/>
        <v>2.0000000000131024E-4</v>
      </c>
      <c r="U150" s="122"/>
      <c r="V150" s="94">
        <f t="shared" ca="1" si="21"/>
        <v>-304.5355552083347</v>
      </c>
      <c r="W150" s="89">
        <f t="shared" si="14"/>
        <v>2.1739130434925025E-4</v>
      </c>
    </row>
    <row r="151" spans="1:23" ht="18">
      <c r="A151" s="115"/>
      <c r="B151" s="108" t="s">
        <v>199</v>
      </c>
      <c r="C151" s="146" t="s">
        <v>94</v>
      </c>
      <c r="D151" s="176"/>
      <c r="E151" s="164">
        <v>824</v>
      </c>
      <c r="F151" s="97">
        <v>44633</v>
      </c>
      <c r="G151" s="98">
        <v>40.380000000000003</v>
      </c>
      <c r="H151" s="164">
        <v>1888148</v>
      </c>
      <c r="I151" s="177">
        <f t="shared" si="23"/>
        <v>46759.484893511639</v>
      </c>
      <c r="J151" s="122"/>
      <c r="K151" s="157" t="s">
        <v>405</v>
      </c>
      <c r="L151" s="147">
        <v>824</v>
      </c>
      <c r="M151" s="119" t="s">
        <v>406</v>
      </c>
      <c r="N151" s="115">
        <f>26.725+10.425</f>
        <v>37.150000000000006</v>
      </c>
      <c r="O151" s="122"/>
      <c r="P151" s="92">
        <f t="shared" si="24"/>
        <v>37.149600000000007</v>
      </c>
      <c r="Q151" s="113">
        <f t="shared" si="25"/>
        <v>1.8170999999999999</v>
      </c>
      <c r="R151" s="92">
        <f t="shared" si="26"/>
        <v>1.4133000000000002</v>
      </c>
      <c r="S151" s="121"/>
      <c r="T151" s="93">
        <f t="shared" si="22"/>
        <v>-4.0000000000328662E-4</v>
      </c>
      <c r="U151" s="122"/>
      <c r="V151" s="94">
        <f t="shared" ca="1" si="21"/>
        <v>-304.5355552083347</v>
      </c>
      <c r="W151" s="89">
        <f t="shared" si="14"/>
        <v>-4.3478260869922458E-4</v>
      </c>
    </row>
    <row r="152" spans="1:23" ht="18">
      <c r="A152" s="115"/>
      <c r="B152" s="108" t="s">
        <v>199</v>
      </c>
      <c r="C152" s="146" t="s">
        <v>94</v>
      </c>
      <c r="D152" s="176"/>
      <c r="E152" s="164">
        <v>825</v>
      </c>
      <c r="F152" s="97">
        <v>44633</v>
      </c>
      <c r="G152" s="98">
        <v>40.36</v>
      </c>
      <c r="H152" s="164">
        <v>1887085</v>
      </c>
      <c r="I152" s="177">
        <f t="shared" si="23"/>
        <v>46756.318136769078</v>
      </c>
      <c r="J152" s="122"/>
      <c r="K152" s="157" t="s">
        <v>408</v>
      </c>
      <c r="L152" s="147">
        <v>825</v>
      </c>
      <c r="M152" s="119" t="s">
        <v>409</v>
      </c>
      <c r="N152" s="115">
        <f>32.457+4.674</f>
        <v>37.131</v>
      </c>
      <c r="O152" s="122"/>
      <c r="P152" s="92">
        <f t="shared" si="24"/>
        <v>37.1312</v>
      </c>
      <c r="Q152" s="113">
        <f t="shared" si="25"/>
        <v>1.8161999999999998</v>
      </c>
      <c r="R152" s="92">
        <f t="shared" si="26"/>
        <v>1.4126000000000001</v>
      </c>
      <c r="S152" s="121"/>
      <c r="T152" s="93">
        <f t="shared" si="22"/>
        <v>1.9999999999931184E-4</v>
      </c>
      <c r="U152" s="122"/>
      <c r="V152" s="94">
        <f t="shared" ca="1" si="21"/>
        <v>-304.5355552083347</v>
      </c>
      <c r="W152" s="89">
        <f t="shared" si="14"/>
        <v>2.173913043470781E-4</v>
      </c>
    </row>
    <row r="153" spans="1:23" ht="18">
      <c r="A153" s="115"/>
      <c r="B153" s="108" t="s">
        <v>199</v>
      </c>
      <c r="C153" s="146" t="s">
        <v>94</v>
      </c>
      <c r="D153" s="176"/>
      <c r="E153" s="164">
        <v>826</v>
      </c>
      <c r="F153" s="97">
        <v>44633</v>
      </c>
      <c r="G153" s="98">
        <v>40.39</v>
      </c>
      <c r="H153" s="164">
        <v>1885392</v>
      </c>
      <c r="I153" s="177">
        <f t="shared" si="23"/>
        <v>46679.673186432286</v>
      </c>
      <c r="J153" s="122"/>
      <c r="K153" s="157" t="s">
        <v>410</v>
      </c>
      <c r="L153" s="147">
        <v>826</v>
      </c>
      <c r="M153" s="119" t="s">
        <v>407</v>
      </c>
      <c r="N153" s="115">
        <f>17.112+20.047</f>
        <v>37.158999999999999</v>
      </c>
      <c r="O153" s="122"/>
      <c r="P153" s="92">
        <f t="shared" si="24"/>
        <v>37.158799999999999</v>
      </c>
      <c r="Q153" s="113">
        <f t="shared" si="25"/>
        <v>1.81755</v>
      </c>
      <c r="R153" s="92">
        <f t="shared" si="26"/>
        <v>1.4136500000000001</v>
      </c>
      <c r="S153" s="121"/>
      <c r="T153" s="93">
        <f t="shared" si="22"/>
        <v>-1.9999999999842366E-4</v>
      </c>
      <c r="U153" s="122"/>
      <c r="V153" s="94">
        <f t="shared" ca="1" si="21"/>
        <v>-304.5355552083347</v>
      </c>
      <c r="W153" s="89">
        <f t="shared" si="14"/>
        <v>-2.173913043461127E-4</v>
      </c>
    </row>
    <row r="154" spans="1:23" ht="18">
      <c r="A154" s="115"/>
      <c r="B154" s="108" t="s">
        <v>199</v>
      </c>
      <c r="C154" s="146" t="s">
        <v>94</v>
      </c>
      <c r="D154" s="176"/>
      <c r="E154" s="164">
        <v>827</v>
      </c>
      <c r="F154" s="97">
        <v>44634</v>
      </c>
      <c r="G154" s="98">
        <v>40.549999999999997</v>
      </c>
      <c r="H154" s="164">
        <v>1887594</v>
      </c>
      <c r="I154" s="177">
        <f t="shared" si="23"/>
        <v>46549.790382244144</v>
      </c>
      <c r="J154" s="122"/>
      <c r="K154" s="157" t="s">
        <v>411</v>
      </c>
      <c r="L154" s="147">
        <v>827</v>
      </c>
      <c r="M154" s="119" t="s">
        <v>407</v>
      </c>
      <c r="N154" s="115">
        <f>6.771+30.535</f>
        <v>37.305999999999997</v>
      </c>
      <c r="O154" s="122"/>
      <c r="P154" s="92">
        <f t="shared" si="24"/>
        <v>37.305999999999997</v>
      </c>
      <c r="Q154" s="113">
        <f t="shared" si="25"/>
        <v>1.8247499999999999</v>
      </c>
      <c r="R154" s="92">
        <f t="shared" si="26"/>
        <v>1.4192500000000001</v>
      </c>
      <c r="S154" s="121"/>
      <c r="T154" s="93">
        <f t="shared" si="22"/>
        <v>0</v>
      </c>
      <c r="U154" s="122"/>
      <c r="V154" s="94">
        <f t="shared" ca="1" si="21"/>
        <v>-303.5355552083347</v>
      </c>
      <c r="W154" s="89">
        <f t="shared" ref="W154:W164" si="27">T154/0.92%/100</f>
        <v>0</v>
      </c>
    </row>
    <row r="155" spans="1:23" ht="18">
      <c r="A155" s="115"/>
      <c r="B155" s="108" t="s">
        <v>199</v>
      </c>
      <c r="C155" s="146" t="s">
        <v>94</v>
      </c>
      <c r="D155" s="176"/>
      <c r="E155" s="164">
        <v>828</v>
      </c>
      <c r="F155" s="97">
        <v>44634</v>
      </c>
      <c r="G155" s="98">
        <v>40.89</v>
      </c>
      <c r="H155" s="164">
        <v>1903430</v>
      </c>
      <c r="I155" s="177">
        <f t="shared" si="23"/>
        <v>46550.012227928586</v>
      </c>
      <c r="J155" s="122"/>
      <c r="K155" s="157" t="s">
        <v>413</v>
      </c>
      <c r="L155" s="147">
        <v>828</v>
      </c>
      <c r="M155" s="119" t="s">
        <v>412</v>
      </c>
      <c r="N155" s="115">
        <f>1.846+32.703+3.07</f>
        <v>37.619000000000007</v>
      </c>
      <c r="O155" s="122"/>
      <c r="P155" s="92">
        <f t="shared" si="24"/>
        <v>37.6188</v>
      </c>
      <c r="Q155" s="113">
        <f t="shared" si="25"/>
        <v>1.84005</v>
      </c>
      <c r="R155" s="92">
        <f t="shared" si="26"/>
        <v>1.4311500000000001</v>
      </c>
      <c r="S155" s="121"/>
      <c r="T155" s="93">
        <f t="shared" si="22"/>
        <v>-2.0000000000641727E-4</v>
      </c>
      <c r="U155" s="122"/>
      <c r="V155" s="94">
        <f t="shared" ca="1" si="21"/>
        <v>-303.5355552083347</v>
      </c>
      <c r="W155" s="89">
        <f t="shared" si="27"/>
        <v>-2.1739130435480136E-4</v>
      </c>
    </row>
    <row r="156" spans="1:23" ht="18">
      <c r="A156" s="115"/>
      <c r="B156" s="108" t="s">
        <v>199</v>
      </c>
      <c r="C156" s="146" t="s">
        <v>200</v>
      </c>
      <c r="D156" s="176"/>
      <c r="E156" s="164">
        <v>830</v>
      </c>
      <c r="F156" s="97">
        <v>44635</v>
      </c>
      <c r="G156" s="98">
        <v>39.26</v>
      </c>
      <c r="H156" s="164">
        <v>1921746</v>
      </c>
      <c r="I156" s="177">
        <f t="shared" si="23"/>
        <v>48949.210392256755</v>
      </c>
      <c r="J156" s="122"/>
      <c r="K156" s="158">
        <v>177178</v>
      </c>
      <c r="L156" s="147">
        <v>830</v>
      </c>
      <c r="M156" s="119" t="s">
        <v>414</v>
      </c>
      <c r="N156" s="115">
        <f>29.487+6.632</f>
        <v>36.119</v>
      </c>
      <c r="O156" s="122"/>
      <c r="P156" s="92">
        <f t="shared" si="24"/>
        <v>36.119199999999999</v>
      </c>
      <c r="Q156" s="113">
        <f t="shared" si="25"/>
        <v>1.7666999999999999</v>
      </c>
      <c r="R156" s="92">
        <f t="shared" si="26"/>
        <v>1.3741000000000001</v>
      </c>
      <c r="S156" s="121"/>
      <c r="T156" s="93">
        <f t="shared" si="22"/>
        <v>1.9999999999820162E-4</v>
      </c>
      <c r="U156" s="122"/>
      <c r="V156" s="94">
        <f t="shared" ca="1" si="21"/>
        <v>-302.5355552083347</v>
      </c>
      <c r="W156" s="89">
        <f t="shared" si="27"/>
        <v>2.1739130434587133E-4</v>
      </c>
    </row>
    <row r="157" spans="1:23" ht="18">
      <c r="A157" s="115"/>
      <c r="B157" s="108" t="s">
        <v>199</v>
      </c>
      <c r="C157" s="146" t="s">
        <v>200</v>
      </c>
      <c r="D157" s="176"/>
      <c r="E157" s="164">
        <v>831</v>
      </c>
      <c r="F157" s="97">
        <v>44635</v>
      </c>
      <c r="G157" s="98">
        <v>39.520000000000003</v>
      </c>
      <c r="H157" s="164">
        <v>1924889</v>
      </c>
      <c r="I157" s="177">
        <f t="shared" si="23"/>
        <v>48706.705465587038</v>
      </c>
      <c r="J157" s="122"/>
      <c r="K157" s="157" t="s">
        <v>457</v>
      </c>
      <c r="L157" s="147">
        <v>831</v>
      </c>
      <c r="M157" s="119" t="s">
        <v>458</v>
      </c>
      <c r="N157" s="115">
        <f>25.77+10.588</f>
        <v>36.357999999999997</v>
      </c>
      <c r="O157" s="122"/>
      <c r="P157" s="92">
        <f t="shared" si="24"/>
        <v>36.358400000000003</v>
      </c>
      <c r="Q157" s="113">
        <f t="shared" si="25"/>
        <v>1.7784</v>
      </c>
      <c r="R157" s="92">
        <f t="shared" si="26"/>
        <v>1.3832000000000002</v>
      </c>
      <c r="S157" s="121"/>
      <c r="T157" s="93">
        <f t="shared" si="22"/>
        <v>4.0000000000595115E-4</v>
      </c>
      <c r="U157" s="122"/>
      <c r="V157" s="94">
        <f t="shared" ca="1" si="21"/>
        <v>-302.5355552083347</v>
      </c>
      <c r="W157" s="89">
        <f t="shared" si="27"/>
        <v>4.3478260870212081E-4</v>
      </c>
    </row>
    <row r="158" spans="1:23" ht="18">
      <c r="A158" s="115"/>
      <c r="B158" s="108" t="s">
        <v>199</v>
      </c>
      <c r="C158" s="146" t="s">
        <v>200</v>
      </c>
      <c r="D158" s="176"/>
      <c r="E158" s="164">
        <v>832</v>
      </c>
      <c r="F158" s="97">
        <v>44635</v>
      </c>
      <c r="G158" s="98">
        <v>39.200000000000003</v>
      </c>
      <c r="H158" s="164">
        <v>1824764</v>
      </c>
      <c r="I158" s="177">
        <f t="shared" si="23"/>
        <v>46550.102040816324</v>
      </c>
      <c r="J158" s="122"/>
      <c r="K158" s="186" t="s">
        <v>502</v>
      </c>
      <c r="L158" s="164">
        <v>832</v>
      </c>
      <c r="M158" s="160" t="s">
        <v>503</v>
      </c>
      <c r="N158" s="136">
        <f>22.868+13.196</f>
        <v>36.064</v>
      </c>
      <c r="O158" s="122"/>
      <c r="P158" s="92">
        <f t="shared" si="24"/>
        <v>36.064000000000007</v>
      </c>
      <c r="Q158" s="113">
        <f t="shared" si="25"/>
        <v>1.764</v>
      </c>
      <c r="R158" s="92">
        <f t="shared" si="26"/>
        <v>1.3720000000000003</v>
      </c>
      <c r="S158" s="121"/>
      <c r="T158" s="93">
        <f t="shared" si="22"/>
        <v>2.4424906541753444E-15</v>
      </c>
      <c r="U158" s="122"/>
      <c r="V158" s="94">
        <f t="shared" ref="V158:V182" ca="1" si="28">360-($V$3-F158)</f>
        <v>-302.5355552083347</v>
      </c>
      <c r="W158" s="89">
        <f t="shared" si="27"/>
        <v>2.6548811458427658E-15</v>
      </c>
    </row>
    <row r="159" spans="1:23" s="178" customFormat="1" ht="18">
      <c r="A159" s="115"/>
      <c r="B159" s="108" t="s">
        <v>199</v>
      </c>
      <c r="C159" s="175" t="s">
        <v>202</v>
      </c>
      <c r="D159" s="176"/>
      <c r="E159" s="164">
        <v>835</v>
      </c>
      <c r="F159" s="97">
        <v>44635</v>
      </c>
      <c r="G159" s="98">
        <v>39.340000000000003</v>
      </c>
      <c r="H159" s="164">
        <v>1925692</v>
      </c>
      <c r="I159" s="177">
        <f t="shared" si="23"/>
        <v>48949.974580579561</v>
      </c>
      <c r="J159" s="133"/>
      <c r="K159" s="186" t="s">
        <v>483</v>
      </c>
      <c r="L159" s="164">
        <v>835</v>
      </c>
      <c r="M159" s="160" t="s">
        <v>477</v>
      </c>
      <c r="N159" s="136">
        <f>3.009+33.077+0.107</f>
        <v>36.192999999999998</v>
      </c>
      <c r="O159" s="133"/>
      <c r="P159" s="92">
        <f t="shared" si="24"/>
        <v>36.192800000000005</v>
      </c>
      <c r="Q159" s="113">
        <f t="shared" si="25"/>
        <v>1.7703</v>
      </c>
      <c r="R159" s="92">
        <f t="shared" si="26"/>
        <v>1.3769000000000002</v>
      </c>
      <c r="S159" s="121"/>
      <c r="T159" s="93">
        <f t="shared" si="22"/>
        <v>-1.999999999946489E-4</v>
      </c>
      <c r="U159" s="133"/>
      <c r="V159" s="94">
        <f t="shared" ca="1" si="28"/>
        <v>-302.5355552083347</v>
      </c>
      <c r="W159" s="89">
        <f t="shared" si="27"/>
        <v>-2.173913043420097E-4</v>
      </c>
    </row>
    <row r="160" spans="1:23" ht="18">
      <c r="A160" s="115"/>
      <c r="B160" s="108" t="s">
        <v>199</v>
      </c>
      <c r="C160" s="175" t="s">
        <v>202</v>
      </c>
      <c r="D160" s="176"/>
      <c r="E160" s="164">
        <v>837</v>
      </c>
      <c r="F160" s="97">
        <v>44635</v>
      </c>
      <c r="G160" s="98">
        <v>40.14</v>
      </c>
      <c r="H160" s="164">
        <v>1868523</v>
      </c>
      <c r="I160" s="177">
        <f t="shared" si="23"/>
        <v>46550.149476831088</v>
      </c>
      <c r="J160" s="122"/>
      <c r="K160" s="186" t="s">
        <v>485</v>
      </c>
      <c r="L160" s="164">
        <v>837</v>
      </c>
      <c r="M160" s="160" t="s">
        <v>486</v>
      </c>
      <c r="N160" s="136">
        <f>22.156+14.773</f>
        <v>36.929000000000002</v>
      </c>
      <c r="O160" s="122"/>
      <c r="P160" s="92">
        <f t="shared" si="24"/>
        <v>36.928800000000003</v>
      </c>
      <c r="Q160" s="113">
        <f t="shared" si="25"/>
        <v>1.8063</v>
      </c>
      <c r="R160" s="92">
        <f t="shared" si="26"/>
        <v>1.4049000000000003</v>
      </c>
      <c r="S160" s="121"/>
      <c r="T160" s="93">
        <f t="shared" si="22"/>
        <v>-2.0000000000175433E-4</v>
      </c>
      <c r="U160" s="122"/>
      <c r="V160" s="94">
        <f t="shared" ca="1" si="28"/>
        <v>-302.5355552083347</v>
      </c>
      <c r="W160" s="89">
        <f t="shared" si="27"/>
        <v>-2.1739130434973296E-4</v>
      </c>
    </row>
    <row r="161" spans="1:23" ht="18">
      <c r="A161" s="115"/>
      <c r="B161" s="108" t="s">
        <v>199</v>
      </c>
      <c r="C161" s="175" t="s">
        <v>203</v>
      </c>
      <c r="D161" s="176"/>
      <c r="E161" s="164">
        <v>838</v>
      </c>
      <c r="F161" s="97">
        <v>44636</v>
      </c>
      <c r="G161" s="98">
        <v>39.950000000000003</v>
      </c>
      <c r="H161" s="164">
        <v>1907139</v>
      </c>
      <c r="I161" s="177">
        <f t="shared" si="23"/>
        <v>47738.147684605756</v>
      </c>
      <c r="J161" s="122"/>
      <c r="K161" s="186" t="s">
        <v>487</v>
      </c>
      <c r="L161" s="164">
        <v>838</v>
      </c>
      <c r="M161" s="160" t="s">
        <v>484</v>
      </c>
      <c r="N161" s="136">
        <f>31.746+5.008</f>
        <v>36.753999999999998</v>
      </c>
      <c r="O161" s="122"/>
      <c r="P161" s="92">
        <f t="shared" si="24"/>
        <v>36.754000000000005</v>
      </c>
      <c r="Q161" s="113">
        <f t="shared" si="25"/>
        <v>1.79775</v>
      </c>
      <c r="R161" s="92">
        <f t="shared" si="26"/>
        <v>1.3982500000000002</v>
      </c>
      <c r="S161" s="121"/>
      <c r="T161" s="93">
        <f t="shared" si="22"/>
        <v>4.8849813083506888E-15</v>
      </c>
      <c r="U161" s="122"/>
      <c r="V161" s="94">
        <f t="shared" ca="1" si="28"/>
        <v>-301.5355552083347</v>
      </c>
      <c r="W161" s="89">
        <f t="shared" si="27"/>
        <v>5.3097622916855316E-15</v>
      </c>
    </row>
    <row r="162" spans="1:23" ht="18">
      <c r="A162" s="115"/>
      <c r="B162" s="108" t="s">
        <v>199</v>
      </c>
      <c r="C162" s="175" t="s">
        <v>204</v>
      </c>
      <c r="D162" s="176"/>
      <c r="E162" s="164">
        <v>840</v>
      </c>
      <c r="F162" s="97">
        <v>44636</v>
      </c>
      <c r="G162" s="98">
        <v>40.14</v>
      </c>
      <c r="H162" s="164">
        <v>1905009</v>
      </c>
      <c r="I162" s="177">
        <f t="shared" si="23"/>
        <v>47459.118086696559</v>
      </c>
      <c r="J162" s="122"/>
      <c r="K162" s="186" t="s">
        <v>489</v>
      </c>
      <c r="L162" s="164">
        <v>840</v>
      </c>
      <c r="M162" s="160" t="s">
        <v>488</v>
      </c>
      <c r="N162" s="136">
        <f>12.776+24.153</f>
        <v>36.929000000000002</v>
      </c>
      <c r="O162" s="122"/>
      <c r="P162" s="92">
        <f t="shared" si="24"/>
        <v>36.928800000000003</v>
      </c>
      <c r="Q162" s="113">
        <f t="shared" si="25"/>
        <v>1.8063</v>
      </c>
      <c r="R162" s="92">
        <f t="shared" si="26"/>
        <v>1.4049000000000003</v>
      </c>
      <c r="S162" s="121"/>
      <c r="T162" s="93">
        <f t="shared" si="22"/>
        <v>-2.0000000000175433E-4</v>
      </c>
      <c r="U162" s="122"/>
      <c r="V162" s="94">
        <f t="shared" ca="1" si="28"/>
        <v>-301.5355552083347</v>
      </c>
      <c r="W162" s="89">
        <f t="shared" si="27"/>
        <v>-2.1739130434973296E-4</v>
      </c>
    </row>
    <row r="163" spans="1:23" ht="18">
      <c r="A163" s="115"/>
      <c r="B163" s="108" t="s">
        <v>199</v>
      </c>
      <c r="C163" s="175" t="s">
        <v>205</v>
      </c>
      <c r="D163" s="176"/>
      <c r="E163" s="164">
        <v>841</v>
      </c>
      <c r="F163" s="97">
        <v>44636</v>
      </c>
      <c r="G163" s="98">
        <v>41.54</v>
      </c>
      <c r="H163" s="164">
        <v>1933682</v>
      </c>
      <c r="I163" s="177">
        <f t="shared" si="23"/>
        <v>46549.879634087629</v>
      </c>
      <c r="J163" s="122"/>
      <c r="K163" s="186" t="s">
        <v>491</v>
      </c>
      <c r="L163" s="164">
        <v>841</v>
      </c>
      <c r="M163" s="160" t="s">
        <v>492</v>
      </c>
      <c r="N163" s="136">
        <f>8.652+29.565</f>
        <v>38.216999999999999</v>
      </c>
      <c r="O163" s="122"/>
      <c r="P163" s="92">
        <f t="shared" si="24"/>
        <v>38.216799999999999</v>
      </c>
      <c r="Q163" s="113">
        <f t="shared" si="25"/>
        <v>1.8693</v>
      </c>
      <c r="R163" s="92">
        <f t="shared" si="26"/>
        <v>1.4539000000000002</v>
      </c>
      <c r="S163" s="121"/>
      <c r="T163" s="93">
        <f t="shared" si="22"/>
        <v>-1.9999999999975593E-4</v>
      </c>
      <c r="U163" s="122"/>
      <c r="V163" s="94">
        <f t="shared" ca="1" si="28"/>
        <v>-301.5355552083347</v>
      </c>
      <c r="W163" s="89">
        <f t="shared" si="27"/>
        <v>-2.1739130434756082E-4</v>
      </c>
    </row>
    <row r="164" spans="1:23" ht="18">
      <c r="A164" s="115"/>
      <c r="B164" s="108" t="s">
        <v>199</v>
      </c>
      <c r="C164" s="146" t="s">
        <v>206</v>
      </c>
      <c r="D164" s="131"/>
      <c r="E164" s="147">
        <v>842</v>
      </c>
      <c r="F164" s="97">
        <v>44636</v>
      </c>
      <c r="G164" s="98">
        <v>39.4</v>
      </c>
      <c r="H164" s="147">
        <v>1853136</v>
      </c>
      <c r="I164" s="106">
        <f t="shared" si="23"/>
        <v>47033.908629441627</v>
      </c>
      <c r="J164" s="122"/>
      <c r="K164" s="157" t="s">
        <v>416</v>
      </c>
      <c r="L164" s="147">
        <v>842</v>
      </c>
      <c r="M164" s="119" t="s">
        <v>415</v>
      </c>
      <c r="N164" s="115">
        <f>32.403+3.845</f>
        <v>36.247999999999998</v>
      </c>
      <c r="O164" s="122"/>
      <c r="P164" s="92">
        <f t="shared" si="24"/>
        <v>36.247999999999998</v>
      </c>
      <c r="Q164" s="113">
        <f t="shared" si="25"/>
        <v>1.7729999999999999</v>
      </c>
      <c r="R164" s="92">
        <f t="shared" si="26"/>
        <v>1.379</v>
      </c>
      <c r="S164" s="121"/>
      <c r="T164" s="93">
        <f t="shared" si="22"/>
        <v>0</v>
      </c>
      <c r="U164" s="122"/>
      <c r="V164" s="94">
        <f t="shared" ca="1" si="28"/>
        <v>-301.5355552083347</v>
      </c>
      <c r="W164" s="89">
        <f t="shared" si="27"/>
        <v>0</v>
      </c>
    </row>
    <row r="165" spans="1:23" ht="18">
      <c r="A165" s="115"/>
      <c r="B165" s="108" t="s">
        <v>199</v>
      </c>
      <c r="C165" s="175" t="s">
        <v>200</v>
      </c>
      <c r="D165" s="176"/>
      <c r="E165" s="164">
        <v>20</v>
      </c>
      <c r="F165" s="97">
        <v>44656</v>
      </c>
      <c r="G165" s="98">
        <v>32.75</v>
      </c>
      <c r="H165" s="164">
        <v>1603112</v>
      </c>
      <c r="I165" s="177">
        <f t="shared" si="23"/>
        <v>48949.984732824429</v>
      </c>
      <c r="J165" s="159"/>
      <c r="K165" s="186" t="s">
        <v>581</v>
      </c>
      <c r="L165" s="164">
        <v>20</v>
      </c>
      <c r="M165" s="160" t="s">
        <v>582</v>
      </c>
      <c r="N165" s="136">
        <f>29.236+0.894</f>
        <v>30.13</v>
      </c>
      <c r="O165" s="122"/>
      <c r="P165" s="92">
        <f t="shared" si="24"/>
        <v>30.130000000000003</v>
      </c>
      <c r="Q165" s="113">
        <f t="shared" si="25"/>
        <v>1.4737499999999999</v>
      </c>
      <c r="R165" s="92">
        <f t="shared" si="26"/>
        <v>1.1462500000000002</v>
      </c>
      <c r="S165" s="121"/>
      <c r="T165" s="93">
        <f t="shared" si="22"/>
        <v>0</v>
      </c>
      <c r="U165" s="122"/>
      <c r="V165" s="94">
        <f t="shared" ca="1" si="28"/>
        <v>-281.5355552083347</v>
      </c>
      <c r="W165" s="89">
        <f t="shared" ref="W165:W172" si="29">T165/0.92%/100</f>
        <v>0</v>
      </c>
    </row>
    <row r="166" spans="1:23" ht="18">
      <c r="A166" s="115"/>
      <c r="B166" s="108" t="s">
        <v>199</v>
      </c>
      <c r="C166" s="175" t="s">
        <v>200</v>
      </c>
      <c r="D166" s="176"/>
      <c r="E166" s="164">
        <v>21</v>
      </c>
      <c r="F166" s="97">
        <v>44656</v>
      </c>
      <c r="G166" s="98">
        <v>33.1</v>
      </c>
      <c r="H166" s="164">
        <v>1594863</v>
      </c>
      <c r="I166" s="177">
        <f t="shared" si="23"/>
        <v>48183.172205438066</v>
      </c>
      <c r="J166" s="159"/>
      <c r="K166" s="186" t="s">
        <v>495</v>
      </c>
      <c r="L166" s="164">
        <v>21</v>
      </c>
      <c r="M166" s="160" t="s">
        <v>496</v>
      </c>
      <c r="N166" s="136">
        <f>2.963+27.489</f>
        <v>30.452000000000002</v>
      </c>
      <c r="O166" s="122"/>
      <c r="P166" s="92">
        <f t="shared" si="24"/>
        <v>30.452000000000002</v>
      </c>
      <c r="Q166" s="113">
        <f t="shared" si="25"/>
        <v>1.4895</v>
      </c>
      <c r="R166" s="92">
        <f t="shared" si="26"/>
        <v>1.1585000000000001</v>
      </c>
      <c r="S166" s="121"/>
      <c r="T166" s="93">
        <f t="shared" si="22"/>
        <v>0</v>
      </c>
      <c r="U166" s="122"/>
      <c r="V166" s="94">
        <f t="shared" ca="1" si="28"/>
        <v>-281.5355552083347</v>
      </c>
      <c r="W166" s="89">
        <f t="shared" si="29"/>
        <v>0</v>
      </c>
    </row>
    <row r="167" spans="1:23" ht="18">
      <c r="A167" s="115"/>
      <c r="B167" s="108" t="s">
        <v>199</v>
      </c>
      <c r="C167" s="175" t="s">
        <v>52</v>
      </c>
      <c r="D167" s="176"/>
      <c r="E167" s="164">
        <v>22</v>
      </c>
      <c r="F167" s="97">
        <v>44656</v>
      </c>
      <c r="G167" s="98">
        <v>33.26</v>
      </c>
      <c r="H167" s="164">
        <v>1628077</v>
      </c>
      <c r="I167" s="177">
        <f t="shared" si="23"/>
        <v>48950</v>
      </c>
      <c r="J167" s="159"/>
      <c r="K167" s="186" t="s">
        <v>493</v>
      </c>
      <c r="L167" s="164">
        <v>22</v>
      </c>
      <c r="M167" s="160" t="s">
        <v>490</v>
      </c>
      <c r="N167" s="190">
        <f>3.31+27.289</f>
        <v>30.599</v>
      </c>
      <c r="O167" s="122"/>
      <c r="P167" s="92">
        <f t="shared" si="24"/>
        <v>30.5992</v>
      </c>
      <c r="Q167" s="113">
        <f t="shared" si="25"/>
        <v>1.4966999999999999</v>
      </c>
      <c r="R167" s="92">
        <f t="shared" si="26"/>
        <v>1.1641000000000001</v>
      </c>
      <c r="S167" s="121"/>
      <c r="T167" s="93">
        <f t="shared" si="22"/>
        <v>1.9999999999775753E-4</v>
      </c>
      <c r="U167" s="122"/>
      <c r="V167" s="94">
        <f t="shared" ca="1" si="28"/>
        <v>-281.5355552083347</v>
      </c>
      <c r="W167" s="89">
        <f t="shared" si="29"/>
        <v>2.1739130434538862E-4</v>
      </c>
    </row>
    <row r="168" spans="1:23" s="193" customFormat="1" ht="18">
      <c r="A168" s="136"/>
      <c r="B168" s="108" t="s">
        <v>199</v>
      </c>
      <c r="C168" s="175" t="s">
        <v>52</v>
      </c>
      <c r="D168" s="176"/>
      <c r="E168" s="164">
        <v>23</v>
      </c>
      <c r="F168" s="97">
        <v>44656</v>
      </c>
      <c r="G168" s="98">
        <v>32.96</v>
      </c>
      <c r="H168" s="164">
        <v>1534288</v>
      </c>
      <c r="I168" s="221">
        <f t="shared" si="23"/>
        <v>46550</v>
      </c>
      <c r="J168" s="194"/>
      <c r="K168" s="196">
        <v>352</v>
      </c>
      <c r="L168" s="197">
        <v>23</v>
      </c>
      <c r="M168" s="160" t="s">
        <v>558</v>
      </c>
      <c r="N168" s="190">
        <v>30.323</v>
      </c>
      <c r="O168" s="122"/>
      <c r="P168" s="92">
        <f t="shared" si="24"/>
        <v>30.323200000000003</v>
      </c>
      <c r="Q168" s="113">
        <f t="shared" si="25"/>
        <v>1.4832000000000001</v>
      </c>
      <c r="R168" s="92">
        <f t="shared" si="26"/>
        <v>1.1536000000000002</v>
      </c>
      <c r="S168" s="121"/>
      <c r="T168" s="93">
        <f t="shared" si="22"/>
        <v>2.0000000000020002E-4</v>
      </c>
      <c r="U168" s="136"/>
      <c r="V168" s="165">
        <f t="shared" ca="1" si="28"/>
        <v>-281.5355552083347</v>
      </c>
      <c r="W168" s="192">
        <f t="shared" si="29"/>
        <v>2.173913043480435E-4</v>
      </c>
    </row>
    <row r="169" spans="1:23" ht="18">
      <c r="A169" s="115"/>
      <c r="B169" s="108" t="s">
        <v>199</v>
      </c>
      <c r="C169" s="175" t="s">
        <v>53</v>
      </c>
      <c r="D169" s="176"/>
      <c r="E169" s="164">
        <v>24</v>
      </c>
      <c r="F169" s="97">
        <v>44656</v>
      </c>
      <c r="G169" s="98">
        <v>40.32</v>
      </c>
      <c r="H169" s="164">
        <v>1973243</v>
      </c>
      <c r="I169" s="177">
        <f t="shared" si="23"/>
        <v>48939.558531746028</v>
      </c>
      <c r="J169" s="159"/>
      <c r="K169" s="186" t="s">
        <v>417</v>
      </c>
      <c r="L169" s="164">
        <v>24</v>
      </c>
      <c r="M169" s="160" t="s">
        <v>415</v>
      </c>
      <c r="N169" s="136">
        <f>28.756+8.338</f>
        <v>37.094000000000001</v>
      </c>
      <c r="O169" s="122"/>
      <c r="P169" s="92">
        <f t="shared" si="24"/>
        <v>37.0944</v>
      </c>
      <c r="Q169" s="113">
        <f t="shared" si="25"/>
        <v>1.8144</v>
      </c>
      <c r="R169" s="92">
        <f t="shared" si="26"/>
        <v>1.4112000000000002</v>
      </c>
      <c r="S169" s="121"/>
      <c r="T169" s="93">
        <f t="shared" si="22"/>
        <v>3.9999999999884572E-4</v>
      </c>
      <c r="U169" s="122"/>
      <c r="V169" s="94">
        <f t="shared" ca="1" si="28"/>
        <v>-281.5355552083347</v>
      </c>
      <c r="W169" s="89">
        <f t="shared" si="29"/>
        <v>4.3478260869439755E-4</v>
      </c>
    </row>
    <row r="170" spans="1:23" ht="18">
      <c r="A170" s="115"/>
      <c r="B170" s="108" t="s">
        <v>199</v>
      </c>
      <c r="C170" s="175" t="s">
        <v>52</v>
      </c>
      <c r="D170" s="176"/>
      <c r="E170" s="164">
        <v>33</v>
      </c>
      <c r="F170" s="97">
        <v>44660</v>
      </c>
      <c r="G170" s="98">
        <v>45.04</v>
      </c>
      <c r="H170" s="164">
        <v>2211465</v>
      </c>
      <c r="I170" s="177">
        <f t="shared" si="23"/>
        <v>49100.022202486682</v>
      </c>
      <c r="J170" s="159"/>
      <c r="K170" s="186" t="s">
        <v>583</v>
      </c>
      <c r="L170" s="164">
        <v>33</v>
      </c>
      <c r="M170" s="160" t="s">
        <v>584</v>
      </c>
      <c r="N170" s="136">
        <f>5.783+32.996+2.496+0.162</f>
        <v>41.437000000000005</v>
      </c>
      <c r="O170" s="122"/>
      <c r="P170" s="92">
        <f t="shared" si="24"/>
        <v>41.436799999999998</v>
      </c>
      <c r="Q170" s="113">
        <f t="shared" si="25"/>
        <v>2.0267999999999997</v>
      </c>
      <c r="R170" s="92">
        <f t="shared" si="26"/>
        <v>1.5764</v>
      </c>
      <c r="S170" s="121"/>
      <c r="T170" s="93">
        <f>G170-N170-Q170-R170</f>
        <v>-2.0000000000530704E-4</v>
      </c>
      <c r="U170" s="122"/>
      <c r="V170" s="94">
        <f t="shared" ca="1" si="28"/>
        <v>-277.5355552083347</v>
      </c>
      <c r="W170" s="89">
        <f t="shared" si="29"/>
        <v>-2.1739130435359462E-4</v>
      </c>
    </row>
    <row r="171" spans="1:23" ht="18">
      <c r="A171" s="115"/>
      <c r="B171" s="108" t="s">
        <v>199</v>
      </c>
      <c r="C171" s="175" t="s">
        <v>52</v>
      </c>
      <c r="D171" s="176"/>
      <c r="E171" s="164">
        <v>34</v>
      </c>
      <c r="F171" s="97">
        <v>44660</v>
      </c>
      <c r="G171" s="98">
        <v>44.85</v>
      </c>
      <c r="H171" s="164">
        <v>2087767</v>
      </c>
      <c r="I171" s="177">
        <f t="shared" si="23"/>
        <v>46549.988851727983</v>
      </c>
      <c r="J171" s="195"/>
      <c r="K171" s="230" t="s">
        <v>580</v>
      </c>
      <c r="L171" s="236">
        <v>34</v>
      </c>
      <c r="M171" s="231" t="s">
        <v>579</v>
      </c>
      <c r="N171" s="133">
        <f>31.513+0.901+0.598+5.991+3.16</f>
        <v>42.162999999999997</v>
      </c>
      <c r="O171" s="133"/>
      <c r="P171" s="232">
        <f t="shared" si="24"/>
        <v>41.262</v>
      </c>
      <c r="Q171" s="232">
        <f>G171*4.5%-0.5</f>
        <v>1.5182500000000001</v>
      </c>
      <c r="R171" s="232">
        <f>G171*3.5%-0.401</f>
        <v>1.1687500000000002</v>
      </c>
      <c r="S171" s="142"/>
      <c r="T171" s="232">
        <f t="shared" si="22"/>
        <v>4.4408920985006262E-15</v>
      </c>
      <c r="U171" s="122"/>
      <c r="V171" s="94">
        <f t="shared" ca="1" si="28"/>
        <v>-277.5355552083347</v>
      </c>
      <c r="W171" s="89">
        <f t="shared" si="29"/>
        <v>4.8270566288050286E-15</v>
      </c>
    </row>
    <row r="172" spans="1:23" ht="18">
      <c r="A172" s="115"/>
      <c r="B172" s="108" t="s">
        <v>199</v>
      </c>
      <c r="C172" s="175" t="s">
        <v>52</v>
      </c>
      <c r="D172" s="176"/>
      <c r="E172" s="164">
        <v>35</v>
      </c>
      <c r="F172" s="97">
        <v>44660</v>
      </c>
      <c r="G172" s="98">
        <v>32.299999999999997</v>
      </c>
      <c r="H172" s="211">
        <v>1556860</v>
      </c>
      <c r="I172" s="177">
        <f t="shared" si="23"/>
        <v>48200.000000000007</v>
      </c>
      <c r="J172" s="159"/>
      <c r="K172" s="187">
        <v>308310311</v>
      </c>
      <c r="L172" s="164">
        <v>35</v>
      </c>
      <c r="M172" s="160" t="s">
        <v>494</v>
      </c>
      <c r="N172" s="136">
        <f>5.349+1.789+22.578</f>
        <v>29.716000000000001</v>
      </c>
      <c r="O172" s="122"/>
      <c r="P172" s="92">
        <f t="shared" si="24"/>
        <v>29.715999999999998</v>
      </c>
      <c r="Q172" s="113">
        <f t="shared" si="25"/>
        <v>1.4534999999999998</v>
      </c>
      <c r="R172" s="92">
        <f t="shared" si="26"/>
        <v>1.1305000000000001</v>
      </c>
      <c r="S172" s="121"/>
      <c r="T172" s="93">
        <f t="shared" si="22"/>
        <v>-3.7747582837255322E-15</v>
      </c>
      <c r="U172" s="122"/>
      <c r="V172" s="94">
        <f t="shared" ca="1" si="28"/>
        <v>-277.5355552083347</v>
      </c>
      <c r="W172" s="89">
        <f t="shared" si="29"/>
        <v>-4.1029981344842744E-15</v>
      </c>
    </row>
    <row r="173" spans="1:23" ht="18">
      <c r="A173" s="115"/>
      <c r="B173" s="108" t="s">
        <v>199</v>
      </c>
      <c r="C173" s="175" t="s">
        <v>200</v>
      </c>
      <c r="D173" s="220"/>
      <c r="E173" s="164">
        <v>36</v>
      </c>
      <c r="F173" s="97">
        <v>44660</v>
      </c>
      <c r="G173" s="98">
        <v>32.700000000000003</v>
      </c>
      <c r="H173" s="211">
        <v>1576140</v>
      </c>
      <c r="I173" s="177">
        <f t="shared" si="23"/>
        <v>48199.999999999993</v>
      </c>
      <c r="J173" s="159"/>
      <c r="K173" s="187">
        <v>309</v>
      </c>
      <c r="L173" s="164">
        <v>36</v>
      </c>
      <c r="M173" s="160" t="s">
        <v>497</v>
      </c>
      <c r="N173" s="136">
        <v>30.084</v>
      </c>
      <c r="O173" s="122"/>
      <c r="P173" s="92">
        <f t="shared" si="24"/>
        <v>30.084000000000003</v>
      </c>
      <c r="Q173" s="113">
        <f t="shared" si="25"/>
        <v>1.4715</v>
      </c>
      <c r="R173" s="92">
        <f t="shared" si="26"/>
        <v>1.1445000000000003</v>
      </c>
      <c r="S173" s="121"/>
      <c r="T173" s="93">
        <f t="shared" si="22"/>
        <v>2.886579864025407E-15</v>
      </c>
      <c r="U173" s="122"/>
      <c r="V173" s="94">
        <f t="shared" ca="1" si="28"/>
        <v>-277.5355552083347</v>
      </c>
      <c r="W173" s="89">
        <f t="shared" ref="W173:W182" si="30">T173/0.92%/100</f>
        <v>3.1375868087232684E-15</v>
      </c>
    </row>
    <row r="174" spans="1:23" ht="18">
      <c r="A174" s="115"/>
      <c r="B174" s="108" t="s">
        <v>199</v>
      </c>
      <c r="C174" s="175" t="s">
        <v>200</v>
      </c>
      <c r="D174" s="220"/>
      <c r="E174" s="164">
        <v>37</v>
      </c>
      <c r="F174" s="97">
        <v>44660</v>
      </c>
      <c r="G174" s="98">
        <v>32.4</v>
      </c>
      <c r="H174" s="211">
        <v>1585948</v>
      </c>
      <c r="I174" s="177">
        <f t="shared" si="23"/>
        <v>48949.012345679017</v>
      </c>
      <c r="J174" s="159"/>
      <c r="K174" s="186" t="s">
        <v>585</v>
      </c>
      <c r="L174" s="164">
        <v>37</v>
      </c>
      <c r="M174" s="160" t="s">
        <v>586</v>
      </c>
      <c r="N174" s="136">
        <f>9.989+19.568+0.251</f>
        <v>29.808000000000003</v>
      </c>
      <c r="O174" s="122"/>
      <c r="P174" s="92">
        <f t="shared" si="24"/>
        <v>29.808</v>
      </c>
      <c r="Q174" s="113">
        <f t="shared" si="25"/>
        <v>1.458</v>
      </c>
      <c r="R174" s="92">
        <f t="shared" si="26"/>
        <v>1.1340000000000001</v>
      </c>
      <c r="S174" s="121"/>
      <c r="T174" s="93">
        <f t="shared" si="22"/>
        <v>-4.8849813083506888E-15</v>
      </c>
      <c r="U174" s="122"/>
      <c r="V174" s="94">
        <f t="shared" ca="1" si="28"/>
        <v>-277.5355552083347</v>
      </c>
      <c r="W174" s="89">
        <f t="shared" si="30"/>
        <v>-5.3097622916855316E-15</v>
      </c>
    </row>
    <row r="175" spans="1:23" ht="18">
      <c r="A175" s="115"/>
      <c r="B175" s="108" t="s">
        <v>199</v>
      </c>
      <c r="C175" s="146" t="s">
        <v>205</v>
      </c>
      <c r="D175" s="220"/>
      <c r="E175" s="164">
        <v>38</v>
      </c>
      <c r="F175" s="97">
        <v>44661</v>
      </c>
      <c r="G175" s="98">
        <v>40.39</v>
      </c>
      <c r="H175" s="211">
        <v>1954705</v>
      </c>
      <c r="I175" s="177">
        <f t="shared" si="23"/>
        <v>48395.766278781877</v>
      </c>
      <c r="J175" s="159"/>
      <c r="K175" s="187" t="s">
        <v>587</v>
      </c>
      <c r="L175" s="164">
        <v>38</v>
      </c>
      <c r="M175" s="160" t="s">
        <v>588</v>
      </c>
      <c r="N175" s="136">
        <f>32.518+2.241+2.4</f>
        <v>37.158999999999999</v>
      </c>
      <c r="O175" s="122"/>
      <c r="P175" s="92">
        <f t="shared" si="24"/>
        <v>37.158799999999999</v>
      </c>
      <c r="Q175" s="113">
        <f t="shared" si="25"/>
        <v>1.81755</v>
      </c>
      <c r="R175" s="92">
        <f t="shared" si="26"/>
        <v>1.4136500000000001</v>
      </c>
      <c r="S175" s="121"/>
      <c r="T175" s="93">
        <f t="shared" si="22"/>
        <v>-1.9999999999842366E-4</v>
      </c>
      <c r="U175" s="122"/>
      <c r="V175" s="94">
        <f t="shared" ca="1" si="28"/>
        <v>-276.5355552083347</v>
      </c>
      <c r="W175" s="89">
        <f t="shared" si="30"/>
        <v>-2.173913043461127E-4</v>
      </c>
    </row>
    <row r="176" spans="1:23" ht="18">
      <c r="A176" s="115"/>
      <c r="B176" s="108" t="s">
        <v>199</v>
      </c>
      <c r="C176" s="146" t="s">
        <v>205</v>
      </c>
      <c r="D176" s="220"/>
      <c r="E176" s="164">
        <v>45</v>
      </c>
      <c r="F176" s="97">
        <v>44673</v>
      </c>
      <c r="G176" s="214">
        <v>11.692</v>
      </c>
      <c r="H176" s="211">
        <v>544274</v>
      </c>
      <c r="I176" s="177">
        <f t="shared" si="23"/>
        <v>46550.975025658568</v>
      </c>
      <c r="J176" s="159"/>
      <c r="K176" s="186">
        <v>391</v>
      </c>
      <c r="L176" s="164">
        <v>45</v>
      </c>
      <c r="M176" s="160" t="s">
        <v>576</v>
      </c>
      <c r="N176" s="136">
        <v>10.757</v>
      </c>
      <c r="O176" s="122"/>
      <c r="P176" s="92">
        <f t="shared" si="24"/>
        <v>10.756640000000001</v>
      </c>
      <c r="Q176" s="113">
        <f t="shared" si="25"/>
        <v>0.52613999999999994</v>
      </c>
      <c r="R176" s="92">
        <f t="shared" si="26"/>
        <v>0.40922000000000003</v>
      </c>
      <c r="S176" s="121"/>
      <c r="T176" s="93">
        <f t="shared" si="22"/>
        <v>-3.5999999999947185E-4</v>
      </c>
      <c r="U176" s="122"/>
      <c r="V176" s="94">
        <f t="shared" ca="1" si="28"/>
        <v>-264.5355552083347</v>
      </c>
      <c r="W176" s="89">
        <f t="shared" si="30"/>
        <v>-3.9130434782551284E-4</v>
      </c>
    </row>
    <row r="177" spans="1:23" ht="18">
      <c r="A177" s="115"/>
      <c r="B177" s="108" t="s">
        <v>199</v>
      </c>
      <c r="C177" s="200" t="s">
        <v>312</v>
      </c>
      <c r="D177" s="172"/>
      <c r="E177" s="161">
        <v>46</v>
      </c>
      <c r="F177" s="162">
        <v>44673</v>
      </c>
      <c r="G177" s="167">
        <v>25.55</v>
      </c>
      <c r="H177" s="201">
        <v>1210682</v>
      </c>
      <c r="I177" s="171">
        <f t="shared" si="23"/>
        <v>47384.814090019565</v>
      </c>
      <c r="J177" s="159"/>
      <c r="K177" s="187" t="s">
        <v>703</v>
      </c>
      <c r="L177" s="164">
        <v>46</v>
      </c>
      <c r="M177" s="160" t="s">
        <v>704</v>
      </c>
      <c r="N177" s="136">
        <f>18.653+3.461+1.063+0.329</f>
        <v>23.505999999999997</v>
      </c>
      <c r="O177" s="122"/>
      <c r="P177" s="92">
        <f t="shared" si="24"/>
        <v>23.506</v>
      </c>
      <c r="Q177" s="113">
        <f t="shared" si="25"/>
        <v>1.14975</v>
      </c>
      <c r="R177" s="92">
        <f t="shared" si="26"/>
        <v>0.8942500000000001</v>
      </c>
      <c r="S177" s="121"/>
      <c r="T177" s="232">
        <f t="shared" si="22"/>
        <v>3.8857805861880479E-15</v>
      </c>
      <c r="U177" s="122"/>
      <c r="V177" s="94">
        <f t="shared" ca="1" si="28"/>
        <v>-264.5355552083347</v>
      </c>
      <c r="W177" s="89">
        <f t="shared" si="30"/>
        <v>4.2236745502043996E-15</v>
      </c>
    </row>
    <row r="178" spans="1:23" ht="18.75">
      <c r="A178" s="115"/>
      <c r="B178" s="66" t="s">
        <v>342</v>
      </c>
      <c r="C178" s="202" t="s">
        <v>55</v>
      </c>
      <c r="D178" s="203" t="s">
        <v>343</v>
      </c>
      <c r="E178" s="204">
        <v>47</v>
      </c>
      <c r="F178" s="205">
        <v>44709</v>
      </c>
      <c r="G178" s="149">
        <v>29.863</v>
      </c>
      <c r="H178" s="206">
        <v>1986733</v>
      </c>
      <c r="I178" s="207">
        <f t="shared" si="23"/>
        <v>66528.245655158564</v>
      </c>
      <c r="J178" s="122"/>
      <c r="K178" s="186" t="s">
        <v>419</v>
      </c>
      <c r="L178" s="164">
        <v>47</v>
      </c>
      <c r="M178" s="160" t="s">
        <v>420</v>
      </c>
      <c r="N178" s="136">
        <f>24.365+3.109</f>
        <v>27.473999999999997</v>
      </c>
      <c r="O178" s="122"/>
      <c r="P178" s="92">
        <f t="shared" si="24"/>
        <v>27.473960000000002</v>
      </c>
      <c r="Q178" s="113">
        <f t="shared" si="25"/>
        <v>1.3438349999999999</v>
      </c>
      <c r="R178" s="92">
        <f t="shared" si="26"/>
        <v>1.0452050000000002</v>
      </c>
      <c r="S178" s="121"/>
      <c r="T178" s="93">
        <f t="shared" si="22"/>
        <v>-3.9999999997153424E-5</v>
      </c>
      <c r="U178" s="122"/>
      <c r="V178" s="94">
        <f t="shared" ca="1" si="28"/>
        <v>-228.5355552083347</v>
      </c>
      <c r="W178" s="89">
        <f t="shared" si="30"/>
        <v>-4.3478260866471111E-5</v>
      </c>
    </row>
    <row r="179" spans="1:23" ht="18.75">
      <c r="A179" s="115"/>
      <c r="B179" s="66" t="s">
        <v>342</v>
      </c>
      <c r="C179" s="202" t="s">
        <v>55</v>
      </c>
      <c r="D179" s="203" t="s">
        <v>343</v>
      </c>
      <c r="E179" s="204">
        <v>48</v>
      </c>
      <c r="F179" s="205">
        <v>44709</v>
      </c>
      <c r="G179" s="149">
        <v>31.997</v>
      </c>
      <c r="H179" s="206">
        <v>2032214</v>
      </c>
      <c r="I179" s="207">
        <f t="shared" si="23"/>
        <v>63512.641810169705</v>
      </c>
      <c r="J179" s="122"/>
      <c r="K179" s="157">
        <v>185</v>
      </c>
      <c r="L179" s="147">
        <v>48</v>
      </c>
      <c r="M179" s="119" t="s">
        <v>418</v>
      </c>
      <c r="N179" s="115">
        <v>29.437000000000001</v>
      </c>
      <c r="O179" s="122"/>
      <c r="P179" s="92">
        <f t="shared" si="24"/>
        <v>29.437240000000003</v>
      </c>
      <c r="Q179" s="113">
        <f t="shared" si="25"/>
        <v>1.439865</v>
      </c>
      <c r="R179" s="92">
        <f t="shared" si="26"/>
        <v>1.1198950000000001</v>
      </c>
      <c r="S179" s="121"/>
      <c r="T179" s="93">
        <f t="shared" si="22"/>
        <v>2.3999999999868571E-4</v>
      </c>
      <c r="U179" s="122"/>
      <c r="V179" s="94">
        <f t="shared" ca="1" si="28"/>
        <v>-228.5355552083347</v>
      </c>
      <c r="W179" s="89">
        <f t="shared" si="30"/>
        <v>2.6086956521596274E-4</v>
      </c>
    </row>
    <row r="180" spans="1:23" ht="18.75">
      <c r="A180" s="115"/>
      <c r="B180" s="66" t="s">
        <v>342</v>
      </c>
      <c r="C180" s="202" t="s">
        <v>55</v>
      </c>
      <c r="D180" s="203" t="s">
        <v>344</v>
      </c>
      <c r="E180" s="204">
        <v>49</v>
      </c>
      <c r="F180" s="205">
        <v>44709</v>
      </c>
      <c r="G180" s="149">
        <v>31.934000000000001</v>
      </c>
      <c r="H180" s="206">
        <v>2028397</v>
      </c>
      <c r="I180" s="207">
        <f t="shared" si="23"/>
        <v>63518.412976764572</v>
      </c>
      <c r="J180" s="122"/>
      <c r="K180" s="157" t="s">
        <v>421</v>
      </c>
      <c r="L180" s="147">
        <v>49</v>
      </c>
      <c r="M180" s="119" t="s">
        <v>422</v>
      </c>
      <c r="N180" s="115">
        <f>3.252+26.127</f>
        <v>29.378999999999998</v>
      </c>
      <c r="O180" s="122"/>
      <c r="P180" s="92">
        <f t="shared" si="24"/>
        <v>29.379280000000001</v>
      </c>
      <c r="Q180" s="113">
        <f t="shared" si="25"/>
        <v>1.43703</v>
      </c>
      <c r="R180" s="92">
        <f t="shared" si="26"/>
        <v>1.1176900000000001</v>
      </c>
      <c r="S180" s="121"/>
      <c r="T180" s="93">
        <f t="shared" si="22"/>
        <v>2.800000000031666E-4</v>
      </c>
      <c r="U180" s="122"/>
      <c r="V180" s="94">
        <f t="shared" ca="1" si="28"/>
        <v>-228.5355552083347</v>
      </c>
      <c r="W180" s="89">
        <f t="shared" si="30"/>
        <v>3.0434782609039851E-4</v>
      </c>
    </row>
    <row r="181" spans="1:23" ht="18.75">
      <c r="A181" s="115"/>
      <c r="B181" s="66" t="s">
        <v>342</v>
      </c>
      <c r="C181" s="202" t="s">
        <v>55</v>
      </c>
      <c r="D181" s="203" t="s">
        <v>345</v>
      </c>
      <c r="E181" s="204">
        <v>51</v>
      </c>
      <c r="F181" s="205">
        <v>44709</v>
      </c>
      <c r="G181" s="149">
        <v>31.923999999999999</v>
      </c>
      <c r="H181" s="206">
        <v>2027762</v>
      </c>
      <c r="I181" s="207">
        <f t="shared" si="23"/>
        <v>63518.418744518232</v>
      </c>
      <c r="J181" s="122"/>
      <c r="K181" s="157" t="s">
        <v>424</v>
      </c>
      <c r="L181" s="147">
        <v>51</v>
      </c>
      <c r="M181" s="119" t="s">
        <v>425</v>
      </c>
      <c r="N181" s="115">
        <f>3.809+25.561</f>
        <v>29.37</v>
      </c>
      <c r="O181" s="122"/>
      <c r="P181" s="92">
        <f t="shared" si="24"/>
        <v>29.370080000000002</v>
      </c>
      <c r="Q181" s="113">
        <f t="shared" si="25"/>
        <v>1.43658</v>
      </c>
      <c r="R181" s="92">
        <f t="shared" si="26"/>
        <v>1.11734</v>
      </c>
      <c r="S181" s="121"/>
      <c r="T181" s="93">
        <f t="shared" si="22"/>
        <v>7.9999999998525695E-5</v>
      </c>
      <c r="U181" s="122"/>
      <c r="V181" s="94">
        <f t="shared" ca="1" si="28"/>
        <v>-228.5355552083347</v>
      </c>
      <c r="W181" s="89">
        <f t="shared" si="30"/>
        <v>8.6956521737527936E-5</v>
      </c>
    </row>
    <row r="182" spans="1:23" ht="18.75">
      <c r="A182" s="115"/>
      <c r="B182" s="66" t="s">
        <v>342</v>
      </c>
      <c r="C182" s="202" t="s">
        <v>55</v>
      </c>
      <c r="D182" s="203" t="s">
        <v>346</v>
      </c>
      <c r="E182" s="204">
        <v>52</v>
      </c>
      <c r="F182" s="205">
        <v>44709</v>
      </c>
      <c r="G182" s="149">
        <v>31.893000000000001</v>
      </c>
      <c r="H182" s="206">
        <v>2025852</v>
      </c>
      <c r="I182" s="207">
        <f t="shared" si="23"/>
        <v>63520.270905841404</v>
      </c>
      <c r="J182" s="122"/>
      <c r="K182" s="157" t="s">
        <v>426</v>
      </c>
      <c r="L182" s="147">
        <v>52</v>
      </c>
      <c r="M182" s="119" t="s">
        <v>423</v>
      </c>
      <c r="N182" s="115">
        <f>6.916+22.426</f>
        <v>29.341999999999999</v>
      </c>
      <c r="O182" s="122"/>
      <c r="P182" s="92">
        <f t="shared" si="24"/>
        <v>29.341560000000001</v>
      </c>
      <c r="Q182" s="113">
        <f t="shared" si="25"/>
        <v>1.4351849999999999</v>
      </c>
      <c r="R182" s="92">
        <f t="shared" si="26"/>
        <v>1.1162550000000002</v>
      </c>
      <c r="S182" s="121"/>
      <c r="T182" s="93">
        <f t="shared" si="22"/>
        <v>-4.3999999999821959E-4</v>
      </c>
      <c r="U182" s="122"/>
      <c r="V182" s="94">
        <f t="shared" ca="1" si="28"/>
        <v>-228.5355552083347</v>
      </c>
      <c r="W182" s="89">
        <f t="shared" si="30"/>
        <v>-4.7826086956328216E-4</v>
      </c>
    </row>
    <row r="183" spans="1:23" ht="18.75">
      <c r="A183" s="115"/>
      <c r="B183" s="66" t="s">
        <v>342</v>
      </c>
      <c r="C183" s="202" t="s">
        <v>55</v>
      </c>
      <c r="D183" s="203" t="s">
        <v>345</v>
      </c>
      <c r="E183" s="204">
        <v>50</v>
      </c>
      <c r="F183" s="205">
        <v>44709</v>
      </c>
      <c r="G183" s="149">
        <v>29.795999999999999</v>
      </c>
      <c r="H183" s="206">
        <v>1892595</v>
      </c>
      <c r="I183" s="207">
        <f t="shared" si="23"/>
        <v>63518.425291985506</v>
      </c>
      <c r="J183" s="122"/>
      <c r="K183" s="157" t="s">
        <v>427</v>
      </c>
      <c r="L183" s="147">
        <v>50</v>
      </c>
      <c r="M183" s="119" t="s">
        <v>428</v>
      </c>
      <c r="N183" s="115">
        <f>10.023+17.389</f>
        <v>27.411999999999999</v>
      </c>
      <c r="O183" s="122"/>
      <c r="P183" s="92">
        <f t="shared" si="24"/>
        <v>27.412320000000001</v>
      </c>
      <c r="Q183" s="113">
        <f t="shared" si="25"/>
        <v>1.3408199999999999</v>
      </c>
      <c r="R183" s="92">
        <f t="shared" si="26"/>
        <v>1.0428600000000001</v>
      </c>
      <c r="S183" s="121"/>
      <c r="T183" s="93">
        <f t="shared" si="22"/>
        <v>3.2000000000032003E-4</v>
      </c>
      <c r="U183" s="122"/>
      <c r="V183" s="94">
        <f t="shared" ref="V183:V192" ca="1" si="31">360-($V$3-F183)</f>
        <v>-228.5355552083347</v>
      </c>
      <c r="W183" s="89">
        <f t="shared" ref="W183:W192" si="32">T183/0.92%/100</f>
        <v>3.4782608695686957E-4</v>
      </c>
    </row>
    <row r="184" spans="1:23" ht="18.75">
      <c r="A184" s="115"/>
      <c r="B184" s="66" t="s">
        <v>342</v>
      </c>
      <c r="C184" s="202" t="s">
        <v>55</v>
      </c>
      <c r="D184" s="203" t="s">
        <v>346</v>
      </c>
      <c r="E184" s="204">
        <v>53</v>
      </c>
      <c r="F184" s="205">
        <v>44709</v>
      </c>
      <c r="G184" s="149">
        <v>29.766999999999999</v>
      </c>
      <c r="H184" s="206">
        <v>1890795</v>
      </c>
      <c r="I184" s="207">
        <f t="shared" si="23"/>
        <v>63519.837403836464</v>
      </c>
      <c r="J184" s="122"/>
      <c r="K184" s="158">
        <v>195196</v>
      </c>
      <c r="L184" s="147">
        <v>53</v>
      </c>
      <c r="M184" s="119" t="s">
        <v>429</v>
      </c>
      <c r="N184" s="115">
        <f>15.539+11.847</f>
        <v>27.385999999999999</v>
      </c>
      <c r="O184" s="122"/>
      <c r="P184" s="92">
        <f t="shared" si="24"/>
        <v>27.385640000000002</v>
      </c>
      <c r="Q184" s="113">
        <f t="shared" si="25"/>
        <v>1.339515</v>
      </c>
      <c r="R184" s="92">
        <f t="shared" si="26"/>
        <v>1.0418450000000001</v>
      </c>
      <c r="S184" s="121"/>
      <c r="T184" s="93">
        <f t="shared" si="22"/>
        <v>-3.5999999999991594E-4</v>
      </c>
      <c r="U184" s="122"/>
      <c r="V184" s="94">
        <f t="shared" ca="1" si="31"/>
        <v>-228.5355552083347</v>
      </c>
      <c r="W184" s="89">
        <f t="shared" si="32"/>
        <v>-3.9130434782599558E-4</v>
      </c>
    </row>
    <row r="185" spans="1:23" ht="18.75">
      <c r="A185" s="115"/>
      <c r="B185" s="66" t="s">
        <v>342</v>
      </c>
      <c r="C185" s="202" t="s">
        <v>55</v>
      </c>
      <c r="D185" s="203" t="s">
        <v>347</v>
      </c>
      <c r="E185" s="204">
        <v>55</v>
      </c>
      <c r="F185" s="205">
        <v>44709</v>
      </c>
      <c r="G185" s="149">
        <v>29.853999999999999</v>
      </c>
      <c r="H185" s="206">
        <v>1896139</v>
      </c>
      <c r="I185" s="207">
        <f t="shared" si="23"/>
        <v>63513.73350304817</v>
      </c>
      <c r="J185" s="122"/>
      <c r="K185" s="158">
        <v>197198</v>
      </c>
      <c r="L185" s="147">
        <v>55</v>
      </c>
      <c r="M185" s="119" t="s">
        <v>431</v>
      </c>
      <c r="N185" s="115">
        <f>21.018+6.448</f>
        <v>27.466000000000001</v>
      </c>
      <c r="O185" s="122"/>
      <c r="P185" s="92">
        <f t="shared" si="24"/>
        <v>27.465679999999999</v>
      </c>
      <c r="Q185" s="113">
        <f t="shared" si="25"/>
        <v>1.3434299999999999</v>
      </c>
      <c r="R185" s="92">
        <f t="shared" si="26"/>
        <v>1.0448900000000001</v>
      </c>
      <c r="S185" s="121"/>
      <c r="T185" s="93">
        <f t="shared" si="22"/>
        <v>-3.2000000000187434E-4</v>
      </c>
      <c r="U185" s="122"/>
      <c r="V185" s="94">
        <f t="shared" ca="1" si="31"/>
        <v>-228.5355552083347</v>
      </c>
      <c r="W185" s="89">
        <f t="shared" si="32"/>
        <v>-3.4782608695855909E-4</v>
      </c>
    </row>
    <row r="186" spans="1:23" ht="18.75">
      <c r="A186" s="115"/>
      <c r="B186" s="66" t="s">
        <v>342</v>
      </c>
      <c r="C186" s="202" t="s">
        <v>55</v>
      </c>
      <c r="D186" s="203" t="s">
        <v>348</v>
      </c>
      <c r="E186" s="204">
        <v>56</v>
      </c>
      <c r="F186" s="205">
        <v>44709</v>
      </c>
      <c r="G186" s="149">
        <v>29.806000000000001</v>
      </c>
      <c r="H186" s="206">
        <v>1893170</v>
      </c>
      <c r="I186" s="207">
        <f t="shared" si="23"/>
        <v>63516.406092733007</v>
      </c>
      <c r="J186" s="122"/>
      <c r="K186" s="158" t="s">
        <v>434</v>
      </c>
      <c r="L186" s="147">
        <v>56</v>
      </c>
      <c r="M186" s="119" t="s">
        <v>435</v>
      </c>
      <c r="N186" s="115">
        <f>25.905+1.517</f>
        <v>27.422000000000001</v>
      </c>
      <c r="O186" s="122"/>
      <c r="P186" s="92">
        <f t="shared" si="24"/>
        <v>27.421520000000001</v>
      </c>
      <c r="Q186" s="113">
        <f t="shared" si="25"/>
        <v>1.34127</v>
      </c>
      <c r="R186" s="92">
        <f t="shared" si="26"/>
        <v>1.0432100000000002</v>
      </c>
      <c r="S186" s="121"/>
      <c r="T186" s="93">
        <f t="shared" si="22"/>
        <v>-4.7999999999981391E-4</v>
      </c>
      <c r="U186" s="122"/>
      <c r="V186" s="94">
        <f t="shared" ca="1" si="31"/>
        <v>-228.5355552083347</v>
      </c>
      <c r="W186" s="89">
        <f t="shared" si="32"/>
        <v>-5.2173913043458036E-4</v>
      </c>
    </row>
    <row r="187" spans="1:23" ht="18.75">
      <c r="A187" s="115"/>
      <c r="B187" s="66" t="s">
        <v>342</v>
      </c>
      <c r="C187" s="202" t="s">
        <v>55</v>
      </c>
      <c r="D187" s="203" t="s">
        <v>349</v>
      </c>
      <c r="E187" s="204">
        <v>54</v>
      </c>
      <c r="F187" s="205">
        <v>44709</v>
      </c>
      <c r="G187" s="149">
        <v>31.954999999999998</v>
      </c>
      <c r="H187" s="206">
        <v>2029669</v>
      </c>
      <c r="I187" s="207">
        <f t="shared" si="23"/>
        <v>63516.476294789551</v>
      </c>
      <c r="J187" s="122"/>
      <c r="K187" s="158">
        <v>200</v>
      </c>
      <c r="L187" s="147">
        <v>54</v>
      </c>
      <c r="M187" s="119" t="s">
        <v>430</v>
      </c>
      <c r="N187" s="115">
        <v>29.399000000000001</v>
      </c>
      <c r="O187" s="122"/>
      <c r="P187" s="92">
        <f t="shared" si="24"/>
        <v>29.398599999999998</v>
      </c>
      <c r="Q187" s="113">
        <f t="shared" si="25"/>
        <v>1.4379749999999998</v>
      </c>
      <c r="R187" s="92">
        <f t="shared" si="26"/>
        <v>1.118425</v>
      </c>
      <c r="S187" s="121"/>
      <c r="T187" s="93">
        <f t="shared" si="22"/>
        <v>-4.0000000000239844E-4</v>
      </c>
      <c r="U187" s="122"/>
      <c r="V187" s="94">
        <f t="shared" ca="1" si="31"/>
        <v>-228.5355552083347</v>
      </c>
      <c r="W187" s="89">
        <f t="shared" si="32"/>
        <v>-4.3478260869825915E-4</v>
      </c>
    </row>
    <row r="188" spans="1:23" ht="18.75">
      <c r="A188" s="115"/>
      <c r="B188" s="66" t="s">
        <v>342</v>
      </c>
      <c r="C188" s="202" t="s">
        <v>55</v>
      </c>
      <c r="D188" s="203" t="s">
        <v>348</v>
      </c>
      <c r="E188" s="204">
        <v>57</v>
      </c>
      <c r="F188" s="205">
        <v>44709</v>
      </c>
      <c r="G188" s="149">
        <v>31.986000000000001</v>
      </c>
      <c r="H188" s="206">
        <v>2031578</v>
      </c>
      <c r="I188" s="207">
        <f t="shared" si="23"/>
        <v>63514.600137560185</v>
      </c>
      <c r="J188" s="122"/>
      <c r="K188" s="157" t="s">
        <v>432</v>
      </c>
      <c r="L188" s="147">
        <v>57</v>
      </c>
      <c r="M188" s="119" t="s">
        <v>433</v>
      </c>
      <c r="N188" s="115">
        <f>2.835+26.592</f>
        <v>29.427</v>
      </c>
      <c r="O188" s="122"/>
      <c r="P188" s="92">
        <f t="shared" si="24"/>
        <v>29.427120000000002</v>
      </c>
      <c r="Q188" s="113">
        <f t="shared" si="25"/>
        <v>1.43937</v>
      </c>
      <c r="R188" s="92">
        <f t="shared" si="26"/>
        <v>1.1195100000000002</v>
      </c>
      <c r="S188" s="121"/>
      <c r="T188" s="93">
        <f t="shared" si="22"/>
        <v>1.2000000000078614E-4</v>
      </c>
      <c r="U188" s="122"/>
      <c r="V188" s="94">
        <f t="shared" ca="1" si="31"/>
        <v>-228.5355552083347</v>
      </c>
      <c r="W188" s="89">
        <f t="shared" si="32"/>
        <v>1.3043478260955015E-4</v>
      </c>
    </row>
    <row r="189" spans="1:23" ht="18.75">
      <c r="A189" s="115"/>
      <c r="B189" s="66" t="s">
        <v>342</v>
      </c>
      <c r="C189" s="202" t="s">
        <v>55</v>
      </c>
      <c r="D189" s="203" t="s">
        <v>349</v>
      </c>
      <c r="E189" s="204">
        <v>58</v>
      </c>
      <c r="F189" s="205">
        <v>44709</v>
      </c>
      <c r="G189" s="149">
        <v>29.824999999999999</v>
      </c>
      <c r="H189" s="206">
        <v>1894358</v>
      </c>
      <c r="I189" s="207">
        <f t="shared" si="23"/>
        <v>63515.775356244761</v>
      </c>
      <c r="J189" s="122"/>
      <c r="K189" s="157" t="s">
        <v>436</v>
      </c>
      <c r="L189" s="147">
        <v>58</v>
      </c>
      <c r="M189" s="119" t="s">
        <v>437</v>
      </c>
      <c r="N189" s="115">
        <f>6.297+21.142</f>
        <v>27.439</v>
      </c>
      <c r="O189" s="122"/>
      <c r="P189" s="92">
        <f t="shared" si="24"/>
        <v>27.439</v>
      </c>
      <c r="Q189" s="113">
        <f t="shared" si="25"/>
        <v>1.342125</v>
      </c>
      <c r="R189" s="92">
        <f t="shared" si="26"/>
        <v>1.0438750000000001</v>
      </c>
      <c r="S189" s="121"/>
      <c r="T189" s="93">
        <f t="shared" si="22"/>
        <v>0</v>
      </c>
      <c r="U189" s="122"/>
      <c r="V189" s="94">
        <f t="shared" ca="1" si="31"/>
        <v>-228.5355552083347</v>
      </c>
      <c r="W189" s="89">
        <f t="shared" si="32"/>
        <v>0</v>
      </c>
    </row>
    <row r="190" spans="1:23" ht="18.75">
      <c r="A190" s="115"/>
      <c r="B190" s="66" t="s">
        <v>342</v>
      </c>
      <c r="C190" s="211" t="s">
        <v>55</v>
      </c>
      <c r="D190" s="212" t="s">
        <v>344</v>
      </c>
      <c r="E190" s="213">
        <v>59</v>
      </c>
      <c r="F190" s="205">
        <v>44709</v>
      </c>
      <c r="G190" s="214">
        <v>29.806000000000001</v>
      </c>
      <c r="H190" s="215">
        <v>1893170</v>
      </c>
      <c r="I190" s="216">
        <f t="shared" si="23"/>
        <v>63516.406092733007</v>
      </c>
      <c r="J190" s="122"/>
      <c r="K190" s="157" t="s">
        <v>438</v>
      </c>
      <c r="L190" s="147">
        <v>59</v>
      </c>
      <c r="M190" s="119" t="s">
        <v>437</v>
      </c>
      <c r="N190" s="115">
        <f>18.276+9.146</f>
        <v>27.422000000000001</v>
      </c>
      <c r="O190" s="122"/>
      <c r="P190" s="92">
        <f t="shared" si="24"/>
        <v>27.421520000000001</v>
      </c>
      <c r="Q190" s="113">
        <f t="shared" si="25"/>
        <v>1.34127</v>
      </c>
      <c r="R190" s="92">
        <f t="shared" si="26"/>
        <v>1.0432100000000002</v>
      </c>
      <c r="S190" s="121"/>
      <c r="T190" s="93">
        <f t="shared" si="22"/>
        <v>-4.7999999999981391E-4</v>
      </c>
      <c r="U190" s="122"/>
      <c r="V190" s="94">
        <f t="shared" ca="1" si="31"/>
        <v>-228.5355552083347</v>
      </c>
      <c r="W190" s="89">
        <f t="shared" si="32"/>
        <v>-5.2173913043458036E-4</v>
      </c>
    </row>
    <row r="191" spans="1:23" ht="18.75">
      <c r="A191" s="115"/>
      <c r="B191" s="66" t="s">
        <v>342</v>
      </c>
      <c r="C191" s="211" t="s">
        <v>94</v>
      </c>
      <c r="D191" s="212" t="s">
        <v>350</v>
      </c>
      <c r="E191" s="213">
        <v>60</v>
      </c>
      <c r="F191" s="205">
        <v>44709</v>
      </c>
      <c r="G191" s="214">
        <v>31.88</v>
      </c>
      <c r="H191" s="215">
        <v>1927259</v>
      </c>
      <c r="I191" s="216">
        <f t="shared" si="23"/>
        <v>60453.544542032621</v>
      </c>
      <c r="J191" s="122"/>
      <c r="K191" s="186" t="s">
        <v>603</v>
      </c>
      <c r="L191" s="136">
        <v>60</v>
      </c>
      <c r="M191" s="160" t="s">
        <v>606</v>
      </c>
      <c r="N191" s="136">
        <f>27.181+2.149</f>
        <v>29.330000000000002</v>
      </c>
      <c r="O191" s="122"/>
      <c r="P191" s="92">
        <f t="shared" si="24"/>
        <v>29.329599999999999</v>
      </c>
      <c r="Q191" s="113">
        <f t="shared" si="25"/>
        <v>1.4345999999999999</v>
      </c>
      <c r="R191" s="92">
        <f t="shared" si="26"/>
        <v>1.1158000000000001</v>
      </c>
      <c r="S191" s="121"/>
      <c r="T191" s="93">
        <f t="shared" si="22"/>
        <v>-4.0000000000284253E-4</v>
      </c>
      <c r="U191" s="122"/>
      <c r="V191" s="94">
        <f t="shared" ca="1" si="31"/>
        <v>-228.5355552083347</v>
      </c>
      <c r="W191" s="89">
        <f t="shared" si="32"/>
        <v>-4.347826086987419E-4</v>
      </c>
    </row>
    <row r="192" spans="1:23" ht="18.75">
      <c r="A192" s="115"/>
      <c r="B192" s="66" t="s">
        <v>342</v>
      </c>
      <c r="C192" s="211" t="s">
        <v>55</v>
      </c>
      <c r="D192" s="212" t="s">
        <v>351</v>
      </c>
      <c r="E192" s="213">
        <v>61</v>
      </c>
      <c r="F192" s="205">
        <v>44710</v>
      </c>
      <c r="G192" s="214">
        <v>29.824999999999999</v>
      </c>
      <c r="H192" s="215">
        <v>1894358</v>
      </c>
      <c r="I192" s="216">
        <f t="shared" si="23"/>
        <v>63515.775356244761</v>
      </c>
      <c r="J192" s="122"/>
      <c r="K192" s="187" t="s">
        <v>439</v>
      </c>
      <c r="L192" s="164">
        <v>61</v>
      </c>
      <c r="M192" s="160" t="s">
        <v>441</v>
      </c>
      <c r="N192" s="190">
        <f>13.425+10.102+3.912</f>
        <v>27.439</v>
      </c>
      <c r="O192" s="122"/>
      <c r="P192" s="92">
        <f t="shared" ref="P192:P255" si="33">G192*0.92</f>
        <v>27.439</v>
      </c>
      <c r="Q192" s="113">
        <f t="shared" ref="Q192:Q255" si="34">G192*4.5%</f>
        <v>1.342125</v>
      </c>
      <c r="R192" s="92">
        <f t="shared" ref="R192:R255" si="35">G192*3.5%</f>
        <v>1.0438750000000001</v>
      </c>
      <c r="S192" s="121"/>
      <c r="T192" s="93">
        <f t="shared" ref="T192:T255" si="36">G192-N192-Q192-R192</f>
        <v>0</v>
      </c>
      <c r="U192" s="122"/>
      <c r="V192" s="94">
        <f t="shared" ca="1" si="31"/>
        <v>-227.5355552083347</v>
      </c>
      <c r="W192" s="89">
        <f t="shared" si="32"/>
        <v>0</v>
      </c>
    </row>
    <row r="193" spans="1:23" ht="21" customHeight="1">
      <c r="A193" s="115"/>
      <c r="B193" s="66" t="s">
        <v>342</v>
      </c>
      <c r="C193" s="211" t="s">
        <v>55</v>
      </c>
      <c r="D193" s="212" t="s">
        <v>347</v>
      </c>
      <c r="E193" s="213">
        <v>62</v>
      </c>
      <c r="F193" s="205">
        <v>44710</v>
      </c>
      <c r="G193" s="214">
        <v>31.934000000000001</v>
      </c>
      <c r="H193" s="215">
        <v>2028397</v>
      </c>
      <c r="I193" s="216">
        <f t="shared" si="23"/>
        <v>63518.412976764572</v>
      </c>
      <c r="J193" s="122"/>
      <c r="K193" s="186" t="s">
        <v>442</v>
      </c>
      <c r="L193" s="164">
        <v>62</v>
      </c>
      <c r="M193" s="160" t="s">
        <v>443</v>
      </c>
      <c r="N193" s="136">
        <f>24.339+5.04</f>
        <v>29.378999999999998</v>
      </c>
      <c r="O193" s="122"/>
      <c r="P193" s="92">
        <f t="shared" si="33"/>
        <v>29.379280000000001</v>
      </c>
      <c r="Q193" s="113">
        <f t="shared" si="34"/>
        <v>1.43703</v>
      </c>
      <c r="R193" s="92">
        <f t="shared" si="35"/>
        <v>1.1176900000000001</v>
      </c>
      <c r="S193" s="121"/>
      <c r="T193" s="93">
        <f t="shared" si="36"/>
        <v>2.800000000031666E-4</v>
      </c>
      <c r="U193" s="122"/>
      <c r="V193" s="94">
        <f t="shared" ref="V193:V256" ca="1" si="37">360-($V$3-F193)</f>
        <v>-227.5355552083347</v>
      </c>
      <c r="W193" s="89">
        <f t="shared" ref="W193:W224" si="38">T193/0.92%/100</f>
        <v>3.0434782609039851E-4</v>
      </c>
    </row>
    <row r="194" spans="1:23" ht="18.75">
      <c r="A194" s="115"/>
      <c r="B194" s="66" t="s">
        <v>342</v>
      </c>
      <c r="C194" s="211" t="s">
        <v>55</v>
      </c>
      <c r="D194" s="212" t="s">
        <v>352</v>
      </c>
      <c r="E194" s="213">
        <v>64</v>
      </c>
      <c r="F194" s="205">
        <v>44710</v>
      </c>
      <c r="G194" s="214">
        <v>29.873000000000001</v>
      </c>
      <c r="H194" s="215">
        <v>1897327</v>
      </c>
      <c r="I194" s="216">
        <f t="shared" si="23"/>
        <v>63513.10547986476</v>
      </c>
      <c r="J194" s="122"/>
      <c r="K194" s="186" t="s">
        <v>474</v>
      </c>
      <c r="L194" s="136">
        <v>64</v>
      </c>
      <c r="M194" s="160" t="s">
        <v>475</v>
      </c>
      <c r="N194" s="136">
        <f>25.697+1.786</f>
        <v>27.483000000000001</v>
      </c>
      <c r="O194" s="122"/>
      <c r="P194" s="92">
        <f t="shared" si="33"/>
        <v>27.483160000000002</v>
      </c>
      <c r="Q194" s="113">
        <f t="shared" si="34"/>
        <v>1.344285</v>
      </c>
      <c r="R194" s="92">
        <f t="shared" si="35"/>
        <v>1.0455550000000002</v>
      </c>
      <c r="S194" s="121"/>
      <c r="T194" s="93">
        <f t="shared" si="36"/>
        <v>1.6000000000038206E-4</v>
      </c>
      <c r="U194" s="122"/>
      <c r="V194" s="94">
        <f t="shared" ca="1" si="37"/>
        <v>-227.5355552083347</v>
      </c>
      <c r="W194" s="89">
        <f t="shared" si="38"/>
        <v>1.7391304347867616E-4</v>
      </c>
    </row>
    <row r="195" spans="1:23" ht="18.75">
      <c r="A195" s="115"/>
      <c r="B195" s="66" t="s">
        <v>342</v>
      </c>
      <c r="C195" s="211" t="s">
        <v>55</v>
      </c>
      <c r="D195" s="212" t="s">
        <v>351</v>
      </c>
      <c r="E195" s="213">
        <v>63</v>
      </c>
      <c r="F195" s="205">
        <v>44710</v>
      </c>
      <c r="G195" s="214">
        <v>31.954999999999998</v>
      </c>
      <c r="H195" s="215">
        <v>2029669</v>
      </c>
      <c r="I195" s="216">
        <f t="shared" ref="I195:I216" si="39">H195/G195</f>
        <v>63516.476294789551</v>
      </c>
      <c r="J195" s="122"/>
      <c r="K195" s="186" t="s">
        <v>444</v>
      </c>
      <c r="L195" s="164">
        <v>63</v>
      </c>
      <c r="M195" s="160" t="s">
        <v>440</v>
      </c>
      <c r="N195" s="136">
        <f>27.984+1.415</f>
        <v>29.399000000000001</v>
      </c>
      <c r="O195" s="122"/>
      <c r="P195" s="92">
        <f t="shared" si="33"/>
        <v>29.398599999999998</v>
      </c>
      <c r="Q195" s="113">
        <f t="shared" si="34"/>
        <v>1.4379749999999998</v>
      </c>
      <c r="R195" s="92">
        <f t="shared" si="35"/>
        <v>1.118425</v>
      </c>
      <c r="S195" s="121"/>
      <c r="T195" s="93">
        <f t="shared" si="36"/>
        <v>-4.0000000000239844E-4</v>
      </c>
      <c r="U195" s="122"/>
      <c r="V195" s="94">
        <f t="shared" ca="1" si="37"/>
        <v>-227.5355552083347</v>
      </c>
      <c r="W195" s="89">
        <f t="shared" si="38"/>
        <v>-4.3478260869825915E-4</v>
      </c>
    </row>
    <row r="196" spans="1:23" ht="18.75">
      <c r="A196" s="115"/>
      <c r="B196" s="66" t="s">
        <v>342</v>
      </c>
      <c r="C196" s="211" t="s">
        <v>94</v>
      </c>
      <c r="D196" s="212" t="s">
        <v>350</v>
      </c>
      <c r="E196" s="213">
        <v>66</v>
      </c>
      <c r="F196" s="205">
        <v>44710</v>
      </c>
      <c r="G196" s="214">
        <v>31.88</v>
      </c>
      <c r="H196" s="215">
        <v>1927259</v>
      </c>
      <c r="I196" s="216">
        <f t="shared" si="39"/>
        <v>60453.544542032621</v>
      </c>
      <c r="J196" s="122"/>
      <c r="K196" s="186" t="s">
        <v>604</v>
      </c>
      <c r="L196" s="136">
        <v>66</v>
      </c>
      <c r="M196" s="160" t="s">
        <v>607</v>
      </c>
      <c r="N196" s="136">
        <f>17.97+6.295+3.471+0.083+1.511</f>
        <v>29.33</v>
      </c>
      <c r="O196" s="122"/>
      <c r="P196" s="92">
        <f t="shared" si="33"/>
        <v>29.329599999999999</v>
      </c>
      <c r="Q196" s="113">
        <f t="shared" si="34"/>
        <v>1.4345999999999999</v>
      </c>
      <c r="R196" s="92">
        <f t="shared" si="35"/>
        <v>1.1158000000000001</v>
      </c>
      <c r="S196" s="121"/>
      <c r="T196" s="93">
        <f t="shared" si="36"/>
        <v>-3.9999999999928981E-4</v>
      </c>
      <c r="U196" s="122"/>
      <c r="V196" s="94">
        <f t="shared" ca="1" si="37"/>
        <v>-227.5355552083347</v>
      </c>
      <c r="W196" s="89">
        <f t="shared" si="38"/>
        <v>-4.3478260869488018E-4</v>
      </c>
    </row>
    <row r="197" spans="1:23" ht="18.75">
      <c r="A197" s="115"/>
      <c r="B197" s="66" t="s">
        <v>342</v>
      </c>
      <c r="C197" s="211" t="s">
        <v>55</v>
      </c>
      <c r="D197" s="212" t="s">
        <v>352</v>
      </c>
      <c r="E197" s="213">
        <v>65</v>
      </c>
      <c r="F197" s="205">
        <v>44711</v>
      </c>
      <c r="G197" s="214">
        <v>32.006999999999998</v>
      </c>
      <c r="H197" s="215">
        <v>2032850</v>
      </c>
      <c r="I197" s="216">
        <f t="shared" si="39"/>
        <v>63512.669103633583</v>
      </c>
      <c r="J197" s="122"/>
      <c r="K197" s="186">
        <v>216</v>
      </c>
      <c r="L197" s="136">
        <v>65</v>
      </c>
      <c r="M197" s="160" t="s">
        <v>445</v>
      </c>
      <c r="N197" s="136">
        <v>29.446000000000002</v>
      </c>
      <c r="O197" s="122"/>
      <c r="P197" s="92">
        <f t="shared" si="33"/>
        <v>29.446439999999999</v>
      </c>
      <c r="Q197" s="113">
        <f t="shared" si="34"/>
        <v>1.4403149999999998</v>
      </c>
      <c r="R197" s="92">
        <f t="shared" si="35"/>
        <v>1.1202449999999999</v>
      </c>
      <c r="S197" s="121"/>
      <c r="T197" s="93">
        <f t="shared" si="36"/>
        <v>4.3999999999666528E-4</v>
      </c>
      <c r="U197" s="122"/>
      <c r="V197" s="94">
        <f t="shared" ca="1" si="37"/>
        <v>-226.5355552083347</v>
      </c>
      <c r="W197" s="89">
        <f t="shared" si="38"/>
        <v>4.7826086956159275E-4</v>
      </c>
    </row>
    <row r="198" spans="1:23" ht="18.75">
      <c r="A198" s="115"/>
      <c r="B198" s="66" t="s">
        <v>342</v>
      </c>
      <c r="C198" s="211" t="s">
        <v>55</v>
      </c>
      <c r="D198" s="212" t="s">
        <v>353</v>
      </c>
      <c r="E198" s="213">
        <v>67</v>
      </c>
      <c r="F198" s="205">
        <v>44711</v>
      </c>
      <c r="G198" s="214">
        <v>29.766999999999999</v>
      </c>
      <c r="H198" s="215">
        <v>1890795</v>
      </c>
      <c r="I198" s="216">
        <f t="shared" si="39"/>
        <v>63519.837403836464</v>
      </c>
      <c r="J198" s="122"/>
      <c r="K198" s="189" t="s">
        <v>449</v>
      </c>
      <c r="L198" s="136">
        <v>67</v>
      </c>
      <c r="M198" s="160" t="s">
        <v>445</v>
      </c>
      <c r="N198" s="136">
        <f>2.708+24.678</f>
        <v>27.386000000000003</v>
      </c>
      <c r="O198" s="122"/>
      <c r="P198" s="92">
        <f t="shared" si="33"/>
        <v>27.385640000000002</v>
      </c>
      <c r="Q198" s="113">
        <f t="shared" si="34"/>
        <v>1.339515</v>
      </c>
      <c r="R198" s="92">
        <f t="shared" si="35"/>
        <v>1.0418450000000001</v>
      </c>
      <c r="S198" s="121"/>
      <c r="T198" s="93">
        <f t="shared" si="36"/>
        <v>-3.6000000000346866E-4</v>
      </c>
      <c r="U198" s="122"/>
      <c r="V198" s="94">
        <f t="shared" ca="1" si="37"/>
        <v>-226.5355552083347</v>
      </c>
      <c r="W198" s="89">
        <f t="shared" si="38"/>
        <v>-3.9130434782985724E-4</v>
      </c>
    </row>
    <row r="199" spans="1:23" ht="18.75">
      <c r="A199" s="115"/>
      <c r="B199" s="66" t="s">
        <v>342</v>
      </c>
      <c r="C199" s="211" t="s">
        <v>55</v>
      </c>
      <c r="D199" s="212" t="s">
        <v>353</v>
      </c>
      <c r="E199" s="213">
        <v>68</v>
      </c>
      <c r="F199" s="205">
        <v>44711</v>
      </c>
      <c r="G199" s="214">
        <v>31.893000000000001</v>
      </c>
      <c r="H199" s="215">
        <v>2025852</v>
      </c>
      <c r="I199" s="216">
        <f t="shared" si="39"/>
        <v>63520.270905841404</v>
      </c>
      <c r="J199" s="122"/>
      <c r="K199" s="189" t="s">
        <v>447</v>
      </c>
      <c r="L199" s="136">
        <v>68</v>
      </c>
      <c r="M199" s="160" t="s">
        <v>448</v>
      </c>
      <c r="N199" s="136">
        <f>7.371+21.971</f>
        <v>29.341999999999999</v>
      </c>
      <c r="O199" s="122"/>
      <c r="P199" s="92">
        <f t="shared" si="33"/>
        <v>29.341560000000001</v>
      </c>
      <c r="Q199" s="113">
        <f t="shared" si="34"/>
        <v>1.4351849999999999</v>
      </c>
      <c r="R199" s="92">
        <f t="shared" si="35"/>
        <v>1.1162550000000002</v>
      </c>
      <c r="S199" s="121"/>
      <c r="T199" s="93">
        <f t="shared" si="36"/>
        <v>-4.3999999999821959E-4</v>
      </c>
      <c r="U199" s="122"/>
      <c r="V199" s="94">
        <f t="shared" ca="1" si="37"/>
        <v>-226.5355552083347</v>
      </c>
      <c r="W199" s="89">
        <f t="shared" si="38"/>
        <v>-4.7826086956328216E-4</v>
      </c>
    </row>
    <row r="200" spans="1:23" ht="18.75">
      <c r="A200" s="115"/>
      <c r="B200" s="66" t="s">
        <v>342</v>
      </c>
      <c r="C200" s="211" t="s">
        <v>94</v>
      </c>
      <c r="D200" s="212" t="s">
        <v>354</v>
      </c>
      <c r="E200" s="213">
        <v>69</v>
      </c>
      <c r="F200" s="205">
        <v>44711</v>
      </c>
      <c r="G200" s="214">
        <v>31.87</v>
      </c>
      <c r="H200" s="215">
        <v>1926674</v>
      </c>
      <c r="I200" s="216">
        <f t="shared" si="39"/>
        <v>60454.157514904298</v>
      </c>
      <c r="J200" s="122"/>
      <c r="K200" s="186" t="s">
        <v>460</v>
      </c>
      <c r="L200" s="136">
        <v>69</v>
      </c>
      <c r="M200" s="160" t="s">
        <v>459</v>
      </c>
      <c r="N200" s="190">
        <f>18.54+10.78</f>
        <v>29.32</v>
      </c>
      <c r="O200" s="122"/>
      <c r="P200" s="92">
        <f t="shared" si="33"/>
        <v>29.320400000000003</v>
      </c>
      <c r="Q200" s="113">
        <f t="shared" si="34"/>
        <v>1.43415</v>
      </c>
      <c r="R200" s="92">
        <f t="shared" si="35"/>
        <v>1.1154500000000001</v>
      </c>
      <c r="S200" s="121"/>
      <c r="T200" s="93">
        <f t="shared" si="36"/>
        <v>4.0000000000062208E-4</v>
      </c>
      <c r="U200" s="122"/>
      <c r="V200" s="94">
        <f t="shared" ca="1" si="37"/>
        <v>-226.5355552083347</v>
      </c>
      <c r="W200" s="89">
        <f t="shared" si="38"/>
        <v>4.3478260869632835E-4</v>
      </c>
    </row>
    <row r="201" spans="1:23" ht="18.75">
      <c r="A201" s="115"/>
      <c r="B201" s="66" t="s">
        <v>342</v>
      </c>
      <c r="C201" s="211" t="s">
        <v>94</v>
      </c>
      <c r="D201" s="212" t="s">
        <v>354</v>
      </c>
      <c r="E201" s="213">
        <v>70</v>
      </c>
      <c r="F201" s="205">
        <v>44711</v>
      </c>
      <c r="G201" s="214">
        <v>31.87</v>
      </c>
      <c r="H201" s="215">
        <v>1926674</v>
      </c>
      <c r="I201" s="216">
        <f t="shared" si="39"/>
        <v>60454.157514904298</v>
      </c>
      <c r="J201" s="122"/>
      <c r="K201" s="186" t="s">
        <v>605</v>
      </c>
      <c r="L201" s="136">
        <v>70</v>
      </c>
      <c r="M201" s="160" t="s">
        <v>608</v>
      </c>
      <c r="N201" s="136">
        <f>26.85+0.71+0.231+1.529</f>
        <v>29.320000000000004</v>
      </c>
      <c r="O201" s="122"/>
      <c r="P201" s="92">
        <f t="shared" si="33"/>
        <v>29.320400000000003</v>
      </c>
      <c r="Q201" s="113">
        <f t="shared" si="34"/>
        <v>1.43415</v>
      </c>
      <c r="R201" s="92">
        <f t="shared" si="35"/>
        <v>1.1154500000000001</v>
      </c>
      <c r="S201" s="121"/>
      <c r="T201" s="93">
        <f t="shared" si="36"/>
        <v>3.9999999999706937E-4</v>
      </c>
      <c r="U201" s="122"/>
      <c r="V201" s="94">
        <f t="shared" ca="1" si="37"/>
        <v>-226.5355552083347</v>
      </c>
      <c r="W201" s="89">
        <f t="shared" si="38"/>
        <v>4.3478260869246675E-4</v>
      </c>
    </row>
    <row r="202" spans="1:23" ht="18.75">
      <c r="A202" s="115"/>
      <c r="B202" s="66" t="s">
        <v>342</v>
      </c>
      <c r="C202" s="211" t="s">
        <v>94</v>
      </c>
      <c r="D202" s="212" t="s">
        <v>355</v>
      </c>
      <c r="E202" s="213">
        <v>71</v>
      </c>
      <c r="F202" s="205">
        <v>44711</v>
      </c>
      <c r="G202" s="214">
        <v>31.91</v>
      </c>
      <c r="H202" s="215">
        <v>1929014</v>
      </c>
      <c r="I202" s="216">
        <f t="shared" si="39"/>
        <v>60451.707928549047</v>
      </c>
      <c r="J202" s="122"/>
      <c r="K202" s="186" t="s">
        <v>462</v>
      </c>
      <c r="L202" s="136">
        <v>71</v>
      </c>
      <c r="M202" s="160" t="s">
        <v>461</v>
      </c>
      <c r="N202" s="136">
        <f>21.376+7.981</f>
        <v>29.356999999999999</v>
      </c>
      <c r="O202" s="122"/>
      <c r="P202" s="92">
        <f t="shared" si="33"/>
        <v>29.357200000000002</v>
      </c>
      <c r="Q202" s="113">
        <f t="shared" si="34"/>
        <v>1.4359500000000001</v>
      </c>
      <c r="R202" s="92">
        <f t="shared" si="35"/>
        <v>1.1168500000000001</v>
      </c>
      <c r="S202" s="121"/>
      <c r="T202" s="93">
        <f t="shared" si="36"/>
        <v>2.0000000000064411E-4</v>
      </c>
      <c r="U202" s="122"/>
      <c r="V202" s="94">
        <f t="shared" ca="1" si="37"/>
        <v>-226.5355552083347</v>
      </c>
      <c r="W202" s="89">
        <f t="shared" si="38"/>
        <v>2.1739130434852622E-4</v>
      </c>
    </row>
    <row r="203" spans="1:23" ht="18.75">
      <c r="A203" s="115"/>
      <c r="B203" s="66" t="s">
        <v>342</v>
      </c>
      <c r="C203" s="211" t="s">
        <v>94</v>
      </c>
      <c r="D203" s="212" t="s">
        <v>355</v>
      </c>
      <c r="E203" s="213">
        <v>72</v>
      </c>
      <c r="F203" s="205">
        <v>44711</v>
      </c>
      <c r="G203" s="214">
        <v>31.91</v>
      </c>
      <c r="H203" s="215">
        <v>1929014</v>
      </c>
      <c r="I203" s="216">
        <f t="shared" si="39"/>
        <v>60451.707928549047</v>
      </c>
      <c r="J203" s="122"/>
      <c r="K203" s="186" t="s">
        <v>465</v>
      </c>
      <c r="L203" s="136">
        <v>72</v>
      </c>
      <c r="M203" s="160" t="s">
        <v>466</v>
      </c>
      <c r="N203" s="136">
        <f>23.824+1.648+3.885</f>
        <v>29.356999999999999</v>
      </c>
      <c r="O203" s="122"/>
      <c r="P203" s="92">
        <f t="shared" si="33"/>
        <v>29.357200000000002</v>
      </c>
      <c r="Q203" s="113">
        <f t="shared" si="34"/>
        <v>1.4359500000000001</v>
      </c>
      <c r="R203" s="92">
        <f t="shared" si="35"/>
        <v>1.1168500000000001</v>
      </c>
      <c r="S203" s="121"/>
      <c r="T203" s="93">
        <f t="shared" si="36"/>
        <v>2.0000000000064411E-4</v>
      </c>
      <c r="U203" s="122"/>
      <c r="V203" s="94">
        <f t="shared" ca="1" si="37"/>
        <v>-226.5355552083347</v>
      </c>
      <c r="W203" s="89">
        <f t="shared" si="38"/>
        <v>2.1739130434852622E-4</v>
      </c>
    </row>
    <row r="204" spans="1:23" ht="18.75">
      <c r="A204" s="115"/>
      <c r="B204" s="66" t="s">
        <v>342</v>
      </c>
      <c r="C204" s="211" t="s">
        <v>55</v>
      </c>
      <c r="D204" s="203" t="s">
        <v>356</v>
      </c>
      <c r="E204" s="213">
        <v>73</v>
      </c>
      <c r="F204" s="205">
        <v>44711</v>
      </c>
      <c r="G204" s="214">
        <v>29.728000000000002</v>
      </c>
      <c r="H204" s="215">
        <v>1888420</v>
      </c>
      <c r="I204" s="216">
        <f t="shared" si="39"/>
        <v>63523.277717976314</v>
      </c>
      <c r="J204" s="122"/>
      <c r="K204" s="189" t="s">
        <v>481</v>
      </c>
      <c r="L204" s="136">
        <v>73</v>
      </c>
      <c r="M204" s="160" t="s">
        <v>482</v>
      </c>
      <c r="N204" s="136">
        <f>10+4.67+10.698+1.574+0.408</f>
        <v>27.350000000000005</v>
      </c>
      <c r="O204" s="122"/>
      <c r="P204" s="92">
        <f t="shared" si="33"/>
        <v>27.349760000000003</v>
      </c>
      <c r="Q204" s="113">
        <f t="shared" si="34"/>
        <v>1.3377600000000001</v>
      </c>
      <c r="R204" s="92">
        <f t="shared" si="35"/>
        <v>1.0404800000000001</v>
      </c>
      <c r="S204" s="121"/>
      <c r="T204" s="93">
        <f t="shared" si="36"/>
        <v>-2.4000000000357069E-4</v>
      </c>
      <c r="U204" s="122"/>
      <c r="V204" s="94">
        <f t="shared" ca="1" si="37"/>
        <v>-226.5355552083347</v>
      </c>
      <c r="W204" s="89">
        <f t="shared" si="38"/>
        <v>-2.6086956522127251E-4</v>
      </c>
    </row>
    <row r="205" spans="1:23" ht="18.75">
      <c r="A205" s="115"/>
      <c r="B205" s="66" t="s">
        <v>342</v>
      </c>
      <c r="C205" s="211" t="s">
        <v>55</v>
      </c>
      <c r="D205" s="203" t="s">
        <v>356</v>
      </c>
      <c r="E205" s="213">
        <v>74</v>
      </c>
      <c r="F205" s="205">
        <v>44711</v>
      </c>
      <c r="G205" s="214">
        <v>31.852</v>
      </c>
      <c r="H205" s="215">
        <v>2023307</v>
      </c>
      <c r="I205" s="216">
        <f t="shared" si="39"/>
        <v>63522.133617983171</v>
      </c>
      <c r="J205" s="122"/>
      <c r="K205" s="186" t="s">
        <v>452</v>
      </c>
      <c r="L205" s="136">
        <v>74</v>
      </c>
      <c r="M205" s="160" t="s">
        <v>454</v>
      </c>
      <c r="N205" s="136">
        <f>2.436+13.502+13.366</f>
        <v>29.304000000000002</v>
      </c>
      <c r="O205" s="122"/>
      <c r="P205" s="92">
        <f t="shared" si="33"/>
        <v>29.303840000000001</v>
      </c>
      <c r="Q205" s="113">
        <f t="shared" si="34"/>
        <v>1.4333400000000001</v>
      </c>
      <c r="R205" s="92">
        <f t="shared" si="35"/>
        <v>1.1148200000000001</v>
      </c>
      <c r="S205" s="121"/>
      <c r="T205" s="93">
        <f t="shared" si="36"/>
        <v>-1.6000000000193637E-4</v>
      </c>
      <c r="U205" s="122"/>
      <c r="V205" s="94">
        <f t="shared" ca="1" si="37"/>
        <v>-226.5355552083347</v>
      </c>
      <c r="W205" s="89">
        <f t="shared" si="38"/>
        <v>-1.7391304348036562E-4</v>
      </c>
    </row>
    <row r="206" spans="1:23" ht="18.75">
      <c r="A206" s="115"/>
      <c r="B206" s="66" t="s">
        <v>342</v>
      </c>
      <c r="C206" s="211" t="s">
        <v>55</v>
      </c>
      <c r="D206" s="203" t="s">
        <v>357</v>
      </c>
      <c r="E206" s="204">
        <v>75</v>
      </c>
      <c r="F206" s="205">
        <v>44711</v>
      </c>
      <c r="G206" s="149">
        <v>29.766999999999999</v>
      </c>
      <c r="H206" s="206">
        <v>1890795</v>
      </c>
      <c r="I206" s="207">
        <f t="shared" si="39"/>
        <v>63519.837403836464</v>
      </c>
      <c r="J206" s="122"/>
      <c r="K206" s="187">
        <v>237241</v>
      </c>
      <c r="L206" s="136">
        <v>75</v>
      </c>
      <c r="M206" s="160" t="s">
        <v>453</v>
      </c>
      <c r="N206" s="136">
        <f>19.312+8.074</f>
        <v>27.386000000000003</v>
      </c>
      <c r="O206" s="122"/>
      <c r="P206" s="92">
        <f t="shared" si="33"/>
        <v>27.385640000000002</v>
      </c>
      <c r="Q206" s="113">
        <f t="shared" si="34"/>
        <v>1.339515</v>
      </c>
      <c r="R206" s="92">
        <f t="shared" si="35"/>
        <v>1.0418450000000001</v>
      </c>
      <c r="S206" s="121"/>
      <c r="T206" s="93">
        <f t="shared" si="36"/>
        <v>-3.6000000000346866E-4</v>
      </c>
      <c r="U206" s="122"/>
      <c r="V206" s="94">
        <f t="shared" ca="1" si="37"/>
        <v>-226.5355552083347</v>
      </c>
      <c r="W206" s="89">
        <f t="shared" si="38"/>
        <v>-3.9130434782985724E-4</v>
      </c>
    </row>
    <row r="207" spans="1:23" ht="18.75">
      <c r="A207" s="115"/>
      <c r="B207" s="66" t="s">
        <v>342</v>
      </c>
      <c r="C207" s="211" t="s">
        <v>55</v>
      </c>
      <c r="D207" s="203" t="s">
        <v>357</v>
      </c>
      <c r="E207" s="204">
        <v>76</v>
      </c>
      <c r="F207" s="205">
        <v>44711</v>
      </c>
      <c r="G207" s="149">
        <v>31.893000000000001</v>
      </c>
      <c r="H207" s="206">
        <v>2025852</v>
      </c>
      <c r="I207" s="207">
        <f t="shared" si="39"/>
        <v>63520.270905841404</v>
      </c>
      <c r="J207" s="122"/>
      <c r="K207" s="186" t="s">
        <v>472</v>
      </c>
      <c r="L207" s="136">
        <v>76</v>
      </c>
      <c r="M207" s="160" t="s">
        <v>473</v>
      </c>
      <c r="N207" s="136">
        <f>23.127+5.085+1.13</f>
        <v>29.341999999999999</v>
      </c>
      <c r="O207" s="122"/>
      <c r="P207" s="92">
        <f t="shared" si="33"/>
        <v>29.341560000000001</v>
      </c>
      <c r="Q207" s="113">
        <f t="shared" si="34"/>
        <v>1.4351849999999999</v>
      </c>
      <c r="R207" s="92">
        <f t="shared" si="35"/>
        <v>1.1162550000000002</v>
      </c>
      <c r="S207" s="121"/>
      <c r="T207" s="93">
        <f t="shared" si="36"/>
        <v>-4.3999999999821959E-4</v>
      </c>
      <c r="U207" s="122"/>
      <c r="V207" s="94">
        <f t="shared" ca="1" si="37"/>
        <v>-226.5355552083347</v>
      </c>
      <c r="W207" s="89">
        <f t="shared" si="38"/>
        <v>-4.7826086956328216E-4</v>
      </c>
    </row>
    <row r="208" spans="1:23" ht="18.75">
      <c r="A208" s="115"/>
      <c r="B208" s="66" t="s">
        <v>342</v>
      </c>
      <c r="C208" s="211" t="s">
        <v>55</v>
      </c>
      <c r="D208" s="203" t="s">
        <v>358</v>
      </c>
      <c r="E208" s="204">
        <v>77</v>
      </c>
      <c r="F208" s="205">
        <v>44711</v>
      </c>
      <c r="G208" s="149">
        <v>31.902999999999999</v>
      </c>
      <c r="H208" s="206">
        <v>2026488</v>
      </c>
      <c r="I208" s="207">
        <f t="shared" si="39"/>
        <v>63520.295896937598</v>
      </c>
      <c r="J208" s="122"/>
      <c r="K208" s="186" t="s">
        <v>479</v>
      </c>
      <c r="L208" s="136">
        <v>77</v>
      </c>
      <c r="M208" s="160" t="s">
        <v>480</v>
      </c>
      <c r="N208" s="136">
        <f>29.299+0.052</f>
        <v>29.350999999999999</v>
      </c>
      <c r="O208" s="122"/>
      <c r="P208" s="92">
        <f t="shared" si="33"/>
        <v>29.350760000000001</v>
      </c>
      <c r="Q208" s="113">
        <f t="shared" si="34"/>
        <v>1.435635</v>
      </c>
      <c r="R208" s="92">
        <f t="shared" si="35"/>
        <v>1.1166050000000001</v>
      </c>
      <c r="S208" s="121"/>
      <c r="T208" s="93">
        <f t="shared" si="36"/>
        <v>-2.4000000000046207E-4</v>
      </c>
      <c r="U208" s="122"/>
      <c r="V208" s="94">
        <f t="shared" ca="1" si="37"/>
        <v>-226.5355552083347</v>
      </c>
      <c r="W208" s="89">
        <f t="shared" si="38"/>
        <v>-2.6086956521789354E-4</v>
      </c>
    </row>
    <row r="209" spans="1:23" ht="18.75">
      <c r="A209" s="115"/>
      <c r="B209" s="66" t="s">
        <v>342</v>
      </c>
      <c r="C209" s="202" t="s">
        <v>55</v>
      </c>
      <c r="D209" s="203" t="s">
        <v>358</v>
      </c>
      <c r="E209" s="204">
        <v>78</v>
      </c>
      <c r="F209" s="205">
        <v>44711</v>
      </c>
      <c r="G209" s="149">
        <v>29.777000000000001</v>
      </c>
      <c r="H209" s="206">
        <v>1891389</v>
      </c>
      <c r="I209" s="207">
        <f t="shared" si="39"/>
        <v>63518.453840212242</v>
      </c>
      <c r="J209" s="122"/>
      <c r="K209" s="186">
        <v>245</v>
      </c>
      <c r="L209" s="136">
        <v>78</v>
      </c>
      <c r="M209" s="160" t="s">
        <v>456</v>
      </c>
      <c r="N209" s="136">
        <v>27.395</v>
      </c>
      <c r="O209" s="122"/>
      <c r="P209" s="92">
        <f t="shared" si="33"/>
        <v>27.394840000000002</v>
      </c>
      <c r="Q209" s="113">
        <f t="shared" si="34"/>
        <v>1.3399650000000001</v>
      </c>
      <c r="R209" s="92">
        <f t="shared" si="35"/>
        <v>1.0421950000000002</v>
      </c>
      <c r="S209" s="121"/>
      <c r="T209" s="93">
        <f t="shared" si="36"/>
        <v>-1.5999999999882775E-4</v>
      </c>
      <c r="U209" s="122"/>
      <c r="V209" s="94">
        <f t="shared" ca="1" si="37"/>
        <v>-226.5355552083347</v>
      </c>
      <c r="W209" s="89">
        <f t="shared" si="38"/>
        <v>-1.7391304347698667E-4</v>
      </c>
    </row>
    <row r="210" spans="1:23" ht="18.75">
      <c r="A210" s="115"/>
      <c r="B210" s="66" t="s">
        <v>342</v>
      </c>
      <c r="C210" s="202" t="s">
        <v>55</v>
      </c>
      <c r="D210" s="203" t="s">
        <v>359</v>
      </c>
      <c r="E210" s="204">
        <v>79</v>
      </c>
      <c r="F210" s="205">
        <v>44712</v>
      </c>
      <c r="G210" s="149">
        <v>29.709</v>
      </c>
      <c r="H210" s="206">
        <v>1887233</v>
      </c>
      <c r="I210" s="207">
        <f t="shared" si="39"/>
        <v>63523.94897169208</v>
      </c>
      <c r="J210" s="122"/>
      <c r="K210" s="157">
        <v>247</v>
      </c>
      <c r="L210" s="115">
        <v>79</v>
      </c>
      <c r="M210" s="119" t="s">
        <v>456</v>
      </c>
      <c r="N210" s="115">
        <v>27.332000000000001</v>
      </c>
      <c r="O210" s="122"/>
      <c r="P210" s="92">
        <f t="shared" si="33"/>
        <v>27.332280000000001</v>
      </c>
      <c r="Q210" s="113">
        <f t="shared" si="34"/>
        <v>1.336905</v>
      </c>
      <c r="R210" s="92">
        <f t="shared" si="35"/>
        <v>1.0398150000000002</v>
      </c>
      <c r="S210" s="121"/>
      <c r="T210" s="93">
        <f t="shared" si="36"/>
        <v>2.7999999999872571E-4</v>
      </c>
      <c r="U210" s="122"/>
      <c r="V210" s="94">
        <f t="shared" ca="1" si="37"/>
        <v>-225.5355552083347</v>
      </c>
      <c r="W210" s="89">
        <f t="shared" si="38"/>
        <v>3.0434782608557143E-4</v>
      </c>
    </row>
    <row r="211" spans="1:23" ht="18.75">
      <c r="A211" s="115"/>
      <c r="B211" s="66" t="s">
        <v>342</v>
      </c>
      <c r="C211" s="202" t="s">
        <v>55</v>
      </c>
      <c r="D211" s="203" t="s">
        <v>359</v>
      </c>
      <c r="E211" s="204">
        <v>80</v>
      </c>
      <c r="F211" s="205">
        <v>44712</v>
      </c>
      <c r="G211" s="149">
        <v>31.831</v>
      </c>
      <c r="H211" s="206">
        <v>2022035</v>
      </c>
      <c r="I211" s="216">
        <f t="shared" si="39"/>
        <v>63524.080299079513</v>
      </c>
      <c r="J211" s="122"/>
      <c r="K211" s="186" t="s">
        <v>464</v>
      </c>
      <c r="L211" s="136">
        <v>80</v>
      </c>
      <c r="M211" s="160" t="s">
        <v>463</v>
      </c>
      <c r="N211" s="136">
        <f>2.466+11.266+5.645+1.934+7.974</f>
        <v>29.285</v>
      </c>
      <c r="O211" s="122"/>
      <c r="P211" s="92">
        <f t="shared" si="33"/>
        <v>29.284520000000001</v>
      </c>
      <c r="Q211" s="113">
        <f t="shared" si="34"/>
        <v>1.4323949999999999</v>
      </c>
      <c r="R211" s="92">
        <f t="shared" si="35"/>
        <v>1.114085</v>
      </c>
      <c r="S211" s="121"/>
      <c r="T211" s="93">
        <f t="shared" si="36"/>
        <v>-4.8000000000048004E-4</v>
      </c>
      <c r="U211" s="122"/>
      <c r="V211" s="94">
        <f t="shared" ca="1" si="37"/>
        <v>-225.5355552083347</v>
      </c>
      <c r="W211" s="89">
        <f t="shared" si="38"/>
        <v>-5.2173913043530439E-4</v>
      </c>
    </row>
    <row r="212" spans="1:23" ht="18.75">
      <c r="A212" s="115"/>
      <c r="B212" s="66" t="s">
        <v>342</v>
      </c>
      <c r="C212" s="202" t="s">
        <v>55</v>
      </c>
      <c r="D212" s="203" t="s">
        <v>360</v>
      </c>
      <c r="E212" s="204">
        <v>81</v>
      </c>
      <c r="F212" s="205">
        <v>44712</v>
      </c>
      <c r="G212" s="149">
        <v>29.757000000000001</v>
      </c>
      <c r="H212" s="206">
        <v>1890201</v>
      </c>
      <c r="I212" s="207">
        <f t="shared" si="39"/>
        <v>63521.221897368683</v>
      </c>
      <c r="J212" s="122"/>
      <c r="K212" s="186" t="s">
        <v>470</v>
      </c>
      <c r="L212" s="136">
        <v>81</v>
      </c>
      <c r="M212" s="160" t="s">
        <v>471</v>
      </c>
      <c r="N212" s="136">
        <f>23.122+4.254</f>
        <v>27.375999999999998</v>
      </c>
      <c r="O212" s="122"/>
      <c r="P212" s="92">
        <f t="shared" si="33"/>
        <v>27.376440000000002</v>
      </c>
      <c r="Q212" s="113">
        <f t="shared" si="34"/>
        <v>1.3390649999999999</v>
      </c>
      <c r="R212" s="92">
        <f t="shared" si="35"/>
        <v>1.0414950000000001</v>
      </c>
      <c r="S212" s="121"/>
      <c r="T212" s="93">
        <f t="shared" si="36"/>
        <v>4.4000000000377071E-4</v>
      </c>
      <c r="U212" s="122"/>
      <c r="V212" s="94">
        <f t="shared" ca="1" si="37"/>
        <v>-225.5355552083347</v>
      </c>
      <c r="W212" s="89">
        <f t="shared" si="38"/>
        <v>4.7826086956931601E-4</v>
      </c>
    </row>
    <row r="213" spans="1:23" ht="18.75">
      <c r="A213" s="115"/>
      <c r="B213" s="66" t="s">
        <v>342</v>
      </c>
      <c r="C213" s="202" t="s">
        <v>55</v>
      </c>
      <c r="D213" s="203" t="s">
        <v>360</v>
      </c>
      <c r="E213" s="204">
        <v>82</v>
      </c>
      <c r="F213" s="205">
        <v>44712</v>
      </c>
      <c r="G213" s="149">
        <v>31.882999999999999</v>
      </c>
      <c r="H213" s="206">
        <v>2025216</v>
      </c>
      <c r="I213" s="216">
        <f t="shared" si="39"/>
        <v>63520.245899068468</v>
      </c>
      <c r="J213" s="122"/>
      <c r="K213" s="186" t="s">
        <v>469</v>
      </c>
      <c r="L213" s="136">
        <v>82</v>
      </c>
      <c r="M213" s="160" t="s">
        <v>468</v>
      </c>
      <c r="N213" s="136">
        <f>25.485+0.341+3.506</f>
        <v>29.332000000000001</v>
      </c>
      <c r="O213" s="122"/>
      <c r="P213" s="92">
        <f t="shared" si="33"/>
        <v>29.332360000000001</v>
      </c>
      <c r="Q213" s="113">
        <f t="shared" si="34"/>
        <v>1.4347349999999999</v>
      </c>
      <c r="R213" s="92">
        <f t="shared" si="35"/>
        <v>1.1159050000000001</v>
      </c>
      <c r="S213" s="121"/>
      <c r="T213" s="93">
        <f t="shared" si="36"/>
        <v>3.5999999999836163E-4</v>
      </c>
      <c r="U213" s="122"/>
      <c r="V213" s="94">
        <f t="shared" ca="1" si="37"/>
        <v>-225.5355552083347</v>
      </c>
      <c r="W213" s="89">
        <f t="shared" si="38"/>
        <v>3.9130434782430612E-4</v>
      </c>
    </row>
    <row r="214" spans="1:23" ht="18.75">
      <c r="A214" s="115"/>
      <c r="B214" s="66" t="s">
        <v>342</v>
      </c>
      <c r="C214" s="202" t="s">
        <v>94</v>
      </c>
      <c r="D214" s="203" t="s">
        <v>361</v>
      </c>
      <c r="E214" s="204">
        <v>83</v>
      </c>
      <c r="F214" s="205">
        <v>44712</v>
      </c>
      <c r="G214" s="149">
        <v>31.92</v>
      </c>
      <c r="H214" s="206">
        <v>1929599</v>
      </c>
      <c r="I214" s="207">
        <f t="shared" si="39"/>
        <v>60451.096491228069</v>
      </c>
      <c r="J214" s="122"/>
      <c r="K214" s="186" t="s">
        <v>499</v>
      </c>
      <c r="L214" s="136">
        <v>83</v>
      </c>
      <c r="M214" s="160" t="s">
        <v>498</v>
      </c>
      <c r="N214" s="136">
        <f>12.328+17.038</f>
        <v>29.366</v>
      </c>
      <c r="O214" s="122"/>
      <c r="P214" s="92">
        <f t="shared" si="33"/>
        <v>29.366400000000002</v>
      </c>
      <c r="Q214" s="113">
        <f t="shared" si="34"/>
        <v>1.4364000000000001</v>
      </c>
      <c r="R214" s="92">
        <f t="shared" si="35"/>
        <v>1.1172000000000002</v>
      </c>
      <c r="S214" s="121"/>
      <c r="T214" s="93">
        <f t="shared" si="36"/>
        <v>4.000000000017323E-4</v>
      </c>
      <c r="U214" s="122"/>
      <c r="V214" s="94">
        <f t="shared" ca="1" si="37"/>
        <v>-225.5355552083347</v>
      </c>
      <c r="W214" s="89">
        <f t="shared" si="38"/>
        <v>4.3478260869753512E-4</v>
      </c>
    </row>
    <row r="215" spans="1:23" ht="18.75">
      <c r="A215" s="115"/>
      <c r="B215" s="66" t="s">
        <v>342</v>
      </c>
      <c r="C215" s="202" t="s">
        <v>55</v>
      </c>
      <c r="D215" s="203" t="s">
        <v>362</v>
      </c>
      <c r="E215" s="204">
        <v>84</v>
      </c>
      <c r="F215" s="205">
        <v>44712</v>
      </c>
      <c r="G215" s="149">
        <v>29.786000000000001</v>
      </c>
      <c r="H215" s="206">
        <v>1891983</v>
      </c>
      <c r="I215" s="207">
        <f t="shared" si="39"/>
        <v>63519.203652722754</v>
      </c>
      <c r="J215" s="122"/>
      <c r="K215" s="186" t="s">
        <v>476</v>
      </c>
      <c r="L215" s="136">
        <v>84</v>
      </c>
      <c r="M215" s="160" t="s">
        <v>467</v>
      </c>
      <c r="N215" s="136">
        <f>24.764+2.639</f>
        <v>27.402999999999999</v>
      </c>
      <c r="O215" s="122"/>
      <c r="P215" s="92">
        <f t="shared" si="33"/>
        <v>27.403120000000001</v>
      </c>
      <c r="Q215" s="113">
        <f t="shared" si="34"/>
        <v>1.3403700000000001</v>
      </c>
      <c r="R215" s="92">
        <f t="shared" si="35"/>
        <v>1.04251</v>
      </c>
      <c r="S215" s="121"/>
      <c r="T215" s="93">
        <f t="shared" si="36"/>
        <v>1.200000000025625E-4</v>
      </c>
      <c r="U215" s="122"/>
      <c r="V215" s="94">
        <f t="shared" ca="1" si="37"/>
        <v>-225.5355552083347</v>
      </c>
      <c r="W215" s="89">
        <f t="shared" si="38"/>
        <v>1.3043478261148098E-4</v>
      </c>
    </row>
    <row r="216" spans="1:23" ht="18.75">
      <c r="A216" s="115"/>
      <c r="B216" s="66" t="s">
        <v>342</v>
      </c>
      <c r="C216" s="202" t="s">
        <v>55</v>
      </c>
      <c r="D216" s="203" t="s">
        <v>362</v>
      </c>
      <c r="E216" s="204">
        <v>85</v>
      </c>
      <c r="F216" s="205">
        <v>44712</v>
      </c>
      <c r="G216" s="149">
        <v>31.914000000000001</v>
      </c>
      <c r="H216" s="206">
        <v>2027125</v>
      </c>
      <c r="I216" s="207">
        <f t="shared" si="39"/>
        <v>63518.361847465058</v>
      </c>
      <c r="J216" s="122"/>
      <c r="K216" s="186" t="s">
        <v>478</v>
      </c>
      <c r="L216" s="136">
        <v>85</v>
      </c>
      <c r="M216" s="160" t="s">
        <v>467</v>
      </c>
      <c r="N216" s="136">
        <f>10.965+17.038+1.358</f>
        <v>29.361000000000001</v>
      </c>
      <c r="O216" s="122"/>
      <c r="P216" s="92">
        <f t="shared" si="33"/>
        <v>29.360880000000002</v>
      </c>
      <c r="Q216" s="113">
        <f t="shared" si="34"/>
        <v>1.4361299999999999</v>
      </c>
      <c r="R216" s="92">
        <f t="shared" si="35"/>
        <v>1.1169900000000001</v>
      </c>
      <c r="S216" s="121"/>
      <c r="T216" s="93">
        <f t="shared" si="36"/>
        <v>-1.1999999999923183E-4</v>
      </c>
      <c r="U216" s="122"/>
      <c r="V216" s="94">
        <f t="shared" ca="1" si="37"/>
        <v>-225.5355552083347</v>
      </c>
      <c r="W216" s="89">
        <f t="shared" si="38"/>
        <v>-1.304347826078607E-4</v>
      </c>
    </row>
    <row r="217" spans="1:23" ht="18.75">
      <c r="A217" s="115"/>
      <c r="B217" s="66" t="s">
        <v>342</v>
      </c>
      <c r="C217" s="202" t="s">
        <v>94</v>
      </c>
      <c r="D217" s="203" t="s">
        <v>361</v>
      </c>
      <c r="E217" s="204">
        <v>86</v>
      </c>
      <c r="F217" s="205">
        <v>44712</v>
      </c>
      <c r="G217" s="149">
        <v>31.92</v>
      </c>
      <c r="H217" s="206">
        <v>1929599</v>
      </c>
      <c r="I217" s="207">
        <f>H217/G217</f>
        <v>60451.096491228069</v>
      </c>
      <c r="J217" s="122"/>
      <c r="K217" s="186" t="s">
        <v>501</v>
      </c>
      <c r="L217" s="136">
        <v>86</v>
      </c>
      <c r="M217" s="160" t="s">
        <v>500</v>
      </c>
      <c r="N217" s="136">
        <f>15.265+14.101</f>
        <v>29.366</v>
      </c>
      <c r="O217" s="122"/>
      <c r="P217" s="92">
        <f t="shared" si="33"/>
        <v>29.366400000000002</v>
      </c>
      <c r="Q217" s="113">
        <f t="shared" si="34"/>
        <v>1.4364000000000001</v>
      </c>
      <c r="R217" s="92">
        <f t="shared" si="35"/>
        <v>1.1172000000000002</v>
      </c>
      <c r="S217" s="121"/>
      <c r="T217" s="93">
        <f t="shared" si="36"/>
        <v>4.000000000017323E-4</v>
      </c>
      <c r="U217" s="122"/>
      <c r="V217" s="94">
        <f t="shared" ca="1" si="37"/>
        <v>-225.5355552083347</v>
      </c>
      <c r="W217" s="89">
        <f t="shared" si="38"/>
        <v>4.3478260869753512E-4</v>
      </c>
    </row>
    <row r="218" spans="1:23" ht="18">
      <c r="A218" s="115"/>
      <c r="B218" s="66" t="s">
        <v>505</v>
      </c>
      <c r="C218" s="202" t="s">
        <v>506</v>
      </c>
      <c r="D218" s="217" t="s">
        <v>507</v>
      </c>
      <c r="E218" s="204">
        <v>108</v>
      </c>
      <c r="F218" s="205">
        <v>44921</v>
      </c>
      <c r="G218" s="214">
        <v>30.48</v>
      </c>
      <c r="H218" s="206">
        <v>1546860</v>
      </c>
      <c r="I218" s="218">
        <f t="shared" ref="I218:I254" si="40">H218/G218</f>
        <v>50750</v>
      </c>
      <c r="J218" s="122"/>
      <c r="K218" s="186">
        <v>321</v>
      </c>
      <c r="L218" s="136">
        <v>108</v>
      </c>
      <c r="M218" s="160" t="s">
        <v>504</v>
      </c>
      <c r="N218" s="136">
        <v>28.042000000000002</v>
      </c>
      <c r="O218" s="122"/>
      <c r="P218" s="92">
        <f t="shared" si="33"/>
        <v>28.041600000000003</v>
      </c>
      <c r="Q218" s="113">
        <f t="shared" si="34"/>
        <v>1.3715999999999999</v>
      </c>
      <c r="R218" s="92">
        <f t="shared" si="35"/>
        <v>1.0668000000000002</v>
      </c>
      <c r="S218" s="121"/>
      <c r="T218" s="93">
        <f t="shared" si="36"/>
        <v>-4.0000000000128821E-4</v>
      </c>
      <c r="U218" s="122"/>
      <c r="V218" s="94">
        <f t="shared" ca="1" si="37"/>
        <v>-16.535555208334699</v>
      </c>
      <c r="W218" s="89">
        <f t="shared" si="38"/>
        <v>-4.3478260869705244E-4</v>
      </c>
    </row>
    <row r="219" spans="1:23" ht="18">
      <c r="A219" s="115"/>
      <c r="B219" s="66" t="s">
        <v>505</v>
      </c>
      <c r="C219" s="202" t="s">
        <v>506</v>
      </c>
      <c r="D219" s="217" t="s">
        <v>508</v>
      </c>
      <c r="E219" s="204">
        <v>109</v>
      </c>
      <c r="F219" s="205">
        <v>44921</v>
      </c>
      <c r="G219" s="214">
        <v>30.42</v>
      </c>
      <c r="H219" s="206">
        <v>1543815</v>
      </c>
      <c r="I219" s="218">
        <f t="shared" si="40"/>
        <v>50750</v>
      </c>
      <c r="J219" s="122"/>
      <c r="K219" s="187" t="s">
        <v>511</v>
      </c>
      <c r="L219" s="136">
        <v>109</v>
      </c>
      <c r="M219" s="160" t="s">
        <v>504</v>
      </c>
      <c r="N219" s="136">
        <f>5.112+22.874</f>
        <v>27.985999999999997</v>
      </c>
      <c r="O219" s="122"/>
      <c r="P219" s="92">
        <f t="shared" si="33"/>
        <v>27.986400000000003</v>
      </c>
      <c r="Q219" s="113">
        <f t="shared" si="34"/>
        <v>1.3689</v>
      </c>
      <c r="R219" s="92">
        <f t="shared" si="35"/>
        <v>1.0647000000000002</v>
      </c>
      <c r="S219" s="121"/>
      <c r="T219" s="93">
        <f t="shared" si="36"/>
        <v>4.0000000000439684E-4</v>
      </c>
      <c r="U219" s="122"/>
      <c r="V219" s="94">
        <f t="shared" ca="1" si="37"/>
        <v>-16.535555208334699</v>
      </c>
      <c r="W219" s="89">
        <f t="shared" si="38"/>
        <v>4.347826087004313E-4</v>
      </c>
    </row>
    <row r="220" spans="1:23" ht="18">
      <c r="A220" s="115"/>
      <c r="B220" s="66" t="s">
        <v>505</v>
      </c>
      <c r="C220" s="202" t="s">
        <v>506</v>
      </c>
      <c r="D220" s="217" t="s">
        <v>509</v>
      </c>
      <c r="E220" s="204">
        <v>110</v>
      </c>
      <c r="F220" s="205">
        <v>44921</v>
      </c>
      <c r="G220" s="214">
        <v>26.54</v>
      </c>
      <c r="H220" s="206">
        <v>1346905</v>
      </c>
      <c r="I220" s="218">
        <f t="shared" si="40"/>
        <v>50750</v>
      </c>
      <c r="J220" s="122"/>
      <c r="K220" s="186" t="s">
        <v>514</v>
      </c>
      <c r="L220" s="136">
        <v>110</v>
      </c>
      <c r="M220" s="160" t="s">
        <v>504</v>
      </c>
      <c r="N220" s="136">
        <f>9.58+14.837</f>
        <v>24.417000000000002</v>
      </c>
      <c r="O220" s="122"/>
      <c r="P220" s="92">
        <f t="shared" si="33"/>
        <v>24.416799999999999</v>
      </c>
      <c r="Q220" s="113">
        <f t="shared" si="34"/>
        <v>1.1942999999999999</v>
      </c>
      <c r="R220" s="92">
        <f t="shared" si="35"/>
        <v>0.92890000000000006</v>
      </c>
      <c r="S220" s="121"/>
      <c r="T220" s="93">
        <f t="shared" si="36"/>
        <v>-2.0000000000242046E-4</v>
      </c>
      <c r="U220" s="122"/>
      <c r="V220" s="94">
        <f t="shared" ca="1" si="37"/>
        <v>-16.535555208334699</v>
      </c>
      <c r="W220" s="89">
        <f t="shared" si="38"/>
        <v>-2.1739130435045702E-4</v>
      </c>
    </row>
    <row r="221" spans="1:23" ht="18">
      <c r="A221" s="115"/>
      <c r="B221" s="66" t="s">
        <v>505</v>
      </c>
      <c r="C221" s="202" t="s">
        <v>506</v>
      </c>
      <c r="D221" s="217" t="s">
        <v>510</v>
      </c>
      <c r="E221" s="204">
        <v>111</v>
      </c>
      <c r="F221" s="205">
        <v>44921</v>
      </c>
      <c r="G221" s="149">
        <v>30.46</v>
      </c>
      <c r="H221" s="206">
        <v>1545845</v>
      </c>
      <c r="I221" s="218">
        <f t="shared" si="40"/>
        <v>50750</v>
      </c>
      <c r="J221" s="122"/>
      <c r="K221" s="186" t="s">
        <v>525</v>
      </c>
      <c r="L221" s="136">
        <v>111</v>
      </c>
      <c r="M221" s="160" t="s">
        <v>504</v>
      </c>
      <c r="N221" s="136">
        <f>16.681+11.342</f>
        <v>28.023000000000003</v>
      </c>
      <c r="O221" s="122"/>
      <c r="P221" s="92">
        <f t="shared" si="33"/>
        <v>28.023200000000003</v>
      </c>
      <c r="Q221" s="113">
        <f t="shared" si="34"/>
        <v>1.3707</v>
      </c>
      <c r="R221" s="92">
        <f t="shared" si="35"/>
        <v>1.0661</v>
      </c>
      <c r="S221" s="121"/>
      <c r="T221" s="93">
        <f t="shared" si="36"/>
        <v>1.9999999999753548E-4</v>
      </c>
      <c r="U221" s="122"/>
      <c r="V221" s="94">
        <f t="shared" ca="1" si="37"/>
        <v>-16.535555208334699</v>
      </c>
      <c r="W221" s="89">
        <f t="shared" si="38"/>
        <v>2.1739130434514725E-4</v>
      </c>
    </row>
    <row r="222" spans="1:23" ht="18">
      <c r="A222" s="115"/>
      <c r="B222" s="66" t="s">
        <v>505</v>
      </c>
      <c r="C222" s="202" t="s">
        <v>506</v>
      </c>
      <c r="D222" s="217" t="s">
        <v>515</v>
      </c>
      <c r="E222" s="204">
        <v>112</v>
      </c>
      <c r="F222" s="205">
        <v>44921</v>
      </c>
      <c r="G222" s="214">
        <v>30.42</v>
      </c>
      <c r="H222" s="206">
        <v>1543815</v>
      </c>
      <c r="I222" s="218">
        <f t="shared" si="40"/>
        <v>50750</v>
      </c>
      <c r="J222" s="122"/>
      <c r="K222" s="186" t="s">
        <v>526</v>
      </c>
      <c r="L222" s="136">
        <v>112</v>
      </c>
      <c r="M222" s="160" t="s">
        <v>527</v>
      </c>
      <c r="N222" s="136">
        <f>21.894+6.092</f>
        <v>27.985999999999997</v>
      </c>
      <c r="O222" s="122"/>
      <c r="P222" s="92">
        <f t="shared" si="33"/>
        <v>27.986400000000003</v>
      </c>
      <c r="Q222" s="113">
        <f t="shared" si="34"/>
        <v>1.3689</v>
      </c>
      <c r="R222" s="92">
        <f t="shared" si="35"/>
        <v>1.0647000000000002</v>
      </c>
      <c r="S222" s="121"/>
      <c r="T222" s="93">
        <f t="shared" si="36"/>
        <v>4.0000000000439684E-4</v>
      </c>
      <c r="U222" s="122"/>
      <c r="V222" s="94">
        <f t="shared" ca="1" si="37"/>
        <v>-16.535555208334699</v>
      </c>
      <c r="W222" s="89">
        <f t="shared" si="38"/>
        <v>4.347826087004313E-4</v>
      </c>
    </row>
    <row r="223" spans="1:23" ht="18">
      <c r="A223" s="115"/>
      <c r="B223" s="66" t="s">
        <v>505</v>
      </c>
      <c r="C223" s="202" t="s">
        <v>506</v>
      </c>
      <c r="D223" s="217" t="s">
        <v>516</v>
      </c>
      <c r="E223" s="204">
        <v>113</v>
      </c>
      <c r="F223" s="205">
        <v>44921</v>
      </c>
      <c r="G223" s="214">
        <v>38.020000000000003</v>
      </c>
      <c r="H223" s="206">
        <v>1929515</v>
      </c>
      <c r="I223" s="218">
        <f t="shared" si="40"/>
        <v>50749.999999999993</v>
      </c>
      <c r="J223" s="122"/>
      <c r="K223" s="186" t="s">
        <v>530</v>
      </c>
      <c r="L223" s="136">
        <v>113</v>
      </c>
      <c r="M223" s="160" t="s">
        <v>531</v>
      </c>
      <c r="N223" s="190">
        <f>24.81+10.168</f>
        <v>34.977999999999994</v>
      </c>
      <c r="O223" s="122"/>
      <c r="P223" s="92">
        <f t="shared" si="33"/>
        <v>34.978400000000008</v>
      </c>
      <c r="Q223" s="113">
        <f t="shared" si="34"/>
        <v>1.7109000000000001</v>
      </c>
      <c r="R223" s="92">
        <f t="shared" si="35"/>
        <v>1.3307000000000002</v>
      </c>
      <c r="S223" s="121"/>
      <c r="T223" s="93">
        <f t="shared" si="36"/>
        <v>4.0000000000839364E-4</v>
      </c>
      <c r="U223" s="122"/>
      <c r="V223" s="94">
        <f t="shared" ca="1" si="37"/>
        <v>-16.535555208334699</v>
      </c>
      <c r="W223" s="89">
        <f t="shared" si="38"/>
        <v>4.347826087047757E-4</v>
      </c>
    </row>
    <row r="224" spans="1:23" ht="18">
      <c r="A224" s="115"/>
      <c r="B224" s="66" t="s">
        <v>505</v>
      </c>
      <c r="C224" s="202" t="s">
        <v>506</v>
      </c>
      <c r="D224" s="217" t="s">
        <v>517</v>
      </c>
      <c r="E224" s="204">
        <v>114</v>
      </c>
      <c r="F224" s="205">
        <v>44921</v>
      </c>
      <c r="G224" s="214">
        <v>38.04</v>
      </c>
      <c r="H224" s="206">
        <v>1930530</v>
      </c>
      <c r="I224" s="218">
        <f t="shared" si="40"/>
        <v>50750</v>
      </c>
      <c r="J224" s="122"/>
      <c r="K224" s="186" t="s">
        <v>535</v>
      </c>
      <c r="L224" s="166">
        <v>114</v>
      </c>
      <c r="M224" s="160" t="s">
        <v>533</v>
      </c>
      <c r="N224" s="136">
        <f>32.063+2.934</f>
        <v>34.997</v>
      </c>
      <c r="O224" s="122"/>
      <c r="P224" s="92">
        <f t="shared" si="33"/>
        <v>34.9968</v>
      </c>
      <c r="Q224" s="113">
        <f t="shared" si="34"/>
        <v>1.7118</v>
      </c>
      <c r="R224" s="92">
        <f t="shared" si="35"/>
        <v>1.3314000000000001</v>
      </c>
      <c r="S224" s="121"/>
      <c r="T224" s="93">
        <f t="shared" si="36"/>
        <v>-2.0000000000086615E-4</v>
      </c>
      <c r="U224" s="122"/>
      <c r="V224" s="94">
        <f t="shared" ca="1" si="37"/>
        <v>-16.535555208334699</v>
      </c>
      <c r="W224" s="89">
        <f t="shared" si="38"/>
        <v>-2.1739130434876756E-4</v>
      </c>
    </row>
    <row r="225" spans="1:23" ht="18">
      <c r="A225" s="115"/>
      <c r="B225" s="66" t="s">
        <v>505</v>
      </c>
      <c r="C225" s="202" t="s">
        <v>506</v>
      </c>
      <c r="D225" s="217" t="s">
        <v>518</v>
      </c>
      <c r="E225" s="204">
        <v>115</v>
      </c>
      <c r="F225" s="205">
        <v>44921</v>
      </c>
      <c r="G225" s="149">
        <v>26.6</v>
      </c>
      <c r="H225" s="206">
        <v>1349950</v>
      </c>
      <c r="I225" s="218">
        <f t="shared" si="40"/>
        <v>50750</v>
      </c>
      <c r="J225" s="122"/>
      <c r="K225" s="186" t="s">
        <v>532</v>
      </c>
      <c r="L225" s="166">
        <v>115</v>
      </c>
      <c r="M225" s="160" t="s">
        <v>529</v>
      </c>
      <c r="N225" s="136">
        <f>11.661+12.811</f>
        <v>24.472000000000001</v>
      </c>
      <c r="O225" s="122"/>
      <c r="P225" s="92">
        <f t="shared" si="33"/>
        <v>24.472000000000001</v>
      </c>
      <c r="Q225" s="113">
        <f t="shared" si="34"/>
        <v>1.1970000000000001</v>
      </c>
      <c r="R225" s="92">
        <f t="shared" si="35"/>
        <v>0.93100000000000016</v>
      </c>
      <c r="S225" s="121"/>
      <c r="T225" s="93">
        <f t="shared" si="36"/>
        <v>0</v>
      </c>
      <c r="U225" s="122"/>
      <c r="V225" s="94">
        <f t="shared" ca="1" si="37"/>
        <v>-16.535555208334699</v>
      </c>
      <c r="W225" s="89">
        <f t="shared" ref="W225:W256" si="41">T225/0.92%/100</f>
        <v>0</v>
      </c>
    </row>
    <row r="226" spans="1:23" ht="18">
      <c r="A226" s="115"/>
      <c r="B226" s="66" t="s">
        <v>505</v>
      </c>
      <c r="C226" s="202" t="s">
        <v>506</v>
      </c>
      <c r="D226" s="217" t="s">
        <v>519</v>
      </c>
      <c r="E226" s="204">
        <v>116</v>
      </c>
      <c r="F226" s="205">
        <v>44921</v>
      </c>
      <c r="G226" s="149">
        <v>32.340000000000003</v>
      </c>
      <c r="H226" s="206">
        <v>1641255</v>
      </c>
      <c r="I226" s="218">
        <f t="shared" si="40"/>
        <v>50749.999999999993</v>
      </c>
      <c r="J226" s="122"/>
      <c r="K226" s="186" t="s">
        <v>536</v>
      </c>
      <c r="L226" s="166">
        <v>116</v>
      </c>
      <c r="M226" s="160" t="s">
        <v>533</v>
      </c>
      <c r="N226" s="136">
        <f>20.528+9.225</f>
        <v>29.753</v>
      </c>
      <c r="O226" s="122"/>
      <c r="P226" s="92">
        <f t="shared" si="33"/>
        <v>29.752800000000004</v>
      </c>
      <c r="Q226" s="113">
        <f t="shared" si="34"/>
        <v>1.4553</v>
      </c>
      <c r="R226" s="92">
        <f t="shared" si="35"/>
        <v>1.1319000000000001</v>
      </c>
      <c r="S226" s="121"/>
      <c r="T226" s="93">
        <f t="shared" si="36"/>
        <v>-1.9999999999686935E-4</v>
      </c>
      <c r="U226" s="122"/>
      <c r="V226" s="94">
        <f t="shared" ca="1" si="37"/>
        <v>-16.535555208334699</v>
      </c>
      <c r="W226" s="89">
        <f t="shared" si="41"/>
        <v>-2.1739130434442322E-4</v>
      </c>
    </row>
    <row r="227" spans="1:23" ht="18">
      <c r="A227" s="115"/>
      <c r="B227" s="66" t="s">
        <v>505</v>
      </c>
      <c r="C227" s="202" t="s">
        <v>506</v>
      </c>
      <c r="D227" s="217" t="s">
        <v>520</v>
      </c>
      <c r="E227" s="204">
        <v>117</v>
      </c>
      <c r="F227" s="205">
        <v>44921</v>
      </c>
      <c r="G227" s="149">
        <v>26.66</v>
      </c>
      <c r="H227" s="206">
        <v>1352995</v>
      </c>
      <c r="I227" s="218">
        <f t="shared" si="40"/>
        <v>50750</v>
      </c>
      <c r="J227" s="122"/>
      <c r="K227" s="186" t="s">
        <v>537</v>
      </c>
      <c r="L227" s="166">
        <v>117</v>
      </c>
      <c r="M227" s="160" t="s">
        <v>533</v>
      </c>
      <c r="N227" s="136">
        <f>13.395+11.132</f>
        <v>24.527000000000001</v>
      </c>
      <c r="O227" s="122"/>
      <c r="P227" s="92">
        <f t="shared" si="33"/>
        <v>24.527200000000001</v>
      </c>
      <c r="Q227" s="113">
        <f t="shared" si="34"/>
        <v>1.1997</v>
      </c>
      <c r="R227" s="92">
        <f t="shared" si="35"/>
        <v>0.93310000000000004</v>
      </c>
      <c r="S227" s="121"/>
      <c r="T227" s="93">
        <f t="shared" si="36"/>
        <v>1.9999999999908979E-4</v>
      </c>
      <c r="U227" s="122"/>
      <c r="V227" s="94">
        <f t="shared" ca="1" si="37"/>
        <v>-16.535555208334699</v>
      </c>
      <c r="W227" s="89">
        <f t="shared" si="41"/>
        <v>2.1739130434683673E-4</v>
      </c>
    </row>
    <row r="228" spans="1:23" ht="18">
      <c r="A228" s="115"/>
      <c r="B228" s="66" t="s">
        <v>505</v>
      </c>
      <c r="C228" s="202" t="s">
        <v>506</v>
      </c>
      <c r="D228" s="217" t="s">
        <v>521</v>
      </c>
      <c r="E228" s="204">
        <v>118</v>
      </c>
      <c r="F228" s="205">
        <v>44921</v>
      </c>
      <c r="G228" s="149">
        <v>32.26</v>
      </c>
      <c r="H228" s="206">
        <v>1637195</v>
      </c>
      <c r="I228" s="218">
        <f t="shared" si="40"/>
        <v>50750</v>
      </c>
      <c r="J228" s="122"/>
      <c r="K228" s="186" t="s">
        <v>538</v>
      </c>
      <c r="L228" s="166">
        <v>118</v>
      </c>
      <c r="M228" s="160" t="s">
        <v>534</v>
      </c>
      <c r="N228" s="136">
        <f>5.519+24.16</f>
        <v>29.679000000000002</v>
      </c>
      <c r="O228" s="122"/>
      <c r="P228" s="92">
        <f t="shared" si="33"/>
        <v>29.679199999999998</v>
      </c>
      <c r="Q228" s="113">
        <f t="shared" si="34"/>
        <v>1.4516999999999998</v>
      </c>
      <c r="R228" s="92">
        <f t="shared" si="35"/>
        <v>1.1291</v>
      </c>
      <c r="S228" s="121"/>
      <c r="T228" s="93">
        <f t="shared" si="36"/>
        <v>1.9999999999620321E-4</v>
      </c>
      <c r="U228" s="122"/>
      <c r="V228" s="94">
        <f t="shared" ca="1" si="37"/>
        <v>-16.535555208334699</v>
      </c>
      <c r="W228" s="89">
        <f t="shared" si="41"/>
        <v>2.1739130434369913E-4</v>
      </c>
    </row>
    <row r="229" spans="1:23" ht="18">
      <c r="A229" s="115"/>
      <c r="B229" s="66" t="s">
        <v>505</v>
      </c>
      <c r="C229" s="202" t="s">
        <v>506</v>
      </c>
      <c r="D229" s="217" t="s">
        <v>522</v>
      </c>
      <c r="E229" s="204">
        <v>119</v>
      </c>
      <c r="F229" s="205">
        <v>44921</v>
      </c>
      <c r="G229" s="149">
        <v>26.58</v>
      </c>
      <c r="H229" s="206">
        <v>1348935</v>
      </c>
      <c r="I229" s="218">
        <f t="shared" si="40"/>
        <v>50750</v>
      </c>
      <c r="J229" s="122"/>
      <c r="K229" s="186" t="s">
        <v>539</v>
      </c>
      <c r="L229" s="166">
        <v>119</v>
      </c>
      <c r="M229" s="160" t="s">
        <v>534</v>
      </c>
      <c r="N229" s="136">
        <f>8.318+16.136</f>
        <v>24.454000000000001</v>
      </c>
      <c r="O229" s="122"/>
      <c r="P229" s="92">
        <f t="shared" si="33"/>
        <v>24.453599999999998</v>
      </c>
      <c r="Q229" s="113">
        <f t="shared" si="34"/>
        <v>1.1960999999999999</v>
      </c>
      <c r="R229" s="92">
        <f t="shared" si="35"/>
        <v>0.93030000000000002</v>
      </c>
      <c r="S229" s="121"/>
      <c r="T229" s="93">
        <f t="shared" si="36"/>
        <v>-4.0000000000228741E-4</v>
      </c>
      <c r="U229" s="122"/>
      <c r="V229" s="94">
        <f t="shared" ca="1" si="37"/>
        <v>-16.535555208334699</v>
      </c>
      <c r="W229" s="89">
        <f t="shared" si="41"/>
        <v>-4.3478260869813848E-4</v>
      </c>
    </row>
    <row r="230" spans="1:23" ht="18">
      <c r="A230" s="115"/>
      <c r="B230" s="66" t="s">
        <v>505</v>
      </c>
      <c r="C230" s="202" t="s">
        <v>506</v>
      </c>
      <c r="D230" s="217" t="s">
        <v>523</v>
      </c>
      <c r="E230" s="204">
        <v>120</v>
      </c>
      <c r="F230" s="205">
        <v>44921</v>
      </c>
      <c r="G230" s="149">
        <v>30.5</v>
      </c>
      <c r="H230" s="206">
        <v>1547875</v>
      </c>
      <c r="I230" s="218">
        <f t="shared" si="40"/>
        <v>50750</v>
      </c>
      <c r="J230" s="122"/>
      <c r="K230" s="186" t="s">
        <v>560</v>
      </c>
      <c r="L230" s="166">
        <v>120</v>
      </c>
      <c r="M230" s="160" t="s">
        <v>559</v>
      </c>
      <c r="N230" s="190">
        <f>15.64+1+11.42</f>
        <v>28.060000000000002</v>
      </c>
      <c r="O230" s="122"/>
      <c r="P230" s="92">
        <f t="shared" si="33"/>
        <v>28.060000000000002</v>
      </c>
      <c r="Q230" s="113">
        <f t="shared" si="34"/>
        <v>1.3725000000000001</v>
      </c>
      <c r="R230" s="92">
        <f t="shared" si="35"/>
        <v>1.0675000000000001</v>
      </c>
      <c r="S230" s="121"/>
      <c r="T230" s="93">
        <f t="shared" si="36"/>
        <v>-2.4424906541753444E-15</v>
      </c>
      <c r="U230" s="122"/>
      <c r="V230" s="94">
        <f t="shared" ca="1" si="37"/>
        <v>-16.535555208334699</v>
      </c>
      <c r="W230" s="89">
        <f t="shared" si="41"/>
        <v>-2.6548811458427658E-15</v>
      </c>
    </row>
    <row r="231" spans="1:23" ht="18">
      <c r="A231" s="115"/>
      <c r="B231" s="66" t="s">
        <v>505</v>
      </c>
      <c r="C231" s="202" t="s">
        <v>506</v>
      </c>
      <c r="D231" s="217" t="s">
        <v>524</v>
      </c>
      <c r="E231" s="204">
        <v>121</v>
      </c>
      <c r="F231" s="205">
        <v>44921</v>
      </c>
      <c r="G231" s="149">
        <v>26.64</v>
      </c>
      <c r="H231" s="206">
        <v>1351980</v>
      </c>
      <c r="I231" s="218">
        <f t="shared" si="40"/>
        <v>50750</v>
      </c>
      <c r="J231" s="122"/>
      <c r="K231" s="186" t="s">
        <v>564</v>
      </c>
      <c r="L231" s="166">
        <v>121</v>
      </c>
      <c r="M231" s="160" t="s">
        <v>563</v>
      </c>
      <c r="N231" s="136">
        <f>21.066+3.443</f>
        <v>24.509</v>
      </c>
      <c r="O231" s="122"/>
      <c r="P231" s="92">
        <f t="shared" si="33"/>
        <v>24.508800000000001</v>
      </c>
      <c r="Q231" s="113">
        <f t="shared" si="34"/>
        <v>1.1988000000000001</v>
      </c>
      <c r="R231" s="92">
        <f t="shared" si="35"/>
        <v>0.93240000000000012</v>
      </c>
      <c r="S231" s="121"/>
      <c r="T231" s="93">
        <f t="shared" si="36"/>
        <v>-1.9999999999997797E-4</v>
      </c>
      <c r="U231" s="122"/>
      <c r="V231" s="94">
        <f t="shared" ca="1" si="37"/>
        <v>-16.535555208334699</v>
      </c>
      <c r="W231" s="89">
        <f t="shared" si="41"/>
        <v>-2.1739130434780213E-4</v>
      </c>
    </row>
    <row r="232" spans="1:23" ht="18">
      <c r="A232" s="115"/>
      <c r="B232" s="66" t="s">
        <v>505</v>
      </c>
      <c r="C232" s="202" t="s">
        <v>55</v>
      </c>
      <c r="D232" s="217">
        <v>6207054833</v>
      </c>
      <c r="E232" s="204">
        <v>122</v>
      </c>
      <c r="F232" s="205">
        <v>44921</v>
      </c>
      <c r="G232" s="149">
        <v>33.72</v>
      </c>
      <c r="H232" s="206">
        <v>1702860</v>
      </c>
      <c r="I232" s="218">
        <f t="shared" si="40"/>
        <v>50500</v>
      </c>
      <c r="J232" s="122"/>
      <c r="K232" s="230" t="s">
        <v>647</v>
      </c>
      <c r="L232" s="240">
        <v>122</v>
      </c>
      <c r="M232" s="231" t="s">
        <v>648</v>
      </c>
      <c r="N232" s="133">
        <f>30.146+0.876</f>
        <v>31.022000000000002</v>
      </c>
      <c r="O232" s="133"/>
      <c r="P232" s="232">
        <f t="shared" si="33"/>
        <v>31.022400000000001</v>
      </c>
      <c r="Q232" s="232">
        <f t="shared" si="34"/>
        <v>1.5173999999999999</v>
      </c>
      <c r="R232" s="232">
        <f t="shared" si="35"/>
        <v>1.1802000000000001</v>
      </c>
      <c r="S232" s="142"/>
      <c r="T232" s="232">
        <f t="shared" si="36"/>
        <v>3.9999999999684732E-4</v>
      </c>
      <c r="U232" s="122"/>
      <c r="V232" s="94">
        <f t="shared" ca="1" si="37"/>
        <v>-16.535555208334699</v>
      </c>
      <c r="W232" s="89">
        <f t="shared" si="41"/>
        <v>4.3478260869222541E-4</v>
      </c>
    </row>
    <row r="233" spans="1:23" ht="18">
      <c r="A233" s="115"/>
      <c r="B233" s="66" t="s">
        <v>505</v>
      </c>
      <c r="C233" s="202" t="s">
        <v>55</v>
      </c>
      <c r="D233" s="217">
        <v>6207054833</v>
      </c>
      <c r="E233" s="204">
        <v>123</v>
      </c>
      <c r="F233" s="205">
        <v>44921</v>
      </c>
      <c r="G233" s="149">
        <v>33.74</v>
      </c>
      <c r="H233" s="206">
        <v>1703870</v>
      </c>
      <c r="I233" s="218">
        <f t="shared" si="40"/>
        <v>50500</v>
      </c>
      <c r="J233" s="122"/>
      <c r="K233" s="186" t="s">
        <v>567</v>
      </c>
      <c r="L233" s="166">
        <v>123</v>
      </c>
      <c r="M233" s="160" t="s">
        <v>566</v>
      </c>
      <c r="N233" s="136">
        <f>12.145+18.896</f>
        <v>31.041</v>
      </c>
      <c r="O233" s="122"/>
      <c r="P233" s="92">
        <f t="shared" si="33"/>
        <v>31.040800000000004</v>
      </c>
      <c r="Q233" s="113">
        <f t="shared" si="34"/>
        <v>1.5183</v>
      </c>
      <c r="R233" s="92">
        <f t="shared" si="35"/>
        <v>1.1809000000000003</v>
      </c>
      <c r="S233" s="121"/>
      <c r="T233" s="93">
        <f t="shared" si="36"/>
        <v>-1.9999999999864571E-4</v>
      </c>
      <c r="U233" s="122"/>
      <c r="V233" s="94">
        <f t="shared" ca="1" si="37"/>
        <v>-16.535555208334699</v>
      </c>
      <c r="W233" s="89">
        <f t="shared" si="41"/>
        <v>-2.1739130434635402E-4</v>
      </c>
    </row>
    <row r="234" spans="1:23" ht="18">
      <c r="A234" s="115"/>
      <c r="B234" s="66" t="s">
        <v>505</v>
      </c>
      <c r="C234" s="202" t="s">
        <v>55</v>
      </c>
      <c r="D234" s="217">
        <v>6207054833</v>
      </c>
      <c r="E234" s="204">
        <v>124</v>
      </c>
      <c r="F234" s="205">
        <v>44921</v>
      </c>
      <c r="G234" s="149">
        <v>33.74</v>
      </c>
      <c r="H234" s="206">
        <v>1703870</v>
      </c>
      <c r="I234" s="218">
        <f t="shared" si="40"/>
        <v>50500</v>
      </c>
      <c r="J234" s="122"/>
      <c r="K234" s="187">
        <v>361385</v>
      </c>
      <c r="L234" s="166">
        <v>124</v>
      </c>
      <c r="M234" s="160" t="s">
        <v>573</v>
      </c>
      <c r="N234" s="136">
        <f>19.956+11.085</f>
        <v>31.041</v>
      </c>
      <c r="O234" s="122"/>
      <c r="P234" s="92">
        <f t="shared" si="33"/>
        <v>31.040800000000004</v>
      </c>
      <c r="Q234" s="113">
        <f t="shared" si="34"/>
        <v>1.5183</v>
      </c>
      <c r="R234" s="92">
        <f t="shared" si="35"/>
        <v>1.1809000000000003</v>
      </c>
      <c r="S234" s="121"/>
      <c r="T234" s="93">
        <f t="shared" si="36"/>
        <v>-1.9999999999864571E-4</v>
      </c>
      <c r="U234" s="122"/>
      <c r="V234" s="94">
        <f t="shared" ca="1" si="37"/>
        <v>-16.535555208334699</v>
      </c>
      <c r="W234" s="89">
        <f t="shared" si="41"/>
        <v>-2.1739130434635402E-4</v>
      </c>
    </row>
    <row r="235" spans="1:23" ht="18">
      <c r="A235" s="115"/>
      <c r="B235" s="66" t="s">
        <v>505</v>
      </c>
      <c r="C235" s="202" t="s">
        <v>55</v>
      </c>
      <c r="D235" s="217">
        <v>6207054833</v>
      </c>
      <c r="E235" s="204">
        <v>125</v>
      </c>
      <c r="F235" s="205">
        <v>44921</v>
      </c>
      <c r="G235" s="149">
        <v>31.72</v>
      </c>
      <c r="H235" s="206">
        <v>1601860</v>
      </c>
      <c r="I235" s="218">
        <f t="shared" si="40"/>
        <v>50500</v>
      </c>
      <c r="J235" s="122"/>
      <c r="K235" s="186" t="s">
        <v>705</v>
      </c>
      <c r="L235" s="166">
        <v>125</v>
      </c>
      <c r="M235" s="160" t="s">
        <v>706</v>
      </c>
      <c r="N235" s="136">
        <f>28.054+1.128</f>
        <v>29.181999999999999</v>
      </c>
      <c r="O235" s="136"/>
      <c r="P235" s="92">
        <f t="shared" si="33"/>
        <v>29.182400000000001</v>
      </c>
      <c r="Q235" s="113">
        <f t="shared" si="34"/>
        <v>1.4274</v>
      </c>
      <c r="R235" s="92">
        <f t="shared" si="35"/>
        <v>1.1102000000000001</v>
      </c>
      <c r="S235" s="241"/>
      <c r="T235" s="242">
        <f t="shared" si="36"/>
        <v>4.0000000000017799E-4</v>
      </c>
      <c r="U235" s="122"/>
      <c r="V235" s="94">
        <f t="shared" ca="1" si="37"/>
        <v>-16.535555208334699</v>
      </c>
      <c r="W235" s="89">
        <f t="shared" si="41"/>
        <v>4.3478260869584561E-4</v>
      </c>
    </row>
    <row r="236" spans="1:23" ht="18">
      <c r="A236" s="115"/>
      <c r="B236" s="66" t="s">
        <v>505</v>
      </c>
      <c r="C236" s="202" t="s">
        <v>55</v>
      </c>
      <c r="D236" s="217">
        <v>6207054833</v>
      </c>
      <c r="E236" s="204">
        <v>126</v>
      </c>
      <c r="F236" s="205">
        <v>44921</v>
      </c>
      <c r="G236" s="149">
        <v>31.69</v>
      </c>
      <c r="H236" s="206">
        <v>1600345</v>
      </c>
      <c r="I236" s="218">
        <f t="shared" si="40"/>
        <v>50500</v>
      </c>
      <c r="J236" s="122"/>
      <c r="K236" s="187">
        <v>365366</v>
      </c>
      <c r="L236" s="136">
        <v>126</v>
      </c>
      <c r="M236" s="160" t="s">
        <v>565</v>
      </c>
      <c r="N236" s="136">
        <f>13.045+16.11</f>
        <v>29.155000000000001</v>
      </c>
      <c r="O236" s="122"/>
      <c r="P236" s="92">
        <f t="shared" si="33"/>
        <v>29.154800000000002</v>
      </c>
      <c r="Q236" s="113">
        <f t="shared" si="34"/>
        <v>1.42605</v>
      </c>
      <c r="R236" s="92">
        <f t="shared" si="35"/>
        <v>1.1091500000000001</v>
      </c>
      <c r="S236" s="121"/>
      <c r="T236" s="93">
        <f t="shared" si="36"/>
        <v>-1.9999999999997797E-4</v>
      </c>
      <c r="U236" s="122"/>
      <c r="V236" s="94">
        <f t="shared" ca="1" si="37"/>
        <v>-16.535555208334699</v>
      </c>
      <c r="W236" s="89">
        <f t="shared" si="41"/>
        <v>-2.1739130434780213E-4</v>
      </c>
    </row>
    <row r="237" spans="1:23" ht="18">
      <c r="A237" s="115"/>
      <c r="B237" s="66" t="s">
        <v>505</v>
      </c>
      <c r="C237" s="202" t="s">
        <v>55</v>
      </c>
      <c r="D237" s="217">
        <v>6207054833</v>
      </c>
      <c r="E237" s="204">
        <v>127</v>
      </c>
      <c r="F237" s="205">
        <v>44921</v>
      </c>
      <c r="G237" s="149">
        <v>31.65</v>
      </c>
      <c r="H237" s="206">
        <v>1598325</v>
      </c>
      <c r="I237" s="218">
        <f t="shared" si="40"/>
        <v>50500</v>
      </c>
      <c r="J237" s="122"/>
      <c r="K237" s="186" t="s">
        <v>569</v>
      </c>
      <c r="L237" s="136">
        <v>127</v>
      </c>
      <c r="M237" s="160" t="s">
        <v>570</v>
      </c>
      <c r="N237" s="136">
        <f>13.137+10.091+5.89</f>
        <v>29.118000000000002</v>
      </c>
      <c r="O237" s="122"/>
      <c r="P237" s="92">
        <f t="shared" si="33"/>
        <v>29.117999999999999</v>
      </c>
      <c r="Q237" s="113">
        <f t="shared" si="34"/>
        <v>1.4242499999999998</v>
      </c>
      <c r="R237" s="92">
        <f t="shared" si="35"/>
        <v>1.10775</v>
      </c>
      <c r="S237" s="121"/>
      <c r="T237" s="93">
        <f t="shared" si="36"/>
        <v>-3.3306690738754696E-15</v>
      </c>
      <c r="U237" s="122"/>
      <c r="V237" s="94">
        <f t="shared" ca="1" si="37"/>
        <v>-16.535555208334699</v>
      </c>
      <c r="W237" s="89">
        <f t="shared" si="41"/>
        <v>-3.6202924716037714E-15</v>
      </c>
    </row>
    <row r="238" spans="1:23" ht="18">
      <c r="A238" s="115"/>
      <c r="B238" s="66" t="s">
        <v>505</v>
      </c>
      <c r="C238" s="202" t="s">
        <v>55</v>
      </c>
      <c r="D238" s="217">
        <v>6207054833</v>
      </c>
      <c r="E238" s="204">
        <v>128</v>
      </c>
      <c r="F238" s="205">
        <v>44921</v>
      </c>
      <c r="G238" s="149">
        <v>40.159999999999997</v>
      </c>
      <c r="H238" s="206">
        <v>2028080</v>
      </c>
      <c r="I238" s="218">
        <f t="shared" si="40"/>
        <v>50500.000000000007</v>
      </c>
      <c r="J238" s="122"/>
      <c r="K238" s="186" t="s">
        <v>684</v>
      </c>
      <c r="L238" s="244">
        <v>128</v>
      </c>
      <c r="M238" s="160" t="s">
        <v>685</v>
      </c>
      <c r="N238" s="136">
        <f>31.918+0.192+4.837</f>
        <v>36.947000000000003</v>
      </c>
      <c r="O238" s="122"/>
      <c r="P238" s="92">
        <f t="shared" si="33"/>
        <v>36.947199999999995</v>
      </c>
      <c r="Q238" s="113">
        <f t="shared" si="34"/>
        <v>1.8071999999999997</v>
      </c>
      <c r="R238" s="92">
        <f>G238*3.5%</f>
        <v>1.4056</v>
      </c>
      <c r="S238" s="121"/>
      <c r="T238" s="232">
        <f t="shared" si="36"/>
        <v>1.9999999999420481E-4</v>
      </c>
      <c r="U238" s="122"/>
      <c r="V238" s="94">
        <f t="shared" ca="1" si="37"/>
        <v>-16.535555208334699</v>
      </c>
      <c r="W238" s="89">
        <f t="shared" si="41"/>
        <v>2.1739130434152699E-4</v>
      </c>
    </row>
    <row r="239" spans="1:23" ht="18">
      <c r="A239" s="115"/>
      <c r="B239" s="66" t="s">
        <v>505</v>
      </c>
      <c r="C239" s="202" t="s">
        <v>55</v>
      </c>
      <c r="D239" s="217">
        <v>6207054833</v>
      </c>
      <c r="E239" s="204">
        <v>129</v>
      </c>
      <c r="F239" s="205">
        <v>44921</v>
      </c>
      <c r="G239" s="149">
        <v>31.67</v>
      </c>
      <c r="H239" s="206">
        <v>1599335</v>
      </c>
      <c r="I239" s="218">
        <f t="shared" si="40"/>
        <v>50500</v>
      </c>
      <c r="J239" s="122"/>
      <c r="K239" s="186" t="s">
        <v>571</v>
      </c>
      <c r="L239" s="136">
        <v>129</v>
      </c>
      <c r="M239" s="160" t="s">
        <v>568</v>
      </c>
      <c r="N239" s="136">
        <f>19.775+9.361</f>
        <v>29.135999999999999</v>
      </c>
      <c r="O239" s="122"/>
      <c r="P239" s="92">
        <f t="shared" si="33"/>
        <v>29.136400000000002</v>
      </c>
      <c r="Q239" s="113">
        <f t="shared" si="34"/>
        <v>1.4251499999999999</v>
      </c>
      <c r="R239" s="92">
        <f t="shared" si="35"/>
        <v>1.1084500000000002</v>
      </c>
      <c r="S239" s="121"/>
      <c r="T239" s="93">
        <f t="shared" si="36"/>
        <v>4.0000000000239844E-4</v>
      </c>
      <c r="U239" s="122"/>
      <c r="V239" s="94">
        <f t="shared" ca="1" si="37"/>
        <v>-16.535555208334699</v>
      </c>
      <c r="W239" s="89">
        <f t="shared" si="41"/>
        <v>4.3478260869825915E-4</v>
      </c>
    </row>
    <row r="240" spans="1:23" ht="18">
      <c r="A240" s="115"/>
      <c r="B240" s="66" t="s">
        <v>505</v>
      </c>
      <c r="C240" s="202" t="s">
        <v>55</v>
      </c>
      <c r="D240" s="217">
        <v>6207054833</v>
      </c>
      <c r="E240" s="204">
        <v>130</v>
      </c>
      <c r="F240" s="205">
        <v>44921</v>
      </c>
      <c r="G240" s="149">
        <v>31.61</v>
      </c>
      <c r="H240" s="206">
        <v>1596305</v>
      </c>
      <c r="I240" s="218">
        <f t="shared" si="40"/>
        <v>50500</v>
      </c>
      <c r="J240" s="122"/>
      <c r="K240" s="186" t="s">
        <v>686</v>
      </c>
      <c r="L240" s="136">
        <v>130</v>
      </c>
      <c r="M240" s="160" t="s">
        <v>687</v>
      </c>
      <c r="N240" s="136">
        <f>26.337+2.744</f>
        <v>29.081</v>
      </c>
      <c r="O240" s="122"/>
      <c r="P240" s="92">
        <f t="shared" si="33"/>
        <v>29.081199999999999</v>
      </c>
      <c r="Q240" s="113">
        <f t="shared" si="34"/>
        <v>1.42245</v>
      </c>
      <c r="R240" s="92">
        <f t="shared" si="35"/>
        <v>1.1063500000000002</v>
      </c>
      <c r="S240" s="121"/>
      <c r="T240" s="232">
        <f t="shared" si="36"/>
        <v>1.9999999999975593E-4</v>
      </c>
      <c r="U240" s="122"/>
      <c r="V240" s="94">
        <f t="shared" ca="1" si="37"/>
        <v>-16.535555208334699</v>
      </c>
      <c r="W240" s="89">
        <f t="shared" si="41"/>
        <v>2.1739130434756082E-4</v>
      </c>
    </row>
    <row r="241" spans="1:23" ht="18">
      <c r="A241" s="115"/>
      <c r="B241" s="66" t="s">
        <v>505</v>
      </c>
      <c r="C241" s="202" t="s">
        <v>55</v>
      </c>
      <c r="D241" s="217">
        <v>6207054833</v>
      </c>
      <c r="E241" s="204">
        <v>131</v>
      </c>
      <c r="F241" s="205">
        <v>44921</v>
      </c>
      <c r="G241" s="149">
        <v>33.729999999999997</v>
      </c>
      <c r="H241" s="206">
        <v>1703365</v>
      </c>
      <c r="I241" s="218">
        <f t="shared" si="40"/>
        <v>50500.000000000007</v>
      </c>
      <c r="J241" s="122"/>
      <c r="K241" s="186" t="s">
        <v>577</v>
      </c>
      <c r="L241" s="136">
        <v>131</v>
      </c>
      <c r="M241" s="160" t="s">
        <v>575</v>
      </c>
      <c r="N241" s="190">
        <f>23.2+7.832</f>
        <v>31.032</v>
      </c>
      <c r="O241" s="122"/>
      <c r="P241" s="92">
        <f t="shared" si="33"/>
        <v>31.031599999999997</v>
      </c>
      <c r="Q241" s="113">
        <f t="shared" si="34"/>
        <v>1.5178499999999997</v>
      </c>
      <c r="R241" s="92">
        <f t="shared" si="35"/>
        <v>1.18055</v>
      </c>
      <c r="S241" s="121"/>
      <c r="T241" s="93">
        <f t="shared" si="36"/>
        <v>-4.0000000000284253E-4</v>
      </c>
      <c r="U241" s="122"/>
      <c r="V241" s="94">
        <f t="shared" ca="1" si="37"/>
        <v>-16.535555208334699</v>
      </c>
      <c r="W241" s="89">
        <f t="shared" si="41"/>
        <v>-4.347826086987419E-4</v>
      </c>
    </row>
    <row r="242" spans="1:23" ht="18">
      <c r="A242" s="115"/>
      <c r="B242" s="66" t="s">
        <v>505</v>
      </c>
      <c r="C242" s="202" t="s">
        <v>55</v>
      </c>
      <c r="D242" s="217">
        <v>6207054833</v>
      </c>
      <c r="E242" s="204">
        <v>132</v>
      </c>
      <c r="F242" s="205">
        <v>44921</v>
      </c>
      <c r="G242" s="149">
        <v>33.729999999999997</v>
      </c>
      <c r="H242" s="206">
        <v>1703365</v>
      </c>
      <c r="I242" s="218">
        <f t="shared" si="40"/>
        <v>50500.000000000007</v>
      </c>
      <c r="J242" s="122"/>
      <c r="K242" s="186">
        <v>378</v>
      </c>
      <c r="L242" s="136">
        <v>132</v>
      </c>
      <c r="M242" s="160" t="s">
        <v>572</v>
      </c>
      <c r="N242" s="136">
        <v>31.032</v>
      </c>
      <c r="O242" s="122"/>
      <c r="P242" s="92">
        <f t="shared" si="33"/>
        <v>31.031599999999997</v>
      </c>
      <c r="Q242" s="113">
        <f t="shared" si="34"/>
        <v>1.5178499999999997</v>
      </c>
      <c r="R242" s="92">
        <f t="shared" si="35"/>
        <v>1.18055</v>
      </c>
      <c r="S242" s="121"/>
      <c r="T242" s="93">
        <f t="shared" si="36"/>
        <v>-4.0000000000284253E-4</v>
      </c>
      <c r="U242" s="122"/>
      <c r="V242" s="94">
        <f t="shared" ca="1" si="37"/>
        <v>-16.535555208334699</v>
      </c>
      <c r="W242" s="89">
        <f t="shared" si="41"/>
        <v>-4.347826086987419E-4</v>
      </c>
    </row>
    <row r="243" spans="1:23" ht="18">
      <c r="A243" s="115"/>
      <c r="B243" s="66" t="s">
        <v>505</v>
      </c>
      <c r="C243" s="202" t="s">
        <v>55</v>
      </c>
      <c r="D243" s="217">
        <v>6207054833</v>
      </c>
      <c r="E243" s="204">
        <v>133</v>
      </c>
      <c r="F243" s="205">
        <v>44921</v>
      </c>
      <c r="G243" s="149">
        <v>33.75</v>
      </c>
      <c r="H243" s="206">
        <v>1704375</v>
      </c>
      <c r="I243" s="218">
        <f t="shared" si="40"/>
        <v>50500</v>
      </c>
      <c r="J243" s="122"/>
      <c r="K243" s="187">
        <v>379383393</v>
      </c>
      <c r="L243" s="136">
        <v>133</v>
      </c>
      <c r="M243" s="160" t="s">
        <v>578</v>
      </c>
      <c r="N243" s="136">
        <f>1.293+20.939+8.818</f>
        <v>31.049999999999997</v>
      </c>
      <c r="O243" s="122"/>
      <c r="P243" s="92">
        <f t="shared" si="33"/>
        <v>31.05</v>
      </c>
      <c r="Q243" s="113">
        <f t="shared" si="34"/>
        <v>1.51875</v>
      </c>
      <c r="R243" s="92">
        <f t="shared" si="35"/>
        <v>1.1812500000000001</v>
      </c>
      <c r="S243" s="121"/>
      <c r="T243" s="93">
        <f t="shared" si="36"/>
        <v>2.6645352591003757E-15</v>
      </c>
      <c r="U243" s="122"/>
      <c r="V243" s="94">
        <f t="shared" ca="1" si="37"/>
        <v>-16.535555208334699</v>
      </c>
      <c r="W243" s="89">
        <f t="shared" si="41"/>
        <v>2.8962339772830169E-15</v>
      </c>
    </row>
    <row r="244" spans="1:23" ht="18">
      <c r="A244" s="115"/>
      <c r="B244" s="66" t="s">
        <v>505</v>
      </c>
      <c r="C244" s="202" t="s">
        <v>55</v>
      </c>
      <c r="D244" s="217">
        <v>6207054833</v>
      </c>
      <c r="E244" s="204">
        <v>134</v>
      </c>
      <c r="F244" s="205">
        <v>44921</v>
      </c>
      <c r="G244" s="149">
        <v>33.729999999999997</v>
      </c>
      <c r="H244" s="206">
        <v>1703365</v>
      </c>
      <c r="I244" s="218">
        <f t="shared" si="40"/>
        <v>50500.000000000007</v>
      </c>
      <c r="J244" s="122"/>
      <c r="K244" s="233" t="s">
        <v>649</v>
      </c>
      <c r="L244" s="133">
        <v>134</v>
      </c>
      <c r="M244" s="231" t="s">
        <v>650</v>
      </c>
      <c r="N244" s="133">
        <f>10.715+12.94+6.791+0.586</f>
        <v>31.032</v>
      </c>
      <c r="O244" s="133"/>
      <c r="P244" s="232">
        <f t="shared" si="33"/>
        <v>31.031599999999997</v>
      </c>
      <c r="Q244" s="232">
        <f t="shared" si="34"/>
        <v>1.5178499999999997</v>
      </c>
      <c r="R244" s="232">
        <f t="shared" si="35"/>
        <v>1.18055</v>
      </c>
      <c r="S244" s="142"/>
      <c r="T244" s="232">
        <f t="shared" si="36"/>
        <v>-4.0000000000284253E-4</v>
      </c>
      <c r="U244" s="122"/>
      <c r="V244" s="94">
        <f t="shared" ca="1" si="37"/>
        <v>-16.535555208334699</v>
      </c>
      <c r="W244" s="89">
        <f t="shared" si="41"/>
        <v>-4.347826086987419E-4</v>
      </c>
    </row>
    <row r="245" spans="1:23" ht="18">
      <c r="A245" s="115"/>
      <c r="B245" s="66" t="s">
        <v>505</v>
      </c>
      <c r="C245" s="202" t="s">
        <v>55</v>
      </c>
      <c r="D245" s="217">
        <v>6207054833</v>
      </c>
      <c r="E245" s="204">
        <v>135</v>
      </c>
      <c r="F245" s="205">
        <v>44921</v>
      </c>
      <c r="G245" s="149">
        <v>33.770000000000003</v>
      </c>
      <c r="H245" s="206">
        <v>1705385</v>
      </c>
      <c r="I245" s="218">
        <f t="shared" si="40"/>
        <v>50499.999999999993</v>
      </c>
      <c r="J245" s="122"/>
      <c r="K245" s="186" t="s">
        <v>574</v>
      </c>
      <c r="L245" s="136">
        <v>135</v>
      </c>
      <c r="M245" s="160" t="s">
        <v>572</v>
      </c>
      <c r="N245" s="136">
        <f>20.311+10.757</f>
        <v>31.067999999999998</v>
      </c>
      <c r="O245" s="122"/>
      <c r="P245" s="92">
        <f t="shared" si="33"/>
        <v>31.068400000000004</v>
      </c>
      <c r="Q245" s="113">
        <f t="shared" si="34"/>
        <v>1.5196500000000002</v>
      </c>
      <c r="R245" s="92">
        <f t="shared" si="35"/>
        <v>1.1819500000000003</v>
      </c>
      <c r="S245" s="121"/>
      <c r="T245" s="93">
        <f t="shared" si="36"/>
        <v>4.0000000000484093E-4</v>
      </c>
      <c r="U245" s="122"/>
      <c r="V245" s="94">
        <f t="shared" ca="1" si="37"/>
        <v>-16.535555208334699</v>
      </c>
      <c r="W245" s="89">
        <f t="shared" si="41"/>
        <v>4.3478260870091404E-4</v>
      </c>
    </row>
    <row r="246" spans="1:23" ht="18">
      <c r="A246" s="115"/>
      <c r="B246" s="66" t="s">
        <v>505</v>
      </c>
      <c r="C246" s="202" t="s">
        <v>55</v>
      </c>
      <c r="D246" s="217">
        <v>6207054833</v>
      </c>
      <c r="E246" s="204">
        <v>136</v>
      </c>
      <c r="F246" s="205">
        <v>44921</v>
      </c>
      <c r="G246" s="149">
        <v>31.63</v>
      </c>
      <c r="H246" s="206">
        <v>1597315</v>
      </c>
      <c r="I246" s="218">
        <f t="shared" si="40"/>
        <v>50500</v>
      </c>
      <c r="J246" s="122"/>
      <c r="K246" s="186" t="s">
        <v>591</v>
      </c>
      <c r="L246" s="136">
        <v>136</v>
      </c>
      <c r="M246" s="160" t="s">
        <v>589</v>
      </c>
      <c r="N246" s="190">
        <f>21.2+7.9</f>
        <v>29.1</v>
      </c>
      <c r="O246" s="122"/>
      <c r="P246" s="92">
        <f t="shared" si="33"/>
        <v>29.099599999999999</v>
      </c>
      <c r="Q246" s="113">
        <f t="shared" si="34"/>
        <v>1.4233499999999999</v>
      </c>
      <c r="R246" s="92">
        <f t="shared" si="35"/>
        <v>1.1070500000000001</v>
      </c>
      <c r="S246" s="121"/>
      <c r="T246" s="93">
        <f t="shared" si="36"/>
        <v>-4.0000000000239844E-4</v>
      </c>
      <c r="U246" s="122"/>
      <c r="V246" s="94">
        <f t="shared" ca="1" si="37"/>
        <v>-16.535555208334699</v>
      </c>
      <c r="W246" s="89">
        <f t="shared" si="41"/>
        <v>-4.3478260869825915E-4</v>
      </c>
    </row>
    <row r="247" spans="1:23" ht="18">
      <c r="A247" s="115"/>
      <c r="B247" s="66" t="s">
        <v>505</v>
      </c>
      <c r="C247" s="202" t="s">
        <v>55</v>
      </c>
      <c r="D247" s="217">
        <v>6207054833</v>
      </c>
      <c r="E247" s="204">
        <v>137</v>
      </c>
      <c r="F247" s="205">
        <v>44921</v>
      </c>
      <c r="G247" s="149">
        <v>31.62</v>
      </c>
      <c r="H247" s="206">
        <v>1596810</v>
      </c>
      <c r="I247" s="218">
        <f t="shared" si="40"/>
        <v>50500</v>
      </c>
      <c r="J247" s="122"/>
      <c r="K247" s="186" t="s">
        <v>651</v>
      </c>
      <c r="L247" s="136">
        <v>137</v>
      </c>
      <c r="M247" s="160" t="s">
        <v>652</v>
      </c>
      <c r="N247" s="190">
        <f>20.799+6.239+2.052</f>
        <v>29.09</v>
      </c>
      <c r="O247" s="133"/>
      <c r="P247" s="232">
        <f t="shared" si="33"/>
        <v>29.090400000000002</v>
      </c>
      <c r="Q247" s="232">
        <f t="shared" si="34"/>
        <v>1.4229000000000001</v>
      </c>
      <c r="R247" s="232">
        <f t="shared" si="35"/>
        <v>1.1067000000000002</v>
      </c>
      <c r="S247" s="142"/>
      <c r="T247" s="232">
        <f t="shared" si="36"/>
        <v>4.0000000000084412E-4</v>
      </c>
      <c r="U247" s="122"/>
      <c r="V247" s="94">
        <f t="shared" ca="1" si="37"/>
        <v>-16.535555208334699</v>
      </c>
      <c r="W247" s="89">
        <f t="shared" si="41"/>
        <v>4.347826086965697E-4</v>
      </c>
    </row>
    <row r="248" spans="1:23" ht="18">
      <c r="A248" s="115"/>
      <c r="B248" s="66" t="s">
        <v>505</v>
      </c>
      <c r="C248" s="202" t="s">
        <v>55</v>
      </c>
      <c r="D248" s="217">
        <v>6207054833</v>
      </c>
      <c r="E248" s="204">
        <v>138</v>
      </c>
      <c r="F248" s="205">
        <v>44921</v>
      </c>
      <c r="G248" s="149">
        <v>31.62</v>
      </c>
      <c r="H248" s="206">
        <v>1596810</v>
      </c>
      <c r="I248" s="218">
        <f t="shared" si="40"/>
        <v>50500</v>
      </c>
      <c r="J248" s="122"/>
      <c r="K248" s="186" t="s">
        <v>688</v>
      </c>
      <c r="L248" s="136">
        <v>138</v>
      </c>
      <c r="M248" s="160" t="s">
        <v>689</v>
      </c>
      <c r="N248" s="136">
        <f>24.963+4.127</f>
        <v>29.09</v>
      </c>
      <c r="O248" s="122"/>
      <c r="P248" s="92">
        <f t="shared" si="33"/>
        <v>29.090400000000002</v>
      </c>
      <c r="Q248" s="113">
        <f t="shared" si="34"/>
        <v>1.4229000000000001</v>
      </c>
      <c r="R248" s="92">
        <f t="shared" si="35"/>
        <v>1.1067000000000002</v>
      </c>
      <c r="S248" s="121"/>
      <c r="T248" s="232">
        <f t="shared" si="36"/>
        <v>4.0000000000084412E-4</v>
      </c>
      <c r="U248" s="122"/>
      <c r="V248" s="94">
        <f t="shared" ca="1" si="37"/>
        <v>-16.535555208334699</v>
      </c>
      <c r="W248" s="89">
        <f t="shared" si="41"/>
        <v>4.347826086965697E-4</v>
      </c>
    </row>
    <row r="249" spans="1:23" ht="18">
      <c r="A249" s="115"/>
      <c r="B249" s="66" t="s">
        <v>505</v>
      </c>
      <c r="C249" s="202" t="s">
        <v>55</v>
      </c>
      <c r="D249" s="217">
        <v>6207054833</v>
      </c>
      <c r="E249" s="204">
        <v>139</v>
      </c>
      <c r="F249" s="205">
        <v>44921</v>
      </c>
      <c r="G249" s="149">
        <v>32.479999999999997</v>
      </c>
      <c r="H249" s="206">
        <v>1640240</v>
      </c>
      <c r="I249" s="218">
        <f t="shared" si="40"/>
        <v>50500.000000000007</v>
      </c>
      <c r="J249" s="133"/>
      <c r="K249" s="186" t="s">
        <v>592</v>
      </c>
      <c r="L249" s="136">
        <v>139</v>
      </c>
      <c r="M249" s="160" t="s">
        <v>590</v>
      </c>
      <c r="N249" s="190">
        <f>20.78+9.102</f>
        <v>29.882000000000001</v>
      </c>
      <c r="O249" s="122"/>
      <c r="P249" s="92">
        <f t="shared" si="33"/>
        <v>29.881599999999999</v>
      </c>
      <c r="Q249" s="113">
        <f t="shared" si="34"/>
        <v>1.4615999999999998</v>
      </c>
      <c r="R249" s="92">
        <f t="shared" si="35"/>
        <v>1.1368</v>
      </c>
      <c r="S249" s="121"/>
      <c r="T249" s="232">
        <f t="shared" si="36"/>
        <v>-4.0000000000439684E-4</v>
      </c>
      <c r="U249" s="122"/>
      <c r="V249" s="94">
        <f t="shared" ca="1" si="37"/>
        <v>-16.535555208334699</v>
      </c>
      <c r="W249" s="89">
        <f t="shared" si="41"/>
        <v>-4.347826087004313E-4</v>
      </c>
    </row>
    <row r="250" spans="1:23" ht="18">
      <c r="A250" s="115"/>
      <c r="B250" s="66" t="s">
        <v>505</v>
      </c>
      <c r="C250" s="202" t="s">
        <v>55</v>
      </c>
      <c r="D250" s="217">
        <v>6207054833</v>
      </c>
      <c r="E250" s="204">
        <v>140</v>
      </c>
      <c r="F250" s="205">
        <v>44921</v>
      </c>
      <c r="G250" s="149">
        <v>31.61</v>
      </c>
      <c r="H250" s="206">
        <v>1596305</v>
      </c>
      <c r="I250" s="218">
        <f t="shared" si="40"/>
        <v>50500</v>
      </c>
      <c r="J250" s="122"/>
      <c r="K250" s="186" t="s">
        <v>690</v>
      </c>
      <c r="L250" s="136">
        <v>140</v>
      </c>
      <c r="M250" s="160" t="s">
        <v>691</v>
      </c>
      <c r="N250" s="136">
        <f>24.693+4.388</f>
        <v>29.081000000000003</v>
      </c>
      <c r="O250" s="122"/>
      <c r="P250" s="92">
        <f t="shared" si="33"/>
        <v>29.081199999999999</v>
      </c>
      <c r="Q250" s="113">
        <f t="shared" si="34"/>
        <v>1.42245</v>
      </c>
      <c r="R250" s="92">
        <f t="shared" si="35"/>
        <v>1.1063500000000002</v>
      </c>
      <c r="S250" s="121"/>
      <c r="T250" s="232">
        <f t="shared" si="36"/>
        <v>1.9999999999620321E-4</v>
      </c>
      <c r="U250" s="122"/>
      <c r="V250" s="94">
        <f t="shared" ca="1" si="37"/>
        <v>-16.535555208334699</v>
      </c>
      <c r="W250" s="89">
        <f t="shared" si="41"/>
        <v>2.1739130434369913E-4</v>
      </c>
    </row>
    <row r="251" spans="1:23" ht="18">
      <c r="A251" s="115"/>
      <c r="B251" s="66" t="s">
        <v>505</v>
      </c>
      <c r="C251" s="202" t="s">
        <v>55</v>
      </c>
      <c r="D251" s="217">
        <v>6207054833</v>
      </c>
      <c r="E251" s="204">
        <v>141</v>
      </c>
      <c r="F251" s="205">
        <v>44921</v>
      </c>
      <c r="G251" s="149">
        <v>31.7</v>
      </c>
      <c r="H251" s="206">
        <v>1600850</v>
      </c>
      <c r="I251" s="218">
        <f t="shared" si="40"/>
        <v>50500</v>
      </c>
      <c r="J251" s="122"/>
      <c r="K251" s="186" t="s">
        <v>707</v>
      </c>
      <c r="L251" s="136">
        <v>141</v>
      </c>
      <c r="M251" s="160" t="s">
        <v>708</v>
      </c>
      <c r="N251" s="136">
        <f>27.673+1.491</f>
        <v>29.163999999999998</v>
      </c>
      <c r="O251" s="122"/>
      <c r="P251" s="92">
        <f t="shared" si="33"/>
        <v>29.164000000000001</v>
      </c>
      <c r="Q251" s="113">
        <f t="shared" si="34"/>
        <v>1.4264999999999999</v>
      </c>
      <c r="R251" s="92">
        <f t="shared" si="35"/>
        <v>1.1095000000000002</v>
      </c>
      <c r="S251" s="121"/>
      <c r="T251" s="232">
        <f t="shared" si="36"/>
        <v>0</v>
      </c>
      <c r="U251" s="122"/>
      <c r="V251" s="94">
        <f t="shared" ca="1" si="37"/>
        <v>-16.535555208334699</v>
      </c>
      <c r="W251" s="89">
        <f t="shared" si="41"/>
        <v>0</v>
      </c>
    </row>
    <row r="252" spans="1:23" ht="18">
      <c r="A252" s="115"/>
      <c r="B252" s="66" t="s">
        <v>505</v>
      </c>
      <c r="C252" s="202" t="s">
        <v>55</v>
      </c>
      <c r="D252" s="217">
        <v>6207054833</v>
      </c>
      <c r="E252" s="204">
        <v>142</v>
      </c>
      <c r="F252" s="205">
        <v>44921</v>
      </c>
      <c r="G252" s="149">
        <v>31.78</v>
      </c>
      <c r="H252" s="206">
        <v>1604890</v>
      </c>
      <c r="I252" s="218">
        <f t="shared" si="40"/>
        <v>50500</v>
      </c>
      <c r="J252" s="122"/>
      <c r="K252" s="186" t="s">
        <v>692</v>
      </c>
      <c r="L252" s="136">
        <v>142</v>
      </c>
      <c r="M252" s="160" t="s">
        <v>693</v>
      </c>
      <c r="N252" s="136">
        <f>7.666+19.387+2.185</f>
        <v>29.238</v>
      </c>
      <c r="O252" s="122"/>
      <c r="P252" s="92">
        <f t="shared" si="33"/>
        <v>29.237600000000004</v>
      </c>
      <c r="Q252" s="113">
        <f t="shared" si="34"/>
        <v>1.4300999999999999</v>
      </c>
      <c r="R252" s="92">
        <f t="shared" si="35"/>
        <v>1.1123000000000001</v>
      </c>
      <c r="S252" s="121"/>
      <c r="T252" s="232">
        <f t="shared" si="36"/>
        <v>-3.9999999999840163E-4</v>
      </c>
      <c r="U252" s="122"/>
      <c r="V252" s="94">
        <f t="shared" ca="1" si="37"/>
        <v>-16.535555208334699</v>
      </c>
      <c r="W252" s="89">
        <f t="shared" si="41"/>
        <v>-4.3478260869391481E-4</v>
      </c>
    </row>
    <row r="253" spans="1:23" ht="18">
      <c r="A253" s="115"/>
      <c r="B253" s="66" t="s">
        <v>505</v>
      </c>
      <c r="C253" s="202" t="s">
        <v>55</v>
      </c>
      <c r="D253" s="217">
        <v>6207054833</v>
      </c>
      <c r="E253" s="204">
        <v>143</v>
      </c>
      <c r="F253" s="205">
        <v>44921</v>
      </c>
      <c r="G253" s="149">
        <v>31.73</v>
      </c>
      <c r="H253" s="206">
        <v>1602365</v>
      </c>
      <c r="I253" s="218">
        <f t="shared" si="40"/>
        <v>50500</v>
      </c>
      <c r="J253" s="122"/>
      <c r="K253" s="186" t="s">
        <v>609</v>
      </c>
      <c r="L253" s="136">
        <v>143</v>
      </c>
      <c r="M253" s="160" t="s">
        <v>602</v>
      </c>
      <c r="N253" s="136">
        <f>24.668+4.524</f>
        <v>29.192</v>
      </c>
      <c r="O253" s="122"/>
      <c r="P253" s="92">
        <f t="shared" si="33"/>
        <v>29.191600000000001</v>
      </c>
      <c r="Q253" s="113">
        <f t="shared" si="34"/>
        <v>1.4278500000000001</v>
      </c>
      <c r="R253" s="92">
        <f t="shared" si="35"/>
        <v>1.1105500000000001</v>
      </c>
      <c r="S253" s="121"/>
      <c r="T253" s="232">
        <f t="shared" si="36"/>
        <v>-3.9999999999995595E-4</v>
      </c>
      <c r="U253" s="122"/>
      <c r="V253" s="94">
        <f t="shared" ca="1" si="37"/>
        <v>-16.535555208334699</v>
      </c>
      <c r="W253" s="89">
        <f t="shared" si="41"/>
        <v>-4.3478260869560427E-4</v>
      </c>
    </row>
    <row r="254" spans="1:23" ht="18">
      <c r="A254" s="115"/>
      <c r="B254" s="66" t="s">
        <v>505</v>
      </c>
      <c r="C254" s="202" t="s">
        <v>55</v>
      </c>
      <c r="D254" s="217">
        <v>6207054833</v>
      </c>
      <c r="E254" s="204">
        <v>144</v>
      </c>
      <c r="F254" s="205">
        <v>44921</v>
      </c>
      <c r="G254" s="149">
        <v>31.73</v>
      </c>
      <c r="H254" s="206">
        <v>1602365</v>
      </c>
      <c r="I254" s="218">
        <f t="shared" si="40"/>
        <v>50500</v>
      </c>
      <c r="J254" s="122"/>
      <c r="K254" s="186" t="s">
        <v>610</v>
      </c>
      <c r="L254" s="136">
        <v>144</v>
      </c>
      <c r="M254" s="160" t="s">
        <v>611</v>
      </c>
      <c r="N254" s="136">
        <f>27.911+1.281</f>
        <v>29.192</v>
      </c>
      <c r="O254" s="122"/>
      <c r="P254" s="92">
        <f t="shared" si="33"/>
        <v>29.191600000000001</v>
      </c>
      <c r="Q254" s="113">
        <f t="shared" si="34"/>
        <v>1.4278500000000001</v>
      </c>
      <c r="R254" s="92">
        <f t="shared" si="35"/>
        <v>1.1105500000000001</v>
      </c>
      <c r="S254" s="121"/>
      <c r="T254" s="232">
        <f t="shared" si="36"/>
        <v>-3.9999999999995595E-4</v>
      </c>
      <c r="U254" s="122"/>
      <c r="V254" s="94">
        <f t="shared" ca="1" si="37"/>
        <v>-16.535555208334699</v>
      </c>
      <c r="W254" s="89">
        <f t="shared" si="41"/>
        <v>-4.3478260869560427E-4</v>
      </c>
    </row>
    <row r="255" spans="1:23" ht="18">
      <c r="A255" s="115"/>
      <c r="B255" s="66" t="s">
        <v>505</v>
      </c>
      <c r="C255" s="202" t="s">
        <v>55</v>
      </c>
      <c r="D255" s="217">
        <v>6207054833</v>
      </c>
      <c r="E255" s="204">
        <v>145</v>
      </c>
      <c r="F255" s="205">
        <v>44921</v>
      </c>
      <c r="G255" s="149">
        <v>31.72</v>
      </c>
      <c r="H255" s="206">
        <v>1601860</v>
      </c>
      <c r="I255" s="218">
        <f t="shared" ref="I255:I318" si="42">H255/G255</f>
        <v>50500</v>
      </c>
      <c r="J255" s="122"/>
      <c r="K255" s="186" t="s">
        <v>615</v>
      </c>
      <c r="L255" s="136">
        <v>145</v>
      </c>
      <c r="M255" s="160" t="s">
        <v>614</v>
      </c>
      <c r="N255" s="136">
        <f>19.192+9.99</f>
        <v>29.182000000000002</v>
      </c>
      <c r="O255" s="122"/>
      <c r="P255" s="92">
        <f t="shared" si="33"/>
        <v>29.182400000000001</v>
      </c>
      <c r="Q255" s="113">
        <f t="shared" si="34"/>
        <v>1.4274</v>
      </c>
      <c r="R255" s="92">
        <f t="shared" si="35"/>
        <v>1.1102000000000001</v>
      </c>
      <c r="S255" s="121"/>
      <c r="T255" s="93">
        <f t="shared" si="36"/>
        <v>3.9999999999662528E-4</v>
      </c>
      <c r="U255" s="122"/>
      <c r="V255" s="94">
        <f t="shared" ca="1" si="37"/>
        <v>-16.535555208334699</v>
      </c>
      <c r="W255" s="89">
        <f t="shared" si="41"/>
        <v>4.3478260869198401E-4</v>
      </c>
    </row>
    <row r="256" spans="1:23" ht="18">
      <c r="A256" s="115"/>
      <c r="B256" s="66" t="s">
        <v>505</v>
      </c>
      <c r="C256" s="202" t="s">
        <v>55</v>
      </c>
      <c r="D256" s="217">
        <v>6207054833</v>
      </c>
      <c r="E256" s="204">
        <v>146</v>
      </c>
      <c r="F256" s="205">
        <v>44921</v>
      </c>
      <c r="G256" s="149">
        <v>31.64</v>
      </c>
      <c r="H256" s="206">
        <v>1597820</v>
      </c>
      <c r="I256" s="218">
        <f t="shared" si="42"/>
        <v>50500</v>
      </c>
      <c r="J256" s="122"/>
      <c r="K256" s="187" t="s">
        <v>694</v>
      </c>
      <c r="L256" s="136">
        <v>146</v>
      </c>
      <c r="M256" s="160" t="s">
        <v>695</v>
      </c>
      <c r="N256" s="136">
        <f>3.287+24.113+1.709</f>
        <v>29.108999999999998</v>
      </c>
      <c r="O256" s="122"/>
      <c r="P256" s="92">
        <f t="shared" ref="P256:P319" si="43">G256*0.92</f>
        <v>29.108800000000002</v>
      </c>
      <c r="Q256" s="113">
        <f t="shared" ref="Q256:Q319" si="44">G256*4.5%</f>
        <v>1.4238</v>
      </c>
      <c r="R256" s="92">
        <f t="shared" ref="R256:R319" si="45">G256*3.5%</f>
        <v>1.1074000000000002</v>
      </c>
      <c r="S256" s="121"/>
      <c r="T256" s="93">
        <f t="shared" ref="T256:T319" si="46">G256-N256-Q256-R256</f>
        <v>-1.9999999999775753E-4</v>
      </c>
      <c r="U256" s="122"/>
      <c r="V256" s="94">
        <f t="shared" ca="1" si="37"/>
        <v>-16.535555208334699</v>
      </c>
      <c r="W256" s="89">
        <f t="shared" si="41"/>
        <v>-2.1739130434538862E-4</v>
      </c>
    </row>
    <row r="257" spans="1:23" ht="18">
      <c r="A257" s="115"/>
      <c r="B257" s="66" t="s">
        <v>505</v>
      </c>
      <c r="C257" s="202" t="s">
        <v>55</v>
      </c>
      <c r="D257" s="217">
        <v>6207054833</v>
      </c>
      <c r="E257" s="204">
        <v>147</v>
      </c>
      <c r="F257" s="205">
        <v>44921</v>
      </c>
      <c r="G257" s="149">
        <v>31.68</v>
      </c>
      <c r="H257" s="206">
        <v>1599840</v>
      </c>
      <c r="I257" s="218">
        <f t="shared" si="42"/>
        <v>50500</v>
      </c>
      <c r="J257" s="122"/>
      <c r="K257" s="187">
        <v>463464</v>
      </c>
      <c r="L257" s="136">
        <v>147</v>
      </c>
      <c r="M257" s="160" t="s">
        <v>629</v>
      </c>
      <c r="N257" s="136">
        <f>7.935+21.211</f>
        <v>29.145999999999997</v>
      </c>
      <c r="O257" s="122"/>
      <c r="P257" s="92">
        <f t="shared" si="43"/>
        <v>29.145600000000002</v>
      </c>
      <c r="Q257" s="113">
        <f t="shared" si="44"/>
        <v>1.4256</v>
      </c>
      <c r="R257" s="92">
        <f t="shared" si="45"/>
        <v>1.1088</v>
      </c>
      <c r="S257" s="121"/>
      <c r="T257" s="93">
        <f t="shared" si="46"/>
        <v>-3.9999999999751346E-4</v>
      </c>
      <c r="U257" s="122"/>
      <c r="V257" s="94">
        <f t="shared" ref="V257:V281" ca="1" si="47">360-($V$3-F257)</f>
        <v>-16.535555208334699</v>
      </c>
      <c r="W257" s="89">
        <f t="shared" ref="W257:W288" si="48">T257/0.92%/100</f>
        <v>-4.3478260869294938E-4</v>
      </c>
    </row>
    <row r="258" spans="1:23" ht="18">
      <c r="A258" s="115"/>
      <c r="B258" s="66" t="s">
        <v>505</v>
      </c>
      <c r="C258" s="202" t="s">
        <v>55</v>
      </c>
      <c r="D258" s="217">
        <v>6207054833</v>
      </c>
      <c r="E258" s="204">
        <v>148</v>
      </c>
      <c r="F258" s="205">
        <v>44921</v>
      </c>
      <c r="G258" s="149">
        <v>27.46</v>
      </c>
      <c r="H258" s="206">
        <v>1386730</v>
      </c>
      <c r="I258" s="218">
        <f t="shared" si="42"/>
        <v>50500</v>
      </c>
      <c r="J258" s="122"/>
      <c r="K258" s="187">
        <v>424425</v>
      </c>
      <c r="L258" s="136">
        <v>148</v>
      </c>
      <c r="M258" s="160" t="s">
        <v>601</v>
      </c>
      <c r="N258" s="136">
        <f>18.962+6.301</f>
        <v>25.262999999999998</v>
      </c>
      <c r="O258" s="122"/>
      <c r="P258" s="92">
        <f t="shared" si="43"/>
        <v>25.263200000000001</v>
      </c>
      <c r="Q258" s="113">
        <f t="shared" si="44"/>
        <v>1.2357</v>
      </c>
      <c r="R258" s="92">
        <f t="shared" si="45"/>
        <v>0.96110000000000018</v>
      </c>
      <c r="S258" s="121"/>
      <c r="T258" s="93">
        <f t="shared" si="46"/>
        <v>2.0000000000253149E-4</v>
      </c>
      <c r="U258" s="122"/>
      <c r="V258" s="94">
        <f t="shared" ca="1" si="47"/>
        <v>-16.535555208334699</v>
      </c>
      <c r="W258" s="89">
        <f t="shared" si="48"/>
        <v>2.1739130435057769E-4</v>
      </c>
    </row>
    <row r="259" spans="1:23" ht="18">
      <c r="A259" s="115"/>
      <c r="B259" s="66" t="s">
        <v>505</v>
      </c>
      <c r="C259" s="202" t="s">
        <v>55</v>
      </c>
      <c r="D259" s="217">
        <v>6207054833</v>
      </c>
      <c r="E259" s="204">
        <v>149</v>
      </c>
      <c r="F259" s="205">
        <v>44921</v>
      </c>
      <c r="G259" s="149">
        <v>40.119999999999997</v>
      </c>
      <c r="H259" s="206">
        <v>2026060</v>
      </c>
      <c r="I259" s="218">
        <f t="shared" si="42"/>
        <v>50500</v>
      </c>
      <c r="J259" s="136"/>
      <c r="K259" s="186" t="s">
        <v>596</v>
      </c>
      <c r="L259" s="136">
        <v>149</v>
      </c>
      <c r="M259" s="160" t="s">
        <v>597</v>
      </c>
      <c r="N259" s="136">
        <f>28.469+8.441</f>
        <v>36.910000000000004</v>
      </c>
      <c r="O259" s="122"/>
      <c r="P259" s="92">
        <f t="shared" si="43"/>
        <v>36.910400000000003</v>
      </c>
      <c r="Q259" s="113">
        <f t="shared" si="44"/>
        <v>1.8053999999999999</v>
      </c>
      <c r="R259" s="92">
        <f t="shared" si="45"/>
        <v>1.4042000000000001</v>
      </c>
      <c r="S259" s="121"/>
      <c r="T259" s="93">
        <f t="shared" si="46"/>
        <v>3.999999999937387E-4</v>
      </c>
      <c r="U259" s="122"/>
      <c r="V259" s="94">
        <f t="shared" ca="1" si="47"/>
        <v>-16.535555208334699</v>
      </c>
      <c r="W259" s="89">
        <f t="shared" si="48"/>
        <v>4.3478260868884644E-4</v>
      </c>
    </row>
    <row r="260" spans="1:23" ht="18">
      <c r="A260" s="115"/>
      <c r="B260" s="66" t="s">
        <v>505</v>
      </c>
      <c r="C260" s="202" t="s">
        <v>55</v>
      </c>
      <c r="D260" s="217">
        <v>6207054833</v>
      </c>
      <c r="E260" s="204">
        <v>150</v>
      </c>
      <c r="F260" s="205">
        <v>44921</v>
      </c>
      <c r="G260" s="149">
        <v>37.43</v>
      </c>
      <c r="H260" s="206">
        <v>1890215</v>
      </c>
      <c r="I260" s="218">
        <f t="shared" si="42"/>
        <v>50500</v>
      </c>
      <c r="J260" s="136"/>
      <c r="K260" s="186" t="s">
        <v>598</v>
      </c>
      <c r="L260" s="136">
        <v>150</v>
      </c>
      <c r="M260" s="160" t="s">
        <v>599</v>
      </c>
      <c r="N260" s="136">
        <f>32.037+2.399</f>
        <v>34.436</v>
      </c>
      <c r="O260" s="122"/>
      <c r="P260" s="92">
        <f t="shared" si="43"/>
        <v>34.435600000000001</v>
      </c>
      <c r="Q260" s="113">
        <f t="shared" si="44"/>
        <v>1.68435</v>
      </c>
      <c r="R260" s="92">
        <f t="shared" si="45"/>
        <v>1.3100500000000002</v>
      </c>
      <c r="S260" s="121"/>
      <c r="T260" s="93">
        <f t="shared" si="46"/>
        <v>-4.0000000000040004E-4</v>
      </c>
      <c r="U260" s="122"/>
      <c r="V260" s="94">
        <f t="shared" ca="1" si="47"/>
        <v>-16.535555208334699</v>
      </c>
      <c r="W260" s="89">
        <f t="shared" si="48"/>
        <v>-4.3478260869608701E-4</v>
      </c>
    </row>
    <row r="261" spans="1:23" ht="18">
      <c r="A261" s="115"/>
      <c r="B261" s="66" t="s">
        <v>505</v>
      </c>
      <c r="C261" s="202" t="s">
        <v>55</v>
      </c>
      <c r="D261" s="217">
        <v>6207054833</v>
      </c>
      <c r="E261" s="204">
        <v>151</v>
      </c>
      <c r="F261" s="205">
        <v>44921</v>
      </c>
      <c r="G261" s="149">
        <v>40.119999999999997</v>
      </c>
      <c r="H261" s="206">
        <v>2026060</v>
      </c>
      <c r="I261" s="218">
        <f t="shared" si="42"/>
        <v>50500</v>
      </c>
      <c r="J261" s="122"/>
      <c r="K261" s="187">
        <v>408423</v>
      </c>
      <c r="L261" s="136">
        <v>151</v>
      </c>
      <c r="M261" s="160" t="s">
        <v>600</v>
      </c>
      <c r="N261" s="136">
        <f>31.374+5.536</f>
        <v>36.909999999999997</v>
      </c>
      <c r="O261" s="122"/>
      <c r="P261" s="92">
        <f t="shared" si="43"/>
        <v>36.910400000000003</v>
      </c>
      <c r="Q261" s="113">
        <f t="shared" si="44"/>
        <v>1.8053999999999999</v>
      </c>
      <c r="R261" s="92">
        <f t="shared" si="45"/>
        <v>1.4042000000000001</v>
      </c>
      <c r="S261" s="121"/>
      <c r="T261" s="93">
        <f t="shared" si="46"/>
        <v>4.0000000000084412E-4</v>
      </c>
      <c r="U261" s="122"/>
      <c r="V261" s="94">
        <f t="shared" ca="1" si="47"/>
        <v>-16.535555208334699</v>
      </c>
      <c r="W261" s="89">
        <f t="shared" si="48"/>
        <v>4.347826086965697E-4</v>
      </c>
    </row>
    <row r="262" spans="1:23" ht="18">
      <c r="A262" s="115"/>
      <c r="B262" s="66" t="s">
        <v>505</v>
      </c>
      <c r="C262" s="202" t="s">
        <v>55</v>
      </c>
      <c r="D262" s="217">
        <v>6207054833</v>
      </c>
      <c r="E262" s="204">
        <v>152</v>
      </c>
      <c r="F262" s="205">
        <v>44921</v>
      </c>
      <c r="G262" s="149">
        <v>40.159999999999997</v>
      </c>
      <c r="H262" s="206">
        <v>2028080</v>
      </c>
      <c r="I262" s="218">
        <f t="shared" si="42"/>
        <v>50500.000000000007</v>
      </c>
      <c r="J262" s="122"/>
      <c r="K262" s="186" t="s">
        <v>593</v>
      </c>
      <c r="L262" s="136">
        <v>152</v>
      </c>
      <c r="M262" s="160" t="s">
        <v>594</v>
      </c>
      <c r="N262" s="136">
        <f>25.237+11.71</f>
        <v>36.947000000000003</v>
      </c>
      <c r="O262" s="122"/>
      <c r="P262" s="92">
        <f t="shared" si="43"/>
        <v>36.947199999999995</v>
      </c>
      <c r="Q262" s="113">
        <f t="shared" si="44"/>
        <v>1.8071999999999997</v>
      </c>
      <c r="R262" s="92">
        <f t="shared" si="45"/>
        <v>1.4056</v>
      </c>
      <c r="S262" s="121"/>
      <c r="T262" s="93">
        <f t="shared" si="46"/>
        <v>1.9999999999420481E-4</v>
      </c>
      <c r="U262" s="122"/>
      <c r="V262" s="94">
        <f t="shared" ca="1" si="47"/>
        <v>-16.535555208334699</v>
      </c>
      <c r="W262" s="89">
        <f t="shared" si="48"/>
        <v>2.1739130434152699E-4</v>
      </c>
    </row>
    <row r="263" spans="1:23" ht="18">
      <c r="A263" s="115"/>
      <c r="B263" s="66" t="s">
        <v>505</v>
      </c>
      <c r="C263" s="202" t="s">
        <v>55</v>
      </c>
      <c r="D263" s="217">
        <v>6207054833</v>
      </c>
      <c r="E263" s="204">
        <v>153</v>
      </c>
      <c r="F263" s="205">
        <v>44921</v>
      </c>
      <c r="G263" s="149">
        <v>40.19</v>
      </c>
      <c r="H263" s="206">
        <v>2029595</v>
      </c>
      <c r="I263" s="218">
        <f t="shared" si="42"/>
        <v>50500</v>
      </c>
      <c r="J263" s="122"/>
      <c r="K263" s="186" t="s">
        <v>595</v>
      </c>
      <c r="L263" s="136">
        <v>153</v>
      </c>
      <c r="M263" s="160" t="s">
        <v>594</v>
      </c>
      <c r="N263" s="136">
        <f>24.288+12.687</f>
        <v>36.975000000000001</v>
      </c>
      <c r="O263" s="122"/>
      <c r="P263" s="92">
        <f t="shared" si="43"/>
        <v>36.974800000000002</v>
      </c>
      <c r="Q263" s="113">
        <f t="shared" si="44"/>
        <v>1.8085499999999999</v>
      </c>
      <c r="R263" s="92">
        <f t="shared" si="45"/>
        <v>1.40665</v>
      </c>
      <c r="S263" s="121"/>
      <c r="T263" s="93">
        <f t="shared" si="46"/>
        <v>-2.0000000000353069E-4</v>
      </c>
      <c r="U263" s="122"/>
      <c r="V263" s="94">
        <f t="shared" ca="1" si="47"/>
        <v>-16.535555208334699</v>
      </c>
      <c r="W263" s="89">
        <f t="shared" si="48"/>
        <v>-2.1739130435166382E-4</v>
      </c>
    </row>
    <row r="264" spans="1:23" ht="18">
      <c r="A264" s="115"/>
      <c r="B264" s="66" t="s">
        <v>505</v>
      </c>
      <c r="C264" s="202" t="s">
        <v>55</v>
      </c>
      <c r="D264" s="217">
        <v>6207054833</v>
      </c>
      <c r="E264" s="204">
        <v>154</v>
      </c>
      <c r="F264" s="205">
        <v>44921</v>
      </c>
      <c r="G264" s="149">
        <v>31.66</v>
      </c>
      <c r="H264" s="206">
        <v>1598830</v>
      </c>
      <c r="I264" s="218">
        <f t="shared" si="42"/>
        <v>50500</v>
      </c>
      <c r="J264" s="122"/>
      <c r="K264" s="186" t="s">
        <v>612</v>
      </c>
      <c r="L264" s="136">
        <v>154</v>
      </c>
      <c r="M264" s="160" t="s">
        <v>613</v>
      </c>
      <c r="N264" s="136">
        <f>12.957+11.98+4.19</f>
        <v>29.127000000000002</v>
      </c>
      <c r="O264" s="122"/>
      <c r="P264" s="92">
        <f t="shared" si="43"/>
        <v>29.127200000000002</v>
      </c>
      <c r="Q264" s="113">
        <f t="shared" si="44"/>
        <v>1.4246999999999999</v>
      </c>
      <c r="R264" s="92">
        <f t="shared" si="45"/>
        <v>1.1081000000000001</v>
      </c>
      <c r="S264" s="121"/>
      <c r="T264" s="93">
        <f t="shared" si="46"/>
        <v>1.9999999999775753E-4</v>
      </c>
      <c r="U264" s="122"/>
      <c r="V264" s="94">
        <f t="shared" ca="1" si="47"/>
        <v>-16.535555208334699</v>
      </c>
      <c r="W264" s="89">
        <f t="shared" si="48"/>
        <v>2.1739130434538862E-4</v>
      </c>
    </row>
    <row r="265" spans="1:23" ht="18">
      <c r="A265" s="115"/>
      <c r="B265" s="66" t="s">
        <v>505</v>
      </c>
      <c r="C265" s="202" t="s">
        <v>55</v>
      </c>
      <c r="D265" s="217">
        <v>6207054833</v>
      </c>
      <c r="E265" s="204">
        <v>155</v>
      </c>
      <c r="F265" s="205">
        <v>44921</v>
      </c>
      <c r="G265" s="149">
        <v>31.72</v>
      </c>
      <c r="H265" s="206">
        <v>1601860</v>
      </c>
      <c r="I265" s="218">
        <f t="shared" si="42"/>
        <v>50500</v>
      </c>
      <c r="J265" s="122"/>
      <c r="K265" s="186" t="s">
        <v>616</v>
      </c>
      <c r="L265" s="136">
        <v>155</v>
      </c>
      <c r="M265" s="160" t="s">
        <v>613</v>
      </c>
      <c r="N265" s="136">
        <f>20.766+8.416</f>
        <v>29.181999999999999</v>
      </c>
      <c r="O265" s="122"/>
      <c r="P265" s="92">
        <f t="shared" si="43"/>
        <v>29.182400000000001</v>
      </c>
      <c r="Q265" s="113">
        <f t="shared" si="44"/>
        <v>1.4274</v>
      </c>
      <c r="R265" s="92">
        <f t="shared" si="45"/>
        <v>1.1102000000000001</v>
      </c>
      <c r="S265" s="121"/>
      <c r="T265" s="93">
        <f t="shared" si="46"/>
        <v>4.0000000000017799E-4</v>
      </c>
      <c r="U265" s="122"/>
      <c r="V265" s="94">
        <f t="shared" ca="1" si="47"/>
        <v>-16.535555208334699</v>
      </c>
      <c r="W265" s="89">
        <f t="shared" si="48"/>
        <v>4.3478260869584561E-4</v>
      </c>
    </row>
    <row r="266" spans="1:23" ht="18">
      <c r="A266" s="115"/>
      <c r="B266" s="66" t="s">
        <v>505</v>
      </c>
      <c r="C266" s="202" t="s">
        <v>55</v>
      </c>
      <c r="D266" s="217">
        <v>6207054833</v>
      </c>
      <c r="E266" s="204">
        <v>156</v>
      </c>
      <c r="F266" s="205">
        <v>44921</v>
      </c>
      <c r="G266" s="149">
        <v>40.11</v>
      </c>
      <c r="H266" s="206">
        <v>2025555</v>
      </c>
      <c r="I266" s="218">
        <f t="shared" si="42"/>
        <v>50500</v>
      </c>
      <c r="J266" s="122"/>
      <c r="K266" s="187">
        <v>415440</v>
      </c>
      <c r="L266" s="136">
        <v>156</v>
      </c>
      <c r="M266" s="160" t="s">
        <v>618</v>
      </c>
      <c r="N266" s="136">
        <f>31.945+4.956</f>
        <v>36.901000000000003</v>
      </c>
      <c r="O266" s="122"/>
      <c r="P266" s="92">
        <f t="shared" si="43"/>
        <v>36.901200000000003</v>
      </c>
      <c r="Q266" s="113">
        <f t="shared" si="44"/>
        <v>1.8049499999999998</v>
      </c>
      <c r="R266" s="92">
        <f t="shared" si="45"/>
        <v>1.40385</v>
      </c>
      <c r="S266" s="121"/>
      <c r="T266" s="93">
        <f t="shared" si="46"/>
        <v>1.9999999999620321E-4</v>
      </c>
      <c r="U266" s="122"/>
      <c r="V266" s="94">
        <f t="shared" ca="1" si="47"/>
        <v>-16.535555208334699</v>
      </c>
      <c r="W266" s="89">
        <f t="shared" si="48"/>
        <v>2.1739130434369913E-4</v>
      </c>
    </row>
    <row r="267" spans="1:23" ht="18">
      <c r="A267" s="115"/>
      <c r="B267" s="66" t="s">
        <v>505</v>
      </c>
      <c r="C267" s="202" t="s">
        <v>55</v>
      </c>
      <c r="D267" s="217">
        <v>6207054833</v>
      </c>
      <c r="E267" s="204">
        <v>157</v>
      </c>
      <c r="F267" s="205">
        <v>44921</v>
      </c>
      <c r="G267" s="149">
        <v>40.119999999999997</v>
      </c>
      <c r="H267" s="206">
        <v>2026060</v>
      </c>
      <c r="I267" s="218">
        <f t="shared" si="42"/>
        <v>50500</v>
      </c>
      <c r="J267" s="122"/>
      <c r="K267" s="186" t="s">
        <v>617</v>
      </c>
      <c r="L267" s="136">
        <v>157</v>
      </c>
      <c r="M267" s="160" t="s">
        <v>613</v>
      </c>
      <c r="N267" s="136">
        <f>24.543+6.089+6.278</f>
        <v>36.909999999999997</v>
      </c>
      <c r="O267" s="122"/>
      <c r="P267" s="92">
        <f t="shared" si="43"/>
        <v>36.910400000000003</v>
      </c>
      <c r="Q267" s="113">
        <f t="shared" si="44"/>
        <v>1.8053999999999999</v>
      </c>
      <c r="R267" s="92">
        <f t="shared" si="45"/>
        <v>1.4042000000000001</v>
      </c>
      <c r="S267" s="121"/>
      <c r="T267" s="93">
        <f t="shared" si="46"/>
        <v>4.0000000000084412E-4</v>
      </c>
      <c r="U267" s="122"/>
      <c r="V267" s="94">
        <f t="shared" ca="1" si="47"/>
        <v>-16.535555208334699</v>
      </c>
      <c r="W267" s="89">
        <f t="shared" si="48"/>
        <v>4.347826086965697E-4</v>
      </c>
    </row>
    <row r="268" spans="1:23" ht="18">
      <c r="A268" s="115"/>
      <c r="B268" s="66" t="s">
        <v>505</v>
      </c>
      <c r="C268" s="202" t="s">
        <v>55</v>
      </c>
      <c r="D268" s="217">
        <v>6207054833</v>
      </c>
      <c r="E268" s="204">
        <v>158</v>
      </c>
      <c r="F268" s="205">
        <v>44921</v>
      </c>
      <c r="G268" s="149">
        <v>33.840000000000003</v>
      </c>
      <c r="H268" s="206">
        <v>1708920</v>
      </c>
      <c r="I268" s="218">
        <f t="shared" si="42"/>
        <v>50499.999999999993</v>
      </c>
      <c r="J268" s="122"/>
      <c r="K268" s="187">
        <v>441442</v>
      </c>
      <c r="L268" s="136">
        <v>158</v>
      </c>
      <c r="M268" s="160" t="s">
        <v>619</v>
      </c>
      <c r="N268" s="136">
        <f>13.064+18.069</f>
        <v>31.132999999999999</v>
      </c>
      <c r="O268" s="122"/>
      <c r="P268" s="92">
        <f t="shared" si="43"/>
        <v>31.132800000000003</v>
      </c>
      <c r="Q268" s="113">
        <f t="shared" si="44"/>
        <v>1.5228000000000002</v>
      </c>
      <c r="R268" s="92">
        <f t="shared" si="45"/>
        <v>1.1844000000000003</v>
      </c>
      <c r="S268" s="121"/>
      <c r="T268" s="93">
        <f t="shared" si="46"/>
        <v>-1.9999999999620321E-4</v>
      </c>
      <c r="U268" s="122"/>
      <c r="V268" s="94">
        <f t="shared" ca="1" si="47"/>
        <v>-16.535555208334699</v>
      </c>
      <c r="W268" s="89">
        <f t="shared" si="48"/>
        <v>-2.1739130434369913E-4</v>
      </c>
    </row>
    <row r="269" spans="1:23" ht="18">
      <c r="A269" s="115"/>
      <c r="B269" s="66" t="s">
        <v>505</v>
      </c>
      <c r="C269" s="202" t="s">
        <v>55</v>
      </c>
      <c r="D269" s="217">
        <v>6207054833</v>
      </c>
      <c r="E269" s="204">
        <v>159</v>
      </c>
      <c r="F269" s="205">
        <v>44921</v>
      </c>
      <c r="G269" s="149">
        <v>33.79</v>
      </c>
      <c r="H269" s="206">
        <v>1706395</v>
      </c>
      <c r="I269" s="218">
        <f t="shared" si="42"/>
        <v>50500</v>
      </c>
      <c r="J269" s="122"/>
      <c r="K269" s="158">
        <v>443444</v>
      </c>
      <c r="L269" s="115">
        <v>159</v>
      </c>
      <c r="M269" s="119" t="s">
        <v>620</v>
      </c>
      <c r="N269" s="115">
        <f>6.362+24.725</f>
        <v>31.087000000000003</v>
      </c>
      <c r="O269" s="122"/>
      <c r="P269" s="92">
        <f t="shared" si="43"/>
        <v>31.0868</v>
      </c>
      <c r="Q269" s="113">
        <f t="shared" si="44"/>
        <v>1.5205499999999998</v>
      </c>
      <c r="R269" s="92">
        <f t="shared" si="45"/>
        <v>1.18265</v>
      </c>
      <c r="S269" s="121"/>
      <c r="T269" s="93">
        <f t="shared" si="46"/>
        <v>-2.0000000000397478E-4</v>
      </c>
      <c r="U269" s="122"/>
      <c r="V269" s="94">
        <f t="shared" ca="1" si="47"/>
        <v>-16.535555208334699</v>
      </c>
      <c r="W269" s="89">
        <f t="shared" si="48"/>
        <v>-2.1739130435214651E-4</v>
      </c>
    </row>
    <row r="270" spans="1:23" ht="18">
      <c r="A270" s="115"/>
      <c r="B270" s="66" t="s">
        <v>505</v>
      </c>
      <c r="C270" s="202" t="s">
        <v>55</v>
      </c>
      <c r="D270" s="217">
        <v>6207054833</v>
      </c>
      <c r="E270" s="204">
        <v>160</v>
      </c>
      <c r="F270" s="205">
        <v>44921</v>
      </c>
      <c r="G270" s="149">
        <v>33.840000000000003</v>
      </c>
      <c r="H270" s="206">
        <v>1708920</v>
      </c>
      <c r="I270" s="218">
        <f t="shared" si="42"/>
        <v>50499.999999999993</v>
      </c>
      <c r="J270" s="122"/>
      <c r="K270" s="158">
        <v>445446</v>
      </c>
      <c r="L270" s="115">
        <v>160</v>
      </c>
      <c r="M270" s="119" t="s">
        <v>622</v>
      </c>
      <c r="N270" s="115">
        <f>8.066+23.067</f>
        <v>31.133000000000003</v>
      </c>
      <c r="O270" s="122"/>
      <c r="P270" s="92">
        <f t="shared" si="43"/>
        <v>31.132800000000003</v>
      </c>
      <c r="Q270" s="113">
        <f t="shared" si="44"/>
        <v>1.5228000000000002</v>
      </c>
      <c r="R270" s="92">
        <f t="shared" si="45"/>
        <v>1.1844000000000003</v>
      </c>
      <c r="S270" s="121"/>
      <c r="T270" s="93">
        <f t="shared" si="46"/>
        <v>-1.9999999999975593E-4</v>
      </c>
      <c r="U270" s="122"/>
      <c r="V270" s="94">
        <f t="shared" ca="1" si="47"/>
        <v>-16.535555208334699</v>
      </c>
      <c r="W270" s="89">
        <f t="shared" si="48"/>
        <v>-2.1739130434756082E-4</v>
      </c>
    </row>
    <row r="271" spans="1:23" ht="18">
      <c r="A271" s="115"/>
      <c r="B271" s="66" t="s">
        <v>505</v>
      </c>
      <c r="C271" s="202" t="s">
        <v>55</v>
      </c>
      <c r="D271" s="217">
        <v>6207054833</v>
      </c>
      <c r="E271" s="204">
        <v>161</v>
      </c>
      <c r="F271" s="205">
        <v>44921</v>
      </c>
      <c r="G271" s="149">
        <v>30.1</v>
      </c>
      <c r="H271" s="206">
        <v>1520050</v>
      </c>
      <c r="I271" s="218">
        <f t="shared" si="42"/>
        <v>50500</v>
      </c>
      <c r="J271" s="122"/>
      <c r="K271" s="158">
        <v>447450451</v>
      </c>
      <c r="L271" s="115">
        <v>161</v>
      </c>
      <c r="M271" s="119" t="s">
        <v>623</v>
      </c>
      <c r="N271" s="115">
        <f>1.482+24.05+2.16</f>
        <v>27.692</v>
      </c>
      <c r="O271" s="122"/>
      <c r="P271" s="92">
        <f t="shared" si="43"/>
        <v>27.692000000000004</v>
      </c>
      <c r="Q271" s="113">
        <f t="shared" si="44"/>
        <v>1.3545</v>
      </c>
      <c r="R271" s="92">
        <f t="shared" si="45"/>
        <v>1.0535000000000001</v>
      </c>
      <c r="S271" s="121"/>
      <c r="T271" s="93">
        <f t="shared" si="46"/>
        <v>0</v>
      </c>
      <c r="U271" s="122"/>
      <c r="V271" s="94">
        <f t="shared" ca="1" si="47"/>
        <v>-16.535555208334699</v>
      </c>
      <c r="W271" s="89">
        <f t="shared" si="48"/>
        <v>0</v>
      </c>
    </row>
    <row r="272" spans="1:23" ht="18">
      <c r="A272" s="115"/>
      <c r="B272" s="66" t="s">
        <v>505</v>
      </c>
      <c r="C272" s="202" t="s">
        <v>55</v>
      </c>
      <c r="D272" s="217">
        <v>6207054833</v>
      </c>
      <c r="E272" s="204">
        <v>162</v>
      </c>
      <c r="F272" s="205">
        <v>44921</v>
      </c>
      <c r="G272" s="149">
        <v>31.69</v>
      </c>
      <c r="H272" s="206">
        <v>1600345</v>
      </c>
      <c r="I272" s="218">
        <f t="shared" si="42"/>
        <v>50500</v>
      </c>
      <c r="J272" s="122"/>
      <c r="K272" s="158">
        <v>452458</v>
      </c>
      <c r="L272" s="115">
        <v>162</v>
      </c>
      <c r="M272" s="119" t="s">
        <v>626</v>
      </c>
      <c r="N272" s="115">
        <f>22.434+6.721</f>
        <v>29.155000000000001</v>
      </c>
      <c r="O272" s="122"/>
      <c r="P272" s="92">
        <f t="shared" si="43"/>
        <v>29.154800000000002</v>
      </c>
      <c r="Q272" s="113">
        <f t="shared" si="44"/>
        <v>1.42605</v>
      </c>
      <c r="R272" s="92">
        <f t="shared" si="45"/>
        <v>1.1091500000000001</v>
      </c>
      <c r="S272" s="121"/>
      <c r="T272" s="93">
        <f t="shared" si="46"/>
        <v>-1.9999999999997797E-4</v>
      </c>
      <c r="U272" s="122"/>
      <c r="V272" s="94">
        <f t="shared" ca="1" si="47"/>
        <v>-16.535555208334699</v>
      </c>
      <c r="W272" s="89">
        <f t="shared" si="48"/>
        <v>-2.1739130434780213E-4</v>
      </c>
    </row>
    <row r="273" spans="1:23" ht="18">
      <c r="A273" s="115"/>
      <c r="B273" s="66" t="s">
        <v>505</v>
      </c>
      <c r="C273" s="202" t="s">
        <v>55</v>
      </c>
      <c r="D273" s="217">
        <v>6207054833</v>
      </c>
      <c r="E273" s="204">
        <v>163</v>
      </c>
      <c r="F273" s="205">
        <v>44921</v>
      </c>
      <c r="G273" s="149">
        <v>31.75</v>
      </c>
      <c r="H273" s="206">
        <v>1603375</v>
      </c>
      <c r="I273" s="218">
        <f t="shared" si="42"/>
        <v>50500</v>
      </c>
      <c r="J273" s="122"/>
      <c r="K273" s="158">
        <v>459460</v>
      </c>
      <c r="L273" s="115">
        <v>163</v>
      </c>
      <c r="M273" s="119" t="s">
        <v>627</v>
      </c>
      <c r="N273" s="115">
        <f>17.47+11.74</f>
        <v>29.21</v>
      </c>
      <c r="O273" s="122"/>
      <c r="P273" s="92">
        <f t="shared" si="43"/>
        <v>29.21</v>
      </c>
      <c r="Q273" s="113">
        <f t="shared" si="44"/>
        <v>1.42875</v>
      </c>
      <c r="R273" s="92">
        <f t="shared" si="45"/>
        <v>1.1112500000000001</v>
      </c>
      <c r="S273" s="121"/>
      <c r="T273" s="93">
        <f t="shared" si="46"/>
        <v>0</v>
      </c>
      <c r="U273" s="122"/>
      <c r="V273" s="94">
        <f t="shared" ca="1" si="47"/>
        <v>-16.535555208334699</v>
      </c>
      <c r="W273" s="89">
        <f t="shared" si="48"/>
        <v>0</v>
      </c>
    </row>
    <row r="274" spans="1:23" ht="18">
      <c r="A274" s="115"/>
      <c r="B274" s="66" t="s">
        <v>505</v>
      </c>
      <c r="C274" s="202" t="s">
        <v>55</v>
      </c>
      <c r="D274" s="217">
        <v>6207054833</v>
      </c>
      <c r="E274" s="204">
        <v>164</v>
      </c>
      <c r="F274" s="205">
        <v>44921</v>
      </c>
      <c r="G274" s="149">
        <v>31.75</v>
      </c>
      <c r="H274" s="206">
        <v>1603375</v>
      </c>
      <c r="I274" s="218">
        <f t="shared" si="42"/>
        <v>50500</v>
      </c>
      <c r="J274" s="122"/>
      <c r="K274" s="158">
        <v>461462</v>
      </c>
      <c r="L274" s="115">
        <v>164</v>
      </c>
      <c r="M274" s="119" t="s">
        <v>628</v>
      </c>
      <c r="N274" s="115">
        <f>12.675+16.535</f>
        <v>29.21</v>
      </c>
      <c r="O274" s="122"/>
      <c r="P274" s="92">
        <f t="shared" si="43"/>
        <v>29.21</v>
      </c>
      <c r="Q274" s="113">
        <f t="shared" si="44"/>
        <v>1.42875</v>
      </c>
      <c r="R274" s="92">
        <f t="shared" si="45"/>
        <v>1.1112500000000001</v>
      </c>
      <c r="S274" s="121"/>
      <c r="T274" s="93">
        <f t="shared" si="46"/>
        <v>0</v>
      </c>
      <c r="U274" s="122"/>
      <c r="V274" s="94">
        <f t="shared" ca="1" si="47"/>
        <v>-16.535555208334699</v>
      </c>
      <c r="W274" s="89">
        <f t="shared" si="48"/>
        <v>0</v>
      </c>
    </row>
    <row r="275" spans="1:23" ht="18">
      <c r="A275" s="115"/>
      <c r="B275" s="66" t="s">
        <v>505</v>
      </c>
      <c r="C275" s="202" t="s">
        <v>55</v>
      </c>
      <c r="D275" s="217">
        <v>6207054833</v>
      </c>
      <c r="E275" s="204">
        <v>165</v>
      </c>
      <c r="F275" s="205">
        <v>44921</v>
      </c>
      <c r="G275" s="149">
        <v>31.77</v>
      </c>
      <c r="H275" s="206">
        <v>1604385</v>
      </c>
      <c r="I275" s="218">
        <f t="shared" si="42"/>
        <v>50500</v>
      </c>
      <c r="J275" s="122"/>
      <c r="K275" s="158">
        <v>469493494</v>
      </c>
      <c r="L275" s="115">
        <v>165</v>
      </c>
      <c r="M275" s="119" t="s">
        <v>641</v>
      </c>
      <c r="N275" s="115">
        <f>24.488+1.958+2.782</f>
        <v>29.227999999999998</v>
      </c>
      <c r="O275" s="122"/>
      <c r="P275" s="92">
        <f t="shared" si="43"/>
        <v>29.228400000000001</v>
      </c>
      <c r="Q275" s="113">
        <f t="shared" si="44"/>
        <v>1.4296499999999999</v>
      </c>
      <c r="R275" s="92">
        <f t="shared" si="45"/>
        <v>1.11195</v>
      </c>
      <c r="S275" s="121"/>
      <c r="T275" s="93">
        <f t="shared" si="46"/>
        <v>4.000000000017323E-4</v>
      </c>
      <c r="U275" s="122"/>
      <c r="V275" s="94">
        <f t="shared" ca="1" si="47"/>
        <v>-16.535555208334699</v>
      </c>
      <c r="W275" s="89">
        <f t="shared" si="48"/>
        <v>4.3478260869753512E-4</v>
      </c>
    </row>
    <row r="276" spans="1:23" ht="18">
      <c r="A276" s="115"/>
      <c r="B276" s="66" t="s">
        <v>505</v>
      </c>
      <c r="C276" s="202" t="s">
        <v>55</v>
      </c>
      <c r="D276" s="217">
        <v>6207054833</v>
      </c>
      <c r="E276" s="204">
        <v>166</v>
      </c>
      <c r="F276" s="205">
        <v>44921</v>
      </c>
      <c r="G276" s="149">
        <v>31.69</v>
      </c>
      <c r="H276" s="206">
        <v>1600345</v>
      </c>
      <c r="I276" s="218">
        <f t="shared" si="42"/>
        <v>50500</v>
      </c>
      <c r="J276" s="122"/>
      <c r="K276" s="187">
        <v>470471</v>
      </c>
      <c r="L276" s="136">
        <v>166</v>
      </c>
      <c r="M276" s="160" t="s">
        <v>632</v>
      </c>
      <c r="N276" s="136">
        <f>24.488+4.667</f>
        <v>29.155000000000001</v>
      </c>
      <c r="O276" s="122"/>
      <c r="P276" s="92">
        <f t="shared" si="43"/>
        <v>29.154800000000002</v>
      </c>
      <c r="Q276" s="113">
        <f t="shared" si="44"/>
        <v>1.42605</v>
      </c>
      <c r="R276" s="92">
        <f t="shared" si="45"/>
        <v>1.1091500000000001</v>
      </c>
      <c r="S276" s="121"/>
      <c r="T276" s="239">
        <f t="shared" si="46"/>
        <v>-1.9999999999997797E-4</v>
      </c>
      <c r="U276" s="122"/>
      <c r="V276" s="94">
        <f t="shared" ca="1" si="47"/>
        <v>-16.535555208334699</v>
      </c>
      <c r="W276" s="89">
        <f t="shared" si="48"/>
        <v>-2.1739130434780213E-4</v>
      </c>
    </row>
    <row r="277" spans="1:23" ht="18">
      <c r="A277" s="115"/>
      <c r="B277" s="66" t="s">
        <v>505</v>
      </c>
      <c r="C277" s="202" t="s">
        <v>55</v>
      </c>
      <c r="D277" s="217">
        <v>6207054833</v>
      </c>
      <c r="E277" s="204">
        <v>167</v>
      </c>
      <c r="F277" s="205">
        <v>44921</v>
      </c>
      <c r="G277" s="149">
        <v>31.68</v>
      </c>
      <c r="H277" s="206">
        <v>1599840</v>
      </c>
      <c r="I277" s="218">
        <f t="shared" si="42"/>
        <v>50500</v>
      </c>
      <c r="J277" s="122"/>
      <c r="K277" s="158">
        <v>472473</v>
      </c>
      <c r="L277" s="115">
        <v>167</v>
      </c>
      <c r="M277" s="119" t="s">
        <v>633</v>
      </c>
      <c r="N277" s="115">
        <f>19.821+9.325</f>
        <v>29.146000000000001</v>
      </c>
      <c r="O277" s="122"/>
      <c r="P277" s="92">
        <f t="shared" si="43"/>
        <v>29.145600000000002</v>
      </c>
      <c r="Q277" s="113">
        <f t="shared" si="44"/>
        <v>1.4256</v>
      </c>
      <c r="R277" s="92">
        <f t="shared" si="45"/>
        <v>1.1088</v>
      </c>
      <c r="S277" s="121"/>
      <c r="T277" s="93">
        <f t="shared" si="46"/>
        <v>-4.0000000000106617E-4</v>
      </c>
      <c r="U277" s="122"/>
      <c r="V277" s="94">
        <f t="shared" ca="1" si="47"/>
        <v>-16.535555208334699</v>
      </c>
      <c r="W277" s="89">
        <f t="shared" si="48"/>
        <v>-4.3478260869681104E-4</v>
      </c>
    </row>
    <row r="278" spans="1:23" ht="18">
      <c r="A278" s="115"/>
      <c r="B278" s="66" t="s">
        <v>505</v>
      </c>
      <c r="C278" s="202" t="s">
        <v>55</v>
      </c>
      <c r="D278" s="217">
        <v>6207054833</v>
      </c>
      <c r="E278" s="204">
        <v>168</v>
      </c>
      <c r="F278" s="205">
        <v>44921</v>
      </c>
      <c r="G278" s="149">
        <v>31.41</v>
      </c>
      <c r="H278" s="206">
        <v>1586205</v>
      </c>
      <c r="I278" s="218">
        <f t="shared" si="42"/>
        <v>50500</v>
      </c>
      <c r="J278" s="122"/>
      <c r="K278" s="158">
        <v>474480</v>
      </c>
      <c r="L278" s="115">
        <v>168</v>
      </c>
      <c r="M278" s="119" t="s">
        <v>637</v>
      </c>
      <c r="N278" s="115">
        <f>14.687+14.21</f>
        <v>28.896999999999998</v>
      </c>
      <c r="O278" s="122"/>
      <c r="P278" s="92">
        <f t="shared" si="43"/>
        <v>28.897200000000002</v>
      </c>
      <c r="Q278" s="113">
        <f t="shared" si="44"/>
        <v>1.4134499999999999</v>
      </c>
      <c r="R278" s="92">
        <f t="shared" si="45"/>
        <v>1.09935</v>
      </c>
      <c r="S278" s="121"/>
      <c r="T278" s="93">
        <f t="shared" si="46"/>
        <v>2.0000000000175433E-4</v>
      </c>
      <c r="U278" s="122"/>
      <c r="V278" s="94">
        <f t="shared" ca="1" si="47"/>
        <v>-16.535555208334699</v>
      </c>
      <c r="W278" s="89">
        <f t="shared" si="48"/>
        <v>2.1739130434973296E-4</v>
      </c>
    </row>
    <row r="279" spans="1:23" ht="18">
      <c r="A279" s="115"/>
      <c r="B279" s="66" t="s">
        <v>505</v>
      </c>
      <c r="C279" s="202" t="s">
        <v>55</v>
      </c>
      <c r="D279" s="217">
        <v>6207054833</v>
      </c>
      <c r="E279" s="204">
        <v>169</v>
      </c>
      <c r="F279" s="205">
        <v>44921</v>
      </c>
      <c r="G279" s="149">
        <v>31.68</v>
      </c>
      <c r="H279" s="206">
        <v>1599840</v>
      </c>
      <c r="I279" s="218">
        <f t="shared" si="42"/>
        <v>50500</v>
      </c>
      <c r="J279" s="122"/>
      <c r="K279" s="158">
        <v>481482</v>
      </c>
      <c r="L279" s="115">
        <v>169</v>
      </c>
      <c r="M279" s="119" t="s">
        <v>635</v>
      </c>
      <c r="N279" s="115">
        <f>16.325+12.821</f>
        <v>29.146000000000001</v>
      </c>
      <c r="O279" s="122"/>
      <c r="P279" s="92">
        <f t="shared" si="43"/>
        <v>29.145600000000002</v>
      </c>
      <c r="Q279" s="113">
        <f t="shared" si="44"/>
        <v>1.4256</v>
      </c>
      <c r="R279" s="92">
        <f t="shared" si="45"/>
        <v>1.1088</v>
      </c>
      <c r="S279" s="121"/>
      <c r="T279" s="93">
        <f t="shared" si="46"/>
        <v>-4.0000000000106617E-4</v>
      </c>
      <c r="U279" s="122"/>
      <c r="V279" s="94">
        <f t="shared" ca="1" si="47"/>
        <v>-16.535555208334699</v>
      </c>
      <c r="W279" s="89">
        <f t="shared" si="48"/>
        <v>-4.3478260869681104E-4</v>
      </c>
    </row>
    <row r="280" spans="1:23" ht="18">
      <c r="A280" s="115"/>
      <c r="B280" s="66" t="s">
        <v>505</v>
      </c>
      <c r="C280" s="202" t="s">
        <v>55</v>
      </c>
      <c r="D280" s="217">
        <v>6207054833</v>
      </c>
      <c r="E280" s="204">
        <v>170</v>
      </c>
      <c r="F280" s="205">
        <v>44921</v>
      </c>
      <c r="G280" s="149">
        <v>35.79</v>
      </c>
      <c r="H280" s="206">
        <v>1807395</v>
      </c>
      <c r="I280" s="218">
        <f t="shared" si="42"/>
        <v>50500</v>
      </c>
      <c r="J280" s="122"/>
      <c r="K280" s="158">
        <v>483486</v>
      </c>
      <c r="L280" s="115">
        <v>170</v>
      </c>
      <c r="M280" s="119" t="s">
        <v>635</v>
      </c>
      <c r="N280" s="115">
        <f>17.255+15.672</f>
        <v>32.927</v>
      </c>
      <c r="O280" s="122"/>
      <c r="P280" s="92">
        <f t="shared" si="43"/>
        <v>32.9268</v>
      </c>
      <c r="Q280" s="113">
        <f t="shared" si="44"/>
        <v>1.6105499999999999</v>
      </c>
      <c r="R280" s="92">
        <f t="shared" si="45"/>
        <v>1.25265</v>
      </c>
      <c r="S280" s="121"/>
      <c r="T280" s="93">
        <f t="shared" si="46"/>
        <v>-2.0000000000042206E-4</v>
      </c>
      <c r="U280" s="122"/>
      <c r="V280" s="94">
        <f t="shared" ca="1" si="47"/>
        <v>-16.535555208334699</v>
      </c>
      <c r="W280" s="89">
        <f t="shared" si="48"/>
        <v>-2.1739130434828485E-4</v>
      </c>
    </row>
    <row r="281" spans="1:23" ht="18">
      <c r="A281" s="115"/>
      <c r="B281" s="66" t="s">
        <v>505</v>
      </c>
      <c r="C281" s="202" t="s">
        <v>55</v>
      </c>
      <c r="D281" s="217">
        <v>6207054833</v>
      </c>
      <c r="E281" s="204">
        <v>171</v>
      </c>
      <c r="F281" s="205">
        <v>44921</v>
      </c>
      <c r="G281" s="149">
        <v>31.68</v>
      </c>
      <c r="H281" s="206">
        <v>1599840</v>
      </c>
      <c r="I281" s="218">
        <f t="shared" si="42"/>
        <v>50500</v>
      </c>
      <c r="J281" s="122"/>
      <c r="K281" s="158">
        <v>487488</v>
      </c>
      <c r="L281" s="115">
        <v>171</v>
      </c>
      <c r="M281" s="119" t="s">
        <v>640</v>
      </c>
      <c r="N281" s="115">
        <f>8.885+20.261</f>
        <v>29.146000000000001</v>
      </c>
      <c r="O281" s="122"/>
      <c r="P281" s="92">
        <f t="shared" si="43"/>
        <v>29.145600000000002</v>
      </c>
      <c r="Q281" s="113">
        <f t="shared" si="44"/>
        <v>1.4256</v>
      </c>
      <c r="R281" s="92">
        <f t="shared" si="45"/>
        <v>1.1088</v>
      </c>
      <c r="S281" s="121"/>
      <c r="T281" s="93">
        <f t="shared" si="46"/>
        <v>-4.0000000000106617E-4</v>
      </c>
      <c r="U281" s="122"/>
      <c r="V281" s="94">
        <f t="shared" ca="1" si="47"/>
        <v>-16.535555208334699</v>
      </c>
      <c r="W281" s="89">
        <f t="shared" si="48"/>
        <v>-4.3478260869681104E-4</v>
      </c>
    </row>
    <row r="282" spans="1:23" ht="18">
      <c r="A282" s="115"/>
      <c r="B282" s="66" t="s">
        <v>505</v>
      </c>
      <c r="C282" s="202" t="s">
        <v>55</v>
      </c>
      <c r="D282" s="217" t="s">
        <v>540</v>
      </c>
      <c r="E282" s="204">
        <v>172</v>
      </c>
      <c r="F282" s="205">
        <v>44921</v>
      </c>
      <c r="G282" s="149">
        <v>27.44</v>
      </c>
      <c r="H282" s="206">
        <v>1385720</v>
      </c>
      <c r="I282" s="218">
        <f t="shared" si="42"/>
        <v>50500</v>
      </c>
      <c r="J282" s="122"/>
      <c r="K282" s="158">
        <v>489490</v>
      </c>
      <c r="L282" s="115">
        <v>172</v>
      </c>
      <c r="M282" s="119" t="s">
        <v>642</v>
      </c>
      <c r="N282" s="115">
        <f>4.07+21.175</f>
        <v>25.245000000000001</v>
      </c>
      <c r="O282" s="122"/>
      <c r="P282" s="92">
        <f t="shared" si="43"/>
        <v>25.244800000000001</v>
      </c>
      <c r="Q282" s="113">
        <f t="shared" si="44"/>
        <v>1.2348000000000001</v>
      </c>
      <c r="R282" s="92">
        <f t="shared" si="45"/>
        <v>0.96040000000000014</v>
      </c>
      <c r="S282" s="121"/>
      <c r="T282" s="93">
        <f t="shared" si="46"/>
        <v>-1.9999999999997797E-4</v>
      </c>
      <c r="U282" s="122"/>
      <c r="V282" s="94">
        <f t="shared" ref="V282:V288" ca="1" si="49">360-($V$3-F282)</f>
        <v>-16.535555208334699</v>
      </c>
      <c r="W282" s="89">
        <f t="shared" si="48"/>
        <v>-2.1739130434780213E-4</v>
      </c>
    </row>
    <row r="283" spans="1:23" ht="18">
      <c r="A283" s="115"/>
      <c r="B283" s="66" t="s">
        <v>505</v>
      </c>
      <c r="C283" s="202" t="s">
        <v>55</v>
      </c>
      <c r="D283" s="219" t="s">
        <v>541</v>
      </c>
      <c r="E283" s="204">
        <v>173</v>
      </c>
      <c r="F283" s="205">
        <v>44921</v>
      </c>
      <c r="G283" s="149">
        <v>27.7</v>
      </c>
      <c r="H283" s="206">
        <v>1419625</v>
      </c>
      <c r="I283" s="218">
        <f t="shared" si="42"/>
        <v>51250</v>
      </c>
      <c r="J283" s="122"/>
      <c r="K283" s="158">
        <v>491492</v>
      </c>
      <c r="L283" s="115">
        <v>173</v>
      </c>
      <c r="M283" s="119" t="s">
        <v>642</v>
      </c>
      <c r="N283" s="115">
        <f>3.134+22.35</f>
        <v>25.484000000000002</v>
      </c>
      <c r="O283" s="122"/>
      <c r="P283" s="92">
        <f t="shared" si="43"/>
        <v>25.484000000000002</v>
      </c>
      <c r="Q283" s="113">
        <f t="shared" si="44"/>
        <v>1.2464999999999999</v>
      </c>
      <c r="R283" s="92">
        <f t="shared" si="45"/>
        <v>0.96950000000000003</v>
      </c>
      <c r="S283" s="121"/>
      <c r="T283" s="93">
        <f t="shared" si="46"/>
        <v>-2.4424906541753444E-15</v>
      </c>
      <c r="U283" s="122"/>
      <c r="V283" s="94">
        <f t="shared" ca="1" si="49"/>
        <v>-16.535555208334699</v>
      </c>
      <c r="W283" s="89">
        <f t="shared" si="48"/>
        <v>-2.6548811458427658E-15</v>
      </c>
    </row>
    <row r="284" spans="1:23" ht="18">
      <c r="A284" s="115"/>
      <c r="B284" s="66" t="s">
        <v>505</v>
      </c>
      <c r="C284" s="202" t="s">
        <v>55</v>
      </c>
      <c r="D284" s="219" t="s">
        <v>542</v>
      </c>
      <c r="E284" s="204">
        <v>174</v>
      </c>
      <c r="F284" s="205">
        <v>44921</v>
      </c>
      <c r="G284" s="149">
        <v>31.94</v>
      </c>
      <c r="H284" s="206">
        <v>1636925</v>
      </c>
      <c r="I284" s="218">
        <f t="shared" si="42"/>
        <v>51250</v>
      </c>
      <c r="J284" s="122"/>
      <c r="K284" s="158">
        <v>495496</v>
      </c>
      <c r="L284" s="115">
        <v>174</v>
      </c>
      <c r="M284" s="119" t="s">
        <v>644</v>
      </c>
      <c r="N284" s="115">
        <f>21.526+7.859</f>
        <v>29.384999999999998</v>
      </c>
      <c r="O284" s="122"/>
      <c r="P284" s="92">
        <f t="shared" si="43"/>
        <v>29.384800000000002</v>
      </c>
      <c r="Q284" s="113">
        <f t="shared" si="44"/>
        <v>1.4373</v>
      </c>
      <c r="R284" s="92">
        <f t="shared" si="45"/>
        <v>1.1179000000000001</v>
      </c>
      <c r="S284" s="121"/>
      <c r="T284" s="93">
        <f t="shared" si="46"/>
        <v>-1.9999999999686935E-4</v>
      </c>
      <c r="U284" s="122"/>
      <c r="V284" s="94">
        <f t="shared" ca="1" si="49"/>
        <v>-16.535555208334699</v>
      </c>
      <c r="W284" s="89">
        <f t="shared" si="48"/>
        <v>-2.1739130434442322E-4</v>
      </c>
    </row>
    <row r="285" spans="1:23" ht="18">
      <c r="A285" s="115"/>
      <c r="B285" s="66" t="s">
        <v>505</v>
      </c>
      <c r="C285" s="202" t="s">
        <v>55</v>
      </c>
      <c r="D285" s="219" t="s">
        <v>543</v>
      </c>
      <c r="E285" s="204">
        <v>175</v>
      </c>
      <c r="F285" s="205">
        <v>44921</v>
      </c>
      <c r="G285" s="149">
        <v>27.64</v>
      </c>
      <c r="H285" s="206">
        <v>1416550</v>
      </c>
      <c r="I285" s="218">
        <f t="shared" si="42"/>
        <v>51250</v>
      </c>
      <c r="J285" s="122"/>
      <c r="K285" s="158">
        <v>497500</v>
      </c>
      <c r="L285" s="115">
        <v>175</v>
      </c>
      <c r="M285" s="119" t="s">
        <v>645</v>
      </c>
      <c r="N285" s="115">
        <f>16.24+9.189</f>
        <v>25.428999999999998</v>
      </c>
      <c r="O285" s="122"/>
      <c r="P285" s="92">
        <f t="shared" si="43"/>
        <v>25.428800000000003</v>
      </c>
      <c r="Q285" s="113">
        <f t="shared" si="44"/>
        <v>1.2438</v>
      </c>
      <c r="R285" s="92">
        <f t="shared" si="45"/>
        <v>0.96740000000000015</v>
      </c>
      <c r="S285" s="121"/>
      <c r="T285" s="93">
        <f t="shared" si="46"/>
        <v>-1.9999999999809059E-4</v>
      </c>
      <c r="U285" s="122"/>
      <c r="V285" s="94">
        <f t="shared" ca="1" si="49"/>
        <v>-16.535555208334699</v>
      </c>
      <c r="W285" s="89">
        <f t="shared" si="48"/>
        <v>-2.1739130434575066E-4</v>
      </c>
    </row>
    <row r="286" spans="1:23" ht="18">
      <c r="A286" s="115"/>
      <c r="B286" s="66" t="s">
        <v>505</v>
      </c>
      <c r="C286" s="202" t="s">
        <v>55</v>
      </c>
      <c r="D286" s="219" t="s">
        <v>544</v>
      </c>
      <c r="E286" s="204">
        <v>176</v>
      </c>
      <c r="F286" s="205">
        <v>44921</v>
      </c>
      <c r="G286" s="149">
        <v>31.74</v>
      </c>
      <c r="H286" s="206">
        <v>1626675</v>
      </c>
      <c r="I286" s="218">
        <f t="shared" si="42"/>
        <v>51250</v>
      </c>
      <c r="J286" s="122"/>
      <c r="K286" s="157" t="s">
        <v>646</v>
      </c>
      <c r="L286" s="115">
        <v>176</v>
      </c>
      <c r="M286" s="119" t="s">
        <v>643</v>
      </c>
      <c r="N286" s="115">
        <f>23.315+5.886</f>
        <v>29.201000000000001</v>
      </c>
      <c r="O286" s="122"/>
      <c r="P286" s="92">
        <f t="shared" si="43"/>
        <v>29.200800000000001</v>
      </c>
      <c r="Q286" s="113">
        <f t="shared" si="44"/>
        <v>1.4282999999999999</v>
      </c>
      <c r="R286" s="92">
        <f t="shared" si="45"/>
        <v>1.1109</v>
      </c>
      <c r="S286" s="121"/>
      <c r="T286" s="93">
        <f t="shared" si="46"/>
        <v>-2.0000000000197637E-4</v>
      </c>
      <c r="U286" s="122"/>
      <c r="V286" s="94">
        <f t="shared" ca="1" si="49"/>
        <v>-16.535555208334699</v>
      </c>
      <c r="W286" s="89">
        <f t="shared" si="48"/>
        <v>-2.1739130434997433E-4</v>
      </c>
    </row>
    <row r="287" spans="1:23" ht="18">
      <c r="A287" s="115"/>
      <c r="B287" s="66" t="s">
        <v>505</v>
      </c>
      <c r="C287" s="202" t="s">
        <v>55</v>
      </c>
      <c r="D287" s="219" t="s">
        <v>545</v>
      </c>
      <c r="E287" s="204">
        <v>177</v>
      </c>
      <c r="F287" s="205">
        <v>44921</v>
      </c>
      <c r="G287" s="149">
        <v>40.36</v>
      </c>
      <c r="H287" s="206">
        <v>2068450</v>
      </c>
      <c r="I287" s="218">
        <f t="shared" si="42"/>
        <v>51250</v>
      </c>
      <c r="J287" s="122"/>
      <c r="K287" s="186" t="s">
        <v>656</v>
      </c>
      <c r="L287" s="136">
        <v>177</v>
      </c>
      <c r="M287" s="160" t="s">
        <v>655</v>
      </c>
      <c r="N287" s="136">
        <f>18.452+15.033+3.646</f>
        <v>37.131</v>
      </c>
      <c r="O287" s="122"/>
      <c r="P287" s="92">
        <f t="shared" si="43"/>
        <v>37.1312</v>
      </c>
      <c r="Q287" s="113">
        <f t="shared" si="44"/>
        <v>1.8161999999999998</v>
      </c>
      <c r="R287" s="92">
        <f t="shared" si="45"/>
        <v>1.4126000000000001</v>
      </c>
      <c r="S287" s="121"/>
      <c r="T287" s="93">
        <f t="shared" si="46"/>
        <v>1.9999999999931184E-4</v>
      </c>
      <c r="U287" s="122"/>
      <c r="V287" s="94">
        <f t="shared" ca="1" si="49"/>
        <v>-16.535555208334699</v>
      </c>
      <c r="W287" s="89">
        <f t="shared" si="48"/>
        <v>2.173913043470781E-4</v>
      </c>
    </row>
    <row r="288" spans="1:23" ht="18">
      <c r="A288" s="115"/>
      <c r="B288" s="66" t="s">
        <v>505</v>
      </c>
      <c r="C288" s="202" t="s">
        <v>55</v>
      </c>
      <c r="D288" s="219" t="s">
        <v>546</v>
      </c>
      <c r="E288" s="204">
        <v>178</v>
      </c>
      <c r="F288" s="205">
        <v>44921</v>
      </c>
      <c r="G288" s="149">
        <v>40.32</v>
      </c>
      <c r="H288" s="206">
        <v>2066400</v>
      </c>
      <c r="I288" s="218">
        <f t="shared" si="42"/>
        <v>51250</v>
      </c>
      <c r="J288" s="133"/>
      <c r="K288" s="186" t="s">
        <v>654</v>
      </c>
      <c r="L288" s="136">
        <v>178</v>
      </c>
      <c r="M288" s="160" t="s">
        <v>653</v>
      </c>
      <c r="N288" s="136">
        <f>27.613+9.481</f>
        <v>37.094000000000001</v>
      </c>
      <c r="O288" s="122"/>
      <c r="P288" s="92">
        <f t="shared" si="43"/>
        <v>37.0944</v>
      </c>
      <c r="Q288" s="113">
        <f t="shared" si="44"/>
        <v>1.8144</v>
      </c>
      <c r="R288" s="92">
        <f t="shared" si="45"/>
        <v>1.4112000000000002</v>
      </c>
      <c r="S288" s="121"/>
      <c r="T288" s="93">
        <f t="shared" si="46"/>
        <v>3.9999999999884572E-4</v>
      </c>
      <c r="U288" s="122"/>
      <c r="V288" s="94">
        <f t="shared" ca="1" si="49"/>
        <v>-16.535555208334699</v>
      </c>
      <c r="W288" s="89">
        <f t="shared" si="48"/>
        <v>4.3478260869439755E-4</v>
      </c>
    </row>
    <row r="289" spans="1:23" ht="18">
      <c r="A289" s="115"/>
      <c r="B289" s="66" t="s">
        <v>505</v>
      </c>
      <c r="C289" s="202" t="s">
        <v>55</v>
      </c>
      <c r="D289" s="219" t="s">
        <v>547</v>
      </c>
      <c r="E289" s="204">
        <v>179</v>
      </c>
      <c r="F289" s="205">
        <v>44921</v>
      </c>
      <c r="G289" s="149">
        <v>27.6</v>
      </c>
      <c r="H289" s="206">
        <v>1414500</v>
      </c>
      <c r="I289" s="218">
        <f t="shared" si="42"/>
        <v>51250</v>
      </c>
      <c r="J289" s="122"/>
      <c r="K289" s="186" t="s">
        <v>657</v>
      </c>
      <c r="L289" s="136">
        <v>179</v>
      </c>
      <c r="M289" s="160" t="s">
        <v>653</v>
      </c>
      <c r="N289" s="136">
        <f>20.667+4.725</f>
        <v>25.392000000000003</v>
      </c>
      <c r="O289" s="122"/>
      <c r="P289" s="92">
        <f t="shared" si="43"/>
        <v>25.392000000000003</v>
      </c>
      <c r="Q289" s="113">
        <f t="shared" si="44"/>
        <v>1.242</v>
      </c>
      <c r="R289" s="92">
        <f t="shared" si="45"/>
        <v>0.96600000000000019</v>
      </c>
      <c r="S289" s="121"/>
      <c r="T289" s="93">
        <f t="shared" si="46"/>
        <v>-1.7763568394002505E-15</v>
      </c>
      <c r="U289" s="122"/>
      <c r="V289" s="94">
        <f t="shared" ref="V289:V320" ca="1" si="50">360-($V$3-F289)</f>
        <v>-16.535555208334699</v>
      </c>
      <c r="W289" s="89">
        <f t="shared" ref="W289:W320" si="51">T289/0.92%/100</f>
        <v>-1.9308226515220113E-15</v>
      </c>
    </row>
    <row r="290" spans="1:23" ht="18">
      <c r="A290" s="115"/>
      <c r="B290" s="66" t="s">
        <v>505</v>
      </c>
      <c r="C290" s="202" t="s">
        <v>55</v>
      </c>
      <c r="D290" s="219" t="s">
        <v>548</v>
      </c>
      <c r="E290" s="204">
        <v>180</v>
      </c>
      <c r="F290" s="205">
        <v>44921</v>
      </c>
      <c r="G290" s="149">
        <v>27.36</v>
      </c>
      <c r="H290" s="206">
        <v>1402200</v>
      </c>
      <c r="I290" s="218">
        <f t="shared" si="42"/>
        <v>51250</v>
      </c>
      <c r="J290" s="122"/>
      <c r="K290" s="186" t="s">
        <v>658</v>
      </c>
      <c r="L290" s="136">
        <v>180</v>
      </c>
      <c r="M290" s="160" t="s">
        <v>653</v>
      </c>
      <c r="N290" s="136">
        <f>19.834+5.337</f>
        <v>25.170999999999999</v>
      </c>
      <c r="O290" s="122"/>
      <c r="P290" s="92">
        <f t="shared" si="43"/>
        <v>25.171199999999999</v>
      </c>
      <c r="Q290" s="113">
        <f t="shared" si="44"/>
        <v>1.2311999999999999</v>
      </c>
      <c r="R290" s="92">
        <f t="shared" si="45"/>
        <v>0.95760000000000012</v>
      </c>
      <c r="S290" s="121"/>
      <c r="T290" s="93">
        <f t="shared" si="46"/>
        <v>2.00000000000089E-4</v>
      </c>
      <c r="U290" s="122"/>
      <c r="V290" s="94">
        <f t="shared" ca="1" si="50"/>
        <v>-16.535555208334699</v>
      </c>
      <c r="W290" s="89">
        <f t="shared" si="51"/>
        <v>2.1739130434792281E-4</v>
      </c>
    </row>
    <row r="291" spans="1:23" ht="18">
      <c r="A291" s="115"/>
      <c r="B291" s="66" t="s">
        <v>505</v>
      </c>
      <c r="C291" s="202" t="s">
        <v>55</v>
      </c>
      <c r="D291" s="219" t="s">
        <v>549</v>
      </c>
      <c r="E291" s="204">
        <v>181</v>
      </c>
      <c r="F291" s="205">
        <v>44921</v>
      </c>
      <c r="G291" s="149">
        <v>31.8</v>
      </c>
      <c r="H291" s="206">
        <v>1629750</v>
      </c>
      <c r="I291" s="218">
        <f t="shared" si="42"/>
        <v>51250</v>
      </c>
      <c r="J291" s="122"/>
      <c r="K291" s="186" t="s">
        <v>660</v>
      </c>
      <c r="L291" s="136">
        <v>181</v>
      </c>
      <c r="M291" s="160" t="s">
        <v>653</v>
      </c>
      <c r="N291" s="136">
        <f>19.151+10.105</f>
        <v>29.256</v>
      </c>
      <c r="O291" s="122"/>
      <c r="P291" s="92">
        <f t="shared" si="43"/>
        <v>29.256</v>
      </c>
      <c r="Q291" s="113">
        <f t="shared" si="44"/>
        <v>1.431</v>
      </c>
      <c r="R291" s="92">
        <f t="shared" si="45"/>
        <v>1.1130000000000002</v>
      </c>
      <c r="S291" s="121"/>
      <c r="T291" s="93">
        <f t="shared" si="46"/>
        <v>0</v>
      </c>
      <c r="U291" s="122"/>
      <c r="V291" s="94">
        <f t="shared" ca="1" si="50"/>
        <v>-16.535555208334699</v>
      </c>
      <c r="W291" s="89">
        <f t="shared" si="51"/>
        <v>0</v>
      </c>
    </row>
    <row r="292" spans="1:23" ht="18">
      <c r="A292" s="115"/>
      <c r="B292" s="66" t="s">
        <v>505</v>
      </c>
      <c r="C292" s="202" t="s">
        <v>55</v>
      </c>
      <c r="D292" s="219" t="s">
        <v>550</v>
      </c>
      <c r="E292" s="204">
        <v>182</v>
      </c>
      <c r="F292" s="205">
        <v>44921</v>
      </c>
      <c r="G292" s="149">
        <v>31.64</v>
      </c>
      <c r="H292" s="206">
        <v>1621550</v>
      </c>
      <c r="I292" s="218">
        <f t="shared" si="42"/>
        <v>51250</v>
      </c>
      <c r="J292" s="122"/>
      <c r="K292" s="187">
        <v>519520</v>
      </c>
      <c r="L292" s="136">
        <v>182</v>
      </c>
      <c r="M292" s="160" t="s">
        <v>661</v>
      </c>
      <c r="N292" s="136">
        <f>19.908+9.201</f>
        <v>29.109000000000002</v>
      </c>
      <c r="O292" s="122"/>
      <c r="P292" s="92">
        <f t="shared" si="43"/>
        <v>29.108800000000002</v>
      </c>
      <c r="Q292" s="113">
        <f t="shared" si="44"/>
        <v>1.4238</v>
      </c>
      <c r="R292" s="92">
        <f t="shared" si="45"/>
        <v>1.1074000000000002</v>
      </c>
      <c r="S292" s="121"/>
      <c r="T292" s="93">
        <f t="shared" si="46"/>
        <v>-2.0000000000131024E-4</v>
      </c>
      <c r="U292" s="122"/>
      <c r="V292" s="94">
        <f t="shared" ca="1" si="50"/>
        <v>-16.535555208334699</v>
      </c>
      <c r="W292" s="89">
        <f t="shared" si="51"/>
        <v>-2.1739130434925025E-4</v>
      </c>
    </row>
    <row r="293" spans="1:23" ht="18">
      <c r="A293" s="115"/>
      <c r="B293" s="66" t="s">
        <v>505</v>
      </c>
      <c r="C293" s="202" t="s">
        <v>55</v>
      </c>
      <c r="D293" s="219" t="s">
        <v>551</v>
      </c>
      <c r="E293" s="204">
        <v>183</v>
      </c>
      <c r="F293" s="205">
        <v>44921</v>
      </c>
      <c r="G293" s="149">
        <v>31.68</v>
      </c>
      <c r="H293" s="206">
        <v>1623600</v>
      </c>
      <c r="I293" s="218">
        <f t="shared" si="42"/>
        <v>51250</v>
      </c>
      <c r="J293" s="122"/>
      <c r="K293" s="158">
        <v>521522</v>
      </c>
      <c r="L293" s="115">
        <v>183</v>
      </c>
      <c r="M293" s="119" t="s">
        <v>662</v>
      </c>
      <c r="N293" s="115">
        <f>15.489+13.678</f>
        <v>29.167000000000002</v>
      </c>
      <c r="O293" s="122"/>
      <c r="P293" s="92">
        <f t="shared" si="43"/>
        <v>29.145600000000002</v>
      </c>
      <c r="Q293" s="113">
        <f>G293*4.5%-0.01</f>
        <v>1.4156</v>
      </c>
      <c r="R293" s="92">
        <f>G293*3.5%-0.011</f>
        <v>1.0978000000000001</v>
      </c>
      <c r="S293" s="121"/>
      <c r="T293" s="93">
        <f t="shared" si="46"/>
        <v>-4.0000000000195435E-4</v>
      </c>
      <c r="U293" s="122"/>
      <c r="V293" s="94">
        <f t="shared" ca="1" si="50"/>
        <v>-16.535555208334699</v>
      </c>
      <c r="W293" s="89">
        <f t="shared" si="51"/>
        <v>-4.3478260869777652E-4</v>
      </c>
    </row>
    <row r="294" spans="1:23" ht="18">
      <c r="A294" s="115"/>
      <c r="B294" s="66" t="s">
        <v>505</v>
      </c>
      <c r="C294" s="202" t="s">
        <v>55</v>
      </c>
      <c r="D294" s="219" t="s">
        <v>552</v>
      </c>
      <c r="E294" s="204">
        <v>184</v>
      </c>
      <c r="F294" s="205">
        <v>44921</v>
      </c>
      <c r="G294" s="149">
        <v>40.04</v>
      </c>
      <c r="H294" s="206">
        <v>2052050</v>
      </c>
      <c r="I294" s="218">
        <f t="shared" si="42"/>
        <v>51250</v>
      </c>
      <c r="J294" s="122"/>
      <c r="K294" s="157" t="s">
        <v>667</v>
      </c>
      <c r="L294" s="115">
        <v>184</v>
      </c>
      <c r="M294" s="119" t="s">
        <v>668</v>
      </c>
      <c r="N294" s="115">
        <f>17.797+19.04</f>
        <v>36.837000000000003</v>
      </c>
      <c r="O294" s="122"/>
      <c r="P294" s="92">
        <f t="shared" si="43"/>
        <v>36.836800000000004</v>
      </c>
      <c r="Q294" s="113">
        <f t="shared" si="44"/>
        <v>1.8017999999999998</v>
      </c>
      <c r="R294" s="92">
        <f t="shared" si="45"/>
        <v>1.4014000000000002</v>
      </c>
      <c r="S294" s="121"/>
      <c r="T294" s="93">
        <f t="shared" si="46"/>
        <v>-2.0000000000419682E-4</v>
      </c>
      <c r="U294" s="122"/>
      <c r="V294" s="94">
        <f t="shared" ca="1" si="50"/>
        <v>-16.535555208334699</v>
      </c>
      <c r="W294" s="89">
        <f t="shared" si="51"/>
        <v>-2.1739130435238785E-4</v>
      </c>
    </row>
    <row r="295" spans="1:23" ht="18">
      <c r="A295" s="115"/>
      <c r="B295" s="66" t="s">
        <v>505</v>
      </c>
      <c r="C295" s="202" t="s">
        <v>55</v>
      </c>
      <c r="D295" s="219" t="s">
        <v>553</v>
      </c>
      <c r="E295" s="204">
        <v>185</v>
      </c>
      <c r="F295" s="205">
        <v>44921</v>
      </c>
      <c r="G295" s="149">
        <v>27.62</v>
      </c>
      <c r="H295" s="206">
        <v>1415525</v>
      </c>
      <c r="I295" s="218">
        <f t="shared" si="42"/>
        <v>51250</v>
      </c>
      <c r="J295" s="122"/>
      <c r="K295" s="158">
        <v>525527</v>
      </c>
      <c r="L295" s="115">
        <v>185</v>
      </c>
      <c r="M295" s="119" t="s">
        <v>671</v>
      </c>
      <c r="N295" s="115">
        <f>6.929+18.481</f>
        <v>25.410000000000004</v>
      </c>
      <c r="O295" s="122"/>
      <c r="P295" s="92">
        <f t="shared" si="43"/>
        <v>25.410400000000003</v>
      </c>
      <c r="Q295" s="113">
        <f t="shared" si="44"/>
        <v>1.2428999999999999</v>
      </c>
      <c r="R295" s="92">
        <f t="shared" si="45"/>
        <v>0.96670000000000011</v>
      </c>
      <c r="S295" s="121"/>
      <c r="T295" s="93">
        <f t="shared" si="46"/>
        <v>3.9999999999729141E-4</v>
      </c>
      <c r="U295" s="122"/>
      <c r="V295" s="94">
        <f t="shared" ca="1" si="50"/>
        <v>-16.535555208334699</v>
      </c>
      <c r="W295" s="89">
        <f t="shared" si="51"/>
        <v>4.3478260869270804E-4</v>
      </c>
    </row>
    <row r="296" spans="1:23" ht="18">
      <c r="A296" s="115"/>
      <c r="B296" s="66" t="s">
        <v>505</v>
      </c>
      <c r="C296" s="202" t="s">
        <v>55</v>
      </c>
      <c r="D296" s="219" t="s">
        <v>554</v>
      </c>
      <c r="E296" s="376">
        <v>186</v>
      </c>
      <c r="F296" s="378">
        <v>44921</v>
      </c>
      <c r="G296" s="380">
        <v>32.520000000000003</v>
      </c>
      <c r="H296" s="382">
        <v>1666650</v>
      </c>
      <c r="I296" s="384">
        <f>H296/G296</f>
        <v>51249.999999999993</v>
      </c>
      <c r="J296" s="386"/>
      <c r="K296" s="392" t="s">
        <v>673</v>
      </c>
      <c r="L296" s="388">
        <v>186</v>
      </c>
      <c r="M296" s="390" t="s">
        <v>674</v>
      </c>
      <c r="N296" s="392">
        <f>6.256+23.662</f>
        <v>29.917999999999999</v>
      </c>
      <c r="O296" s="386"/>
      <c r="P296" s="394">
        <f t="shared" si="43"/>
        <v>29.918400000000005</v>
      </c>
      <c r="Q296" s="402">
        <f t="shared" si="44"/>
        <v>1.4634</v>
      </c>
      <c r="R296" s="404">
        <f t="shared" si="45"/>
        <v>1.1382000000000003</v>
      </c>
      <c r="S296" s="398"/>
      <c r="T296" s="396">
        <f t="shared" si="46"/>
        <v>4.0000000000350866E-4</v>
      </c>
      <c r="U296" s="386"/>
      <c r="V296" s="400">
        <f t="shared" ca="1" si="50"/>
        <v>-16.535555208334699</v>
      </c>
      <c r="W296" s="89">
        <f t="shared" si="51"/>
        <v>4.3478260869946593E-4</v>
      </c>
    </row>
    <row r="297" spans="1:23" ht="16.5" customHeight="1">
      <c r="A297" s="115"/>
      <c r="B297" s="66" t="s">
        <v>505</v>
      </c>
      <c r="C297" s="202" t="s">
        <v>55</v>
      </c>
      <c r="D297" s="219" t="s">
        <v>555</v>
      </c>
      <c r="E297" s="377"/>
      <c r="F297" s="379"/>
      <c r="G297" s="381"/>
      <c r="H297" s="383"/>
      <c r="I297" s="385"/>
      <c r="J297" s="387"/>
      <c r="K297" s="393"/>
      <c r="L297" s="389"/>
      <c r="M297" s="391"/>
      <c r="N297" s="393"/>
      <c r="O297" s="387"/>
      <c r="P297" s="395"/>
      <c r="Q297" s="403"/>
      <c r="R297" s="405"/>
      <c r="S297" s="399"/>
      <c r="T297" s="397"/>
      <c r="U297" s="387"/>
      <c r="V297" s="401"/>
      <c r="W297" s="89">
        <f t="shared" si="51"/>
        <v>0</v>
      </c>
    </row>
    <row r="298" spans="1:23" ht="18">
      <c r="A298" s="115"/>
      <c r="B298" s="66" t="s">
        <v>505</v>
      </c>
      <c r="C298" s="202" t="s">
        <v>55</v>
      </c>
      <c r="D298" s="219" t="s">
        <v>556</v>
      </c>
      <c r="E298" s="204">
        <v>187</v>
      </c>
      <c r="F298" s="205">
        <v>44921</v>
      </c>
      <c r="G298" s="149">
        <v>27.64</v>
      </c>
      <c r="H298" s="206">
        <v>1416550</v>
      </c>
      <c r="I298" s="218">
        <f t="shared" si="42"/>
        <v>51250</v>
      </c>
      <c r="J298" s="122"/>
      <c r="K298" s="186" t="s">
        <v>709</v>
      </c>
      <c r="L298" s="136">
        <v>187</v>
      </c>
      <c r="M298" s="160" t="s">
        <v>710</v>
      </c>
      <c r="N298" s="136">
        <f>24.236+1.193</f>
        <v>25.429000000000002</v>
      </c>
      <c r="O298" s="122"/>
      <c r="P298" s="92">
        <f t="shared" si="43"/>
        <v>25.428800000000003</v>
      </c>
      <c r="Q298" s="113">
        <f t="shared" si="44"/>
        <v>1.2438</v>
      </c>
      <c r="R298" s="92">
        <f t="shared" si="45"/>
        <v>0.96740000000000015</v>
      </c>
      <c r="S298" s="121"/>
      <c r="T298" s="93">
        <f t="shared" si="46"/>
        <v>-2.0000000000164331E-4</v>
      </c>
      <c r="U298" s="122"/>
      <c r="V298" s="94">
        <f t="shared" ca="1" si="50"/>
        <v>-16.535555208334699</v>
      </c>
      <c r="W298" s="89">
        <f t="shared" si="51"/>
        <v>-2.1739130434961229E-4</v>
      </c>
    </row>
    <row r="299" spans="1:23" ht="18">
      <c r="A299" s="115"/>
      <c r="B299" s="66" t="s">
        <v>505</v>
      </c>
      <c r="C299" s="90" t="s">
        <v>55</v>
      </c>
      <c r="D299" s="131" t="s">
        <v>557</v>
      </c>
      <c r="E299" s="147">
        <v>188</v>
      </c>
      <c r="F299" s="97">
        <v>44921</v>
      </c>
      <c r="G299" s="100">
        <v>31.92</v>
      </c>
      <c r="H299" s="134">
        <v>1635900</v>
      </c>
      <c r="I299" s="106">
        <f t="shared" si="42"/>
        <v>51250</v>
      </c>
      <c r="J299" s="122"/>
      <c r="K299" s="186" t="s">
        <v>678</v>
      </c>
      <c r="L299" s="136">
        <v>188</v>
      </c>
      <c r="M299" s="160" t="s">
        <v>679</v>
      </c>
      <c r="N299" s="136">
        <f>24.488+4.878</f>
        <v>29.366</v>
      </c>
      <c r="O299" s="133"/>
      <c r="P299" s="92">
        <f t="shared" si="43"/>
        <v>29.366400000000002</v>
      </c>
      <c r="Q299" s="113">
        <f t="shared" si="44"/>
        <v>1.4364000000000001</v>
      </c>
      <c r="R299" s="92">
        <f t="shared" si="45"/>
        <v>1.1172000000000002</v>
      </c>
      <c r="S299" s="121"/>
      <c r="T299" s="93">
        <f t="shared" si="46"/>
        <v>4.000000000017323E-4</v>
      </c>
      <c r="U299" s="122"/>
      <c r="V299" s="94">
        <f t="shared" ca="1" si="50"/>
        <v>-16.535555208334699</v>
      </c>
      <c r="W299" s="89">
        <f t="shared" si="51"/>
        <v>4.3478260869753512E-4</v>
      </c>
    </row>
    <row r="300" spans="1:23" ht="18">
      <c r="A300" s="115"/>
      <c r="B300" s="66" t="s">
        <v>505</v>
      </c>
      <c r="C300" s="90" t="s">
        <v>55</v>
      </c>
      <c r="D300" s="131" t="s">
        <v>663</v>
      </c>
      <c r="E300" s="147">
        <v>189</v>
      </c>
      <c r="F300" s="97">
        <v>44926</v>
      </c>
      <c r="G300" s="100">
        <v>31.86</v>
      </c>
      <c r="H300" s="134">
        <v>1632825</v>
      </c>
      <c r="I300" s="106">
        <f t="shared" si="42"/>
        <v>51250</v>
      </c>
      <c r="J300" s="122"/>
      <c r="K300" s="186" t="s">
        <v>677</v>
      </c>
      <c r="L300" s="136">
        <v>189</v>
      </c>
      <c r="M300" s="160" t="s">
        <v>679</v>
      </c>
      <c r="N300" s="190">
        <f>7.94+21.371</f>
        <v>29.311</v>
      </c>
      <c r="O300" s="122"/>
      <c r="P300" s="92">
        <f t="shared" si="43"/>
        <v>29.311199999999999</v>
      </c>
      <c r="Q300" s="113">
        <f t="shared" si="44"/>
        <v>1.4337</v>
      </c>
      <c r="R300" s="92">
        <f t="shared" si="45"/>
        <v>1.1151</v>
      </c>
      <c r="S300" s="121"/>
      <c r="T300" s="93">
        <f t="shared" si="46"/>
        <v>1.9999999999953388E-4</v>
      </c>
      <c r="U300" s="122"/>
      <c r="V300" s="94">
        <f t="shared" ca="1" si="50"/>
        <v>-11.535555208334699</v>
      </c>
      <c r="W300" s="89">
        <f t="shared" si="51"/>
        <v>2.1739130434731945E-4</v>
      </c>
    </row>
    <row r="301" spans="1:23" ht="18">
      <c r="A301" s="115"/>
      <c r="B301" s="66" t="s">
        <v>505</v>
      </c>
      <c r="C301" s="90" t="s">
        <v>55</v>
      </c>
      <c r="D301" s="131" t="s">
        <v>664</v>
      </c>
      <c r="E301" s="147">
        <v>190</v>
      </c>
      <c r="F301" s="97">
        <v>44926</v>
      </c>
      <c r="G301" s="100">
        <v>31.74</v>
      </c>
      <c r="H301" s="134">
        <v>1626675</v>
      </c>
      <c r="I301" s="106">
        <f t="shared" si="42"/>
        <v>51250</v>
      </c>
      <c r="J301" s="122"/>
      <c r="K301" s="157" t="s">
        <v>680</v>
      </c>
      <c r="L301" s="115">
        <v>190</v>
      </c>
      <c r="M301" s="119" t="s">
        <v>681</v>
      </c>
      <c r="N301" s="115">
        <f>12.35+16.851</f>
        <v>29.201000000000001</v>
      </c>
      <c r="O301" s="122"/>
      <c r="P301" s="92">
        <f t="shared" si="43"/>
        <v>29.200800000000001</v>
      </c>
      <c r="Q301" s="113">
        <f t="shared" si="44"/>
        <v>1.4282999999999999</v>
      </c>
      <c r="R301" s="92">
        <f t="shared" si="45"/>
        <v>1.1109</v>
      </c>
      <c r="S301" s="121"/>
      <c r="T301" s="93">
        <f t="shared" si="46"/>
        <v>-2.0000000000197637E-4</v>
      </c>
      <c r="U301" s="122"/>
      <c r="V301" s="94">
        <f t="shared" ca="1" si="50"/>
        <v>-11.535555208334699</v>
      </c>
      <c r="W301" s="89">
        <f t="shared" si="51"/>
        <v>-2.1739130434997433E-4</v>
      </c>
    </row>
    <row r="302" spans="1:23" ht="18">
      <c r="A302" s="115"/>
      <c r="B302" s="66" t="s">
        <v>505</v>
      </c>
      <c r="C302" s="90" t="s">
        <v>55</v>
      </c>
      <c r="D302" s="131" t="s">
        <v>665</v>
      </c>
      <c r="E302" s="147">
        <v>191</v>
      </c>
      <c r="F302" s="97">
        <v>44926</v>
      </c>
      <c r="G302" s="100">
        <v>33.770000000000003</v>
      </c>
      <c r="H302" s="134">
        <v>1730713</v>
      </c>
      <c r="I302" s="106">
        <f t="shared" si="42"/>
        <v>51250.014806040861</v>
      </c>
      <c r="J302" s="122"/>
      <c r="K302" s="158">
        <v>541544</v>
      </c>
      <c r="L302" s="115">
        <v>191</v>
      </c>
      <c r="M302" s="119" t="s">
        <v>683</v>
      </c>
      <c r="N302" s="115">
        <f>10.321+20.747</f>
        <v>31.067999999999998</v>
      </c>
      <c r="O302" s="122"/>
      <c r="P302" s="92">
        <f t="shared" si="43"/>
        <v>31.068400000000004</v>
      </c>
      <c r="Q302" s="113">
        <f t="shared" si="44"/>
        <v>1.5196500000000002</v>
      </c>
      <c r="R302" s="92">
        <f t="shared" si="45"/>
        <v>1.1819500000000003</v>
      </c>
      <c r="S302" s="121"/>
      <c r="T302" s="93">
        <f t="shared" si="46"/>
        <v>4.0000000000484093E-4</v>
      </c>
      <c r="U302" s="122"/>
      <c r="V302" s="94">
        <f t="shared" ca="1" si="50"/>
        <v>-11.535555208334699</v>
      </c>
      <c r="W302" s="89">
        <f t="shared" si="51"/>
        <v>4.3478260870091404E-4</v>
      </c>
    </row>
    <row r="303" spans="1:23" ht="18">
      <c r="A303" s="115"/>
      <c r="B303" s="66" t="s">
        <v>505</v>
      </c>
      <c r="C303" s="90" t="s">
        <v>55</v>
      </c>
      <c r="D303" s="131" t="s">
        <v>666</v>
      </c>
      <c r="E303" s="147">
        <v>192</v>
      </c>
      <c r="F303" s="97">
        <v>44926</v>
      </c>
      <c r="G303" s="100">
        <v>31.73</v>
      </c>
      <c r="H303" s="134">
        <v>1602365</v>
      </c>
      <c r="I303" s="106">
        <f t="shared" si="42"/>
        <v>50500</v>
      </c>
      <c r="J303" s="122"/>
      <c r="K303" s="158">
        <v>545546</v>
      </c>
      <c r="L303" s="115">
        <v>192</v>
      </c>
      <c r="M303" s="119" t="s">
        <v>683</v>
      </c>
      <c r="N303" s="115">
        <f>11.574+17.618</f>
        <v>29.192</v>
      </c>
      <c r="O303" s="122"/>
      <c r="P303" s="92">
        <f t="shared" si="43"/>
        <v>29.191600000000001</v>
      </c>
      <c r="Q303" s="113">
        <f t="shared" si="44"/>
        <v>1.4278500000000001</v>
      </c>
      <c r="R303" s="92">
        <f t="shared" si="45"/>
        <v>1.1105500000000001</v>
      </c>
      <c r="S303" s="121"/>
      <c r="T303" s="93">
        <f t="shared" si="46"/>
        <v>-3.9999999999995595E-4</v>
      </c>
      <c r="U303" s="122"/>
      <c r="V303" s="94">
        <f t="shared" ca="1" si="50"/>
        <v>-11.535555208334699</v>
      </c>
      <c r="W303" s="89">
        <f t="shared" si="51"/>
        <v>-4.3478260869560427E-4</v>
      </c>
    </row>
    <row r="304" spans="1:23" ht="18">
      <c r="A304" s="115"/>
      <c r="B304" s="66" t="s">
        <v>505</v>
      </c>
      <c r="C304" s="90" t="s">
        <v>55</v>
      </c>
      <c r="D304" s="131" t="s">
        <v>666</v>
      </c>
      <c r="E304" s="147">
        <v>193</v>
      </c>
      <c r="F304" s="97">
        <v>44926</v>
      </c>
      <c r="G304" s="100">
        <v>31.65</v>
      </c>
      <c r="H304" s="134">
        <v>1598325</v>
      </c>
      <c r="I304" s="106">
        <f t="shared" si="42"/>
        <v>50500</v>
      </c>
      <c r="J304" s="122"/>
      <c r="K304" s="157" t="s">
        <v>711</v>
      </c>
      <c r="L304" s="115">
        <v>193</v>
      </c>
      <c r="M304" s="119" t="s">
        <v>712</v>
      </c>
      <c r="N304" s="115">
        <f>14.48+12.861+1.777</f>
        <v>29.118000000000002</v>
      </c>
      <c r="O304" s="122"/>
      <c r="P304" s="92">
        <f t="shared" si="43"/>
        <v>29.117999999999999</v>
      </c>
      <c r="Q304" s="113">
        <f t="shared" si="44"/>
        <v>1.4242499999999998</v>
      </c>
      <c r="R304" s="92">
        <f t="shared" si="45"/>
        <v>1.10775</v>
      </c>
      <c r="S304" s="121"/>
      <c r="T304" s="93">
        <f t="shared" si="46"/>
        <v>-3.3306690738754696E-15</v>
      </c>
      <c r="U304" s="122"/>
      <c r="V304" s="94">
        <f t="shared" ca="1" si="50"/>
        <v>-11.535555208334699</v>
      </c>
      <c r="W304" s="89">
        <f t="shared" si="51"/>
        <v>-3.6202924716037714E-15</v>
      </c>
    </row>
    <row r="305" spans="1:23" ht="18">
      <c r="A305" s="115"/>
      <c r="B305" s="66" t="s">
        <v>505</v>
      </c>
      <c r="C305" s="90" t="s">
        <v>55</v>
      </c>
      <c r="D305" s="131" t="s">
        <v>696</v>
      </c>
      <c r="E305" s="245">
        <v>194</v>
      </c>
      <c r="F305" s="97">
        <v>44959</v>
      </c>
      <c r="G305" s="246">
        <v>27.4</v>
      </c>
      <c r="H305" s="134">
        <v>1390550</v>
      </c>
      <c r="I305" s="106">
        <f t="shared" si="42"/>
        <v>50750</v>
      </c>
      <c r="J305" s="122"/>
      <c r="K305" s="158">
        <v>561608</v>
      </c>
      <c r="L305" s="247">
        <v>194</v>
      </c>
      <c r="M305" s="119" t="s">
        <v>742</v>
      </c>
      <c r="N305" s="115">
        <f>24.326+0.882</f>
        <v>25.208000000000002</v>
      </c>
      <c r="O305" s="122"/>
      <c r="P305" s="92">
        <f t="shared" si="43"/>
        <v>25.207999999999998</v>
      </c>
      <c r="Q305" s="113">
        <f t="shared" si="44"/>
        <v>1.2329999999999999</v>
      </c>
      <c r="R305" s="92">
        <f t="shared" si="45"/>
        <v>0.95900000000000007</v>
      </c>
      <c r="S305" s="121"/>
      <c r="T305" s="93">
        <f t="shared" si="46"/>
        <v>-3.3306690738754696E-15</v>
      </c>
      <c r="U305" s="122"/>
      <c r="V305" s="94">
        <f t="shared" ca="1" si="50"/>
        <v>21.464444791665301</v>
      </c>
      <c r="W305" s="89">
        <f t="shared" si="51"/>
        <v>-3.6202924716037714E-15</v>
      </c>
    </row>
    <row r="306" spans="1:23" ht="18">
      <c r="A306" s="115"/>
      <c r="B306" s="66" t="s">
        <v>505</v>
      </c>
      <c r="C306" s="90" t="s">
        <v>55</v>
      </c>
      <c r="D306" s="131" t="s">
        <v>697</v>
      </c>
      <c r="E306" s="245">
        <v>195</v>
      </c>
      <c r="F306" s="97">
        <v>44959</v>
      </c>
      <c r="G306" s="246">
        <v>27.42</v>
      </c>
      <c r="H306" s="134">
        <v>1391565</v>
      </c>
      <c r="I306" s="106">
        <f t="shared" si="42"/>
        <v>50750</v>
      </c>
      <c r="J306" s="122"/>
      <c r="K306" s="157">
        <v>562</v>
      </c>
      <c r="L306" s="247">
        <v>195</v>
      </c>
      <c r="M306" s="119" t="s">
        <v>713</v>
      </c>
      <c r="N306" s="115">
        <v>25.225999999999999</v>
      </c>
      <c r="O306" s="122"/>
      <c r="P306" s="92">
        <f t="shared" si="43"/>
        <v>25.226400000000002</v>
      </c>
      <c r="Q306" s="113">
        <f t="shared" si="44"/>
        <v>1.2339</v>
      </c>
      <c r="R306" s="92">
        <f t="shared" si="45"/>
        <v>0.95970000000000011</v>
      </c>
      <c r="S306" s="121"/>
      <c r="T306" s="93">
        <f t="shared" si="46"/>
        <v>4.0000000000250946E-4</v>
      </c>
      <c r="U306" s="122"/>
      <c r="V306" s="94">
        <f t="shared" ca="1" si="50"/>
        <v>21.464444791665301</v>
      </c>
      <c r="W306" s="89">
        <f t="shared" si="51"/>
        <v>4.3478260869837983E-4</v>
      </c>
    </row>
    <row r="307" spans="1:23" ht="18">
      <c r="A307" s="115"/>
      <c r="B307" s="66" t="s">
        <v>505</v>
      </c>
      <c r="C307" s="90" t="s">
        <v>55</v>
      </c>
      <c r="D307" s="131" t="s">
        <v>698</v>
      </c>
      <c r="E307" s="245">
        <v>196</v>
      </c>
      <c r="F307" s="97">
        <v>44959</v>
      </c>
      <c r="G307" s="246">
        <v>31.58</v>
      </c>
      <c r="H307" s="134">
        <v>1602685</v>
      </c>
      <c r="I307" s="106">
        <f t="shared" si="42"/>
        <v>50750</v>
      </c>
      <c r="J307" s="122"/>
      <c r="K307" s="186" t="s">
        <v>717</v>
      </c>
      <c r="L307" s="247">
        <v>196</v>
      </c>
      <c r="M307" s="160" t="s">
        <v>718</v>
      </c>
      <c r="N307" s="136">
        <f>25.561+3.493</f>
        <v>29.053999999999998</v>
      </c>
      <c r="O307" s="122"/>
      <c r="P307" s="92">
        <f t="shared" si="43"/>
        <v>29.053599999999999</v>
      </c>
      <c r="Q307" s="113">
        <f t="shared" si="44"/>
        <v>1.4210999999999998</v>
      </c>
      <c r="R307" s="92">
        <f t="shared" si="45"/>
        <v>1.1052999999999999</v>
      </c>
      <c r="S307" s="121"/>
      <c r="T307" s="93">
        <f t="shared" si="46"/>
        <v>-3.9999999999995595E-4</v>
      </c>
      <c r="U307" s="122"/>
      <c r="V307" s="94">
        <f t="shared" ca="1" si="50"/>
        <v>21.464444791665301</v>
      </c>
      <c r="W307" s="89">
        <f t="shared" si="51"/>
        <v>-4.3478260869560427E-4</v>
      </c>
    </row>
    <row r="308" spans="1:23" ht="18">
      <c r="A308" s="115"/>
      <c r="B308" s="66" t="s">
        <v>505</v>
      </c>
      <c r="C308" s="90" t="s">
        <v>55</v>
      </c>
      <c r="D308" s="131" t="s">
        <v>699</v>
      </c>
      <c r="E308" s="245">
        <v>197</v>
      </c>
      <c r="F308" s="97">
        <v>44959</v>
      </c>
      <c r="G308" s="246">
        <v>31.7</v>
      </c>
      <c r="H308" s="134">
        <v>1608775</v>
      </c>
      <c r="I308" s="106">
        <f t="shared" si="42"/>
        <v>50750</v>
      </c>
      <c r="J308" s="122"/>
      <c r="K308" s="186" t="s">
        <v>743</v>
      </c>
      <c r="L308" s="247">
        <v>197</v>
      </c>
      <c r="M308" s="160" t="s">
        <v>744</v>
      </c>
      <c r="N308" s="136">
        <f>6.956+20.995+1.213</f>
        <v>29.164000000000001</v>
      </c>
      <c r="O308" s="133"/>
      <c r="P308" s="92">
        <f t="shared" si="43"/>
        <v>29.164000000000001</v>
      </c>
      <c r="Q308" s="113">
        <f t="shared" si="44"/>
        <v>1.4264999999999999</v>
      </c>
      <c r="R308" s="92">
        <f t="shared" si="45"/>
        <v>1.1095000000000002</v>
      </c>
      <c r="S308" s="121"/>
      <c r="T308" s="93">
        <f t="shared" si="46"/>
        <v>-2.2204460492503131E-15</v>
      </c>
      <c r="U308" s="122"/>
      <c r="V308" s="94">
        <f t="shared" ca="1" si="50"/>
        <v>21.464444791665301</v>
      </c>
      <c r="W308" s="89">
        <f t="shared" si="51"/>
        <v>-2.4135283144025143E-15</v>
      </c>
    </row>
    <row r="309" spans="1:23" ht="18">
      <c r="A309" s="115"/>
      <c r="B309" s="66" t="s">
        <v>505</v>
      </c>
      <c r="C309" s="90" t="s">
        <v>55</v>
      </c>
      <c r="D309" s="131" t="s">
        <v>700</v>
      </c>
      <c r="E309" s="245">
        <v>198</v>
      </c>
      <c r="F309" s="97">
        <v>44959</v>
      </c>
      <c r="G309" s="246">
        <v>27.54</v>
      </c>
      <c r="H309" s="134">
        <v>1397655</v>
      </c>
      <c r="I309" s="106">
        <f t="shared" si="42"/>
        <v>50750</v>
      </c>
      <c r="J309" s="122"/>
      <c r="K309" s="157">
        <v>573</v>
      </c>
      <c r="L309" s="247">
        <v>198</v>
      </c>
      <c r="M309" s="119" t="s">
        <v>721</v>
      </c>
      <c r="N309" s="115">
        <v>25.337</v>
      </c>
      <c r="O309" s="122"/>
      <c r="P309" s="92">
        <f t="shared" si="43"/>
        <v>25.3368</v>
      </c>
      <c r="Q309" s="113">
        <f t="shared" si="44"/>
        <v>1.2392999999999998</v>
      </c>
      <c r="R309" s="92">
        <f t="shared" si="45"/>
        <v>0.96390000000000009</v>
      </c>
      <c r="S309" s="121"/>
      <c r="T309" s="93">
        <f t="shared" si="46"/>
        <v>-2.0000000000053308E-4</v>
      </c>
      <c r="U309" s="122"/>
      <c r="V309" s="94">
        <f t="shared" ca="1" si="50"/>
        <v>21.464444791665301</v>
      </c>
      <c r="W309" s="89">
        <f t="shared" si="51"/>
        <v>-2.1739130434840552E-4</v>
      </c>
    </row>
    <row r="310" spans="1:23" ht="18">
      <c r="A310" s="115"/>
      <c r="B310" s="66" t="s">
        <v>505</v>
      </c>
      <c r="C310" s="90" t="s">
        <v>55</v>
      </c>
      <c r="D310" s="131" t="s">
        <v>701</v>
      </c>
      <c r="E310" s="245">
        <v>199</v>
      </c>
      <c r="F310" s="97">
        <v>44959</v>
      </c>
      <c r="G310" s="246">
        <v>31.68</v>
      </c>
      <c r="H310" s="134">
        <v>1607760</v>
      </c>
      <c r="I310" s="106">
        <f t="shared" si="42"/>
        <v>50750</v>
      </c>
      <c r="J310" s="122"/>
      <c r="K310" s="158">
        <v>574575</v>
      </c>
      <c r="L310" s="247">
        <v>199</v>
      </c>
      <c r="M310" s="119" t="s">
        <v>722</v>
      </c>
      <c r="N310" s="115">
        <f>6.967+22.179</f>
        <v>29.145999999999997</v>
      </c>
      <c r="O310" s="122"/>
      <c r="P310" s="92">
        <f t="shared" si="43"/>
        <v>29.145600000000002</v>
      </c>
      <c r="Q310" s="113">
        <f t="shared" si="44"/>
        <v>1.4256</v>
      </c>
      <c r="R310" s="92">
        <f t="shared" si="45"/>
        <v>1.1088</v>
      </c>
      <c r="S310" s="121"/>
      <c r="T310" s="93">
        <f t="shared" si="46"/>
        <v>-3.9999999999751346E-4</v>
      </c>
      <c r="U310" s="122"/>
      <c r="V310" s="94">
        <f t="shared" ca="1" si="50"/>
        <v>21.464444791665301</v>
      </c>
      <c r="W310" s="89">
        <f t="shared" si="51"/>
        <v>-4.3478260869294938E-4</v>
      </c>
    </row>
    <row r="311" spans="1:23" ht="18">
      <c r="A311" s="115"/>
      <c r="B311" s="66" t="s">
        <v>505</v>
      </c>
      <c r="C311" s="90" t="s">
        <v>55</v>
      </c>
      <c r="D311" s="131" t="s">
        <v>702</v>
      </c>
      <c r="E311" s="245">
        <v>200</v>
      </c>
      <c r="F311" s="97">
        <v>44959</v>
      </c>
      <c r="G311" s="246">
        <v>31.84</v>
      </c>
      <c r="H311" s="134">
        <v>1615880</v>
      </c>
      <c r="I311" s="106">
        <f t="shared" si="42"/>
        <v>50750</v>
      </c>
      <c r="J311" s="122"/>
      <c r="K311" s="187" t="s">
        <v>723</v>
      </c>
      <c r="L311" s="247">
        <v>200</v>
      </c>
      <c r="M311" s="160" t="s">
        <v>721</v>
      </c>
      <c r="N311" s="136">
        <f>8.823+20.47</f>
        <v>29.292999999999999</v>
      </c>
      <c r="O311" s="122"/>
      <c r="P311" s="92">
        <f t="shared" si="43"/>
        <v>29.2928</v>
      </c>
      <c r="Q311" s="113">
        <f t="shared" si="44"/>
        <v>1.4327999999999999</v>
      </c>
      <c r="R311" s="92">
        <f t="shared" si="45"/>
        <v>1.1144000000000001</v>
      </c>
      <c r="S311" s="121"/>
      <c r="T311" s="93">
        <f t="shared" si="46"/>
        <v>-1.9999999999931184E-4</v>
      </c>
      <c r="U311" s="122"/>
      <c r="V311" s="94">
        <f t="shared" ca="1" si="50"/>
        <v>21.464444791665301</v>
      </c>
      <c r="W311" s="89">
        <f t="shared" si="51"/>
        <v>-2.173913043470781E-4</v>
      </c>
    </row>
    <row r="312" spans="1:23" ht="18">
      <c r="A312" s="115"/>
      <c r="B312" s="66" t="s">
        <v>505</v>
      </c>
      <c r="C312" s="90" t="s">
        <v>55</v>
      </c>
      <c r="D312" s="131" t="s">
        <v>702</v>
      </c>
      <c r="E312" s="245">
        <v>201</v>
      </c>
      <c r="F312" s="97">
        <v>44959</v>
      </c>
      <c r="G312" s="246">
        <v>31.77</v>
      </c>
      <c r="H312" s="134">
        <v>1612327.5</v>
      </c>
      <c r="I312" s="106">
        <f t="shared" si="42"/>
        <v>50750</v>
      </c>
      <c r="J312" s="122"/>
      <c r="K312" s="157" t="s">
        <v>745</v>
      </c>
      <c r="L312" s="247">
        <v>201</v>
      </c>
      <c r="M312" s="119" t="s">
        <v>746</v>
      </c>
      <c r="N312" s="115">
        <f>24.281+4.947</f>
        <v>29.227999999999998</v>
      </c>
      <c r="O312" s="122"/>
      <c r="P312" s="92">
        <f t="shared" si="43"/>
        <v>29.228400000000001</v>
      </c>
      <c r="Q312" s="113">
        <f t="shared" si="44"/>
        <v>1.4296499999999999</v>
      </c>
      <c r="R312" s="92">
        <f t="shared" si="45"/>
        <v>1.11195</v>
      </c>
      <c r="S312" s="121"/>
      <c r="T312" s="93">
        <f t="shared" si="46"/>
        <v>4.000000000017323E-4</v>
      </c>
      <c r="U312" s="122"/>
      <c r="V312" s="94">
        <f t="shared" ca="1" si="50"/>
        <v>21.464444791665301</v>
      </c>
      <c r="W312" s="89">
        <f t="shared" si="51"/>
        <v>4.3478260869753512E-4</v>
      </c>
    </row>
    <row r="313" spans="1:23" ht="18">
      <c r="A313" s="115"/>
      <c r="B313" s="66" t="s">
        <v>505</v>
      </c>
      <c r="C313" s="90" t="s">
        <v>55</v>
      </c>
      <c r="D313" s="131" t="s">
        <v>702</v>
      </c>
      <c r="E313" s="245">
        <v>202</v>
      </c>
      <c r="F313" s="97">
        <v>44959</v>
      </c>
      <c r="G313" s="246">
        <v>31.74</v>
      </c>
      <c r="H313" s="134">
        <v>1610805</v>
      </c>
      <c r="I313" s="106">
        <f t="shared" si="42"/>
        <v>50750</v>
      </c>
      <c r="J313" s="122"/>
      <c r="K313" s="186" t="s">
        <v>732</v>
      </c>
      <c r="L313" s="247">
        <v>202</v>
      </c>
      <c r="M313" s="160" t="s">
        <v>733</v>
      </c>
      <c r="N313" s="136">
        <f>11.19+18.011</f>
        <v>29.201000000000001</v>
      </c>
      <c r="O313" s="122"/>
      <c r="P313" s="92">
        <f t="shared" si="43"/>
        <v>29.200800000000001</v>
      </c>
      <c r="Q313" s="113">
        <f t="shared" si="44"/>
        <v>1.4282999999999999</v>
      </c>
      <c r="R313" s="92">
        <f t="shared" si="45"/>
        <v>1.1109</v>
      </c>
      <c r="S313" s="121"/>
      <c r="T313" s="93">
        <f t="shared" si="46"/>
        <v>-2.0000000000197637E-4</v>
      </c>
      <c r="U313" s="122"/>
      <c r="V313" s="94">
        <f t="shared" ca="1" si="50"/>
        <v>21.464444791665301</v>
      </c>
      <c r="W313" s="89">
        <f t="shared" si="51"/>
        <v>-2.1739130434997433E-4</v>
      </c>
    </row>
    <row r="314" spans="1:23" ht="18">
      <c r="A314" s="115"/>
      <c r="B314" s="66" t="s">
        <v>505</v>
      </c>
      <c r="C314" s="90" t="s">
        <v>55</v>
      </c>
      <c r="D314" s="131" t="s">
        <v>702</v>
      </c>
      <c r="E314" s="245">
        <v>203</v>
      </c>
      <c r="F314" s="97">
        <v>44959</v>
      </c>
      <c r="G314" s="246">
        <v>40.28</v>
      </c>
      <c r="H314" s="134">
        <v>2044210</v>
      </c>
      <c r="I314" s="106">
        <f t="shared" si="42"/>
        <v>50750</v>
      </c>
      <c r="J314" s="122"/>
      <c r="K314" s="187">
        <v>566596</v>
      </c>
      <c r="L314" s="247">
        <v>203</v>
      </c>
      <c r="M314" s="160" t="s">
        <v>738</v>
      </c>
      <c r="N314" s="136">
        <f>30.263+6.795</f>
        <v>37.058</v>
      </c>
      <c r="O314" s="122"/>
      <c r="P314" s="92">
        <f t="shared" si="43"/>
        <v>37.057600000000001</v>
      </c>
      <c r="Q314" s="113">
        <f t="shared" si="44"/>
        <v>1.8126</v>
      </c>
      <c r="R314" s="92">
        <f t="shared" si="45"/>
        <v>1.4098000000000002</v>
      </c>
      <c r="S314" s="121"/>
      <c r="T314" s="93">
        <f t="shared" si="46"/>
        <v>-3.9999999999884572E-4</v>
      </c>
      <c r="U314" s="122"/>
      <c r="V314" s="94">
        <f t="shared" ca="1" si="50"/>
        <v>21.464444791665301</v>
      </c>
      <c r="W314" s="89">
        <f t="shared" si="51"/>
        <v>-4.3478260869439755E-4</v>
      </c>
    </row>
    <row r="315" spans="1:23" ht="18">
      <c r="A315" s="115"/>
      <c r="B315" s="66" t="s">
        <v>505</v>
      </c>
      <c r="C315" s="90" t="s">
        <v>55</v>
      </c>
      <c r="D315" s="131" t="s">
        <v>702</v>
      </c>
      <c r="E315" s="245">
        <v>204</v>
      </c>
      <c r="F315" s="97">
        <v>44959</v>
      </c>
      <c r="G315" s="246">
        <v>31.77</v>
      </c>
      <c r="H315" s="134">
        <v>1612327.5</v>
      </c>
      <c r="I315" s="106">
        <f t="shared" si="42"/>
        <v>50750</v>
      </c>
      <c r="J315" s="122"/>
      <c r="K315" s="187">
        <v>591598</v>
      </c>
      <c r="L315" s="247">
        <v>204</v>
      </c>
      <c r="M315" s="160" t="s">
        <v>739</v>
      </c>
      <c r="N315" s="190">
        <f>14.842+14.386</f>
        <v>29.228000000000002</v>
      </c>
      <c r="O315" s="122"/>
      <c r="P315" s="92">
        <f t="shared" si="43"/>
        <v>29.228400000000001</v>
      </c>
      <c r="Q315" s="113">
        <f t="shared" si="44"/>
        <v>1.4296499999999999</v>
      </c>
      <c r="R315" s="92">
        <f t="shared" si="45"/>
        <v>1.11195</v>
      </c>
      <c r="S315" s="121"/>
      <c r="T315" s="93">
        <f t="shared" si="46"/>
        <v>3.9999999999817959E-4</v>
      </c>
      <c r="U315" s="122"/>
      <c r="V315" s="94">
        <f t="shared" ca="1" si="50"/>
        <v>21.464444791665301</v>
      </c>
      <c r="W315" s="89">
        <f t="shared" si="51"/>
        <v>4.3478260869367347E-4</v>
      </c>
    </row>
    <row r="316" spans="1:23" ht="18">
      <c r="A316" s="115"/>
      <c r="B316" s="66" t="s">
        <v>505</v>
      </c>
      <c r="C316" s="90" t="s">
        <v>55</v>
      </c>
      <c r="D316" s="131" t="s">
        <v>702</v>
      </c>
      <c r="E316" s="245">
        <v>205</v>
      </c>
      <c r="F316" s="97">
        <v>44959</v>
      </c>
      <c r="G316" s="246">
        <v>31.45</v>
      </c>
      <c r="H316" s="134">
        <v>1596087.5</v>
      </c>
      <c r="I316" s="106">
        <f t="shared" si="42"/>
        <v>50750</v>
      </c>
      <c r="J316" s="122"/>
      <c r="K316" s="187">
        <v>597603</v>
      </c>
      <c r="L316" s="247">
        <v>205</v>
      </c>
      <c r="M316" s="160" t="s">
        <v>740</v>
      </c>
      <c r="N316" s="136">
        <f>17.725+11.209</f>
        <v>28.934000000000001</v>
      </c>
      <c r="O316" s="122"/>
      <c r="P316" s="92">
        <f t="shared" si="43"/>
        <v>28.934000000000001</v>
      </c>
      <c r="Q316" s="113">
        <f t="shared" si="44"/>
        <v>1.4152499999999999</v>
      </c>
      <c r="R316" s="92">
        <f t="shared" si="45"/>
        <v>1.1007500000000001</v>
      </c>
      <c r="S316" s="121"/>
      <c r="T316" s="93">
        <f t="shared" si="46"/>
        <v>-1.7763568394002505E-15</v>
      </c>
      <c r="U316" s="122"/>
      <c r="V316" s="94">
        <f t="shared" ca="1" si="50"/>
        <v>21.464444791665301</v>
      </c>
      <c r="W316" s="89">
        <f t="shared" si="51"/>
        <v>-1.9308226515220113E-15</v>
      </c>
    </row>
    <row r="317" spans="1:23" ht="18">
      <c r="A317" s="115"/>
      <c r="B317" s="66" t="s">
        <v>505</v>
      </c>
      <c r="C317" s="90" t="s">
        <v>55</v>
      </c>
      <c r="D317" s="131" t="s">
        <v>702</v>
      </c>
      <c r="E317" s="245">
        <v>206</v>
      </c>
      <c r="F317" s="97">
        <v>44959</v>
      </c>
      <c r="G317" s="246">
        <v>38.049999999999997</v>
      </c>
      <c r="H317" s="134">
        <v>1931037.4999999998</v>
      </c>
      <c r="I317" s="106">
        <f t="shared" si="42"/>
        <v>50750</v>
      </c>
      <c r="J317" s="122"/>
      <c r="K317" s="187">
        <v>599601</v>
      </c>
      <c r="L317" s="247">
        <v>206</v>
      </c>
      <c r="M317" s="160" t="s">
        <v>740</v>
      </c>
      <c r="N317" s="136">
        <f>17.665+17.341</f>
        <v>35.006</v>
      </c>
      <c r="O317" s="122"/>
      <c r="P317" s="92">
        <f t="shared" si="43"/>
        <v>35.006</v>
      </c>
      <c r="Q317" s="113">
        <f t="shared" si="44"/>
        <v>1.7122499999999998</v>
      </c>
      <c r="R317" s="92">
        <f t="shared" si="45"/>
        <v>1.33175</v>
      </c>
      <c r="S317" s="121"/>
      <c r="T317" s="93">
        <f t="shared" si="46"/>
        <v>-2.886579864025407E-15</v>
      </c>
      <c r="U317" s="122"/>
      <c r="V317" s="94">
        <f t="shared" ca="1" si="50"/>
        <v>21.464444791665301</v>
      </c>
      <c r="W317" s="89">
        <f t="shared" si="51"/>
        <v>-3.1375868087232684E-15</v>
      </c>
    </row>
    <row r="318" spans="1:23" ht="18">
      <c r="A318" s="115"/>
      <c r="B318" s="66" t="s">
        <v>505</v>
      </c>
      <c r="C318" s="90" t="s">
        <v>55</v>
      </c>
      <c r="D318" s="131" t="s">
        <v>702</v>
      </c>
      <c r="E318" s="245">
        <v>207</v>
      </c>
      <c r="F318" s="97">
        <v>44959</v>
      </c>
      <c r="G318" s="246">
        <v>21.24</v>
      </c>
      <c r="H318" s="134">
        <v>1077930</v>
      </c>
      <c r="I318" s="106">
        <f t="shared" si="42"/>
        <v>50750.000000000007</v>
      </c>
      <c r="J318" s="122"/>
      <c r="K318" s="186" t="s">
        <v>747</v>
      </c>
      <c r="L318" s="247">
        <v>207</v>
      </c>
      <c r="M318" s="160" t="s">
        <v>748</v>
      </c>
      <c r="N318" s="136">
        <f>14.236+5.305</f>
        <v>19.541</v>
      </c>
      <c r="O318" s="122"/>
      <c r="P318" s="92">
        <f t="shared" si="43"/>
        <v>19.540800000000001</v>
      </c>
      <c r="Q318" s="113">
        <f t="shared" si="44"/>
        <v>0.95579999999999987</v>
      </c>
      <c r="R318" s="92">
        <f t="shared" si="45"/>
        <v>0.74340000000000006</v>
      </c>
      <c r="S318" s="121"/>
      <c r="T318" s="93">
        <f t="shared" si="46"/>
        <v>-2.0000000000186535E-4</v>
      </c>
      <c r="U318" s="122"/>
      <c r="V318" s="94">
        <f t="shared" ca="1" si="50"/>
        <v>21.464444791665301</v>
      </c>
      <c r="W318" s="89">
        <f t="shared" si="51"/>
        <v>-2.1739130434985366E-4</v>
      </c>
    </row>
    <row r="319" spans="1:23" ht="18">
      <c r="A319" s="115"/>
      <c r="B319" s="66" t="s">
        <v>505</v>
      </c>
      <c r="C319" s="90" t="s">
        <v>55</v>
      </c>
      <c r="D319" s="131" t="s">
        <v>702</v>
      </c>
      <c r="E319" s="245">
        <v>208</v>
      </c>
      <c r="F319" s="97">
        <v>44959</v>
      </c>
      <c r="G319" s="246">
        <v>31.73</v>
      </c>
      <c r="H319" s="134">
        <v>1610297.5</v>
      </c>
      <c r="I319" s="106">
        <f t="shared" ref="I319:I1262" si="52">H319/G319</f>
        <v>50750</v>
      </c>
      <c r="J319" s="122"/>
      <c r="K319" s="186" t="s">
        <v>749</v>
      </c>
      <c r="L319" s="247">
        <v>208</v>
      </c>
      <c r="M319" s="160" t="s">
        <v>750</v>
      </c>
      <c r="N319" s="136">
        <f>24.452+4.74</f>
        <v>29.192</v>
      </c>
      <c r="O319" s="122"/>
      <c r="P319" s="92">
        <f t="shared" si="43"/>
        <v>29.191600000000001</v>
      </c>
      <c r="Q319" s="113">
        <f t="shared" si="44"/>
        <v>1.4278500000000001</v>
      </c>
      <c r="R319" s="92">
        <f t="shared" si="45"/>
        <v>1.1105500000000001</v>
      </c>
      <c r="S319" s="121"/>
      <c r="T319" s="93">
        <f t="shared" si="46"/>
        <v>-3.9999999999995595E-4</v>
      </c>
      <c r="U319" s="122"/>
      <c r="V319" s="94">
        <f t="shared" ca="1" si="50"/>
        <v>21.464444791665301</v>
      </c>
      <c r="W319" s="89">
        <f t="shared" si="51"/>
        <v>-4.3478260869560427E-4</v>
      </c>
    </row>
    <row r="320" spans="1:23" ht="18">
      <c r="A320" s="115"/>
      <c r="B320" s="66" t="s">
        <v>505</v>
      </c>
      <c r="C320" s="90" t="s">
        <v>55</v>
      </c>
      <c r="D320" s="131" t="s">
        <v>702</v>
      </c>
      <c r="E320" s="245">
        <v>209</v>
      </c>
      <c r="F320" s="97">
        <v>44959</v>
      </c>
      <c r="G320" s="246">
        <v>40.18</v>
      </c>
      <c r="H320" s="134">
        <v>2039135</v>
      </c>
      <c r="I320" s="106">
        <f t="shared" si="52"/>
        <v>50750</v>
      </c>
      <c r="J320" s="122"/>
      <c r="K320" s="186" t="s">
        <v>741</v>
      </c>
      <c r="L320" s="247">
        <v>209</v>
      </c>
      <c r="M320" s="160" t="s">
        <v>748</v>
      </c>
      <c r="N320" s="136">
        <f>21.541+15.425</f>
        <v>36.966000000000001</v>
      </c>
      <c r="O320" s="122"/>
      <c r="P320" s="92">
        <f t="shared" ref="P320:P450" si="53">G320*0.92</f>
        <v>36.965600000000002</v>
      </c>
      <c r="Q320" s="113">
        <f t="shared" ref="Q320:Q450" si="54">G320*4.5%</f>
        <v>1.8080999999999998</v>
      </c>
      <c r="R320" s="92">
        <f t="shared" ref="R320:R450" si="55">G320*3.5%</f>
        <v>1.4063000000000001</v>
      </c>
      <c r="S320" s="121"/>
      <c r="T320" s="93">
        <f t="shared" ref="T320:T450" si="56">G320-N320-Q320-R320</f>
        <v>-4.0000000000128821E-4</v>
      </c>
      <c r="U320" s="122"/>
      <c r="V320" s="94">
        <f t="shared" ca="1" si="50"/>
        <v>21.464444791665301</v>
      </c>
      <c r="W320" s="89">
        <f t="shared" si="51"/>
        <v>-4.3478260869705244E-4</v>
      </c>
    </row>
    <row r="321" spans="1:23" ht="18">
      <c r="A321" s="115"/>
      <c r="B321" s="66" t="s">
        <v>505</v>
      </c>
      <c r="C321" s="90" t="s">
        <v>55</v>
      </c>
      <c r="D321" s="131" t="s">
        <v>702</v>
      </c>
      <c r="E321" s="245">
        <v>210</v>
      </c>
      <c r="F321" s="97">
        <v>44959</v>
      </c>
      <c r="G321" s="246">
        <v>31.74</v>
      </c>
      <c r="H321" s="134">
        <v>1610805</v>
      </c>
      <c r="I321" s="106">
        <f t="shared" si="52"/>
        <v>50750</v>
      </c>
      <c r="J321" s="122"/>
      <c r="K321" s="187">
        <v>605613</v>
      </c>
      <c r="L321" s="247">
        <v>210</v>
      </c>
      <c r="M321" s="160" t="s">
        <v>748</v>
      </c>
      <c r="N321" s="136">
        <f>24.152+5.049</f>
        <v>29.201000000000001</v>
      </c>
      <c r="O321" s="122"/>
      <c r="P321" s="92">
        <f t="shared" si="53"/>
        <v>29.200800000000001</v>
      </c>
      <c r="Q321" s="113">
        <f t="shared" si="54"/>
        <v>1.4282999999999999</v>
      </c>
      <c r="R321" s="92">
        <f t="shared" si="55"/>
        <v>1.1109</v>
      </c>
      <c r="S321" s="121"/>
      <c r="T321" s="93">
        <f t="shared" si="56"/>
        <v>-2.0000000000197637E-4</v>
      </c>
      <c r="U321" s="122"/>
      <c r="V321" s="94">
        <f t="shared" ref="V321:V328" ca="1" si="57">360-($V$3-F321)</f>
        <v>21.464444791665301</v>
      </c>
      <c r="W321" s="89">
        <f t="shared" ref="W321:W328" si="58">T321/0.92%/100</f>
        <v>-2.1739130434997433E-4</v>
      </c>
    </row>
    <row r="322" spans="1:23" ht="18">
      <c r="A322" s="115"/>
      <c r="B322" s="66" t="s">
        <v>505</v>
      </c>
      <c r="C322" s="90" t="s">
        <v>55</v>
      </c>
      <c r="D322" s="131" t="s">
        <v>702</v>
      </c>
      <c r="E322" s="245">
        <v>211</v>
      </c>
      <c r="F322" s="97">
        <v>44959</v>
      </c>
      <c r="G322" s="246">
        <v>31.8</v>
      </c>
      <c r="H322" s="134">
        <v>1613850</v>
      </c>
      <c r="I322" s="106">
        <f t="shared" si="52"/>
        <v>50750</v>
      </c>
      <c r="J322" s="122"/>
      <c r="K322" s="186" t="s">
        <v>751</v>
      </c>
      <c r="L322" s="166">
        <f>E322</f>
        <v>211</v>
      </c>
      <c r="M322" s="160" t="s">
        <v>752</v>
      </c>
      <c r="N322" s="136">
        <f>16.694+2.344+10.218</f>
        <v>29.256</v>
      </c>
      <c r="O322" s="122"/>
      <c r="P322" s="92">
        <f t="shared" si="53"/>
        <v>29.256</v>
      </c>
      <c r="Q322" s="113">
        <f t="shared" si="54"/>
        <v>1.431</v>
      </c>
      <c r="R322" s="92">
        <f t="shared" si="55"/>
        <v>1.1130000000000002</v>
      </c>
      <c r="S322" s="121"/>
      <c r="T322" s="93">
        <f t="shared" si="56"/>
        <v>0</v>
      </c>
      <c r="U322" s="122"/>
      <c r="V322" s="94">
        <f ca="1">360-($V$3-F322)</f>
        <v>21.464444791665301</v>
      </c>
      <c r="W322" s="89">
        <f t="shared" si="58"/>
        <v>0</v>
      </c>
    </row>
    <row r="323" spans="1:23" ht="18">
      <c r="A323" s="115"/>
      <c r="B323" s="66" t="s">
        <v>505</v>
      </c>
      <c r="C323" s="90" t="s">
        <v>55</v>
      </c>
      <c r="D323" s="131" t="s">
        <v>702</v>
      </c>
      <c r="E323" s="245">
        <v>212</v>
      </c>
      <c r="F323" s="97">
        <v>44959</v>
      </c>
      <c r="G323" s="246">
        <v>40.130000000000003</v>
      </c>
      <c r="H323" s="134">
        <v>2036598</v>
      </c>
      <c r="I323" s="106">
        <f t="shared" si="52"/>
        <v>50750.012459506601</v>
      </c>
      <c r="J323" s="122"/>
      <c r="K323" s="230" t="s">
        <v>786</v>
      </c>
      <c r="L323" s="240">
        <f t="shared" ref="L323:L386" si="59">E323</f>
        <v>212</v>
      </c>
      <c r="M323" s="231" t="s">
        <v>785</v>
      </c>
      <c r="N323" s="133">
        <f>32.018+4.902</f>
        <v>36.92</v>
      </c>
      <c r="O323" s="122"/>
      <c r="P323" s="92">
        <f t="shared" si="53"/>
        <v>36.919600000000003</v>
      </c>
      <c r="Q323" s="113">
        <f t="shared" si="54"/>
        <v>1.80585</v>
      </c>
      <c r="R323" s="92">
        <f t="shared" si="55"/>
        <v>1.4045500000000002</v>
      </c>
      <c r="S323" s="121"/>
      <c r="T323" s="232">
        <f t="shared" si="56"/>
        <v>-3.9999999999928981E-4</v>
      </c>
      <c r="U323" s="122"/>
      <c r="V323" s="94">
        <f t="shared" ca="1" si="57"/>
        <v>21.464444791665301</v>
      </c>
      <c r="W323" s="89">
        <f t="shared" si="58"/>
        <v>-4.3478260869488018E-4</v>
      </c>
    </row>
    <row r="324" spans="1:23" ht="18">
      <c r="A324" s="115"/>
      <c r="B324" s="66" t="s">
        <v>505</v>
      </c>
      <c r="C324" s="90" t="s">
        <v>55</v>
      </c>
      <c r="D324" s="131" t="s">
        <v>702</v>
      </c>
      <c r="E324" s="245">
        <v>213</v>
      </c>
      <c r="F324" s="97">
        <v>44959</v>
      </c>
      <c r="G324" s="246">
        <v>31.8</v>
      </c>
      <c r="H324" s="134">
        <v>1613850</v>
      </c>
      <c r="I324" s="106">
        <f t="shared" si="52"/>
        <v>50750</v>
      </c>
      <c r="J324" s="122"/>
      <c r="K324" s="186" t="s">
        <v>787</v>
      </c>
      <c r="L324" s="166">
        <f>E324</f>
        <v>213</v>
      </c>
      <c r="M324" s="160" t="s">
        <v>788</v>
      </c>
      <c r="N324" s="136">
        <f>24.411+4.845</f>
        <v>29.256</v>
      </c>
      <c r="O324" s="122"/>
      <c r="P324" s="92">
        <f t="shared" si="53"/>
        <v>29.256</v>
      </c>
      <c r="Q324" s="113">
        <f t="shared" si="54"/>
        <v>1.431</v>
      </c>
      <c r="R324" s="92">
        <f t="shared" si="55"/>
        <v>1.1130000000000002</v>
      </c>
      <c r="S324" s="121"/>
      <c r="T324" s="93">
        <f t="shared" si="56"/>
        <v>0</v>
      </c>
      <c r="U324" s="122"/>
      <c r="V324" s="94">
        <f t="shared" ca="1" si="57"/>
        <v>21.464444791665301</v>
      </c>
      <c r="W324" s="89">
        <f t="shared" si="58"/>
        <v>0</v>
      </c>
    </row>
    <row r="325" spans="1:23" ht="18">
      <c r="A325" s="115"/>
      <c r="B325" s="66" t="s">
        <v>505</v>
      </c>
      <c r="C325" s="90" t="s">
        <v>55</v>
      </c>
      <c r="D325" s="131" t="s">
        <v>702</v>
      </c>
      <c r="E325" s="245">
        <v>214</v>
      </c>
      <c r="F325" s="97">
        <v>44959</v>
      </c>
      <c r="G325" s="246">
        <v>40.29</v>
      </c>
      <c r="H325" s="134">
        <v>2044718</v>
      </c>
      <c r="I325" s="106">
        <f t="shared" si="52"/>
        <v>50750.012410027302</v>
      </c>
      <c r="J325" s="122"/>
      <c r="K325" s="187">
        <v>618619</v>
      </c>
      <c r="L325" s="166">
        <f t="shared" si="59"/>
        <v>214</v>
      </c>
      <c r="M325" s="160" t="s">
        <v>753</v>
      </c>
      <c r="N325" s="136">
        <f>22.127+14.94</f>
        <v>37.067</v>
      </c>
      <c r="O325" s="122"/>
      <c r="P325" s="92">
        <f t="shared" si="53"/>
        <v>37.066800000000001</v>
      </c>
      <c r="Q325" s="113">
        <f t="shared" si="54"/>
        <v>1.8130499999999998</v>
      </c>
      <c r="R325" s="92">
        <f t="shared" si="55"/>
        <v>1.41015</v>
      </c>
      <c r="S325" s="121"/>
      <c r="T325" s="93">
        <f t="shared" si="56"/>
        <v>-2.0000000000086615E-4</v>
      </c>
      <c r="U325" s="122"/>
      <c r="V325" s="94">
        <f t="shared" ca="1" si="57"/>
        <v>21.464444791665301</v>
      </c>
      <c r="W325" s="89">
        <f t="shared" si="58"/>
        <v>-2.1739130434876756E-4</v>
      </c>
    </row>
    <row r="326" spans="1:23" ht="18">
      <c r="A326" s="115"/>
      <c r="B326" s="66" t="s">
        <v>505</v>
      </c>
      <c r="C326" s="90" t="s">
        <v>55</v>
      </c>
      <c r="D326" s="131" t="s">
        <v>702</v>
      </c>
      <c r="E326" s="245">
        <v>215</v>
      </c>
      <c r="F326" s="97">
        <v>44959</v>
      </c>
      <c r="G326" s="246">
        <v>40.25</v>
      </c>
      <c r="H326" s="134">
        <v>2042688</v>
      </c>
      <c r="I326" s="106">
        <f t="shared" si="52"/>
        <v>50750.012422360247</v>
      </c>
      <c r="J326" s="122"/>
      <c r="K326" s="187">
        <v>620625</v>
      </c>
      <c r="L326" s="166">
        <f t="shared" si="59"/>
        <v>215</v>
      </c>
      <c r="M326" s="160" t="s">
        <v>755</v>
      </c>
      <c r="N326" s="136">
        <f>17.603+19.427</f>
        <v>37.03</v>
      </c>
      <c r="O326" s="122"/>
      <c r="P326" s="92">
        <f t="shared" si="53"/>
        <v>37.03</v>
      </c>
      <c r="Q326" s="113">
        <f t="shared" si="54"/>
        <v>1.81125</v>
      </c>
      <c r="R326" s="92">
        <f t="shared" si="55"/>
        <v>1.4087500000000002</v>
      </c>
      <c r="S326" s="121"/>
      <c r="T326" s="93">
        <f t="shared" si="56"/>
        <v>0</v>
      </c>
      <c r="U326" s="122"/>
      <c r="V326" s="94">
        <f t="shared" ca="1" si="57"/>
        <v>21.464444791665301</v>
      </c>
      <c r="W326" s="89">
        <f t="shared" si="58"/>
        <v>0</v>
      </c>
    </row>
    <row r="327" spans="1:23" ht="18">
      <c r="A327" s="115"/>
      <c r="B327" s="66" t="s">
        <v>505</v>
      </c>
      <c r="C327" s="90" t="s">
        <v>55</v>
      </c>
      <c r="D327" s="131" t="s">
        <v>702</v>
      </c>
      <c r="E327" s="245">
        <v>216</v>
      </c>
      <c r="F327" s="97">
        <v>44959</v>
      </c>
      <c r="G327" s="246">
        <v>41.67</v>
      </c>
      <c r="H327" s="134">
        <v>2114753</v>
      </c>
      <c r="I327" s="106">
        <f t="shared" si="52"/>
        <v>50750.011999040078</v>
      </c>
      <c r="J327" s="122"/>
      <c r="K327" s="157" t="s">
        <v>756</v>
      </c>
      <c r="L327" s="166">
        <f t="shared" si="59"/>
        <v>216</v>
      </c>
      <c r="M327" s="119" t="s">
        <v>757</v>
      </c>
      <c r="N327" s="115">
        <f>24.675+13.661</f>
        <v>38.335999999999999</v>
      </c>
      <c r="O327" s="122"/>
      <c r="P327" s="92">
        <f t="shared" si="53"/>
        <v>38.336400000000005</v>
      </c>
      <c r="Q327" s="113">
        <f t="shared" si="54"/>
        <v>1.8751500000000001</v>
      </c>
      <c r="R327" s="92">
        <f t="shared" si="55"/>
        <v>1.4584500000000002</v>
      </c>
      <c r="S327" s="121"/>
      <c r="T327" s="93">
        <f>G327-N327-Q327-R327</f>
        <v>4.0000000000284253E-4</v>
      </c>
      <c r="U327" s="122"/>
      <c r="V327" s="94">
        <f t="shared" ca="1" si="57"/>
        <v>21.464444791665301</v>
      </c>
      <c r="W327" s="89">
        <f t="shared" si="58"/>
        <v>4.347826086987419E-4</v>
      </c>
    </row>
    <row r="328" spans="1:23" ht="18">
      <c r="A328" s="115"/>
      <c r="B328" s="66" t="s">
        <v>505</v>
      </c>
      <c r="C328" s="90" t="s">
        <v>55</v>
      </c>
      <c r="D328" s="131" t="s">
        <v>702</v>
      </c>
      <c r="E328" s="245">
        <v>217</v>
      </c>
      <c r="F328" s="97">
        <v>44959</v>
      </c>
      <c r="G328" s="246">
        <v>32.869999999999997</v>
      </c>
      <c r="H328" s="134">
        <v>1668153</v>
      </c>
      <c r="I328" s="106">
        <f t="shared" si="52"/>
        <v>50750.015211439008</v>
      </c>
      <c r="J328" s="122"/>
      <c r="K328" s="158">
        <v>626632</v>
      </c>
      <c r="L328" s="166">
        <f t="shared" si="59"/>
        <v>217</v>
      </c>
      <c r="M328" s="119" t="s">
        <v>762</v>
      </c>
      <c r="N328" s="115">
        <f>13.208+17.032</f>
        <v>30.240000000000002</v>
      </c>
      <c r="O328" s="122"/>
      <c r="P328" s="92">
        <f t="shared" si="53"/>
        <v>30.240399999999998</v>
      </c>
      <c r="Q328" s="113">
        <f t="shared" si="54"/>
        <v>1.4791499999999997</v>
      </c>
      <c r="R328" s="92">
        <f t="shared" si="55"/>
        <v>1.15045</v>
      </c>
      <c r="S328" s="121"/>
      <c r="T328" s="93">
        <f t="shared" si="56"/>
        <v>3.999999999957371E-4</v>
      </c>
      <c r="U328" s="122"/>
      <c r="V328" s="94">
        <f t="shared" ca="1" si="57"/>
        <v>21.464444791665301</v>
      </c>
      <c r="W328" s="89">
        <f t="shared" si="58"/>
        <v>4.3478260869101858E-4</v>
      </c>
    </row>
    <row r="329" spans="1:23" ht="18">
      <c r="A329" s="115"/>
      <c r="B329" s="66" t="s">
        <v>505</v>
      </c>
      <c r="C329" s="90" t="s">
        <v>55</v>
      </c>
      <c r="D329" s="131" t="s">
        <v>702</v>
      </c>
      <c r="E329" s="245">
        <v>218</v>
      </c>
      <c r="F329" s="97">
        <v>44959</v>
      </c>
      <c r="G329" s="246">
        <v>42.17</v>
      </c>
      <c r="H329" s="134">
        <v>2140128</v>
      </c>
      <c r="I329" s="106">
        <f t="shared" si="52"/>
        <v>50750.011856770216</v>
      </c>
      <c r="J329" s="122"/>
      <c r="K329" s="157" t="s">
        <v>789</v>
      </c>
      <c r="L329" s="166">
        <f t="shared" si="59"/>
        <v>218</v>
      </c>
      <c r="M329" s="119" t="s">
        <v>790</v>
      </c>
      <c r="N329" s="115">
        <f>32.652+6.144</f>
        <v>38.795999999999999</v>
      </c>
      <c r="O329" s="122"/>
      <c r="P329" s="92">
        <f t="shared" si="53"/>
        <v>38.796400000000006</v>
      </c>
      <c r="Q329" s="113">
        <f t="shared" si="54"/>
        <v>1.8976500000000001</v>
      </c>
      <c r="R329" s="92">
        <f>G329*3.5%</f>
        <v>1.4759500000000001</v>
      </c>
      <c r="S329" s="121"/>
      <c r="T329" s="93">
        <f t="shared" si="56"/>
        <v>4.0000000000217639E-4</v>
      </c>
      <c r="U329" s="122"/>
      <c r="V329" s="94">
        <f t="shared" ref="V329:V331" ca="1" si="60">360-($V$3-F329)</f>
        <v>21.464444791665301</v>
      </c>
      <c r="W329" s="89">
        <f t="shared" ref="W329:W331" si="61">T329/0.92%/100</f>
        <v>4.3478260869801786E-4</v>
      </c>
    </row>
    <row r="330" spans="1:23" ht="18">
      <c r="A330" s="115"/>
      <c r="B330" s="66" t="s">
        <v>505</v>
      </c>
      <c r="C330" s="90" t="s">
        <v>55</v>
      </c>
      <c r="D330" s="131" t="s">
        <v>702</v>
      </c>
      <c r="E330" s="245">
        <v>219</v>
      </c>
      <c r="F330" s="97">
        <v>44959</v>
      </c>
      <c r="G330" s="246">
        <v>31.6</v>
      </c>
      <c r="H330" s="134">
        <v>1603700</v>
      </c>
      <c r="I330" s="106">
        <f t="shared" si="52"/>
        <v>50750</v>
      </c>
      <c r="J330" s="122"/>
      <c r="K330" s="157" t="s">
        <v>791</v>
      </c>
      <c r="L330" s="166">
        <f t="shared" si="59"/>
        <v>219</v>
      </c>
      <c r="M330" s="119" t="s">
        <v>792</v>
      </c>
      <c r="N330" s="115">
        <f>19.843+9.229</f>
        <v>29.071999999999999</v>
      </c>
      <c r="O330" s="122"/>
      <c r="P330" s="92">
        <f t="shared" si="53"/>
        <v>29.072000000000003</v>
      </c>
      <c r="Q330" s="113">
        <f t="shared" si="54"/>
        <v>1.4219999999999999</v>
      </c>
      <c r="R330" s="92">
        <f t="shared" si="55"/>
        <v>1.1060000000000001</v>
      </c>
      <c r="S330" s="121"/>
      <c r="T330" s="93">
        <f t="shared" si="56"/>
        <v>2.2204460492503131E-15</v>
      </c>
      <c r="U330" s="122"/>
      <c r="V330" s="94">
        <f ca="1">360-($V$3-F330)</f>
        <v>21.464444791665301</v>
      </c>
      <c r="W330" s="89">
        <f t="shared" si="61"/>
        <v>2.4135283144025143E-15</v>
      </c>
    </row>
    <row r="331" spans="1:23" ht="18">
      <c r="A331" s="115"/>
      <c r="B331" s="66" t="s">
        <v>505</v>
      </c>
      <c r="C331" s="90" t="s">
        <v>55</v>
      </c>
      <c r="D331" s="131" t="s">
        <v>702</v>
      </c>
      <c r="E331" s="245">
        <v>220</v>
      </c>
      <c r="F331" s="97">
        <v>44959</v>
      </c>
      <c r="G331" s="246">
        <v>12.98</v>
      </c>
      <c r="H331" s="134">
        <v>658735</v>
      </c>
      <c r="I331" s="106">
        <f t="shared" si="52"/>
        <v>50750</v>
      </c>
      <c r="J331" s="122"/>
      <c r="K331" s="157">
        <v>643</v>
      </c>
      <c r="L331" s="166">
        <f t="shared" si="59"/>
        <v>220</v>
      </c>
      <c r="M331" s="119" t="s">
        <v>772</v>
      </c>
      <c r="N331" s="115">
        <v>11.942</v>
      </c>
      <c r="O331" s="122"/>
      <c r="P331" s="92">
        <f t="shared" ref="P331:P366" si="62">G331*0.92</f>
        <v>11.941600000000001</v>
      </c>
      <c r="Q331" s="113">
        <f t="shared" si="54"/>
        <v>0.58409999999999995</v>
      </c>
      <c r="R331" s="92">
        <f t="shared" si="55"/>
        <v>0.45430000000000004</v>
      </c>
      <c r="S331" s="121"/>
      <c r="T331" s="93">
        <f t="shared" si="56"/>
        <v>-3.999999999997339E-4</v>
      </c>
      <c r="U331" s="122"/>
      <c r="V331" s="94">
        <f t="shared" ca="1" si="60"/>
        <v>21.464444791665301</v>
      </c>
      <c r="W331" s="89">
        <f t="shared" si="61"/>
        <v>-4.3478260869536292E-4</v>
      </c>
    </row>
    <row r="332" spans="1:23" ht="18">
      <c r="A332" s="115"/>
      <c r="B332" s="66" t="s">
        <v>505</v>
      </c>
      <c r="C332" s="175" t="s">
        <v>55</v>
      </c>
      <c r="D332" s="131" t="s">
        <v>702</v>
      </c>
      <c r="E332" s="245">
        <v>221</v>
      </c>
      <c r="F332" s="97">
        <v>44959</v>
      </c>
      <c r="G332" s="252">
        <v>40.25</v>
      </c>
      <c r="H332" s="134">
        <v>2042687.5</v>
      </c>
      <c r="I332" s="106">
        <f t="shared" ref="I332:I366" si="63">H332/G332</f>
        <v>50750</v>
      </c>
      <c r="J332" s="122"/>
      <c r="K332" s="158" t="s">
        <v>766</v>
      </c>
      <c r="L332" s="166">
        <f t="shared" si="59"/>
        <v>221</v>
      </c>
      <c r="M332" s="119" t="s">
        <v>763</v>
      </c>
      <c r="N332" s="115">
        <f>16.02+21.01</f>
        <v>37.03</v>
      </c>
      <c r="O332" s="122"/>
      <c r="P332" s="92">
        <f t="shared" si="62"/>
        <v>37.03</v>
      </c>
      <c r="Q332" s="113">
        <f t="shared" ref="Q332:Q366" si="64">G332*4.5%</f>
        <v>1.81125</v>
      </c>
      <c r="R332" s="92">
        <f t="shared" ref="R332:R366" si="65">G332*3.5%</f>
        <v>1.4087500000000002</v>
      </c>
      <c r="S332" s="121"/>
      <c r="T332" s="93">
        <f t="shared" ref="T332:T366" si="66">G332-N332-Q332-R332</f>
        <v>0</v>
      </c>
      <c r="U332" s="122"/>
      <c r="V332" s="94">
        <f t="shared" ref="V332:V366" ca="1" si="67">360-($V$3-F332)</f>
        <v>21.464444791665301</v>
      </c>
      <c r="W332" s="89">
        <f t="shared" ref="W332:W366" si="68">T332/0.92%/100</f>
        <v>0</v>
      </c>
    </row>
    <row r="333" spans="1:23" ht="18">
      <c r="A333" s="115"/>
      <c r="B333" s="66" t="s">
        <v>505</v>
      </c>
      <c r="C333" s="175" t="s">
        <v>55</v>
      </c>
      <c r="D333" s="131" t="s">
        <v>702</v>
      </c>
      <c r="E333" s="245">
        <v>222</v>
      </c>
      <c r="F333" s="97">
        <v>44959</v>
      </c>
      <c r="G333" s="252">
        <v>40.81</v>
      </c>
      <c r="H333" s="134">
        <v>2071107.5</v>
      </c>
      <c r="I333" s="106">
        <f t="shared" si="63"/>
        <v>50750</v>
      </c>
      <c r="J333" s="122"/>
      <c r="K333" s="157" t="s">
        <v>793</v>
      </c>
      <c r="L333" s="166">
        <f t="shared" si="59"/>
        <v>222</v>
      </c>
      <c r="M333" s="119" t="s">
        <v>794</v>
      </c>
      <c r="N333" s="115">
        <f>12.555+20.904+4.086</f>
        <v>37.545000000000002</v>
      </c>
      <c r="O333" s="122"/>
      <c r="P333" s="92">
        <f t="shared" si="62"/>
        <v>37.545200000000001</v>
      </c>
      <c r="Q333" s="113">
        <f t="shared" si="64"/>
        <v>1.8364500000000001</v>
      </c>
      <c r="R333" s="92">
        <f t="shared" si="65"/>
        <v>1.4283500000000002</v>
      </c>
      <c r="S333" s="121"/>
      <c r="T333" s="93">
        <f t="shared" si="66"/>
        <v>2.0000000000020002E-4</v>
      </c>
      <c r="U333" s="122"/>
      <c r="V333" s="94">
        <f t="shared" ca="1" si="67"/>
        <v>21.464444791665301</v>
      </c>
      <c r="W333" s="89">
        <f t="shared" si="68"/>
        <v>2.173913043480435E-4</v>
      </c>
    </row>
    <row r="334" spans="1:23" ht="18">
      <c r="A334" s="115"/>
      <c r="B334" s="66" t="s">
        <v>505</v>
      </c>
      <c r="C334" s="175" t="s">
        <v>55</v>
      </c>
      <c r="D334" s="131" t="s">
        <v>666</v>
      </c>
      <c r="E334" s="245">
        <v>223</v>
      </c>
      <c r="F334" s="97">
        <v>44959</v>
      </c>
      <c r="G334" s="252">
        <v>12.69</v>
      </c>
      <c r="H334" s="134">
        <v>640845</v>
      </c>
      <c r="I334" s="106">
        <f t="shared" si="63"/>
        <v>50500</v>
      </c>
      <c r="J334" s="122"/>
      <c r="K334" s="157">
        <v>645</v>
      </c>
      <c r="L334" s="166">
        <f t="shared" si="59"/>
        <v>223</v>
      </c>
      <c r="M334" s="119" t="s">
        <v>772</v>
      </c>
      <c r="N334" s="115">
        <v>11.675000000000001</v>
      </c>
      <c r="O334" s="122"/>
      <c r="P334" s="92">
        <f t="shared" si="62"/>
        <v>11.674799999999999</v>
      </c>
      <c r="Q334" s="113">
        <f t="shared" si="64"/>
        <v>0.57104999999999995</v>
      </c>
      <c r="R334" s="92">
        <f t="shared" si="65"/>
        <v>0.44415000000000004</v>
      </c>
      <c r="S334" s="121"/>
      <c r="T334" s="93">
        <f t="shared" si="66"/>
        <v>-2.0000000000119922E-4</v>
      </c>
      <c r="U334" s="122"/>
      <c r="V334" s="94">
        <f t="shared" ca="1" si="67"/>
        <v>21.464444791665301</v>
      </c>
      <c r="W334" s="89">
        <f t="shared" si="68"/>
        <v>-2.1739130434912958E-4</v>
      </c>
    </row>
    <row r="335" spans="1:23" ht="18">
      <c r="A335" s="115"/>
      <c r="B335" s="66" t="s">
        <v>505</v>
      </c>
      <c r="C335" s="130" t="s">
        <v>55</v>
      </c>
      <c r="D335" s="131" t="s">
        <v>665</v>
      </c>
      <c r="E335" s="245">
        <v>224</v>
      </c>
      <c r="F335" s="97">
        <v>44959</v>
      </c>
      <c r="G335" s="252">
        <v>19.05</v>
      </c>
      <c r="H335" s="134">
        <v>976312.5</v>
      </c>
      <c r="I335" s="106">
        <f t="shared" si="63"/>
        <v>51250</v>
      </c>
      <c r="J335" s="122"/>
      <c r="K335" s="157" t="s">
        <v>795</v>
      </c>
      <c r="L335" s="166">
        <f t="shared" si="59"/>
        <v>224</v>
      </c>
      <c r="M335" s="119" t="s">
        <v>796</v>
      </c>
      <c r="N335" s="115">
        <f>12.69+4.836</f>
        <v>17.526</v>
      </c>
      <c r="O335" s="122"/>
      <c r="P335" s="92">
        <f t="shared" si="62"/>
        <v>17.526</v>
      </c>
      <c r="Q335" s="113">
        <f t="shared" si="64"/>
        <v>0.85724999999999996</v>
      </c>
      <c r="R335" s="92">
        <f t="shared" si="65"/>
        <v>0.66675000000000006</v>
      </c>
      <c r="S335" s="121"/>
      <c r="T335" s="93">
        <f t="shared" si="66"/>
        <v>8.8817841970012523E-16</v>
      </c>
      <c r="U335" s="122"/>
      <c r="V335" s="94">
        <f t="shared" ca="1" si="67"/>
        <v>21.464444791665301</v>
      </c>
      <c r="W335" s="89">
        <f t="shared" si="68"/>
        <v>9.6541132576100564E-16</v>
      </c>
    </row>
    <row r="336" spans="1:23" ht="18">
      <c r="A336" s="115"/>
      <c r="B336" s="66" t="s">
        <v>505</v>
      </c>
      <c r="C336" s="130" t="s">
        <v>55</v>
      </c>
      <c r="D336" s="131" t="s">
        <v>665</v>
      </c>
      <c r="E336" s="245">
        <v>225</v>
      </c>
      <c r="F336" s="97">
        <v>44959</v>
      </c>
      <c r="G336" s="252">
        <v>40.200000000000003</v>
      </c>
      <c r="H336" s="134">
        <v>2060250.0000000002</v>
      </c>
      <c r="I336" s="106">
        <f t="shared" si="63"/>
        <v>51250</v>
      </c>
      <c r="J336" s="122"/>
      <c r="K336" s="158">
        <v>638639</v>
      </c>
      <c r="L336" s="166">
        <f t="shared" si="59"/>
        <v>225</v>
      </c>
      <c r="M336" s="119" t="s">
        <v>767</v>
      </c>
      <c r="N336" s="115">
        <f>33.348+3.636</f>
        <v>36.984000000000002</v>
      </c>
      <c r="O336" s="122"/>
      <c r="P336" s="92">
        <f t="shared" si="62"/>
        <v>36.984000000000002</v>
      </c>
      <c r="Q336" s="113">
        <f t="shared" si="64"/>
        <v>1.8090000000000002</v>
      </c>
      <c r="R336" s="92">
        <f t="shared" si="65"/>
        <v>1.4070000000000003</v>
      </c>
      <c r="S336" s="121"/>
      <c r="T336" s="93">
        <f t="shared" si="66"/>
        <v>0</v>
      </c>
      <c r="U336" s="122"/>
      <c r="V336" s="94">
        <f t="shared" ca="1" si="67"/>
        <v>21.464444791665301</v>
      </c>
      <c r="W336" s="89">
        <f t="shared" si="68"/>
        <v>0</v>
      </c>
    </row>
    <row r="337" spans="1:23" ht="18">
      <c r="A337" s="115"/>
      <c r="B337" s="66" t="s">
        <v>505</v>
      </c>
      <c r="C337" s="130" t="s">
        <v>55</v>
      </c>
      <c r="D337" s="131" t="s">
        <v>665</v>
      </c>
      <c r="E337" s="245">
        <v>226</v>
      </c>
      <c r="F337" s="97">
        <v>44959</v>
      </c>
      <c r="G337" s="252">
        <v>31.89</v>
      </c>
      <c r="H337" s="134">
        <v>1634362.5</v>
      </c>
      <c r="I337" s="106">
        <f t="shared" si="63"/>
        <v>51250</v>
      </c>
      <c r="J337" s="122"/>
      <c r="K337" s="157" t="s">
        <v>797</v>
      </c>
      <c r="L337" s="166">
        <f t="shared" si="59"/>
        <v>226</v>
      </c>
      <c r="M337" s="119" t="s">
        <v>798</v>
      </c>
      <c r="N337" s="115">
        <f>28.789+0.55</f>
        <v>29.339000000000002</v>
      </c>
      <c r="O337" s="122"/>
      <c r="P337" s="92">
        <f t="shared" si="62"/>
        <v>29.338800000000003</v>
      </c>
      <c r="Q337" s="113">
        <f t="shared" si="64"/>
        <v>1.4350499999999999</v>
      </c>
      <c r="R337" s="92">
        <f t="shared" si="65"/>
        <v>1.1161500000000002</v>
      </c>
      <c r="S337" s="121"/>
      <c r="T337" s="93">
        <f t="shared" si="66"/>
        <v>-2.0000000000175433E-4</v>
      </c>
      <c r="U337" s="122"/>
      <c r="V337" s="94">
        <f t="shared" ca="1" si="67"/>
        <v>21.464444791665301</v>
      </c>
      <c r="W337" s="89">
        <f t="shared" si="68"/>
        <v>-2.1739130434973296E-4</v>
      </c>
    </row>
    <row r="338" spans="1:23" ht="18">
      <c r="A338" s="115"/>
      <c r="B338" s="66" t="s">
        <v>505</v>
      </c>
      <c r="C338" s="130" t="s">
        <v>55</v>
      </c>
      <c r="D338" s="131" t="s">
        <v>665</v>
      </c>
      <c r="E338" s="245">
        <v>227</v>
      </c>
      <c r="F338" s="97">
        <v>44959</v>
      </c>
      <c r="G338" s="252">
        <v>31.92</v>
      </c>
      <c r="H338" s="134">
        <v>1635900</v>
      </c>
      <c r="I338" s="106">
        <f t="shared" si="63"/>
        <v>51250</v>
      </c>
      <c r="J338" s="122"/>
      <c r="K338" s="230" t="s">
        <v>799</v>
      </c>
      <c r="L338" s="240">
        <f t="shared" si="59"/>
        <v>227</v>
      </c>
      <c r="M338" s="231" t="s">
        <v>800</v>
      </c>
      <c r="N338" s="133">
        <f>27.321+2.045</f>
        <v>29.366</v>
      </c>
      <c r="O338" s="122"/>
      <c r="P338" s="92">
        <f t="shared" si="62"/>
        <v>29.366400000000002</v>
      </c>
      <c r="Q338" s="113">
        <f t="shared" si="64"/>
        <v>1.4364000000000001</v>
      </c>
      <c r="R338" s="92">
        <f t="shared" si="65"/>
        <v>1.1172000000000002</v>
      </c>
      <c r="S338" s="121"/>
      <c r="T338" s="232">
        <f t="shared" si="66"/>
        <v>4.000000000017323E-4</v>
      </c>
      <c r="U338" s="122"/>
      <c r="V338" s="94">
        <f t="shared" ca="1" si="67"/>
        <v>21.464444791665301</v>
      </c>
      <c r="W338" s="89">
        <f t="shared" si="68"/>
        <v>4.3478260869753512E-4</v>
      </c>
    </row>
    <row r="339" spans="1:23" ht="18">
      <c r="A339" s="115"/>
      <c r="B339" s="66" t="s">
        <v>505</v>
      </c>
      <c r="C339" s="130" t="s">
        <v>55</v>
      </c>
      <c r="D339" s="131" t="s">
        <v>665</v>
      </c>
      <c r="E339" s="245">
        <v>228</v>
      </c>
      <c r="F339" s="97">
        <v>44959</v>
      </c>
      <c r="G339" s="252">
        <v>34.06</v>
      </c>
      <c r="H339" s="134">
        <v>1745575.0000000002</v>
      </c>
      <c r="I339" s="106">
        <f t="shared" si="63"/>
        <v>51250</v>
      </c>
      <c r="J339" s="122"/>
      <c r="K339" s="157" t="s">
        <v>812</v>
      </c>
      <c r="L339" s="166">
        <f t="shared" si="59"/>
        <v>228</v>
      </c>
      <c r="M339" s="119" t="s">
        <v>813</v>
      </c>
      <c r="N339" s="115">
        <f>1.338+29.997</f>
        <v>31.335000000000001</v>
      </c>
      <c r="O339" s="122"/>
      <c r="P339" s="92">
        <f t="shared" si="62"/>
        <v>31.335200000000004</v>
      </c>
      <c r="Q339" s="113">
        <f t="shared" si="64"/>
        <v>1.5327</v>
      </c>
      <c r="R339" s="92">
        <f t="shared" si="65"/>
        <v>1.1921000000000002</v>
      </c>
      <c r="S339" s="121"/>
      <c r="T339" s="93">
        <f t="shared" si="66"/>
        <v>2.0000000000131024E-4</v>
      </c>
      <c r="U339" s="122"/>
      <c r="V339" s="94">
        <f t="shared" ca="1" si="67"/>
        <v>21.464444791665301</v>
      </c>
      <c r="W339" s="89">
        <f t="shared" si="68"/>
        <v>2.1739130434925025E-4</v>
      </c>
    </row>
    <row r="340" spans="1:23" ht="18">
      <c r="A340" s="115"/>
      <c r="B340" s="66" t="s">
        <v>505</v>
      </c>
      <c r="C340" s="130" t="s">
        <v>55</v>
      </c>
      <c r="D340" s="131" t="s">
        <v>665</v>
      </c>
      <c r="E340" s="245">
        <v>229</v>
      </c>
      <c r="F340" s="97">
        <v>44959</v>
      </c>
      <c r="G340" s="252">
        <v>31.71</v>
      </c>
      <c r="H340" s="134">
        <v>1625137.5</v>
      </c>
      <c r="I340" s="106">
        <f t="shared" si="63"/>
        <v>51250</v>
      </c>
      <c r="J340" s="122"/>
      <c r="K340" s="253" t="s">
        <v>814</v>
      </c>
      <c r="L340" s="166">
        <f t="shared" si="59"/>
        <v>229</v>
      </c>
      <c r="M340" s="119" t="s">
        <v>813</v>
      </c>
      <c r="N340" s="115">
        <f>1.8+27.373</f>
        <v>29.173000000000002</v>
      </c>
      <c r="O340" s="122"/>
      <c r="P340" s="92">
        <f t="shared" si="62"/>
        <v>29.173200000000001</v>
      </c>
      <c r="Q340" s="113">
        <f t="shared" si="64"/>
        <v>1.4269499999999999</v>
      </c>
      <c r="R340" s="92">
        <f t="shared" si="65"/>
        <v>1.1098500000000002</v>
      </c>
      <c r="S340" s="121"/>
      <c r="T340" s="93">
        <f t="shared" si="66"/>
        <v>1.9999999999886775E-4</v>
      </c>
      <c r="U340" s="122"/>
      <c r="V340" s="94">
        <f t="shared" ca="1" si="67"/>
        <v>21.464444791665301</v>
      </c>
      <c r="W340" s="89">
        <f t="shared" si="68"/>
        <v>2.1739130434659539E-4</v>
      </c>
    </row>
    <row r="341" spans="1:23" ht="18">
      <c r="A341" s="115"/>
      <c r="B341" s="66" t="s">
        <v>505</v>
      </c>
      <c r="C341" s="130" t="s">
        <v>55</v>
      </c>
      <c r="D341" s="131" t="s">
        <v>665</v>
      </c>
      <c r="E341" s="245">
        <v>230</v>
      </c>
      <c r="F341" s="97">
        <v>44959</v>
      </c>
      <c r="G341" s="252">
        <v>31.82</v>
      </c>
      <c r="H341" s="134">
        <v>1630775</v>
      </c>
      <c r="I341" s="106">
        <f t="shared" si="63"/>
        <v>51250</v>
      </c>
      <c r="J341" s="122"/>
      <c r="K341" s="253" t="s">
        <v>815</v>
      </c>
      <c r="L341" s="166">
        <f t="shared" si="59"/>
        <v>230</v>
      </c>
      <c r="M341" s="119" t="s">
        <v>816</v>
      </c>
      <c r="N341" s="115">
        <f>5.98+23.294</f>
        <v>29.274000000000001</v>
      </c>
      <c r="O341" s="122"/>
      <c r="P341" s="92">
        <f t="shared" si="62"/>
        <v>29.2744</v>
      </c>
      <c r="Q341" s="113">
        <f t="shared" si="64"/>
        <v>1.4319</v>
      </c>
      <c r="R341" s="92">
        <f t="shared" si="65"/>
        <v>1.1137000000000001</v>
      </c>
      <c r="S341" s="121"/>
      <c r="T341" s="93">
        <f>G341-N341-Q341-R341</f>
        <v>3.9999999999928981E-4</v>
      </c>
      <c r="U341" s="122"/>
      <c r="V341" s="94">
        <f t="shared" ca="1" si="67"/>
        <v>21.464444791665301</v>
      </c>
      <c r="W341" s="89">
        <f t="shared" si="68"/>
        <v>4.3478260869488018E-4</v>
      </c>
    </row>
    <row r="342" spans="1:23" ht="18">
      <c r="A342" s="115"/>
      <c r="B342" s="66" t="s">
        <v>505</v>
      </c>
      <c r="C342" s="130" t="s">
        <v>55</v>
      </c>
      <c r="D342" s="131" t="s">
        <v>665</v>
      </c>
      <c r="E342" s="245">
        <v>231</v>
      </c>
      <c r="F342" s="97">
        <v>44959</v>
      </c>
      <c r="G342" s="252">
        <v>31.91</v>
      </c>
      <c r="H342" s="134">
        <v>1635387.5</v>
      </c>
      <c r="I342" s="106">
        <f t="shared" si="63"/>
        <v>51250</v>
      </c>
      <c r="J342" s="122"/>
      <c r="K342" s="253" t="s">
        <v>817</v>
      </c>
      <c r="L342" s="166">
        <f t="shared" si="59"/>
        <v>231</v>
      </c>
      <c r="M342" s="119" t="s">
        <v>816</v>
      </c>
      <c r="N342" s="115">
        <f>24.554+4.803</f>
        <v>29.356999999999999</v>
      </c>
      <c r="O342" s="122"/>
      <c r="P342" s="92">
        <f t="shared" si="62"/>
        <v>29.357200000000002</v>
      </c>
      <c r="Q342" s="113">
        <f t="shared" si="64"/>
        <v>1.4359500000000001</v>
      </c>
      <c r="R342" s="92">
        <f t="shared" si="65"/>
        <v>1.1168500000000001</v>
      </c>
      <c r="S342" s="121"/>
      <c r="T342" s="93">
        <f t="shared" si="66"/>
        <v>2.0000000000064411E-4</v>
      </c>
      <c r="U342" s="122"/>
      <c r="V342" s="94">
        <f t="shared" ca="1" si="67"/>
        <v>21.464444791665301</v>
      </c>
      <c r="W342" s="89">
        <f t="shared" si="68"/>
        <v>2.1739130434852622E-4</v>
      </c>
    </row>
    <row r="343" spans="1:23" ht="18">
      <c r="A343" s="115"/>
      <c r="B343" s="66" t="s">
        <v>505</v>
      </c>
      <c r="C343" s="130" t="s">
        <v>55</v>
      </c>
      <c r="D343" s="131" t="s">
        <v>665</v>
      </c>
      <c r="E343" s="245">
        <v>232</v>
      </c>
      <c r="F343" s="97">
        <v>44959</v>
      </c>
      <c r="G343" s="252">
        <v>31.94</v>
      </c>
      <c r="H343" s="134">
        <v>1636925</v>
      </c>
      <c r="I343" s="106">
        <f t="shared" si="63"/>
        <v>51250</v>
      </c>
      <c r="J343" s="122"/>
      <c r="K343" s="253" t="s">
        <v>819</v>
      </c>
      <c r="L343" s="166">
        <f t="shared" si="59"/>
        <v>232</v>
      </c>
      <c r="M343" s="119" t="s">
        <v>820</v>
      </c>
      <c r="N343" s="115">
        <f>4.182+25.203</f>
        <v>29.384999999999998</v>
      </c>
      <c r="O343" s="122"/>
      <c r="P343" s="92">
        <f t="shared" si="62"/>
        <v>29.384800000000002</v>
      </c>
      <c r="Q343" s="113">
        <f t="shared" si="64"/>
        <v>1.4373</v>
      </c>
      <c r="R343" s="92">
        <f t="shared" si="65"/>
        <v>1.1179000000000001</v>
      </c>
      <c r="S343" s="121"/>
      <c r="T343" s="93">
        <f t="shared" si="66"/>
        <v>-1.9999999999686935E-4</v>
      </c>
      <c r="U343" s="122"/>
      <c r="V343" s="94">
        <f t="shared" ca="1" si="67"/>
        <v>21.464444791665301</v>
      </c>
      <c r="W343" s="89">
        <f t="shared" si="68"/>
        <v>-2.1739130434442322E-4</v>
      </c>
    </row>
    <row r="344" spans="1:23" ht="18">
      <c r="A344" s="115"/>
      <c r="B344" s="66" t="s">
        <v>505</v>
      </c>
      <c r="C344" s="130" t="s">
        <v>55</v>
      </c>
      <c r="D344" s="131" t="s">
        <v>665</v>
      </c>
      <c r="E344" s="245">
        <v>233</v>
      </c>
      <c r="F344" s="97">
        <v>44959</v>
      </c>
      <c r="G344" s="252">
        <v>31.81</v>
      </c>
      <c r="H344" s="134">
        <v>1630262.5</v>
      </c>
      <c r="I344" s="106">
        <f t="shared" si="63"/>
        <v>51250</v>
      </c>
      <c r="J344" s="122"/>
      <c r="K344" s="253" t="s">
        <v>825</v>
      </c>
      <c r="L344" s="166">
        <f>E344</f>
        <v>233</v>
      </c>
      <c r="M344" s="119" t="s">
        <v>823</v>
      </c>
      <c r="N344" s="115">
        <f>7.232+22.033</f>
        <v>29.265000000000001</v>
      </c>
      <c r="O344" s="122"/>
      <c r="P344" s="92">
        <f t="shared" si="62"/>
        <v>29.2652</v>
      </c>
      <c r="Q344" s="113">
        <f t="shared" si="64"/>
        <v>1.4314499999999999</v>
      </c>
      <c r="R344" s="92">
        <f t="shared" si="65"/>
        <v>1.1133500000000001</v>
      </c>
      <c r="S344" s="121"/>
      <c r="T344" s="93">
        <f t="shared" si="66"/>
        <v>1.9999999999820162E-4</v>
      </c>
      <c r="U344" s="122"/>
      <c r="V344" s="94">
        <f t="shared" ca="1" si="67"/>
        <v>21.464444791665301</v>
      </c>
      <c r="W344" s="89">
        <f t="shared" si="68"/>
        <v>2.1739130434587133E-4</v>
      </c>
    </row>
    <row r="345" spans="1:23" ht="18">
      <c r="A345" s="115"/>
      <c r="B345" s="66" t="s">
        <v>505</v>
      </c>
      <c r="C345" s="130" t="s">
        <v>55</v>
      </c>
      <c r="D345" s="131" t="s">
        <v>665</v>
      </c>
      <c r="E345" s="245">
        <v>234</v>
      </c>
      <c r="F345" s="97">
        <v>44959</v>
      </c>
      <c r="G345" s="252">
        <v>31.86</v>
      </c>
      <c r="H345" s="134">
        <v>1632825</v>
      </c>
      <c r="I345" s="106">
        <f t="shared" si="63"/>
        <v>51250</v>
      </c>
      <c r="J345" s="122"/>
      <c r="K345" s="253" t="s">
        <v>826</v>
      </c>
      <c r="L345" s="166">
        <f t="shared" si="59"/>
        <v>234</v>
      </c>
      <c r="M345" s="119" t="s">
        <v>827</v>
      </c>
      <c r="N345" s="115">
        <f>11.528+17.783</f>
        <v>29.311</v>
      </c>
      <c r="O345" s="122"/>
      <c r="P345" s="92">
        <f t="shared" si="62"/>
        <v>29.311199999999999</v>
      </c>
      <c r="Q345" s="113">
        <f t="shared" si="64"/>
        <v>1.4337</v>
      </c>
      <c r="R345" s="92">
        <f>G345*3.5%</f>
        <v>1.1151</v>
      </c>
      <c r="S345" s="121"/>
      <c r="T345" s="93">
        <f>G345-N345-Q345-R345</f>
        <v>1.9999999999953388E-4</v>
      </c>
      <c r="U345" s="122"/>
      <c r="V345" s="94">
        <f t="shared" ca="1" si="67"/>
        <v>21.464444791665301</v>
      </c>
      <c r="W345" s="89">
        <f t="shared" si="68"/>
        <v>2.1739130434731945E-4</v>
      </c>
    </row>
    <row r="346" spans="1:23" ht="18">
      <c r="A346" s="115"/>
      <c r="B346" s="66" t="s">
        <v>505</v>
      </c>
      <c r="C346" s="130" t="s">
        <v>55</v>
      </c>
      <c r="D346" s="131" t="s">
        <v>665</v>
      </c>
      <c r="E346" s="245">
        <v>235</v>
      </c>
      <c r="F346" s="97">
        <v>44959</v>
      </c>
      <c r="G346" s="252">
        <v>31.95</v>
      </c>
      <c r="H346" s="134">
        <v>1637437.5</v>
      </c>
      <c r="I346" s="106">
        <f t="shared" si="63"/>
        <v>51250</v>
      </c>
      <c r="J346" s="122"/>
      <c r="K346" s="253" t="s">
        <v>828</v>
      </c>
      <c r="L346" s="166">
        <f t="shared" si="59"/>
        <v>235</v>
      </c>
      <c r="M346" s="119" t="s">
        <v>829</v>
      </c>
      <c r="N346" s="115">
        <f>24.322+5.072</f>
        <v>29.393999999999998</v>
      </c>
      <c r="O346" s="122"/>
      <c r="P346" s="92">
        <f t="shared" si="62"/>
        <v>29.394000000000002</v>
      </c>
      <c r="Q346" s="113">
        <f t="shared" si="64"/>
        <v>1.4377499999999999</v>
      </c>
      <c r="R346" s="92">
        <f t="shared" si="65"/>
        <v>1.1182500000000002</v>
      </c>
      <c r="S346" s="121"/>
      <c r="T346" s="93">
        <f t="shared" si="66"/>
        <v>0</v>
      </c>
      <c r="U346" s="122"/>
      <c r="V346" s="94">
        <f t="shared" ca="1" si="67"/>
        <v>21.464444791665301</v>
      </c>
      <c r="W346" s="89">
        <f t="shared" si="68"/>
        <v>0</v>
      </c>
    </row>
    <row r="347" spans="1:23" ht="18">
      <c r="A347" s="115"/>
      <c r="B347" s="66" t="s">
        <v>505</v>
      </c>
      <c r="C347" s="130" t="s">
        <v>55</v>
      </c>
      <c r="D347" s="131" t="s">
        <v>665</v>
      </c>
      <c r="E347" s="245">
        <v>236</v>
      </c>
      <c r="F347" s="97">
        <v>44959</v>
      </c>
      <c r="G347" s="252">
        <v>14.89</v>
      </c>
      <c r="H347" s="134">
        <v>763112.5</v>
      </c>
      <c r="I347" s="106">
        <f t="shared" si="63"/>
        <v>51250</v>
      </c>
      <c r="J347" s="122"/>
      <c r="K347" s="253" t="s">
        <v>830</v>
      </c>
      <c r="L347" s="166">
        <f t="shared" si="59"/>
        <v>236</v>
      </c>
      <c r="M347" s="119" t="s">
        <v>829</v>
      </c>
      <c r="N347" s="115">
        <f>10.047+3.652</f>
        <v>13.699000000000002</v>
      </c>
      <c r="O347" s="122"/>
      <c r="P347" s="92">
        <f t="shared" si="62"/>
        <v>13.6988</v>
      </c>
      <c r="Q347" s="113">
        <f t="shared" si="64"/>
        <v>0.67005000000000003</v>
      </c>
      <c r="R347" s="92">
        <f t="shared" si="65"/>
        <v>0.52115000000000011</v>
      </c>
      <c r="S347" s="121"/>
      <c r="T347" s="93">
        <f>G347-N347-Q347-R347</f>
        <v>-2.0000000000119922E-4</v>
      </c>
      <c r="U347" s="122"/>
      <c r="V347" s="94">
        <f t="shared" ca="1" si="67"/>
        <v>21.464444791665301</v>
      </c>
      <c r="W347" s="89">
        <f t="shared" si="68"/>
        <v>-2.1739130434912958E-4</v>
      </c>
    </row>
    <row r="348" spans="1:23" ht="18">
      <c r="A348" s="115"/>
      <c r="B348" s="66" t="s">
        <v>505</v>
      </c>
      <c r="C348" s="130" t="s">
        <v>55</v>
      </c>
      <c r="D348" s="131" t="s">
        <v>759</v>
      </c>
      <c r="E348" s="245">
        <v>237</v>
      </c>
      <c r="F348" s="97">
        <v>44959</v>
      </c>
      <c r="G348" s="252">
        <v>11.38</v>
      </c>
      <c r="H348" s="134">
        <v>583225</v>
      </c>
      <c r="I348" s="106">
        <f t="shared" si="63"/>
        <v>51250</v>
      </c>
      <c r="J348" s="122"/>
      <c r="K348" s="253">
        <v>691</v>
      </c>
      <c r="L348" s="166">
        <f t="shared" si="59"/>
        <v>237</v>
      </c>
      <c r="M348" s="119" t="s">
        <v>824</v>
      </c>
      <c r="N348" s="115">
        <v>10.47</v>
      </c>
      <c r="O348" s="122"/>
      <c r="P348" s="92">
        <f t="shared" si="62"/>
        <v>10.469600000000002</v>
      </c>
      <c r="Q348" s="113">
        <f t="shared" si="64"/>
        <v>0.5121</v>
      </c>
      <c r="R348" s="92">
        <f t="shared" si="65"/>
        <v>0.39830000000000004</v>
      </c>
      <c r="S348" s="121"/>
      <c r="T348" s="93">
        <f t="shared" si="66"/>
        <v>-3.9999999999990044E-4</v>
      </c>
      <c r="U348" s="122"/>
      <c r="V348" s="94">
        <f t="shared" ca="1" si="67"/>
        <v>21.464444791665301</v>
      </c>
      <c r="W348" s="89">
        <f t="shared" si="68"/>
        <v>-4.3478260869554399E-4</v>
      </c>
    </row>
    <row r="349" spans="1:23" ht="18">
      <c r="A349" s="115"/>
      <c r="B349" s="66" t="s">
        <v>505</v>
      </c>
      <c r="C349" s="175" t="s">
        <v>55</v>
      </c>
      <c r="D349" s="131" t="s">
        <v>761</v>
      </c>
      <c r="E349" s="245">
        <v>238</v>
      </c>
      <c r="F349" s="97">
        <v>44959</v>
      </c>
      <c r="G349" s="252">
        <v>29.3</v>
      </c>
      <c r="H349" s="134">
        <v>1486975</v>
      </c>
      <c r="I349" s="106">
        <f t="shared" si="63"/>
        <v>50750</v>
      </c>
      <c r="J349" s="122"/>
      <c r="K349" s="253" t="s">
        <v>831</v>
      </c>
      <c r="L349" s="166">
        <f t="shared" si="59"/>
        <v>238</v>
      </c>
      <c r="M349" s="119" t="s">
        <v>829</v>
      </c>
      <c r="N349" s="115">
        <f>10.408+16.548</f>
        <v>26.955999999999996</v>
      </c>
      <c r="O349" s="122"/>
      <c r="P349" s="92">
        <f t="shared" si="62"/>
        <v>26.956000000000003</v>
      </c>
      <c r="Q349" s="113">
        <f t="shared" si="64"/>
        <v>1.3185</v>
      </c>
      <c r="R349" s="92">
        <f t="shared" si="65"/>
        <v>1.0255000000000001</v>
      </c>
      <c r="S349" s="121"/>
      <c r="T349" s="93">
        <f>G349-N349-Q349-R349</f>
        <v>4.6629367034256575E-15</v>
      </c>
      <c r="U349" s="122"/>
      <c r="V349" s="94">
        <f t="shared" ca="1" si="67"/>
        <v>21.464444791665301</v>
      </c>
      <c r="W349" s="89">
        <f t="shared" si="68"/>
        <v>5.0684094602452797E-15</v>
      </c>
    </row>
    <row r="350" spans="1:23" ht="18">
      <c r="A350" s="115"/>
      <c r="B350" s="66" t="s">
        <v>505</v>
      </c>
      <c r="C350" s="175" t="s">
        <v>506</v>
      </c>
      <c r="D350" s="131" t="s">
        <v>760</v>
      </c>
      <c r="E350" s="245">
        <v>239</v>
      </c>
      <c r="F350" s="97">
        <v>44959</v>
      </c>
      <c r="G350" s="252">
        <v>19.07</v>
      </c>
      <c r="H350" s="134">
        <v>977337.5</v>
      </c>
      <c r="I350" s="106">
        <f t="shared" si="63"/>
        <v>51250</v>
      </c>
      <c r="J350" s="122"/>
      <c r="K350" s="253" t="s">
        <v>838</v>
      </c>
      <c r="L350" s="166">
        <f t="shared" si="59"/>
        <v>239</v>
      </c>
      <c r="M350" s="119" t="s">
        <v>839</v>
      </c>
      <c r="N350" s="115">
        <f>15.6+1.944</f>
        <v>17.544</v>
      </c>
      <c r="O350" s="122"/>
      <c r="P350" s="92">
        <f t="shared" si="62"/>
        <v>17.5444</v>
      </c>
      <c r="Q350" s="113">
        <f t="shared" si="64"/>
        <v>0.85814999999999997</v>
      </c>
      <c r="R350" s="92">
        <f t="shared" si="65"/>
        <v>0.6674500000000001</v>
      </c>
      <c r="S350" s="121"/>
      <c r="T350" s="93">
        <f t="shared" si="66"/>
        <v>3.999999999997339E-4</v>
      </c>
      <c r="U350" s="122"/>
      <c r="V350" s="94">
        <f t="shared" ca="1" si="67"/>
        <v>21.464444791665301</v>
      </c>
      <c r="W350" s="89">
        <f t="shared" si="68"/>
        <v>4.3478260869536292E-4</v>
      </c>
    </row>
    <row r="351" spans="1:23" ht="18">
      <c r="A351" s="115"/>
      <c r="B351" s="66" t="s">
        <v>505</v>
      </c>
      <c r="C351" s="175" t="s">
        <v>506</v>
      </c>
      <c r="D351" s="131" t="s">
        <v>760</v>
      </c>
      <c r="E351" s="245">
        <v>240</v>
      </c>
      <c r="F351" s="97">
        <v>44959</v>
      </c>
      <c r="G351" s="252">
        <v>34.119999999999997</v>
      </c>
      <c r="H351" s="134">
        <v>1748649.9999999998</v>
      </c>
      <c r="I351" s="106">
        <f t="shared" si="63"/>
        <v>51250</v>
      </c>
      <c r="J351" s="122"/>
      <c r="K351" s="253" t="s">
        <v>832</v>
      </c>
      <c r="L351" s="166">
        <f t="shared" si="59"/>
        <v>240</v>
      </c>
      <c r="M351" s="119" t="s">
        <v>833</v>
      </c>
      <c r="N351" s="115">
        <f>24.162+7.228</f>
        <v>31.39</v>
      </c>
      <c r="O351" s="122"/>
      <c r="P351" s="92">
        <f t="shared" si="62"/>
        <v>31.3904</v>
      </c>
      <c r="Q351" s="113">
        <f t="shared" si="64"/>
        <v>1.5353999999999999</v>
      </c>
      <c r="R351" s="92">
        <f t="shared" si="65"/>
        <v>1.1941999999999999</v>
      </c>
      <c r="S351" s="121"/>
      <c r="T351" s="93">
        <f t="shared" si="66"/>
        <v>3.9999999999706937E-4</v>
      </c>
      <c r="U351" s="122"/>
      <c r="V351" s="94">
        <f t="shared" ca="1" si="67"/>
        <v>21.464444791665301</v>
      </c>
      <c r="W351" s="89">
        <f t="shared" si="68"/>
        <v>4.3478260869246675E-4</v>
      </c>
    </row>
    <row r="352" spans="1:23" ht="18">
      <c r="A352" s="115"/>
      <c r="B352" s="66" t="s">
        <v>505</v>
      </c>
      <c r="C352" s="175" t="s">
        <v>506</v>
      </c>
      <c r="D352" s="131" t="s">
        <v>760</v>
      </c>
      <c r="E352" s="245">
        <v>241</v>
      </c>
      <c r="F352" s="97">
        <v>44959</v>
      </c>
      <c r="G352" s="252">
        <v>33.950000000000003</v>
      </c>
      <c r="H352" s="134">
        <v>1739937.5000000002</v>
      </c>
      <c r="I352" s="106">
        <f t="shared" si="63"/>
        <v>51250</v>
      </c>
      <c r="J352" s="122"/>
      <c r="K352" s="253" t="s">
        <v>835</v>
      </c>
      <c r="L352" s="166">
        <f t="shared" si="59"/>
        <v>241</v>
      </c>
      <c r="M352" s="119" t="s">
        <v>834</v>
      </c>
      <c r="N352" s="115">
        <f>17.556+13.678</f>
        <v>31.234000000000002</v>
      </c>
      <c r="O352" s="122"/>
      <c r="P352" s="92">
        <f t="shared" si="62"/>
        <v>31.234000000000005</v>
      </c>
      <c r="Q352" s="113">
        <f t="shared" si="64"/>
        <v>1.5277500000000002</v>
      </c>
      <c r="R352" s="92">
        <f t="shared" si="65"/>
        <v>1.1882500000000003</v>
      </c>
      <c r="S352" s="121"/>
      <c r="T352" s="93">
        <f t="shared" si="66"/>
        <v>0</v>
      </c>
      <c r="U352" s="122"/>
      <c r="V352" s="94">
        <f t="shared" ca="1" si="67"/>
        <v>21.464444791665301</v>
      </c>
      <c r="W352" s="89">
        <f t="shared" si="68"/>
        <v>0</v>
      </c>
    </row>
    <row r="353" spans="1:23" ht="18">
      <c r="A353" s="115"/>
      <c r="B353" s="66" t="s">
        <v>505</v>
      </c>
      <c r="C353" s="175" t="s">
        <v>506</v>
      </c>
      <c r="D353" s="131" t="s">
        <v>760</v>
      </c>
      <c r="E353" s="245">
        <v>242</v>
      </c>
      <c r="F353" s="97">
        <v>44959</v>
      </c>
      <c r="G353" s="252">
        <v>33.53</v>
      </c>
      <c r="H353" s="134">
        <v>1718412.5</v>
      </c>
      <c r="I353" s="106">
        <f t="shared" si="63"/>
        <v>51250</v>
      </c>
      <c r="J353" s="122"/>
      <c r="K353" s="253" t="s">
        <v>836</v>
      </c>
      <c r="L353" s="166">
        <f t="shared" si="59"/>
        <v>242</v>
      </c>
      <c r="M353" s="119" t="s">
        <v>834</v>
      </c>
      <c r="N353" s="115">
        <f>18.377+12.471</f>
        <v>30.847999999999999</v>
      </c>
      <c r="O353" s="122"/>
      <c r="P353" s="92">
        <f t="shared" si="62"/>
        <v>30.847600000000003</v>
      </c>
      <c r="Q353" s="113">
        <f t="shared" si="64"/>
        <v>1.50885</v>
      </c>
      <c r="R353" s="92">
        <f t="shared" si="65"/>
        <v>1.1735500000000001</v>
      </c>
      <c r="S353" s="121"/>
      <c r="T353" s="93">
        <f t="shared" si="66"/>
        <v>-3.9999999999795754E-4</v>
      </c>
      <c r="U353" s="122"/>
      <c r="V353" s="94">
        <f t="shared" ca="1" si="67"/>
        <v>21.464444791665301</v>
      </c>
      <c r="W353" s="89">
        <f t="shared" si="68"/>
        <v>-4.3478260869343212E-4</v>
      </c>
    </row>
    <row r="354" spans="1:23" ht="18">
      <c r="A354" s="115"/>
      <c r="B354" s="66" t="s">
        <v>505</v>
      </c>
      <c r="C354" s="175" t="s">
        <v>506</v>
      </c>
      <c r="D354" s="131" t="s">
        <v>760</v>
      </c>
      <c r="E354" s="245">
        <v>243</v>
      </c>
      <c r="F354" s="97">
        <v>44959</v>
      </c>
      <c r="G354" s="252">
        <v>31.19</v>
      </c>
      <c r="H354" s="134">
        <v>1598487.5</v>
      </c>
      <c r="I354" s="106">
        <f t="shared" si="63"/>
        <v>51250</v>
      </c>
      <c r="J354" s="122"/>
      <c r="K354" s="253" t="s">
        <v>837</v>
      </c>
      <c r="L354" s="166">
        <f t="shared" si="59"/>
        <v>243</v>
      </c>
      <c r="M354" s="119" t="s">
        <v>834</v>
      </c>
      <c r="N354" s="115">
        <f>20.105+8.59</f>
        <v>28.695</v>
      </c>
      <c r="O354" s="122"/>
      <c r="P354" s="92">
        <f t="shared" si="62"/>
        <v>28.694800000000001</v>
      </c>
      <c r="Q354" s="113">
        <f t="shared" si="64"/>
        <v>1.4035500000000001</v>
      </c>
      <c r="R354" s="92">
        <f t="shared" si="65"/>
        <v>1.0916500000000002</v>
      </c>
      <c r="S354" s="121"/>
      <c r="T354" s="93">
        <f t="shared" si="66"/>
        <v>-1.9999999999931184E-4</v>
      </c>
      <c r="U354" s="122"/>
      <c r="V354" s="94">
        <f t="shared" ca="1" si="67"/>
        <v>21.464444791665301</v>
      </c>
      <c r="W354" s="89">
        <f t="shared" si="68"/>
        <v>-2.173913043470781E-4</v>
      </c>
    </row>
    <row r="355" spans="1:23" ht="18">
      <c r="A355" s="115"/>
      <c r="B355" s="66" t="s">
        <v>505</v>
      </c>
      <c r="C355" s="175" t="s">
        <v>506</v>
      </c>
      <c r="D355" s="131" t="s">
        <v>760</v>
      </c>
      <c r="E355" s="245">
        <v>244</v>
      </c>
      <c r="F355" s="97">
        <v>44959</v>
      </c>
      <c r="G355" s="252">
        <v>30.46</v>
      </c>
      <c r="H355" s="134">
        <v>1561075</v>
      </c>
      <c r="I355" s="106">
        <f t="shared" si="63"/>
        <v>51250</v>
      </c>
      <c r="J355" s="122"/>
      <c r="K355" s="253" t="s">
        <v>840</v>
      </c>
      <c r="L355" s="166">
        <f t="shared" si="59"/>
        <v>244</v>
      </c>
      <c r="M355" s="119" t="s">
        <v>841</v>
      </c>
      <c r="N355" s="115">
        <f>15.848+12.175</f>
        <v>28.023000000000003</v>
      </c>
      <c r="O355" s="122"/>
      <c r="P355" s="92">
        <f t="shared" si="62"/>
        <v>28.023200000000003</v>
      </c>
      <c r="Q355" s="113">
        <f t="shared" si="64"/>
        <v>1.3707</v>
      </c>
      <c r="R355" s="92">
        <f t="shared" si="65"/>
        <v>1.0661</v>
      </c>
      <c r="S355" s="121"/>
      <c r="T355" s="93">
        <f t="shared" si="66"/>
        <v>1.9999999999753548E-4</v>
      </c>
      <c r="U355" s="122"/>
      <c r="V355" s="94">
        <f t="shared" ca="1" si="67"/>
        <v>21.464444791665301</v>
      </c>
      <c r="W355" s="89">
        <f t="shared" si="68"/>
        <v>2.1739130434514725E-4</v>
      </c>
    </row>
    <row r="356" spans="1:23" ht="18">
      <c r="A356" s="115"/>
      <c r="B356" s="66" t="s">
        <v>505</v>
      </c>
      <c r="C356" s="175" t="s">
        <v>506</v>
      </c>
      <c r="D356" s="131" t="s">
        <v>760</v>
      </c>
      <c r="E356" s="245">
        <v>245</v>
      </c>
      <c r="F356" s="97">
        <v>44959</v>
      </c>
      <c r="G356" s="252">
        <v>30.39</v>
      </c>
      <c r="H356" s="134">
        <v>1557487.5</v>
      </c>
      <c r="I356" s="106">
        <f t="shared" si="63"/>
        <v>51250</v>
      </c>
      <c r="J356" s="122"/>
      <c r="K356" s="253" t="s">
        <v>842</v>
      </c>
      <c r="L356" s="166">
        <f t="shared" si="59"/>
        <v>245</v>
      </c>
      <c r="M356" s="119" t="s">
        <v>843</v>
      </c>
      <c r="N356" s="115">
        <f>17.828+10.131</f>
        <v>27.959</v>
      </c>
      <c r="O356" s="122"/>
      <c r="P356" s="92">
        <f t="shared" si="62"/>
        <v>27.9588</v>
      </c>
      <c r="Q356" s="113">
        <f t="shared" si="64"/>
        <v>1.36755</v>
      </c>
      <c r="R356" s="92">
        <f t="shared" si="65"/>
        <v>1.0636500000000002</v>
      </c>
      <c r="S356" s="121"/>
      <c r="T356" s="93">
        <f t="shared" si="66"/>
        <v>-1.9999999999931184E-4</v>
      </c>
      <c r="U356" s="122"/>
      <c r="V356" s="94">
        <f t="shared" ca="1" si="67"/>
        <v>21.464444791665301</v>
      </c>
      <c r="W356" s="89">
        <f t="shared" si="68"/>
        <v>-2.173913043470781E-4</v>
      </c>
    </row>
    <row r="357" spans="1:23" ht="18">
      <c r="A357" s="115"/>
      <c r="B357" s="66" t="s">
        <v>505</v>
      </c>
      <c r="C357" s="175" t="s">
        <v>506</v>
      </c>
      <c r="D357" s="131" t="s">
        <v>760</v>
      </c>
      <c r="E357" s="245">
        <v>246</v>
      </c>
      <c r="F357" s="97">
        <v>44959</v>
      </c>
      <c r="G357" s="252">
        <v>30.45</v>
      </c>
      <c r="H357" s="134">
        <v>1560562.5</v>
      </c>
      <c r="I357" s="106">
        <f t="shared" si="63"/>
        <v>51250</v>
      </c>
      <c r="J357" s="122"/>
      <c r="K357" s="253" t="s">
        <v>844</v>
      </c>
      <c r="L357" s="166">
        <f t="shared" si="59"/>
        <v>246</v>
      </c>
      <c r="M357" s="119" t="s">
        <v>843</v>
      </c>
      <c r="N357" s="115">
        <f>24.618+3.396</f>
        <v>28.013999999999999</v>
      </c>
      <c r="O357" s="122"/>
      <c r="P357" s="92">
        <f t="shared" si="62"/>
        <v>28.013999999999999</v>
      </c>
      <c r="Q357" s="113">
        <f t="shared" si="64"/>
        <v>1.37025</v>
      </c>
      <c r="R357" s="92">
        <f t="shared" si="65"/>
        <v>1.06575</v>
      </c>
      <c r="S357" s="121"/>
      <c r="T357" s="93">
        <f t="shared" si="66"/>
        <v>0</v>
      </c>
      <c r="U357" s="122"/>
      <c r="V357" s="94">
        <f t="shared" ca="1" si="67"/>
        <v>21.464444791665301</v>
      </c>
      <c r="W357" s="89">
        <f t="shared" si="68"/>
        <v>0</v>
      </c>
    </row>
    <row r="358" spans="1:23" ht="18">
      <c r="A358" s="115"/>
      <c r="B358" s="66" t="s">
        <v>505</v>
      </c>
      <c r="C358" s="175" t="s">
        <v>506</v>
      </c>
      <c r="D358" s="131" t="s">
        <v>760</v>
      </c>
      <c r="E358" s="245">
        <v>247</v>
      </c>
      <c r="F358" s="97">
        <v>44959</v>
      </c>
      <c r="G358" s="252">
        <v>30.02</v>
      </c>
      <c r="H358" s="134">
        <v>1538525</v>
      </c>
      <c r="I358" s="106">
        <f t="shared" si="63"/>
        <v>51250</v>
      </c>
      <c r="J358" s="122"/>
      <c r="K358" s="157" t="s">
        <v>846</v>
      </c>
      <c r="L358" s="166">
        <f t="shared" si="59"/>
        <v>247</v>
      </c>
      <c r="M358" s="119" t="s">
        <v>847</v>
      </c>
      <c r="N358" s="115">
        <f>20.239+7.379</f>
        <v>27.618000000000002</v>
      </c>
      <c r="O358" s="122"/>
      <c r="P358" s="92">
        <f t="shared" si="62"/>
        <v>27.618400000000001</v>
      </c>
      <c r="Q358" s="113">
        <f t="shared" si="64"/>
        <v>1.3509</v>
      </c>
      <c r="R358" s="92">
        <f t="shared" si="65"/>
        <v>1.0507000000000002</v>
      </c>
      <c r="S358" s="121"/>
      <c r="T358" s="93">
        <f t="shared" si="66"/>
        <v>3.9999999999729141E-4</v>
      </c>
      <c r="U358" s="122"/>
      <c r="V358" s="94">
        <f t="shared" ca="1" si="67"/>
        <v>21.464444791665301</v>
      </c>
      <c r="W358" s="89">
        <f t="shared" si="68"/>
        <v>4.3478260869270804E-4</v>
      </c>
    </row>
    <row r="359" spans="1:23" ht="18">
      <c r="A359" s="115"/>
      <c r="B359" s="66" t="s">
        <v>505</v>
      </c>
      <c r="C359" s="175" t="s">
        <v>506</v>
      </c>
      <c r="D359" s="131" t="s">
        <v>760</v>
      </c>
      <c r="E359" s="245">
        <v>248</v>
      </c>
      <c r="F359" s="97">
        <v>44959</v>
      </c>
      <c r="G359" s="252">
        <v>38.049999999999997</v>
      </c>
      <c r="H359" s="134">
        <v>1950062.4999999998</v>
      </c>
      <c r="I359" s="106">
        <f t="shared" si="63"/>
        <v>51250</v>
      </c>
      <c r="J359" s="122"/>
      <c r="K359" s="157" t="s">
        <v>848</v>
      </c>
      <c r="L359" s="166">
        <f>E359</f>
        <v>248</v>
      </c>
      <c r="M359" s="119" t="s">
        <v>843</v>
      </c>
      <c r="N359" s="115">
        <f>33.23+1.776</f>
        <v>35.006</v>
      </c>
      <c r="O359" s="122"/>
      <c r="P359" s="92">
        <f t="shared" si="62"/>
        <v>35.006</v>
      </c>
      <c r="Q359" s="113">
        <f t="shared" si="64"/>
        <v>1.7122499999999998</v>
      </c>
      <c r="R359" s="92">
        <f t="shared" si="65"/>
        <v>1.33175</v>
      </c>
      <c r="S359" s="121"/>
      <c r="T359" s="93">
        <f t="shared" si="66"/>
        <v>-2.886579864025407E-15</v>
      </c>
      <c r="U359" s="122"/>
      <c r="V359" s="94">
        <f t="shared" ca="1" si="67"/>
        <v>21.464444791665301</v>
      </c>
      <c r="W359" s="89">
        <f t="shared" si="68"/>
        <v>-3.1375868087232684E-15</v>
      </c>
    </row>
    <row r="360" spans="1:23" ht="18">
      <c r="A360" s="115"/>
      <c r="B360" s="66" t="s">
        <v>505</v>
      </c>
      <c r="C360" s="175" t="s">
        <v>506</v>
      </c>
      <c r="D360" s="131" t="s">
        <v>760</v>
      </c>
      <c r="E360" s="245">
        <v>249</v>
      </c>
      <c r="F360" s="97">
        <v>44959</v>
      </c>
      <c r="G360" s="252">
        <v>26.63</v>
      </c>
      <c r="H360" s="134">
        <v>1364787.5</v>
      </c>
      <c r="I360" s="106">
        <f t="shared" si="63"/>
        <v>51250</v>
      </c>
      <c r="J360" s="122"/>
      <c r="K360" s="157" t="s">
        <v>849</v>
      </c>
      <c r="L360" s="166">
        <f t="shared" si="59"/>
        <v>249</v>
      </c>
      <c r="M360" s="119" t="s">
        <v>847</v>
      </c>
      <c r="N360" s="115">
        <f>24.139+0.361</f>
        <v>24.5</v>
      </c>
      <c r="O360" s="122"/>
      <c r="P360" s="92">
        <f t="shared" si="62"/>
        <v>24.499600000000001</v>
      </c>
      <c r="Q360" s="113">
        <f t="shared" si="64"/>
        <v>1.1983499999999998</v>
      </c>
      <c r="R360" s="92">
        <f t="shared" si="65"/>
        <v>0.93205000000000005</v>
      </c>
      <c r="S360" s="121"/>
      <c r="T360" s="93">
        <f t="shared" si="66"/>
        <v>-4.0000000000084412E-4</v>
      </c>
      <c r="U360" s="122"/>
      <c r="V360" s="94">
        <f t="shared" ca="1" si="67"/>
        <v>21.464444791665301</v>
      </c>
      <c r="W360" s="89">
        <f t="shared" si="68"/>
        <v>-4.347826086965697E-4</v>
      </c>
    </row>
    <row r="361" spans="1:23" ht="18">
      <c r="A361" s="115"/>
      <c r="B361" s="66" t="s">
        <v>505</v>
      </c>
      <c r="C361" s="175" t="s">
        <v>506</v>
      </c>
      <c r="D361" s="131" t="s">
        <v>760</v>
      </c>
      <c r="E361" s="245">
        <v>250</v>
      </c>
      <c r="F361" s="97">
        <v>44959</v>
      </c>
      <c r="G361" s="252">
        <v>38.22</v>
      </c>
      <c r="H361" s="134">
        <v>1958775</v>
      </c>
      <c r="I361" s="106">
        <f t="shared" si="63"/>
        <v>51250</v>
      </c>
      <c r="J361" s="122"/>
      <c r="K361" s="157" t="s">
        <v>850</v>
      </c>
      <c r="L361" s="166">
        <f t="shared" si="59"/>
        <v>250</v>
      </c>
      <c r="M361" s="119" t="s">
        <v>843</v>
      </c>
      <c r="N361" s="115">
        <f>33.65+1.512</f>
        <v>35.161999999999999</v>
      </c>
      <c r="O361" s="122"/>
      <c r="P361" s="92">
        <f t="shared" si="62"/>
        <v>35.162399999999998</v>
      </c>
      <c r="Q361" s="113">
        <f t="shared" si="64"/>
        <v>1.7199</v>
      </c>
      <c r="R361" s="92">
        <f t="shared" si="65"/>
        <v>1.3377000000000001</v>
      </c>
      <c r="S361" s="121"/>
      <c r="T361" s="93">
        <f t="shared" si="66"/>
        <v>3.999999999997339E-4</v>
      </c>
      <c r="U361" s="122"/>
      <c r="V361" s="94">
        <f t="shared" ca="1" si="67"/>
        <v>21.464444791665301</v>
      </c>
      <c r="W361" s="89">
        <f t="shared" si="68"/>
        <v>4.3478260869536292E-4</v>
      </c>
    </row>
    <row r="362" spans="1:23" ht="18">
      <c r="A362" s="115"/>
      <c r="B362" s="66" t="s">
        <v>505</v>
      </c>
      <c r="C362" s="175" t="s">
        <v>506</v>
      </c>
      <c r="D362" s="131" t="s">
        <v>760</v>
      </c>
      <c r="E362" s="245">
        <v>251</v>
      </c>
      <c r="F362" s="97">
        <v>44959</v>
      </c>
      <c r="G362" s="252">
        <v>32.979999999999997</v>
      </c>
      <c r="H362" s="134">
        <v>1690224.9999999998</v>
      </c>
      <c r="I362" s="106">
        <f t="shared" si="63"/>
        <v>51250</v>
      </c>
      <c r="J362" s="122"/>
      <c r="K362" s="157">
        <v>719</v>
      </c>
      <c r="L362" s="166">
        <f t="shared" si="59"/>
        <v>251</v>
      </c>
      <c r="M362" s="119" t="s">
        <v>845</v>
      </c>
      <c r="N362" s="115">
        <v>30.341999999999999</v>
      </c>
      <c r="O362" s="122"/>
      <c r="P362" s="92">
        <f t="shared" si="62"/>
        <v>30.3416</v>
      </c>
      <c r="Q362" s="113">
        <f t="shared" si="64"/>
        <v>1.4840999999999998</v>
      </c>
      <c r="R362" s="92">
        <f t="shared" si="65"/>
        <v>1.1543000000000001</v>
      </c>
      <c r="S362" s="121"/>
      <c r="T362" s="93">
        <f t="shared" si="66"/>
        <v>-4.000000000017323E-4</v>
      </c>
      <c r="U362" s="122"/>
      <c r="V362" s="94">
        <f t="shared" ca="1" si="67"/>
        <v>21.464444791665301</v>
      </c>
      <c r="W362" s="89">
        <f t="shared" si="68"/>
        <v>-4.3478260869753512E-4</v>
      </c>
    </row>
    <row r="363" spans="1:23" ht="18">
      <c r="A363" s="115"/>
      <c r="B363" s="66" t="s">
        <v>505</v>
      </c>
      <c r="C363" s="175" t="s">
        <v>506</v>
      </c>
      <c r="D363" s="131" t="s">
        <v>760</v>
      </c>
      <c r="E363" s="245">
        <v>252</v>
      </c>
      <c r="F363" s="97">
        <v>44959</v>
      </c>
      <c r="G363" s="252">
        <v>38.04</v>
      </c>
      <c r="H363" s="134">
        <v>1949550</v>
      </c>
      <c r="I363" s="106">
        <f t="shared" si="63"/>
        <v>51250</v>
      </c>
      <c r="J363" s="122"/>
      <c r="K363" s="157" t="s">
        <v>1009</v>
      </c>
      <c r="L363" s="166">
        <f t="shared" si="59"/>
        <v>252</v>
      </c>
      <c r="M363" s="119" t="s">
        <v>1010</v>
      </c>
      <c r="N363" s="115">
        <f>32.458+2.449+0.09</f>
        <v>34.997</v>
      </c>
      <c r="O363" s="122"/>
      <c r="P363" s="92">
        <f t="shared" si="62"/>
        <v>34.9968</v>
      </c>
      <c r="Q363" s="113">
        <f t="shared" si="64"/>
        <v>1.7118</v>
      </c>
      <c r="R363" s="92">
        <f>G363*3.5%</f>
        <v>1.3314000000000001</v>
      </c>
      <c r="S363" s="121"/>
      <c r="T363" s="93">
        <f t="shared" si="66"/>
        <v>-2.0000000000086615E-4</v>
      </c>
      <c r="U363" s="122"/>
      <c r="V363" s="94">
        <f t="shared" ca="1" si="67"/>
        <v>21.464444791665301</v>
      </c>
      <c r="W363" s="89">
        <f t="shared" si="68"/>
        <v>-2.1739130434876756E-4</v>
      </c>
    </row>
    <row r="364" spans="1:23" ht="18">
      <c r="A364" s="115"/>
      <c r="B364" s="66" t="s">
        <v>505</v>
      </c>
      <c r="C364" s="175" t="s">
        <v>506</v>
      </c>
      <c r="D364" s="131" t="s">
        <v>760</v>
      </c>
      <c r="E364" s="245">
        <v>253</v>
      </c>
      <c r="F364" s="97">
        <v>44959</v>
      </c>
      <c r="G364" s="252">
        <v>34.26</v>
      </c>
      <c r="H364" s="134">
        <v>1755825</v>
      </c>
      <c r="I364" s="106">
        <f t="shared" si="63"/>
        <v>51250</v>
      </c>
      <c r="J364" s="122"/>
      <c r="K364" s="157" t="s">
        <v>854</v>
      </c>
      <c r="L364" s="166">
        <f t="shared" si="59"/>
        <v>253</v>
      </c>
      <c r="M364" s="119" t="s">
        <v>855</v>
      </c>
      <c r="N364" s="115">
        <f>30.829+0.69</f>
        <v>31.519000000000002</v>
      </c>
      <c r="O364" s="122"/>
      <c r="P364" s="92">
        <f t="shared" si="62"/>
        <v>31.519199999999998</v>
      </c>
      <c r="Q364" s="113">
        <f t="shared" si="64"/>
        <v>1.5416999999999998</v>
      </c>
      <c r="R364" s="92">
        <f t="shared" si="65"/>
        <v>1.1991000000000001</v>
      </c>
      <c r="S364" s="121"/>
      <c r="T364" s="93">
        <f t="shared" si="66"/>
        <v>1.9999999999620321E-4</v>
      </c>
      <c r="U364" s="122"/>
      <c r="V364" s="94">
        <f t="shared" ca="1" si="67"/>
        <v>21.464444791665301</v>
      </c>
      <c r="W364" s="89">
        <f t="shared" si="68"/>
        <v>2.1739130434369913E-4</v>
      </c>
    </row>
    <row r="365" spans="1:23" ht="18">
      <c r="A365" s="115"/>
      <c r="B365" s="66" t="s">
        <v>505</v>
      </c>
      <c r="C365" s="175" t="s">
        <v>506</v>
      </c>
      <c r="D365" s="131" t="s">
        <v>760</v>
      </c>
      <c r="E365" s="245">
        <v>254</v>
      </c>
      <c r="F365" s="97">
        <v>44959</v>
      </c>
      <c r="G365" s="252">
        <v>7.58</v>
      </c>
      <c r="H365" s="134">
        <v>388475</v>
      </c>
      <c r="I365" s="106">
        <f t="shared" si="63"/>
        <v>51250</v>
      </c>
      <c r="J365" s="122"/>
      <c r="K365" s="157" t="s">
        <v>856</v>
      </c>
      <c r="L365" s="166">
        <f t="shared" si="59"/>
        <v>254</v>
      </c>
      <c r="M365" s="119" t="s">
        <v>855</v>
      </c>
      <c r="N365" s="115">
        <f>3.297+3.677</f>
        <v>6.9740000000000002</v>
      </c>
      <c r="O365" s="122"/>
      <c r="P365" s="92">
        <f t="shared" si="62"/>
        <v>6.9736000000000002</v>
      </c>
      <c r="Q365" s="113">
        <f t="shared" si="64"/>
        <v>0.34110000000000001</v>
      </c>
      <c r="R365" s="92">
        <f t="shared" si="65"/>
        <v>0.26530000000000004</v>
      </c>
      <c r="S365" s="121"/>
      <c r="T365" s="93">
        <f t="shared" si="66"/>
        <v>-4.0000000000017799E-4</v>
      </c>
      <c r="U365" s="122"/>
      <c r="V365" s="94">
        <f t="shared" ca="1" si="67"/>
        <v>21.464444791665301</v>
      </c>
      <c r="W365" s="89">
        <f t="shared" si="68"/>
        <v>-4.3478260869584561E-4</v>
      </c>
    </row>
    <row r="366" spans="1:23" ht="18">
      <c r="A366" s="90"/>
      <c r="B366" s="90" t="s">
        <v>505</v>
      </c>
      <c r="C366" s="130" t="s">
        <v>55</v>
      </c>
      <c r="D366" s="131" t="s">
        <v>851</v>
      </c>
      <c r="E366" s="255">
        <v>255</v>
      </c>
      <c r="F366" s="97">
        <v>44980</v>
      </c>
      <c r="G366" s="252">
        <v>31.76</v>
      </c>
      <c r="H366" s="256">
        <v>1752834</v>
      </c>
      <c r="I366" s="106">
        <f t="shared" si="63"/>
        <v>55189.987405541557</v>
      </c>
      <c r="J366" s="122"/>
      <c r="K366" s="157">
        <v>730</v>
      </c>
      <c r="L366" s="166">
        <v>255</v>
      </c>
      <c r="M366" s="119" t="s">
        <v>858</v>
      </c>
      <c r="N366" s="115">
        <v>29.219000000000001</v>
      </c>
      <c r="O366" s="122"/>
      <c r="P366" s="92">
        <f t="shared" si="62"/>
        <v>29.219200000000004</v>
      </c>
      <c r="Q366" s="113">
        <f t="shared" si="64"/>
        <v>1.4292</v>
      </c>
      <c r="R366" s="92">
        <f t="shared" si="65"/>
        <v>1.1116000000000001</v>
      </c>
      <c r="S366" s="121"/>
      <c r="T366" s="93">
        <f t="shared" si="66"/>
        <v>2.0000000000020002E-4</v>
      </c>
      <c r="U366" s="122"/>
      <c r="V366" s="94">
        <f t="shared" ca="1" si="67"/>
        <v>42.464444791665301</v>
      </c>
      <c r="W366" s="89">
        <f t="shared" si="68"/>
        <v>2.173913043480435E-4</v>
      </c>
    </row>
    <row r="367" spans="1:23" ht="18">
      <c r="A367" s="115"/>
      <c r="B367" s="66" t="s">
        <v>505</v>
      </c>
      <c r="C367" s="175" t="s">
        <v>55</v>
      </c>
      <c r="D367" s="131" t="s">
        <v>851</v>
      </c>
      <c r="E367" s="245">
        <v>256</v>
      </c>
      <c r="F367" s="97">
        <v>44980</v>
      </c>
      <c r="G367" s="252">
        <v>42.35</v>
      </c>
      <c r="H367" s="134">
        <v>2337297</v>
      </c>
      <c r="I367" s="106">
        <f t="shared" si="52"/>
        <v>55190.011806375442</v>
      </c>
      <c r="J367" s="122"/>
      <c r="K367" s="157" t="s">
        <v>859</v>
      </c>
      <c r="L367" s="166">
        <f t="shared" si="59"/>
        <v>256</v>
      </c>
      <c r="M367" s="119" t="s">
        <v>860</v>
      </c>
      <c r="N367" s="115">
        <f>32.209+6.753</f>
        <v>38.962000000000003</v>
      </c>
      <c r="O367" s="122"/>
      <c r="P367" s="92">
        <f t="shared" si="53"/>
        <v>38.962000000000003</v>
      </c>
      <c r="Q367" s="113">
        <f t="shared" si="54"/>
        <v>1.9057500000000001</v>
      </c>
      <c r="R367" s="92">
        <f t="shared" si="55"/>
        <v>1.4822500000000003</v>
      </c>
      <c r="S367" s="121"/>
      <c r="T367" s="93">
        <f t="shared" si="56"/>
        <v>-2.2204460492503131E-15</v>
      </c>
      <c r="U367" s="122"/>
      <c r="V367" s="94">
        <f t="shared" ref="V367:V448" ca="1" si="69">360-($V$3-F367)</f>
        <v>42.464444791665301</v>
      </c>
      <c r="W367" s="89">
        <f t="shared" ref="W367:W448" si="70">T367/0.92%/100</f>
        <v>-2.4135283144025143E-15</v>
      </c>
    </row>
    <row r="368" spans="1:23" ht="18">
      <c r="A368" s="115"/>
      <c r="B368" s="66" t="s">
        <v>505</v>
      </c>
      <c r="C368" s="175" t="s">
        <v>55</v>
      </c>
      <c r="D368" s="131" t="s">
        <v>851</v>
      </c>
      <c r="E368" s="245">
        <v>257</v>
      </c>
      <c r="F368" s="97">
        <v>44980</v>
      </c>
      <c r="G368" s="252">
        <v>42.57</v>
      </c>
      <c r="H368" s="134">
        <v>2349438</v>
      </c>
      <c r="I368" s="106">
        <f t="shared" si="52"/>
        <v>55189.99295278365</v>
      </c>
      <c r="J368" s="122"/>
      <c r="K368" s="157" t="s">
        <v>862</v>
      </c>
      <c r="L368" s="166">
        <f t="shared" si="59"/>
        <v>257</v>
      </c>
      <c r="M368" s="119" t="s">
        <v>863</v>
      </c>
      <c r="N368" s="115">
        <f>4.002+32.199+2.963</f>
        <v>39.164000000000001</v>
      </c>
      <c r="O368" s="122"/>
      <c r="P368" s="92">
        <f t="shared" si="53"/>
        <v>39.164400000000001</v>
      </c>
      <c r="Q368" s="113">
        <f t="shared" si="54"/>
        <v>1.9156499999999999</v>
      </c>
      <c r="R368" s="92">
        <f t="shared" si="55"/>
        <v>1.4899500000000001</v>
      </c>
      <c r="S368" s="121"/>
      <c r="T368" s="93">
        <f t="shared" si="56"/>
        <v>3.9999999999884572E-4</v>
      </c>
      <c r="U368" s="122"/>
      <c r="V368" s="94">
        <f t="shared" ca="1" si="69"/>
        <v>42.464444791665301</v>
      </c>
      <c r="W368" s="89">
        <f t="shared" si="70"/>
        <v>4.3478260869439755E-4</v>
      </c>
    </row>
    <row r="369" spans="1:23" ht="18">
      <c r="A369" s="115"/>
      <c r="B369" s="66" t="s">
        <v>505</v>
      </c>
      <c r="C369" s="175" t="s">
        <v>55</v>
      </c>
      <c r="D369" s="131" t="s">
        <v>851</v>
      </c>
      <c r="E369" s="245">
        <v>258</v>
      </c>
      <c r="F369" s="97">
        <v>44980</v>
      </c>
      <c r="G369" s="252">
        <v>14.92</v>
      </c>
      <c r="H369" s="134">
        <v>823435</v>
      </c>
      <c r="I369" s="106">
        <f t="shared" si="52"/>
        <v>55190.013404825739</v>
      </c>
      <c r="J369" s="122"/>
      <c r="K369" s="157">
        <v>726</v>
      </c>
      <c r="L369" s="166">
        <f t="shared" si="59"/>
        <v>258</v>
      </c>
      <c r="M369" s="119" t="s">
        <v>852</v>
      </c>
      <c r="N369" s="115">
        <v>13.741</v>
      </c>
      <c r="O369" s="122"/>
      <c r="P369" s="92">
        <f>G369*0.92+0.015</f>
        <v>13.741400000000001</v>
      </c>
      <c r="Q369" s="113">
        <f>G369*4.5%-0.0075</f>
        <v>0.66390000000000005</v>
      </c>
      <c r="R369" s="92">
        <f>G369*3.5%-0.0075</f>
        <v>0.51470000000000005</v>
      </c>
      <c r="S369" s="121"/>
      <c r="T369" s="93">
        <f t="shared" si="56"/>
        <v>4.0000000000017799E-4</v>
      </c>
      <c r="U369" s="122"/>
      <c r="V369" s="94">
        <f t="shared" ca="1" si="69"/>
        <v>42.464444791665301</v>
      </c>
      <c r="W369" s="89">
        <f t="shared" si="70"/>
        <v>4.3478260869584561E-4</v>
      </c>
    </row>
    <row r="370" spans="1:23" ht="18">
      <c r="A370" s="115"/>
      <c r="B370" s="66" t="s">
        <v>505</v>
      </c>
      <c r="C370" s="175" t="s">
        <v>55</v>
      </c>
      <c r="D370" s="131" t="s">
        <v>851</v>
      </c>
      <c r="E370" s="245">
        <v>259</v>
      </c>
      <c r="F370" s="97">
        <v>44980</v>
      </c>
      <c r="G370" s="252">
        <v>16.989999999999998</v>
      </c>
      <c r="H370" s="134">
        <v>937678</v>
      </c>
      <c r="I370" s="106">
        <f t="shared" si="52"/>
        <v>55189.994114184818</v>
      </c>
      <c r="J370" s="122"/>
      <c r="K370" s="157">
        <v>727</v>
      </c>
      <c r="L370" s="166">
        <f t="shared" si="59"/>
        <v>259</v>
      </c>
      <c r="M370" s="119" t="s">
        <v>852</v>
      </c>
      <c r="N370" s="115">
        <v>15.647</v>
      </c>
      <c r="O370" s="122"/>
      <c r="P370" s="92">
        <f>G370*0.92+0.016</f>
        <v>15.646799999999999</v>
      </c>
      <c r="Q370" s="113">
        <f>G370*4.5%-0.008</f>
        <v>0.75654999999999994</v>
      </c>
      <c r="R370" s="92">
        <f>G370*3.5%-0.008</f>
        <v>0.58665</v>
      </c>
      <c r="S370" s="121"/>
      <c r="T370" s="93">
        <f t="shared" si="56"/>
        <v>-2.0000000000175433E-4</v>
      </c>
      <c r="U370" s="122"/>
      <c r="V370" s="94">
        <f t="shared" ca="1" si="69"/>
        <v>42.464444791665301</v>
      </c>
      <c r="W370" s="89">
        <f t="shared" si="70"/>
        <v>-2.1739130434973296E-4</v>
      </c>
    </row>
    <row r="371" spans="1:23" ht="18">
      <c r="A371" s="115"/>
      <c r="B371" s="66" t="s">
        <v>505</v>
      </c>
      <c r="C371" s="175" t="s">
        <v>55</v>
      </c>
      <c r="D371" s="131" t="s">
        <v>851</v>
      </c>
      <c r="E371" s="245">
        <v>260</v>
      </c>
      <c r="F371" s="97">
        <v>44980</v>
      </c>
      <c r="G371" s="252">
        <v>31.85</v>
      </c>
      <c r="H371" s="134">
        <v>1757802</v>
      </c>
      <c r="I371" s="106">
        <f t="shared" si="52"/>
        <v>55190.015698587122</v>
      </c>
      <c r="J371" s="122"/>
      <c r="K371" s="157" t="s">
        <v>857</v>
      </c>
      <c r="L371" s="166">
        <f t="shared" si="59"/>
        <v>260</v>
      </c>
      <c r="M371" s="119" t="s">
        <v>853</v>
      </c>
      <c r="N371" s="115">
        <f>25.083+4.219</f>
        <v>29.302</v>
      </c>
      <c r="O371" s="122"/>
      <c r="P371" s="92">
        <f t="shared" si="53"/>
        <v>29.302000000000003</v>
      </c>
      <c r="Q371" s="113">
        <f t="shared" si="54"/>
        <v>1.4332499999999999</v>
      </c>
      <c r="R371" s="92">
        <f t="shared" si="55"/>
        <v>1.1147500000000001</v>
      </c>
      <c r="S371" s="121"/>
      <c r="T371" s="93">
        <f t="shared" si="56"/>
        <v>1.7763568394002505E-15</v>
      </c>
      <c r="U371" s="122"/>
      <c r="V371" s="94">
        <f t="shared" ca="1" si="69"/>
        <v>42.464444791665301</v>
      </c>
      <c r="W371" s="89">
        <f t="shared" si="70"/>
        <v>1.9308226515220113E-15</v>
      </c>
    </row>
    <row r="372" spans="1:23" ht="18">
      <c r="A372" s="115"/>
      <c r="B372" s="66" t="s">
        <v>505</v>
      </c>
      <c r="C372" s="175" t="s">
        <v>55</v>
      </c>
      <c r="D372" s="131" t="s">
        <v>851</v>
      </c>
      <c r="E372" s="245">
        <v>261</v>
      </c>
      <c r="F372" s="97">
        <v>44980</v>
      </c>
      <c r="G372" s="252">
        <v>31.85</v>
      </c>
      <c r="H372" s="134">
        <v>1757801.5</v>
      </c>
      <c r="I372" s="106">
        <f t="shared" si="52"/>
        <v>55190</v>
      </c>
      <c r="J372" s="122"/>
      <c r="K372" s="157" t="s">
        <v>864</v>
      </c>
      <c r="L372" s="166">
        <f t="shared" si="59"/>
        <v>261</v>
      </c>
      <c r="M372" s="119" t="s">
        <v>865</v>
      </c>
      <c r="N372" s="115">
        <f>26.735+2.567</f>
        <v>29.302</v>
      </c>
      <c r="O372" s="122"/>
      <c r="P372" s="92">
        <f t="shared" si="53"/>
        <v>29.302000000000003</v>
      </c>
      <c r="Q372" s="113">
        <f t="shared" si="54"/>
        <v>1.4332499999999999</v>
      </c>
      <c r="R372" s="92">
        <f t="shared" si="55"/>
        <v>1.1147500000000001</v>
      </c>
      <c r="S372" s="121"/>
      <c r="T372" s="93">
        <f t="shared" si="56"/>
        <v>1.7763568394002505E-15</v>
      </c>
      <c r="U372" s="122"/>
      <c r="V372" s="94">
        <f t="shared" ca="1" si="69"/>
        <v>42.464444791665301</v>
      </c>
      <c r="W372" s="89">
        <f t="shared" si="70"/>
        <v>1.9308226515220113E-15</v>
      </c>
    </row>
    <row r="373" spans="1:23" ht="18">
      <c r="A373" s="115"/>
      <c r="B373" s="66" t="s">
        <v>505</v>
      </c>
      <c r="C373" s="175" t="s">
        <v>55</v>
      </c>
      <c r="D373" s="131" t="s">
        <v>851</v>
      </c>
      <c r="E373" s="245">
        <v>262</v>
      </c>
      <c r="F373" s="97">
        <v>44980</v>
      </c>
      <c r="G373" s="252">
        <v>27.67</v>
      </c>
      <c r="H373" s="134">
        <v>1527107.3</v>
      </c>
      <c r="I373" s="106">
        <f t="shared" si="52"/>
        <v>55190</v>
      </c>
      <c r="J373" s="122"/>
      <c r="K373" s="157" t="s">
        <v>866</v>
      </c>
      <c r="L373" s="166">
        <f t="shared" si="59"/>
        <v>262</v>
      </c>
      <c r="M373" s="119" t="s">
        <v>867</v>
      </c>
      <c r="N373" s="115">
        <f>24.522+0.934</f>
        <v>25.456</v>
      </c>
      <c r="O373" s="122"/>
      <c r="P373" s="92">
        <f t="shared" si="53"/>
        <v>25.456400000000002</v>
      </c>
      <c r="Q373" s="113">
        <f t="shared" si="54"/>
        <v>1.24515</v>
      </c>
      <c r="R373" s="92">
        <f t="shared" si="55"/>
        <v>0.96845000000000014</v>
      </c>
      <c r="S373" s="121"/>
      <c r="T373" s="93">
        <f t="shared" si="56"/>
        <v>4.0000000000206537E-4</v>
      </c>
      <c r="U373" s="122"/>
      <c r="V373" s="94">
        <f t="shared" ca="1" si="69"/>
        <v>42.464444791665301</v>
      </c>
      <c r="W373" s="89">
        <f t="shared" si="70"/>
        <v>4.3478260869789719E-4</v>
      </c>
    </row>
    <row r="374" spans="1:23" ht="18">
      <c r="A374" s="115"/>
      <c r="B374" s="66" t="s">
        <v>505</v>
      </c>
      <c r="C374" s="175" t="s">
        <v>55</v>
      </c>
      <c r="D374" s="131" t="s">
        <v>851</v>
      </c>
      <c r="E374" s="245">
        <v>263</v>
      </c>
      <c r="F374" s="97">
        <v>44980</v>
      </c>
      <c r="G374" s="254">
        <v>31.8</v>
      </c>
      <c r="H374" s="134">
        <v>1755042</v>
      </c>
      <c r="I374" s="106">
        <f t="shared" si="52"/>
        <v>55190</v>
      </c>
      <c r="J374" s="122"/>
      <c r="K374" s="157" t="s">
        <v>868</v>
      </c>
      <c r="L374" s="166">
        <f t="shared" si="59"/>
        <v>263</v>
      </c>
      <c r="M374" s="119" t="s">
        <v>861</v>
      </c>
      <c r="N374" s="115">
        <f>26.194+3.062</f>
        <v>29.256</v>
      </c>
      <c r="O374" s="122"/>
      <c r="P374" s="92">
        <f t="shared" si="53"/>
        <v>29.256</v>
      </c>
      <c r="Q374" s="113">
        <f t="shared" si="54"/>
        <v>1.431</v>
      </c>
      <c r="R374" s="92">
        <f t="shared" si="55"/>
        <v>1.1130000000000002</v>
      </c>
      <c r="S374" s="121"/>
      <c r="T374" s="93">
        <f t="shared" si="56"/>
        <v>0</v>
      </c>
      <c r="U374" s="122"/>
      <c r="V374" s="94">
        <f t="shared" ca="1" si="69"/>
        <v>42.464444791665301</v>
      </c>
      <c r="W374" s="89">
        <f t="shared" si="70"/>
        <v>0</v>
      </c>
    </row>
    <row r="375" spans="1:23" ht="18">
      <c r="A375" s="115"/>
      <c r="B375" s="66" t="s">
        <v>505</v>
      </c>
      <c r="C375" s="175" t="s">
        <v>55</v>
      </c>
      <c r="D375" s="131" t="s">
        <v>851</v>
      </c>
      <c r="E375" s="245">
        <v>264</v>
      </c>
      <c r="F375" s="97">
        <v>44980</v>
      </c>
      <c r="G375" s="254">
        <v>31.84</v>
      </c>
      <c r="H375" s="134">
        <v>1757249.6</v>
      </c>
      <c r="I375" s="106">
        <f t="shared" si="52"/>
        <v>55190</v>
      </c>
      <c r="J375" s="122"/>
      <c r="K375" s="157">
        <v>742</v>
      </c>
      <c r="L375" s="166">
        <f t="shared" si="59"/>
        <v>264</v>
      </c>
      <c r="M375" s="119" t="s">
        <v>861</v>
      </c>
      <c r="N375" s="115">
        <v>29.292999999999999</v>
      </c>
      <c r="O375" s="122"/>
      <c r="P375" s="92">
        <f t="shared" si="53"/>
        <v>29.2928</v>
      </c>
      <c r="Q375" s="113">
        <f t="shared" si="54"/>
        <v>1.4327999999999999</v>
      </c>
      <c r="R375" s="92">
        <f t="shared" si="55"/>
        <v>1.1144000000000001</v>
      </c>
      <c r="S375" s="121"/>
      <c r="T375" s="93">
        <f t="shared" si="56"/>
        <v>-1.9999999999931184E-4</v>
      </c>
      <c r="U375" s="122"/>
      <c r="V375" s="94">
        <f t="shared" ca="1" si="69"/>
        <v>42.464444791665301</v>
      </c>
      <c r="W375" s="89">
        <f t="shared" si="70"/>
        <v>-2.173913043470781E-4</v>
      </c>
    </row>
    <row r="376" spans="1:23" ht="18">
      <c r="A376" s="115"/>
      <c r="B376" s="66" t="s">
        <v>505</v>
      </c>
      <c r="C376" s="175" t="s">
        <v>55</v>
      </c>
      <c r="D376" s="131" t="s">
        <v>851</v>
      </c>
      <c r="E376" s="245">
        <v>265</v>
      </c>
      <c r="F376" s="97">
        <v>44980</v>
      </c>
      <c r="G376" s="252">
        <v>34.020000000000003</v>
      </c>
      <c r="H376" s="134">
        <v>1877563.8000000003</v>
      </c>
      <c r="I376" s="106">
        <f t="shared" si="52"/>
        <v>55190</v>
      </c>
      <c r="J376" s="122"/>
      <c r="K376" s="157" t="s">
        <v>869</v>
      </c>
      <c r="L376" s="166">
        <f t="shared" si="59"/>
        <v>265</v>
      </c>
      <c r="M376" s="119" t="s">
        <v>870</v>
      </c>
      <c r="N376" s="115">
        <f>30.102+1.196</f>
        <v>31.298000000000002</v>
      </c>
      <c r="O376" s="122"/>
      <c r="P376" s="92">
        <f t="shared" si="53"/>
        <v>31.298400000000004</v>
      </c>
      <c r="Q376" s="113">
        <f t="shared" si="54"/>
        <v>1.5309000000000001</v>
      </c>
      <c r="R376" s="92">
        <f t="shared" si="55"/>
        <v>1.1907000000000003</v>
      </c>
      <c r="S376" s="121"/>
      <c r="T376" s="93">
        <f t="shared" si="56"/>
        <v>4.0000000000084412E-4</v>
      </c>
      <c r="U376" s="122"/>
      <c r="V376" s="94">
        <f t="shared" ca="1" si="69"/>
        <v>42.464444791665301</v>
      </c>
      <c r="W376" s="89">
        <f t="shared" si="70"/>
        <v>4.347826086965697E-4</v>
      </c>
    </row>
    <row r="377" spans="1:23" ht="18">
      <c r="A377" s="115"/>
      <c r="B377" s="66" t="s">
        <v>505</v>
      </c>
      <c r="C377" s="175" t="s">
        <v>55</v>
      </c>
      <c r="D377" s="131" t="s">
        <v>851</v>
      </c>
      <c r="E377" s="245">
        <v>266</v>
      </c>
      <c r="F377" s="97">
        <v>44980</v>
      </c>
      <c r="G377" s="252">
        <v>33.94</v>
      </c>
      <c r="H377" s="134">
        <v>1873148.5999999999</v>
      </c>
      <c r="I377" s="106">
        <f t="shared" si="52"/>
        <v>55190</v>
      </c>
      <c r="J377" s="122"/>
      <c r="K377" s="157" t="s">
        <v>871</v>
      </c>
      <c r="L377" s="166">
        <f t="shared" si="59"/>
        <v>266</v>
      </c>
      <c r="M377" s="119" t="s">
        <v>870</v>
      </c>
      <c r="N377" s="115">
        <f>3.219+28.006</f>
        <v>31.225000000000001</v>
      </c>
      <c r="O377" s="122"/>
      <c r="P377" s="92">
        <f t="shared" si="53"/>
        <v>31.224799999999998</v>
      </c>
      <c r="Q377" s="113">
        <f t="shared" si="54"/>
        <v>1.5272999999999999</v>
      </c>
      <c r="R377" s="92">
        <f t="shared" si="55"/>
        <v>1.1879</v>
      </c>
      <c r="S377" s="121"/>
      <c r="T377" s="93">
        <f t="shared" si="56"/>
        <v>-2.0000000000353069E-4</v>
      </c>
      <c r="U377" s="122"/>
      <c r="V377" s="94">
        <f t="shared" ca="1" si="69"/>
        <v>42.464444791665301</v>
      </c>
      <c r="W377" s="89">
        <f t="shared" si="70"/>
        <v>-2.1739130435166382E-4</v>
      </c>
    </row>
    <row r="378" spans="1:23" ht="18">
      <c r="A378" s="115"/>
      <c r="B378" s="66" t="s">
        <v>505</v>
      </c>
      <c r="C378" s="175" t="s">
        <v>55</v>
      </c>
      <c r="D378" s="131" t="s">
        <v>851</v>
      </c>
      <c r="E378" s="245">
        <v>267</v>
      </c>
      <c r="F378" s="97">
        <v>44980</v>
      </c>
      <c r="G378" s="252">
        <v>31.86</v>
      </c>
      <c r="H378" s="134">
        <v>1758353.4</v>
      </c>
      <c r="I378" s="106">
        <f t="shared" si="52"/>
        <v>55190</v>
      </c>
      <c r="J378" s="122"/>
      <c r="K378" s="157" t="s">
        <v>872</v>
      </c>
      <c r="L378" s="166">
        <f t="shared" si="59"/>
        <v>267</v>
      </c>
      <c r="M378" s="119" t="s">
        <v>874</v>
      </c>
      <c r="N378" s="115">
        <f>3.907+25.404</f>
        <v>29.311</v>
      </c>
      <c r="O378" s="122"/>
      <c r="P378" s="92">
        <f t="shared" si="53"/>
        <v>29.311199999999999</v>
      </c>
      <c r="Q378" s="113">
        <f t="shared" si="54"/>
        <v>1.4337</v>
      </c>
      <c r="R378" s="92">
        <f t="shared" si="55"/>
        <v>1.1151</v>
      </c>
      <c r="S378" s="121"/>
      <c r="T378" s="93">
        <f t="shared" si="56"/>
        <v>1.9999999999953388E-4</v>
      </c>
      <c r="U378" s="122"/>
      <c r="V378" s="94">
        <f t="shared" ca="1" si="69"/>
        <v>42.464444791665301</v>
      </c>
      <c r="W378" s="89">
        <f t="shared" si="70"/>
        <v>2.1739130434731945E-4</v>
      </c>
    </row>
    <row r="379" spans="1:23" ht="18">
      <c r="A379" s="115"/>
      <c r="B379" s="66" t="s">
        <v>505</v>
      </c>
      <c r="C379" s="175" t="s">
        <v>55</v>
      </c>
      <c r="D379" s="131" t="s">
        <v>851</v>
      </c>
      <c r="E379" s="245">
        <v>268</v>
      </c>
      <c r="F379" s="97">
        <v>44980</v>
      </c>
      <c r="G379" s="252">
        <v>33.89</v>
      </c>
      <c r="H379" s="134">
        <v>1870389.1</v>
      </c>
      <c r="I379" s="106">
        <f t="shared" si="52"/>
        <v>55190</v>
      </c>
      <c r="J379" s="122"/>
      <c r="K379" s="157" t="s">
        <v>873</v>
      </c>
      <c r="L379" s="166">
        <f t="shared" si="59"/>
        <v>268</v>
      </c>
      <c r="M379" s="119" t="s">
        <v>874</v>
      </c>
      <c r="N379" s="115">
        <f>7.804+23.375</f>
        <v>31.179000000000002</v>
      </c>
      <c r="O379" s="122"/>
      <c r="P379" s="92">
        <f t="shared" si="53"/>
        <v>31.178800000000003</v>
      </c>
      <c r="Q379" s="113">
        <f t="shared" si="54"/>
        <v>1.52505</v>
      </c>
      <c r="R379" s="92">
        <f t="shared" si="55"/>
        <v>1.18615</v>
      </c>
      <c r="S379" s="121"/>
      <c r="T379" s="93">
        <f t="shared" si="56"/>
        <v>-2.0000000000153229E-4</v>
      </c>
      <c r="U379" s="122"/>
      <c r="V379" s="94">
        <f t="shared" ca="1" si="69"/>
        <v>42.464444791665301</v>
      </c>
      <c r="W379" s="89">
        <f t="shared" si="70"/>
        <v>-2.1739130434949162E-4</v>
      </c>
    </row>
    <row r="380" spans="1:23" ht="18">
      <c r="A380" s="115"/>
      <c r="B380" s="66" t="s">
        <v>505</v>
      </c>
      <c r="C380" s="175" t="s">
        <v>55</v>
      </c>
      <c r="D380" s="131" t="s">
        <v>851</v>
      </c>
      <c r="E380" s="245">
        <v>269</v>
      </c>
      <c r="F380" s="97">
        <v>44980</v>
      </c>
      <c r="G380" s="252">
        <v>33.94</v>
      </c>
      <c r="H380" s="134">
        <v>1873148.5999999999</v>
      </c>
      <c r="I380" s="106">
        <f t="shared" si="52"/>
        <v>55190</v>
      </c>
      <c r="J380" s="122"/>
      <c r="K380" s="157" t="s">
        <v>875</v>
      </c>
      <c r="L380" s="166">
        <f t="shared" si="59"/>
        <v>269</v>
      </c>
      <c r="M380" s="119" t="s">
        <v>876</v>
      </c>
      <c r="N380" s="115">
        <f>9.844+21.381</f>
        <v>31.225000000000001</v>
      </c>
      <c r="O380" s="122"/>
      <c r="P380" s="92">
        <f t="shared" si="53"/>
        <v>31.224799999999998</v>
      </c>
      <c r="Q380" s="113">
        <f t="shared" si="54"/>
        <v>1.5272999999999999</v>
      </c>
      <c r="R380" s="92">
        <f t="shared" si="55"/>
        <v>1.1879</v>
      </c>
      <c r="S380" s="121"/>
      <c r="T380" s="93">
        <f t="shared" si="56"/>
        <v>-2.0000000000353069E-4</v>
      </c>
      <c r="U380" s="122"/>
      <c r="V380" s="94">
        <f t="shared" ca="1" si="69"/>
        <v>42.464444791665301</v>
      </c>
      <c r="W380" s="89">
        <f t="shared" si="70"/>
        <v>-2.1739130435166382E-4</v>
      </c>
    </row>
    <row r="381" spans="1:23" ht="18">
      <c r="A381" s="115"/>
      <c r="B381" s="66" t="s">
        <v>505</v>
      </c>
      <c r="C381" s="175" t="s">
        <v>55</v>
      </c>
      <c r="D381" s="131" t="s">
        <v>851</v>
      </c>
      <c r="E381" s="245">
        <v>270</v>
      </c>
      <c r="F381" s="97">
        <v>44980</v>
      </c>
      <c r="G381" s="252">
        <v>34.01</v>
      </c>
      <c r="H381" s="134">
        <v>1877011.9</v>
      </c>
      <c r="I381" s="106">
        <f t="shared" si="52"/>
        <v>55190</v>
      </c>
      <c r="J381" s="122"/>
      <c r="K381" s="157" t="s">
        <v>877</v>
      </c>
      <c r="L381" s="166">
        <f t="shared" si="59"/>
        <v>270</v>
      </c>
      <c r="M381" s="119" t="s">
        <v>878</v>
      </c>
      <c r="N381" s="115">
        <f>11.537+19.752</f>
        <v>31.289000000000001</v>
      </c>
      <c r="O381" s="122"/>
      <c r="P381" s="92">
        <f t="shared" si="53"/>
        <v>31.289200000000001</v>
      </c>
      <c r="Q381" s="113">
        <f t="shared" si="54"/>
        <v>1.5304499999999999</v>
      </c>
      <c r="R381" s="92">
        <f t="shared" si="55"/>
        <v>1.19035</v>
      </c>
      <c r="S381" s="121"/>
      <c r="T381" s="93">
        <f t="shared" si="56"/>
        <v>1.999999999966473E-4</v>
      </c>
      <c r="U381" s="122"/>
      <c r="V381" s="94">
        <f t="shared" ca="1" si="69"/>
        <v>42.464444791665301</v>
      </c>
      <c r="W381" s="89">
        <f t="shared" si="70"/>
        <v>2.1739130434418185E-4</v>
      </c>
    </row>
    <row r="382" spans="1:23" ht="18">
      <c r="A382" s="115"/>
      <c r="B382" s="66" t="s">
        <v>505</v>
      </c>
      <c r="C382" s="175" t="s">
        <v>55</v>
      </c>
      <c r="D382" s="131" t="s">
        <v>851</v>
      </c>
      <c r="E382" s="245">
        <v>271</v>
      </c>
      <c r="F382" s="97">
        <v>44980</v>
      </c>
      <c r="G382" s="252">
        <v>31.79</v>
      </c>
      <c r="H382" s="134">
        <v>1754490.0999999999</v>
      </c>
      <c r="I382" s="106">
        <f t="shared" si="52"/>
        <v>55190</v>
      </c>
      <c r="J382" s="122"/>
      <c r="K382" s="157" t="s">
        <v>885</v>
      </c>
      <c r="L382" s="166">
        <f t="shared" si="59"/>
        <v>271</v>
      </c>
      <c r="M382" s="119" t="s">
        <v>878</v>
      </c>
      <c r="N382" s="115">
        <f>13.46+15.787</f>
        <v>29.247</v>
      </c>
      <c r="O382" s="122"/>
      <c r="P382" s="92">
        <f t="shared" si="53"/>
        <v>29.2468</v>
      </c>
      <c r="Q382" s="113">
        <f t="shared" si="54"/>
        <v>1.43055</v>
      </c>
      <c r="R382" s="92">
        <f t="shared" si="55"/>
        <v>1.1126500000000001</v>
      </c>
      <c r="S382" s="121"/>
      <c r="T382" s="93">
        <f t="shared" si="56"/>
        <v>-2.0000000000086615E-4</v>
      </c>
      <c r="U382" s="122"/>
      <c r="V382" s="94">
        <f t="shared" ca="1" si="69"/>
        <v>42.464444791665301</v>
      </c>
      <c r="W382" s="89">
        <f t="shared" si="70"/>
        <v>-2.1739130434876756E-4</v>
      </c>
    </row>
    <row r="383" spans="1:23" ht="18">
      <c r="A383" s="115"/>
      <c r="B383" s="66" t="s">
        <v>505</v>
      </c>
      <c r="C383" s="175" t="s">
        <v>55</v>
      </c>
      <c r="D383" s="131" t="s">
        <v>851</v>
      </c>
      <c r="E383" s="245">
        <v>272</v>
      </c>
      <c r="F383" s="97">
        <v>44980</v>
      </c>
      <c r="G383" s="252">
        <v>31.84</v>
      </c>
      <c r="H383" s="257">
        <v>1757249.6</v>
      </c>
      <c r="I383" s="106">
        <f t="shared" si="52"/>
        <v>55190</v>
      </c>
      <c r="J383" s="122"/>
      <c r="K383" s="157" t="s">
        <v>886</v>
      </c>
      <c r="L383" s="166">
        <f t="shared" si="59"/>
        <v>272</v>
      </c>
      <c r="M383" s="119" t="s">
        <v>878</v>
      </c>
      <c r="N383" s="115">
        <f>17.543+11.75</f>
        <v>29.292999999999999</v>
      </c>
      <c r="O383" s="122"/>
      <c r="P383" s="92">
        <f t="shared" si="53"/>
        <v>29.2928</v>
      </c>
      <c r="Q383" s="113">
        <f t="shared" si="54"/>
        <v>1.4327999999999999</v>
      </c>
      <c r="R383" s="92">
        <f t="shared" si="55"/>
        <v>1.1144000000000001</v>
      </c>
      <c r="S383" s="121"/>
      <c r="T383" s="93">
        <f t="shared" si="56"/>
        <v>-1.9999999999931184E-4</v>
      </c>
      <c r="U383" s="122"/>
      <c r="V383" s="94">
        <f ca="1">360-($V$3-F383)</f>
        <v>42.464444791665301</v>
      </c>
      <c r="W383" s="89">
        <f>T383/0.92%/100</f>
        <v>-2.173913043470781E-4</v>
      </c>
    </row>
    <row r="384" spans="1:23" ht="18">
      <c r="A384" s="115"/>
      <c r="B384" s="66" t="s">
        <v>505</v>
      </c>
      <c r="C384" s="175" t="s">
        <v>55</v>
      </c>
      <c r="D384" s="131" t="s">
        <v>851</v>
      </c>
      <c r="E384" s="245">
        <v>273</v>
      </c>
      <c r="F384" s="97">
        <v>44980</v>
      </c>
      <c r="G384" s="252">
        <v>40.270000000000003</v>
      </c>
      <c r="H384" s="257">
        <v>2222501.3000000003</v>
      </c>
      <c r="I384" s="106">
        <f t="shared" si="52"/>
        <v>55190</v>
      </c>
      <c r="J384" s="122"/>
      <c r="K384" s="157" t="s">
        <v>887</v>
      </c>
      <c r="L384" s="166">
        <f t="shared" si="59"/>
        <v>273</v>
      </c>
      <c r="M384" s="119" t="s">
        <v>878</v>
      </c>
      <c r="N384" s="115">
        <f>20.077+16.971</f>
        <v>37.048000000000002</v>
      </c>
      <c r="O384" s="122"/>
      <c r="P384" s="92">
        <f t="shared" si="53"/>
        <v>37.048400000000008</v>
      </c>
      <c r="Q384" s="113">
        <f t="shared" si="54"/>
        <v>1.8121500000000001</v>
      </c>
      <c r="R384" s="92">
        <f t="shared" si="55"/>
        <v>1.4094500000000003</v>
      </c>
      <c r="S384" s="121"/>
      <c r="T384" s="93">
        <f t="shared" si="56"/>
        <v>4.0000000000084412E-4</v>
      </c>
      <c r="U384" s="122"/>
      <c r="V384" s="94">
        <f t="shared" ref="V384:V415" ca="1" si="71">360-($V$3-F384)</f>
        <v>42.464444791665301</v>
      </c>
      <c r="W384" s="89">
        <f t="shared" ref="W384:W415" si="72">T384/0.92%/100</f>
        <v>4.347826086965697E-4</v>
      </c>
    </row>
    <row r="385" spans="1:23" ht="18">
      <c r="A385" s="115"/>
      <c r="B385" s="66" t="s">
        <v>505</v>
      </c>
      <c r="C385" s="175" t="s">
        <v>55</v>
      </c>
      <c r="D385" s="131" t="s">
        <v>851</v>
      </c>
      <c r="E385" s="245">
        <v>274</v>
      </c>
      <c r="F385" s="97">
        <v>44980</v>
      </c>
      <c r="G385" s="252">
        <v>31.81</v>
      </c>
      <c r="H385" s="257">
        <v>1755593.9</v>
      </c>
      <c r="I385" s="106">
        <f t="shared" si="52"/>
        <v>55190</v>
      </c>
      <c r="J385" s="122"/>
      <c r="K385" s="157" t="s">
        <v>888</v>
      </c>
      <c r="L385" s="166">
        <f t="shared" si="59"/>
        <v>274</v>
      </c>
      <c r="M385" s="119" t="s">
        <v>889</v>
      </c>
      <c r="N385" s="115">
        <f>16.383+12.882</f>
        <v>29.265000000000001</v>
      </c>
      <c r="O385" s="122"/>
      <c r="P385" s="92">
        <f t="shared" ref="P385:P395" si="73">G385*0.92</f>
        <v>29.2652</v>
      </c>
      <c r="Q385" s="113">
        <f t="shared" ref="Q385:Q395" si="74">G385*4.5%</f>
        <v>1.4314499999999999</v>
      </c>
      <c r="R385" s="92">
        <f t="shared" ref="R385:R395" si="75">G385*3.5%</f>
        <v>1.1133500000000001</v>
      </c>
      <c r="S385" s="121"/>
      <c r="T385" s="93">
        <f t="shared" ref="T385:T395" si="76">G385-N385-Q385-R385</f>
        <v>1.9999999999820162E-4</v>
      </c>
      <c r="U385" s="122"/>
      <c r="V385" s="94">
        <f t="shared" ref="V385:V395" ca="1" si="77">360-($V$3-F385)</f>
        <v>42.464444791665301</v>
      </c>
      <c r="W385" s="89">
        <f t="shared" ref="W385:W395" si="78">T385/0.92%/100</f>
        <v>2.1739130434587133E-4</v>
      </c>
    </row>
    <row r="386" spans="1:23" ht="18">
      <c r="A386" s="115"/>
      <c r="B386" s="66" t="s">
        <v>505</v>
      </c>
      <c r="C386" s="175" t="s">
        <v>55</v>
      </c>
      <c r="D386" s="131" t="s">
        <v>851</v>
      </c>
      <c r="E386" s="245">
        <v>275</v>
      </c>
      <c r="F386" s="97">
        <v>44980</v>
      </c>
      <c r="G386" s="252">
        <v>40.33</v>
      </c>
      <c r="H386" s="257">
        <v>2225812.6999999997</v>
      </c>
      <c r="I386" s="106">
        <f t="shared" si="52"/>
        <v>55189.999999999993</v>
      </c>
      <c r="J386" s="122"/>
      <c r="K386" s="157" t="s">
        <v>892</v>
      </c>
      <c r="L386" s="166">
        <f t="shared" si="59"/>
        <v>275</v>
      </c>
      <c r="M386" s="119" t="s">
        <v>893</v>
      </c>
      <c r="N386" s="115">
        <f>29.74+7.364</f>
        <v>37.103999999999999</v>
      </c>
      <c r="O386" s="122"/>
      <c r="P386" s="92">
        <f t="shared" si="73"/>
        <v>37.1036</v>
      </c>
      <c r="Q386" s="113">
        <f t="shared" si="74"/>
        <v>1.8148499999999999</v>
      </c>
      <c r="R386" s="92">
        <f t="shared" si="75"/>
        <v>1.4115500000000001</v>
      </c>
      <c r="S386" s="121"/>
      <c r="T386" s="93">
        <f t="shared" si="76"/>
        <v>-4.0000000000084412E-4</v>
      </c>
      <c r="U386" s="122"/>
      <c r="V386" s="94">
        <f t="shared" ca="1" si="77"/>
        <v>42.464444791665301</v>
      </c>
      <c r="W386" s="89">
        <f t="shared" si="78"/>
        <v>-4.347826086965697E-4</v>
      </c>
    </row>
    <row r="387" spans="1:23" ht="18">
      <c r="A387" s="115"/>
      <c r="B387" s="66" t="s">
        <v>505</v>
      </c>
      <c r="C387" s="175" t="s">
        <v>55</v>
      </c>
      <c r="D387" s="131" t="s">
        <v>851</v>
      </c>
      <c r="E387" s="245">
        <v>276</v>
      </c>
      <c r="F387" s="97">
        <v>44980</v>
      </c>
      <c r="G387" s="252">
        <v>31.83</v>
      </c>
      <c r="H387" s="257">
        <v>1756697.7</v>
      </c>
      <c r="I387" s="106">
        <f t="shared" si="52"/>
        <v>55190</v>
      </c>
      <c r="J387" s="122"/>
      <c r="K387" s="157" t="s">
        <v>890</v>
      </c>
      <c r="L387" s="166">
        <f t="shared" ref="L387:L451" si="79">E387</f>
        <v>276</v>
      </c>
      <c r="M387" s="119" t="s">
        <v>891</v>
      </c>
      <c r="N387" s="115">
        <f>19.475+9.809</f>
        <v>29.283999999999999</v>
      </c>
      <c r="O387" s="122"/>
      <c r="P387" s="92">
        <f t="shared" si="73"/>
        <v>29.2836</v>
      </c>
      <c r="Q387" s="113">
        <f t="shared" si="74"/>
        <v>1.4323499999999998</v>
      </c>
      <c r="R387" s="92">
        <f t="shared" si="75"/>
        <v>1.11405</v>
      </c>
      <c r="S387" s="121"/>
      <c r="T387" s="93">
        <f t="shared" si="76"/>
        <v>-4.0000000000040004E-4</v>
      </c>
      <c r="U387" s="122"/>
      <c r="V387" s="94">
        <f t="shared" ca="1" si="77"/>
        <v>42.464444791665301</v>
      </c>
      <c r="W387" s="89">
        <f t="shared" si="78"/>
        <v>-4.3478260869608701E-4</v>
      </c>
    </row>
    <row r="388" spans="1:23" ht="18">
      <c r="A388" s="115"/>
      <c r="B388" s="66" t="s">
        <v>505</v>
      </c>
      <c r="C388" s="175" t="s">
        <v>55</v>
      </c>
      <c r="D388" s="131" t="s">
        <v>851</v>
      </c>
      <c r="E388" s="245">
        <v>277</v>
      </c>
      <c r="F388" s="97">
        <v>44980</v>
      </c>
      <c r="G388" s="252">
        <v>31.79</v>
      </c>
      <c r="H388" s="257">
        <v>1754490.0999999999</v>
      </c>
      <c r="I388" s="106">
        <f t="shared" si="52"/>
        <v>55190</v>
      </c>
      <c r="J388" s="122"/>
      <c r="K388" s="157" t="s">
        <v>894</v>
      </c>
      <c r="L388" s="166">
        <f t="shared" si="79"/>
        <v>277</v>
      </c>
      <c r="M388" s="119" t="s">
        <v>893</v>
      </c>
      <c r="N388" s="115">
        <f>20.661+8.586</f>
        <v>29.247</v>
      </c>
      <c r="O388" s="122"/>
      <c r="P388" s="92">
        <f t="shared" si="73"/>
        <v>29.2468</v>
      </c>
      <c r="Q388" s="113">
        <f t="shared" si="74"/>
        <v>1.43055</v>
      </c>
      <c r="R388" s="92">
        <f t="shared" si="75"/>
        <v>1.1126500000000001</v>
      </c>
      <c r="S388" s="121"/>
      <c r="T388" s="93">
        <f t="shared" si="76"/>
        <v>-2.0000000000086615E-4</v>
      </c>
      <c r="U388" s="122"/>
      <c r="V388" s="94">
        <f t="shared" ca="1" si="77"/>
        <v>42.464444791665301</v>
      </c>
      <c r="W388" s="89">
        <f t="shared" si="78"/>
        <v>-2.1739130434876756E-4</v>
      </c>
    </row>
    <row r="389" spans="1:23" ht="18">
      <c r="A389" s="115"/>
      <c r="B389" s="66" t="s">
        <v>505</v>
      </c>
      <c r="C389" s="175" t="s">
        <v>55</v>
      </c>
      <c r="D389" s="131" t="s">
        <v>851</v>
      </c>
      <c r="E389" s="245">
        <v>278</v>
      </c>
      <c r="F389" s="97">
        <v>44980</v>
      </c>
      <c r="G389" s="252">
        <v>31.8</v>
      </c>
      <c r="H389" s="257">
        <v>1755042</v>
      </c>
      <c r="I389" s="106">
        <f t="shared" si="52"/>
        <v>55190</v>
      </c>
      <c r="J389" s="122"/>
      <c r="K389" s="157" t="s">
        <v>895</v>
      </c>
      <c r="L389" s="166">
        <f t="shared" si="79"/>
        <v>278</v>
      </c>
      <c r="M389" s="119" t="s">
        <v>896</v>
      </c>
      <c r="N389" s="115">
        <f>16.598+12.658</f>
        <v>29.256</v>
      </c>
      <c r="O389" s="122"/>
      <c r="P389" s="92">
        <f t="shared" si="73"/>
        <v>29.256</v>
      </c>
      <c r="Q389" s="113">
        <f t="shared" si="74"/>
        <v>1.431</v>
      </c>
      <c r="R389" s="92">
        <f t="shared" si="75"/>
        <v>1.1130000000000002</v>
      </c>
      <c r="S389" s="121"/>
      <c r="T389" s="93">
        <f t="shared" si="76"/>
        <v>0</v>
      </c>
      <c r="U389" s="122"/>
      <c r="V389" s="94">
        <f t="shared" ca="1" si="77"/>
        <v>42.464444791665301</v>
      </c>
      <c r="W389" s="89">
        <f t="shared" si="78"/>
        <v>0</v>
      </c>
    </row>
    <row r="390" spans="1:23" ht="18">
      <c r="A390" s="115"/>
      <c r="B390" s="66" t="s">
        <v>505</v>
      </c>
      <c r="C390" s="175" t="s">
        <v>55</v>
      </c>
      <c r="D390" s="131" t="s">
        <v>851</v>
      </c>
      <c r="E390" s="245">
        <v>279</v>
      </c>
      <c r="F390" s="97">
        <v>44980</v>
      </c>
      <c r="G390" s="252">
        <v>31.64</v>
      </c>
      <c r="H390" s="257">
        <v>1746211.6</v>
      </c>
      <c r="I390" s="106">
        <f t="shared" si="52"/>
        <v>55190</v>
      </c>
      <c r="J390" s="122"/>
      <c r="K390" s="157" t="s">
        <v>897</v>
      </c>
      <c r="L390" s="166">
        <f t="shared" si="79"/>
        <v>279</v>
      </c>
      <c r="M390" s="119" t="s">
        <v>896</v>
      </c>
      <c r="N390" s="115">
        <f>13.904+15.205</f>
        <v>29.109000000000002</v>
      </c>
      <c r="O390" s="122"/>
      <c r="P390" s="92">
        <f t="shared" si="73"/>
        <v>29.108800000000002</v>
      </c>
      <c r="Q390" s="113">
        <f t="shared" si="74"/>
        <v>1.4238</v>
      </c>
      <c r="R390" s="92">
        <f t="shared" si="75"/>
        <v>1.1074000000000002</v>
      </c>
      <c r="S390" s="121"/>
      <c r="T390" s="93">
        <f t="shared" si="76"/>
        <v>-2.0000000000131024E-4</v>
      </c>
      <c r="U390" s="122"/>
      <c r="V390" s="94">
        <f t="shared" ca="1" si="77"/>
        <v>42.464444791665301</v>
      </c>
      <c r="W390" s="89">
        <f t="shared" si="78"/>
        <v>-2.1739130434925025E-4</v>
      </c>
    </row>
    <row r="391" spans="1:23" ht="18">
      <c r="A391" s="115"/>
      <c r="B391" s="66" t="s">
        <v>505</v>
      </c>
      <c r="C391" s="175" t="s">
        <v>55</v>
      </c>
      <c r="D391" s="131" t="s">
        <v>851</v>
      </c>
      <c r="E391" s="245">
        <v>280</v>
      </c>
      <c r="F391" s="97">
        <v>44980</v>
      </c>
      <c r="G391" s="252">
        <v>31.82</v>
      </c>
      <c r="H391" s="257">
        <v>1756145.8</v>
      </c>
      <c r="I391" s="106">
        <f t="shared" si="52"/>
        <v>55190</v>
      </c>
      <c r="J391" s="122"/>
      <c r="K391" s="158" t="s">
        <v>898</v>
      </c>
      <c r="L391" s="166">
        <f t="shared" si="79"/>
        <v>280</v>
      </c>
      <c r="M391" s="119" t="s">
        <v>899</v>
      </c>
      <c r="N391" s="115">
        <f>21.056+8.218</f>
        <v>29.274000000000001</v>
      </c>
      <c r="O391" s="122"/>
      <c r="P391" s="92">
        <f t="shared" si="73"/>
        <v>29.2744</v>
      </c>
      <c r="Q391" s="113">
        <f t="shared" si="74"/>
        <v>1.4319</v>
      </c>
      <c r="R391" s="92">
        <f t="shared" si="75"/>
        <v>1.1137000000000001</v>
      </c>
      <c r="S391" s="121"/>
      <c r="T391" s="93">
        <f t="shared" si="76"/>
        <v>3.9999999999928981E-4</v>
      </c>
      <c r="U391" s="122"/>
      <c r="V391" s="94">
        <f t="shared" ca="1" si="77"/>
        <v>42.464444791665301</v>
      </c>
      <c r="W391" s="89">
        <f t="shared" si="78"/>
        <v>4.3478260869488018E-4</v>
      </c>
    </row>
    <row r="392" spans="1:23" ht="18">
      <c r="A392" s="115"/>
      <c r="B392" s="66" t="s">
        <v>505</v>
      </c>
      <c r="C392" s="175" t="s">
        <v>55</v>
      </c>
      <c r="D392" s="131" t="s">
        <v>851</v>
      </c>
      <c r="E392" s="245">
        <v>281</v>
      </c>
      <c r="F392" s="97">
        <v>44980</v>
      </c>
      <c r="G392" s="252">
        <v>40.31</v>
      </c>
      <c r="H392" s="257">
        <v>2224708.9</v>
      </c>
      <c r="I392" s="106">
        <f t="shared" si="52"/>
        <v>55189.999999999993</v>
      </c>
      <c r="J392" s="122"/>
      <c r="K392" s="157" t="s">
        <v>901</v>
      </c>
      <c r="L392" s="166">
        <f t="shared" si="79"/>
        <v>281</v>
      </c>
      <c r="M392" s="119" t="s">
        <v>902</v>
      </c>
      <c r="N392" s="115">
        <f>33.425+3.66</f>
        <v>37.084999999999994</v>
      </c>
      <c r="O392" s="122"/>
      <c r="P392" s="92">
        <f t="shared" si="73"/>
        <v>37.0852</v>
      </c>
      <c r="Q392" s="113">
        <f t="shared" si="74"/>
        <v>1.81395</v>
      </c>
      <c r="R392" s="92">
        <f t="shared" si="75"/>
        <v>1.4108500000000002</v>
      </c>
      <c r="S392" s="121"/>
      <c r="T392" s="93">
        <f t="shared" si="76"/>
        <v>2.0000000000841567E-4</v>
      </c>
      <c r="U392" s="122"/>
      <c r="V392" s="94">
        <f t="shared" ca="1" si="77"/>
        <v>42.464444791665301</v>
      </c>
      <c r="W392" s="89">
        <f t="shared" si="78"/>
        <v>2.1739130435697356E-4</v>
      </c>
    </row>
    <row r="393" spans="1:23" ht="18">
      <c r="A393" s="115"/>
      <c r="B393" s="66" t="s">
        <v>505</v>
      </c>
      <c r="C393" s="175" t="s">
        <v>55</v>
      </c>
      <c r="D393" s="131" t="s">
        <v>851</v>
      </c>
      <c r="E393" s="245">
        <v>282</v>
      </c>
      <c r="F393" s="97">
        <v>44980</v>
      </c>
      <c r="G393" s="252">
        <v>31.8</v>
      </c>
      <c r="H393" s="257">
        <v>1755042</v>
      </c>
      <c r="I393" s="106">
        <f t="shared" si="52"/>
        <v>55190</v>
      </c>
      <c r="J393" s="122"/>
      <c r="K393" s="157" t="s">
        <v>900</v>
      </c>
      <c r="L393" s="166">
        <f t="shared" si="79"/>
        <v>282</v>
      </c>
      <c r="M393" s="119" t="s">
        <v>899</v>
      </c>
      <c r="N393" s="115">
        <f>15.582+13.674</f>
        <v>29.256</v>
      </c>
      <c r="O393" s="122"/>
      <c r="P393" s="92">
        <f t="shared" si="73"/>
        <v>29.256</v>
      </c>
      <c r="Q393" s="113">
        <f t="shared" si="74"/>
        <v>1.431</v>
      </c>
      <c r="R393" s="92">
        <f t="shared" si="75"/>
        <v>1.1130000000000002</v>
      </c>
      <c r="S393" s="121"/>
      <c r="T393" s="93">
        <f t="shared" si="76"/>
        <v>0</v>
      </c>
      <c r="U393" s="122"/>
      <c r="V393" s="94">
        <f t="shared" ca="1" si="77"/>
        <v>42.464444791665301</v>
      </c>
      <c r="W393" s="89">
        <f t="shared" si="78"/>
        <v>0</v>
      </c>
    </row>
    <row r="394" spans="1:23" ht="18">
      <c r="A394" s="115"/>
      <c r="B394" s="66" t="s">
        <v>505</v>
      </c>
      <c r="C394" s="175" t="s">
        <v>55</v>
      </c>
      <c r="D394" s="131" t="s">
        <v>851</v>
      </c>
      <c r="E394" s="245">
        <v>283</v>
      </c>
      <c r="F394" s="97">
        <v>44980</v>
      </c>
      <c r="G394" s="252">
        <v>21.2</v>
      </c>
      <c r="H394" s="257">
        <v>1170028</v>
      </c>
      <c r="I394" s="106">
        <f t="shared" si="52"/>
        <v>55190</v>
      </c>
      <c r="J394" s="122"/>
      <c r="K394" s="157" t="s">
        <v>903</v>
      </c>
      <c r="L394" s="166">
        <f t="shared" si="79"/>
        <v>283</v>
      </c>
      <c r="M394" s="119" t="s">
        <v>904</v>
      </c>
      <c r="N394" s="115">
        <f>10.648+8.856</f>
        <v>19.503999999999998</v>
      </c>
      <c r="O394" s="122"/>
      <c r="P394" s="92">
        <f t="shared" si="73"/>
        <v>19.504000000000001</v>
      </c>
      <c r="Q394" s="113">
        <f t="shared" si="74"/>
        <v>0.95399999999999996</v>
      </c>
      <c r="R394" s="92">
        <f t="shared" si="75"/>
        <v>0.74199999999999999</v>
      </c>
      <c r="S394" s="121"/>
      <c r="T394" s="93">
        <f t="shared" si="76"/>
        <v>1.5543122344752192E-15</v>
      </c>
      <c r="U394" s="122"/>
      <c r="V394" s="94">
        <f t="shared" ca="1" si="77"/>
        <v>42.464444791665301</v>
      </c>
      <c r="W394" s="89">
        <f t="shared" si="78"/>
        <v>1.6894698200817602E-15</v>
      </c>
    </row>
    <row r="395" spans="1:23" ht="18">
      <c r="A395" s="115"/>
      <c r="B395" s="66" t="s">
        <v>505</v>
      </c>
      <c r="C395" s="175" t="s">
        <v>55</v>
      </c>
      <c r="D395" s="258" t="s">
        <v>879</v>
      </c>
      <c r="E395" s="245">
        <v>284</v>
      </c>
      <c r="F395" s="97">
        <v>44980</v>
      </c>
      <c r="G395" s="252">
        <v>9.66</v>
      </c>
      <c r="H395" s="257">
        <v>533135.4</v>
      </c>
      <c r="I395" s="106">
        <f t="shared" si="52"/>
        <v>55190</v>
      </c>
      <c r="J395" s="122"/>
      <c r="K395" s="157">
        <v>782</v>
      </c>
      <c r="L395" s="166">
        <f t="shared" si="79"/>
        <v>284</v>
      </c>
      <c r="M395" s="119" t="s">
        <v>905</v>
      </c>
      <c r="N395" s="115">
        <v>8.8870000000000005</v>
      </c>
      <c r="O395" s="122"/>
      <c r="P395" s="92">
        <f t="shared" si="73"/>
        <v>8.8872</v>
      </c>
      <c r="Q395" s="113">
        <f t="shared" si="74"/>
        <v>0.43469999999999998</v>
      </c>
      <c r="R395" s="92">
        <f t="shared" si="75"/>
        <v>0.33810000000000001</v>
      </c>
      <c r="S395" s="121"/>
      <c r="T395" s="93">
        <f t="shared" si="76"/>
        <v>1.9999999999970042E-4</v>
      </c>
      <c r="U395" s="122"/>
      <c r="V395" s="94">
        <f t="shared" ca="1" si="77"/>
        <v>42.464444791665301</v>
      </c>
      <c r="W395" s="89">
        <f t="shared" si="78"/>
        <v>2.1739130434750048E-4</v>
      </c>
    </row>
    <row r="396" spans="1:23" ht="18">
      <c r="A396" s="115"/>
      <c r="B396" s="66" t="s">
        <v>505</v>
      </c>
      <c r="C396" s="175" t="s">
        <v>55</v>
      </c>
      <c r="D396" s="131" t="s">
        <v>851</v>
      </c>
      <c r="E396" s="245">
        <v>285</v>
      </c>
      <c r="F396" s="97">
        <v>44980</v>
      </c>
      <c r="G396" s="252">
        <v>31.85</v>
      </c>
      <c r="H396" s="257">
        <v>1757801.5</v>
      </c>
      <c r="I396" s="106">
        <f t="shared" si="52"/>
        <v>55190</v>
      </c>
      <c r="J396" s="122"/>
      <c r="K396" s="157" t="s">
        <v>907</v>
      </c>
      <c r="L396" s="166">
        <f t="shared" si="79"/>
        <v>285</v>
      </c>
      <c r="M396" s="119" t="s">
        <v>906</v>
      </c>
      <c r="N396" s="115">
        <f>24.145+5.157</f>
        <v>29.302</v>
      </c>
      <c r="O396" s="122"/>
      <c r="P396" s="92">
        <f t="shared" si="53"/>
        <v>29.302000000000003</v>
      </c>
      <c r="Q396" s="113">
        <f t="shared" si="54"/>
        <v>1.4332499999999999</v>
      </c>
      <c r="R396" s="92">
        <f t="shared" si="55"/>
        <v>1.1147500000000001</v>
      </c>
      <c r="S396" s="121"/>
      <c r="T396" s="93">
        <f t="shared" si="56"/>
        <v>1.7763568394002505E-15</v>
      </c>
      <c r="U396" s="122"/>
      <c r="V396" s="94">
        <f t="shared" ca="1" si="71"/>
        <v>42.464444791665301</v>
      </c>
      <c r="W396" s="89">
        <f t="shared" si="72"/>
        <v>1.9308226515220113E-15</v>
      </c>
    </row>
    <row r="397" spans="1:23" ht="18">
      <c r="A397" s="115"/>
      <c r="B397" s="66" t="s">
        <v>505</v>
      </c>
      <c r="C397" s="175" t="s">
        <v>55</v>
      </c>
      <c r="D397" s="131" t="s">
        <v>851</v>
      </c>
      <c r="E397" s="245">
        <v>286</v>
      </c>
      <c r="F397" s="97">
        <v>44980</v>
      </c>
      <c r="G397" s="252">
        <v>31.73</v>
      </c>
      <c r="H397" s="257">
        <v>1751178.7</v>
      </c>
      <c r="I397" s="106">
        <f t="shared" si="52"/>
        <v>55190</v>
      </c>
      <c r="J397" s="122"/>
      <c r="K397" s="157" t="s">
        <v>908</v>
      </c>
      <c r="L397" s="166">
        <f t="shared" si="79"/>
        <v>286</v>
      </c>
      <c r="M397" s="119" t="s">
        <v>909</v>
      </c>
      <c r="N397" s="115">
        <f>27.852+1.34</f>
        <v>29.192</v>
      </c>
      <c r="O397" s="122"/>
      <c r="P397" s="92">
        <f t="shared" si="53"/>
        <v>29.191600000000001</v>
      </c>
      <c r="Q397" s="113">
        <f t="shared" si="54"/>
        <v>1.4278500000000001</v>
      </c>
      <c r="R397" s="92">
        <f t="shared" si="55"/>
        <v>1.1105500000000001</v>
      </c>
      <c r="S397" s="121"/>
      <c r="T397" s="93">
        <f t="shared" si="56"/>
        <v>-3.9999999999995595E-4</v>
      </c>
      <c r="U397" s="122"/>
      <c r="V397" s="94">
        <f t="shared" ca="1" si="71"/>
        <v>42.464444791665301</v>
      </c>
      <c r="W397" s="89">
        <f t="shared" si="72"/>
        <v>-4.3478260869560427E-4</v>
      </c>
    </row>
    <row r="398" spans="1:23" ht="18">
      <c r="A398" s="115"/>
      <c r="B398" s="66" t="s">
        <v>505</v>
      </c>
      <c r="C398" s="175" t="s">
        <v>55</v>
      </c>
      <c r="D398" s="258" t="s">
        <v>879</v>
      </c>
      <c r="E398" s="245">
        <v>287</v>
      </c>
      <c r="F398" s="97">
        <v>44980</v>
      </c>
      <c r="G398" s="252">
        <v>14.71</v>
      </c>
      <c r="H398" s="257">
        <v>811844.9</v>
      </c>
      <c r="I398" s="106">
        <f t="shared" si="52"/>
        <v>55190</v>
      </c>
      <c r="J398" s="122"/>
      <c r="K398" s="157" t="s">
        <v>911</v>
      </c>
      <c r="L398" s="166">
        <f t="shared" si="79"/>
        <v>287</v>
      </c>
      <c r="M398" s="119" t="s">
        <v>912</v>
      </c>
      <c r="N398" s="115">
        <f>7.894+5.639</f>
        <v>13.533000000000001</v>
      </c>
      <c r="O398" s="122"/>
      <c r="P398" s="92">
        <f t="shared" si="53"/>
        <v>13.533200000000001</v>
      </c>
      <c r="Q398" s="113">
        <f t="shared" si="54"/>
        <v>0.66195000000000004</v>
      </c>
      <c r="R398" s="92">
        <f t="shared" si="55"/>
        <v>0.51485000000000003</v>
      </c>
      <c r="S398" s="121"/>
      <c r="T398" s="93">
        <f t="shared" si="56"/>
        <v>1.9999999999953388E-4</v>
      </c>
      <c r="U398" s="122"/>
      <c r="V398" s="94">
        <f t="shared" ca="1" si="71"/>
        <v>42.464444791665301</v>
      </c>
      <c r="W398" s="89">
        <f t="shared" si="72"/>
        <v>2.1739130434731945E-4</v>
      </c>
    </row>
    <row r="399" spans="1:23" ht="18">
      <c r="A399" s="115"/>
      <c r="B399" s="66" t="s">
        <v>505</v>
      </c>
      <c r="C399" s="175" t="s">
        <v>55</v>
      </c>
      <c r="D399" s="131" t="s">
        <v>851</v>
      </c>
      <c r="E399" s="245">
        <v>288</v>
      </c>
      <c r="F399" s="97">
        <v>44980</v>
      </c>
      <c r="G399" s="259">
        <v>16.681999999999999</v>
      </c>
      <c r="H399" s="257">
        <v>920679.58</v>
      </c>
      <c r="I399" s="106">
        <f t="shared" si="52"/>
        <v>55190</v>
      </c>
      <c r="J399" s="122"/>
      <c r="K399" s="157">
        <v>786</v>
      </c>
      <c r="L399" s="166">
        <f t="shared" si="79"/>
        <v>288</v>
      </c>
      <c r="M399" s="119" t="s">
        <v>905</v>
      </c>
      <c r="N399" s="115">
        <v>15.347</v>
      </c>
      <c r="O399" s="122"/>
      <c r="P399" s="92">
        <f t="shared" si="53"/>
        <v>15.347439999999999</v>
      </c>
      <c r="Q399" s="113">
        <f t="shared" si="54"/>
        <v>0.75068999999999986</v>
      </c>
      <c r="R399" s="92">
        <f t="shared" si="55"/>
        <v>0.58387</v>
      </c>
      <c r="S399" s="121"/>
      <c r="T399" s="93">
        <f t="shared" si="56"/>
        <v>4.3999999999921879E-4</v>
      </c>
      <c r="U399" s="122"/>
      <c r="V399" s="94">
        <f t="shared" ca="1" si="71"/>
        <v>42.464444791665301</v>
      </c>
      <c r="W399" s="89">
        <f t="shared" si="72"/>
        <v>4.7826086956436831E-4</v>
      </c>
    </row>
    <row r="400" spans="1:23" ht="18">
      <c r="A400" s="115"/>
      <c r="B400" s="66" t="s">
        <v>505</v>
      </c>
      <c r="C400" s="175" t="s">
        <v>55</v>
      </c>
      <c r="D400" s="131" t="s">
        <v>880</v>
      </c>
      <c r="E400" s="245">
        <v>289</v>
      </c>
      <c r="F400" s="97">
        <v>44980</v>
      </c>
      <c r="G400" s="246">
        <v>23</v>
      </c>
      <c r="H400" s="257">
        <v>1256030</v>
      </c>
      <c r="I400" s="106">
        <f t="shared" si="52"/>
        <v>54610</v>
      </c>
      <c r="J400" s="122"/>
      <c r="K400" s="157" t="s">
        <v>913</v>
      </c>
      <c r="L400" s="166">
        <f t="shared" si="79"/>
        <v>289</v>
      </c>
      <c r="M400" s="119" t="s">
        <v>912</v>
      </c>
      <c r="N400" s="115">
        <f>16.768+4.392</f>
        <v>21.16</v>
      </c>
      <c r="O400" s="122"/>
      <c r="P400" s="92">
        <f t="shared" si="53"/>
        <v>21.16</v>
      </c>
      <c r="Q400" s="113">
        <f t="shared" si="54"/>
        <v>1.0349999999999999</v>
      </c>
      <c r="R400" s="92">
        <f t="shared" si="55"/>
        <v>0.80500000000000005</v>
      </c>
      <c r="S400" s="121"/>
      <c r="T400" s="93">
        <f t="shared" si="56"/>
        <v>0</v>
      </c>
      <c r="U400" s="122"/>
      <c r="V400" s="94">
        <f t="shared" ca="1" si="71"/>
        <v>42.464444791665301</v>
      </c>
      <c r="W400" s="89">
        <f t="shared" si="72"/>
        <v>0</v>
      </c>
    </row>
    <row r="401" spans="1:23" ht="18">
      <c r="A401" s="115"/>
      <c r="B401" s="66" t="s">
        <v>505</v>
      </c>
      <c r="C401" s="175" t="s">
        <v>55</v>
      </c>
      <c r="D401" s="131" t="s">
        <v>881</v>
      </c>
      <c r="E401" s="245">
        <v>290</v>
      </c>
      <c r="F401" s="97">
        <v>44980</v>
      </c>
      <c r="G401" s="252">
        <v>4.8470000000000004</v>
      </c>
      <c r="H401" s="257">
        <v>245985.25000000003</v>
      </c>
      <c r="I401" s="106">
        <f t="shared" si="52"/>
        <v>50750</v>
      </c>
      <c r="J401" s="122"/>
      <c r="K401" s="157">
        <v>791</v>
      </c>
      <c r="L401" s="166">
        <f t="shared" si="79"/>
        <v>290</v>
      </c>
      <c r="M401" s="119" t="s">
        <v>910</v>
      </c>
      <c r="N401" s="115">
        <v>4.4589999999999996</v>
      </c>
      <c r="O401" s="122"/>
      <c r="P401" s="92">
        <f t="shared" si="53"/>
        <v>4.4592400000000003</v>
      </c>
      <c r="Q401" s="113">
        <f t="shared" si="54"/>
        <v>0.218115</v>
      </c>
      <c r="R401" s="92">
        <f t="shared" si="55"/>
        <v>0.16964500000000002</v>
      </c>
      <c r="S401" s="121"/>
      <c r="T401" s="93">
        <f t="shared" si="56"/>
        <v>2.4000000000076738E-4</v>
      </c>
      <c r="U401" s="122"/>
      <c r="V401" s="94">
        <f t="shared" ca="1" si="71"/>
        <v>42.464444791665301</v>
      </c>
      <c r="W401" s="89">
        <f t="shared" si="72"/>
        <v>2.6086956521822541E-4</v>
      </c>
    </row>
    <row r="402" spans="1:23" ht="18">
      <c r="A402" s="115"/>
      <c r="B402" s="66" t="s">
        <v>505</v>
      </c>
      <c r="C402" s="175" t="s">
        <v>55</v>
      </c>
      <c r="D402" s="131" t="s">
        <v>882</v>
      </c>
      <c r="E402" s="245">
        <v>291</v>
      </c>
      <c r="F402" s="97">
        <v>44980</v>
      </c>
      <c r="G402" s="252">
        <v>12.093</v>
      </c>
      <c r="H402" s="257">
        <v>613719.75</v>
      </c>
      <c r="I402" s="106">
        <f t="shared" si="52"/>
        <v>50750</v>
      </c>
      <c r="J402" s="122"/>
      <c r="K402" s="157">
        <v>792</v>
      </c>
      <c r="L402" s="166">
        <f t="shared" si="79"/>
        <v>291</v>
      </c>
      <c r="M402" s="119" t="s">
        <v>910</v>
      </c>
      <c r="N402" s="115">
        <v>11.125999999999999</v>
      </c>
      <c r="O402" s="122"/>
      <c r="P402" s="92">
        <f t="shared" si="53"/>
        <v>11.12556</v>
      </c>
      <c r="Q402" s="113">
        <f t="shared" si="54"/>
        <v>0.54418500000000003</v>
      </c>
      <c r="R402" s="92">
        <f t="shared" si="55"/>
        <v>0.42325500000000005</v>
      </c>
      <c r="S402" s="121"/>
      <c r="T402" s="93">
        <f t="shared" si="56"/>
        <v>-4.3999999999955186E-4</v>
      </c>
      <c r="U402" s="122"/>
      <c r="V402" s="94">
        <f t="shared" ca="1" si="71"/>
        <v>42.464444791665301</v>
      </c>
      <c r="W402" s="89">
        <f t="shared" si="72"/>
        <v>-4.7826086956473027E-4</v>
      </c>
    </row>
    <row r="403" spans="1:23" ht="18">
      <c r="A403" s="115"/>
      <c r="B403" s="66" t="s">
        <v>505</v>
      </c>
      <c r="C403" s="175" t="s">
        <v>55</v>
      </c>
      <c r="D403" s="131" t="s">
        <v>883</v>
      </c>
      <c r="E403" s="245">
        <v>292</v>
      </c>
      <c r="F403" s="97">
        <v>44980</v>
      </c>
      <c r="G403" s="252">
        <v>34.1</v>
      </c>
      <c r="H403" s="257">
        <v>1862201</v>
      </c>
      <c r="I403" s="106">
        <f t="shared" si="52"/>
        <v>54610</v>
      </c>
      <c r="J403" s="122"/>
      <c r="K403" s="157" t="s">
        <v>914</v>
      </c>
      <c r="L403" s="166">
        <f t="shared" si="79"/>
        <v>292</v>
      </c>
      <c r="M403" s="119" t="s">
        <v>915</v>
      </c>
      <c r="N403" s="115">
        <f>24.443+6.929</f>
        <v>31.372</v>
      </c>
      <c r="O403" s="122"/>
      <c r="P403" s="92">
        <f t="shared" si="53"/>
        <v>31.372000000000003</v>
      </c>
      <c r="Q403" s="113">
        <f t="shared" si="54"/>
        <v>1.5345</v>
      </c>
      <c r="R403" s="92">
        <f t="shared" si="55"/>
        <v>1.1935000000000002</v>
      </c>
      <c r="S403" s="121"/>
      <c r="T403" s="93">
        <f t="shared" si="56"/>
        <v>0</v>
      </c>
      <c r="U403" s="122"/>
      <c r="V403" s="94">
        <f t="shared" ca="1" si="71"/>
        <v>42.464444791665301</v>
      </c>
      <c r="W403" s="89">
        <f t="shared" si="72"/>
        <v>0</v>
      </c>
    </row>
    <row r="404" spans="1:23" ht="18">
      <c r="A404" s="115"/>
      <c r="B404" s="66" t="s">
        <v>505</v>
      </c>
      <c r="C404" s="175" t="s">
        <v>55</v>
      </c>
      <c r="D404" s="131" t="s">
        <v>883</v>
      </c>
      <c r="E404" s="245">
        <v>293</v>
      </c>
      <c r="F404" s="97">
        <v>44980</v>
      </c>
      <c r="G404" s="252">
        <v>14.86</v>
      </c>
      <c r="H404" s="257">
        <v>811504.6</v>
      </c>
      <c r="I404" s="106">
        <f t="shared" si="52"/>
        <v>54610</v>
      </c>
      <c r="J404" s="122"/>
      <c r="K404" s="157" t="s">
        <v>916</v>
      </c>
      <c r="L404" s="166">
        <f t="shared" si="79"/>
        <v>293</v>
      </c>
      <c r="M404" s="119" t="s">
        <v>917</v>
      </c>
      <c r="N404" s="115">
        <f>0.49+13.181</f>
        <v>13.670999999999999</v>
      </c>
      <c r="O404" s="122"/>
      <c r="P404" s="92">
        <f t="shared" si="53"/>
        <v>13.671200000000001</v>
      </c>
      <c r="Q404" s="113">
        <f t="shared" si="54"/>
        <v>0.66869999999999996</v>
      </c>
      <c r="R404" s="92">
        <f t="shared" si="55"/>
        <v>0.52010000000000001</v>
      </c>
      <c r="S404" s="121"/>
      <c r="T404" s="93">
        <f t="shared" si="56"/>
        <v>2.00000000000089E-4</v>
      </c>
      <c r="U404" s="122"/>
      <c r="V404" s="94">
        <f t="shared" ca="1" si="71"/>
        <v>42.464444791665301</v>
      </c>
      <c r="W404" s="89">
        <f t="shared" si="72"/>
        <v>2.1739130434792281E-4</v>
      </c>
    </row>
    <row r="405" spans="1:23" ht="18">
      <c r="A405" s="115"/>
      <c r="B405" s="66" t="s">
        <v>505</v>
      </c>
      <c r="C405" s="175" t="s">
        <v>55</v>
      </c>
      <c r="D405" s="131" t="s">
        <v>883</v>
      </c>
      <c r="E405" s="245">
        <v>294</v>
      </c>
      <c r="F405" s="97">
        <v>44980</v>
      </c>
      <c r="G405" s="252">
        <v>31.93</v>
      </c>
      <c r="H405" s="257">
        <v>1743697.3</v>
      </c>
      <c r="I405" s="106">
        <f t="shared" si="52"/>
        <v>54610</v>
      </c>
      <c r="J405" s="122"/>
      <c r="K405" s="157" t="s">
        <v>918</v>
      </c>
      <c r="L405" s="166">
        <f t="shared" si="79"/>
        <v>294</v>
      </c>
      <c r="M405" s="119" t="s">
        <v>919</v>
      </c>
      <c r="N405" s="115">
        <f>24.279+5.097</f>
        <v>29.376000000000001</v>
      </c>
      <c r="O405" s="122"/>
      <c r="P405" s="92">
        <f t="shared" si="53"/>
        <v>29.375600000000002</v>
      </c>
      <c r="Q405" s="113">
        <f t="shared" si="54"/>
        <v>1.43685</v>
      </c>
      <c r="R405" s="92">
        <f t="shared" si="55"/>
        <v>1.11755</v>
      </c>
      <c r="S405" s="121"/>
      <c r="T405" s="93">
        <f t="shared" si="56"/>
        <v>-4.0000000000151026E-4</v>
      </c>
      <c r="U405" s="122"/>
      <c r="V405" s="94">
        <f t="shared" ca="1" si="71"/>
        <v>42.464444791665301</v>
      </c>
      <c r="W405" s="89">
        <f t="shared" si="72"/>
        <v>-4.3478260869729378E-4</v>
      </c>
    </row>
    <row r="406" spans="1:23" ht="18">
      <c r="A406" s="115"/>
      <c r="B406" s="66" t="s">
        <v>505</v>
      </c>
      <c r="C406" s="175" t="s">
        <v>55</v>
      </c>
      <c r="D406" s="131" t="s">
        <v>883</v>
      </c>
      <c r="E406" s="245">
        <v>295</v>
      </c>
      <c r="F406" s="97">
        <v>44980</v>
      </c>
      <c r="G406" s="252">
        <v>31.75</v>
      </c>
      <c r="H406" s="257">
        <v>1733867.5</v>
      </c>
      <c r="I406" s="106">
        <f t="shared" si="52"/>
        <v>54610</v>
      </c>
      <c r="J406" s="122"/>
      <c r="K406" s="157" t="s">
        <v>920</v>
      </c>
      <c r="L406" s="166">
        <f t="shared" si="79"/>
        <v>295</v>
      </c>
      <c r="M406" s="119" t="s">
        <v>921</v>
      </c>
      <c r="N406" s="115">
        <f>18.553+10.657</f>
        <v>29.21</v>
      </c>
      <c r="O406" s="122"/>
      <c r="P406" s="92">
        <f t="shared" si="53"/>
        <v>29.21</v>
      </c>
      <c r="Q406" s="113">
        <f t="shared" si="54"/>
        <v>1.42875</v>
      </c>
      <c r="R406" s="92">
        <f t="shared" si="55"/>
        <v>1.1112500000000001</v>
      </c>
      <c r="S406" s="121"/>
      <c r="T406" s="93">
        <f t="shared" si="56"/>
        <v>0</v>
      </c>
      <c r="U406" s="122"/>
      <c r="V406" s="94">
        <f t="shared" ca="1" si="71"/>
        <v>42.464444791665301</v>
      </c>
      <c r="W406" s="89">
        <f t="shared" si="72"/>
        <v>0</v>
      </c>
    </row>
    <row r="407" spans="1:23" ht="18">
      <c r="A407" s="115"/>
      <c r="B407" s="66" t="s">
        <v>505</v>
      </c>
      <c r="C407" s="175" t="s">
        <v>55</v>
      </c>
      <c r="D407" s="131" t="s">
        <v>883</v>
      </c>
      <c r="E407" s="245">
        <v>296</v>
      </c>
      <c r="F407" s="97">
        <v>44980</v>
      </c>
      <c r="G407" s="252">
        <v>31.97</v>
      </c>
      <c r="H407" s="257">
        <v>1745881.7</v>
      </c>
      <c r="I407" s="106">
        <f t="shared" si="52"/>
        <v>54610</v>
      </c>
      <c r="J407" s="122"/>
      <c r="K407" s="157" t="s">
        <v>922</v>
      </c>
      <c r="L407" s="166">
        <f>E407</f>
        <v>296</v>
      </c>
      <c r="M407" s="119" t="s">
        <v>923</v>
      </c>
      <c r="N407" s="115">
        <f>24.314+5.098</f>
        <v>29.411999999999999</v>
      </c>
      <c r="O407" s="122"/>
      <c r="P407" s="92">
        <f t="shared" si="53"/>
        <v>29.412400000000002</v>
      </c>
      <c r="Q407" s="113">
        <f t="shared" si="54"/>
        <v>1.43865</v>
      </c>
      <c r="R407" s="92">
        <f t="shared" si="55"/>
        <v>1.1189500000000001</v>
      </c>
      <c r="S407" s="121"/>
      <c r="T407" s="93">
        <f t="shared" si="56"/>
        <v>3.999999999997339E-4</v>
      </c>
      <c r="U407" s="122"/>
      <c r="V407" s="94">
        <f t="shared" ca="1" si="71"/>
        <v>42.464444791665301</v>
      </c>
      <c r="W407" s="89">
        <f t="shared" si="72"/>
        <v>4.3478260869536292E-4</v>
      </c>
    </row>
    <row r="408" spans="1:23" ht="18">
      <c r="A408" s="115"/>
      <c r="B408" s="66" t="s">
        <v>505</v>
      </c>
      <c r="C408" s="175" t="s">
        <v>55</v>
      </c>
      <c r="D408" s="131" t="s">
        <v>883</v>
      </c>
      <c r="E408" s="245">
        <v>297</v>
      </c>
      <c r="F408" s="97">
        <v>44980</v>
      </c>
      <c r="G408" s="252">
        <v>31.72</v>
      </c>
      <c r="H408" s="257">
        <v>1732229.2</v>
      </c>
      <c r="I408" s="106">
        <f t="shared" si="52"/>
        <v>54610</v>
      </c>
      <c r="J408" s="122"/>
      <c r="K408" s="157" t="s">
        <v>924</v>
      </c>
      <c r="L408" s="166">
        <f t="shared" si="79"/>
        <v>297</v>
      </c>
      <c r="M408" s="119" t="s">
        <v>925</v>
      </c>
      <c r="N408" s="115">
        <f>12.808+1.935+14.439</f>
        <v>29.182000000000002</v>
      </c>
      <c r="O408" s="122"/>
      <c r="P408" s="92">
        <f t="shared" si="53"/>
        <v>29.182400000000001</v>
      </c>
      <c r="Q408" s="113">
        <f t="shared" si="54"/>
        <v>1.4274</v>
      </c>
      <c r="R408" s="92">
        <f t="shared" si="55"/>
        <v>1.1102000000000001</v>
      </c>
      <c r="S408" s="121"/>
      <c r="T408" s="93">
        <f t="shared" si="56"/>
        <v>3.9999999999662528E-4</v>
      </c>
      <c r="U408" s="122"/>
      <c r="V408" s="94">
        <f t="shared" ca="1" si="71"/>
        <v>42.464444791665301</v>
      </c>
      <c r="W408" s="89">
        <f t="shared" si="72"/>
        <v>4.3478260869198401E-4</v>
      </c>
    </row>
    <row r="409" spans="1:23" ht="18">
      <c r="A409" s="115"/>
      <c r="B409" s="66" t="s">
        <v>505</v>
      </c>
      <c r="C409" s="175" t="s">
        <v>55</v>
      </c>
      <c r="D409" s="131" t="s">
        <v>883</v>
      </c>
      <c r="E409" s="245">
        <v>298</v>
      </c>
      <c r="F409" s="97">
        <v>44980</v>
      </c>
      <c r="G409" s="252">
        <v>34.07</v>
      </c>
      <c r="H409" s="257">
        <v>1860562.7</v>
      </c>
      <c r="I409" s="106">
        <f t="shared" si="52"/>
        <v>54610</v>
      </c>
      <c r="J409" s="122"/>
      <c r="K409" s="157" t="s">
        <v>926</v>
      </c>
      <c r="L409" s="166">
        <f t="shared" si="79"/>
        <v>298</v>
      </c>
      <c r="M409" s="119" t="s">
        <v>927</v>
      </c>
      <c r="N409" s="115">
        <f>10.032+15.994+5.318</f>
        <v>31.344000000000001</v>
      </c>
      <c r="O409" s="122"/>
      <c r="P409" s="92">
        <f t="shared" si="53"/>
        <v>31.3444</v>
      </c>
      <c r="Q409" s="113">
        <f t="shared" si="54"/>
        <v>1.53315</v>
      </c>
      <c r="R409" s="92">
        <f t="shared" si="55"/>
        <v>1.1924500000000002</v>
      </c>
      <c r="S409" s="121"/>
      <c r="T409" s="93">
        <f t="shared" si="56"/>
        <v>3.9999999999884572E-4</v>
      </c>
      <c r="U409" s="122"/>
      <c r="V409" s="94">
        <f t="shared" ca="1" si="71"/>
        <v>42.464444791665301</v>
      </c>
      <c r="W409" s="89">
        <f t="shared" si="72"/>
        <v>4.3478260869439755E-4</v>
      </c>
    </row>
    <row r="410" spans="1:23" ht="18">
      <c r="A410" s="115"/>
      <c r="B410" s="66" t="s">
        <v>505</v>
      </c>
      <c r="C410" s="175" t="s">
        <v>55</v>
      </c>
      <c r="D410" s="131" t="s">
        <v>883</v>
      </c>
      <c r="E410" s="245">
        <v>299</v>
      </c>
      <c r="F410" s="97">
        <v>44980</v>
      </c>
      <c r="G410" s="252">
        <v>34.049999999999997</v>
      </c>
      <c r="H410" s="257">
        <v>1859470.4999999998</v>
      </c>
      <c r="I410" s="106">
        <f t="shared" si="52"/>
        <v>54610</v>
      </c>
      <c r="J410" s="122"/>
      <c r="K410" s="157" t="s">
        <v>973</v>
      </c>
      <c r="L410" s="166">
        <f t="shared" si="79"/>
        <v>299</v>
      </c>
      <c r="M410" s="119" t="s">
        <v>974</v>
      </c>
      <c r="N410" s="115">
        <f>19.297+3.126+8.903</f>
        <v>31.326000000000001</v>
      </c>
      <c r="O410" s="122"/>
      <c r="P410" s="92">
        <f t="shared" si="53"/>
        <v>31.326000000000001</v>
      </c>
      <c r="Q410" s="113">
        <f t="shared" si="54"/>
        <v>1.5322499999999999</v>
      </c>
      <c r="R410" s="92">
        <f t="shared" si="55"/>
        <v>1.1917500000000001</v>
      </c>
      <c r="S410" s="121"/>
      <c r="T410" s="93">
        <f t="shared" si="56"/>
        <v>-3.3306690738754696E-15</v>
      </c>
      <c r="U410" s="122"/>
      <c r="V410" s="94">
        <f t="shared" ca="1" si="71"/>
        <v>42.464444791665301</v>
      </c>
      <c r="W410" s="89">
        <f t="shared" si="72"/>
        <v>-3.6202924716037714E-15</v>
      </c>
    </row>
    <row r="411" spans="1:23" ht="18">
      <c r="A411" s="115"/>
      <c r="B411" s="66" t="s">
        <v>505</v>
      </c>
      <c r="C411" s="175" t="s">
        <v>55</v>
      </c>
      <c r="D411" s="131" t="s">
        <v>883</v>
      </c>
      <c r="E411" s="245">
        <v>300</v>
      </c>
      <c r="F411" s="97">
        <v>44980</v>
      </c>
      <c r="G411" s="252">
        <v>31.94</v>
      </c>
      <c r="H411" s="257">
        <v>1744243.4000000001</v>
      </c>
      <c r="I411" s="106">
        <f t="shared" si="52"/>
        <v>54610</v>
      </c>
      <c r="J411" s="122"/>
      <c r="K411" s="157" t="s">
        <v>975</v>
      </c>
      <c r="L411" s="166">
        <f t="shared" si="79"/>
        <v>300</v>
      </c>
      <c r="M411" s="119" t="s">
        <v>976</v>
      </c>
      <c r="N411" s="115">
        <f>24.36+5.025</f>
        <v>29.384999999999998</v>
      </c>
      <c r="O411" s="122"/>
      <c r="P411" s="92">
        <f t="shared" si="53"/>
        <v>29.384800000000002</v>
      </c>
      <c r="Q411" s="113">
        <f t="shared" si="54"/>
        <v>1.4373</v>
      </c>
      <c r="R411" s="92">
        <f t="shared" si="55"/>
        <v>1.1179000000000001</v>
      </c>
      <c r="S411" s="121"/>
      <c r="T411" s="93">
        <f t="shared" si="56"/>
        <v>-1.9999999999686935E-4</v>
      </c>
      <c r="U411" s="122"/>
      <c r="V411" s="94">
        <f t="shared" ca="1" si="71"/>
        <v>42.464444791665301</v>
      </c>
      <c r="W411" s="89">
        <f t="shared" si="72"/>
        <v>-2.1739130434442322E-4</v>
      </c>
    </row>
    <row r="412" spans="1:23" ht="18">
      <c r="A412" s="115"/>
      <c r="B412" s="66" t="s">
        <v>505</v>
      </c>
      <c r="C412" s="175" t="s">
        <v>55</v>
      </c>
      <c r="D412" s="131" t="s">
        <v>883</v>
      </c>
      <c r="E412" s="245">
        <v>301</v>
      </c>
      <c r="F412" s="97">
        <v>44980</v>
      </c>
      <c r="G412" s="252">
        <v>33.9</v>
      </c>
      <c r="H412" s="257">
        <v>1851279</v>
      </c>
      <c r="I412" s="106">
        <f t="shared" si="52"/>
        <v>54610</v>
      </c>
      <c r="J412" s="122"/>
      <c r="K412" s="157" t="s">
        <v>977</v>
      </c>
      <c r="L412" s="166">
        <f t="shared" si="79"/>
        <v>301</v>
      </c>
      <c r="M412" s="119" t="s">
        <v>978</v>
      </c>
      <c r="N412" s="115">
        <f>10.517+20.671</f>
        <v>31.187999999999999</v>
      </c>
      <c r="O412" s="122"/>
      <c r="P412" s="92">
        <f t="shared" si="53"/>
        <v>31.187999999999999</v>
      </c>
      <c r="Q412" s="113">
        <f t="shared" si="54"/>
        <v>1.5254999999999999</v>
      </c>
      <c r="R412" s="92">
        <f t="shared" si="55"/>
        <v>1.1865000000000001</v>
      </c>
      <c r="S412" s="121"/>
      <c r="T412" s="93">
        <f t="shared" si="56"/>
        <v>0</v>
      </c>
      <c r="U412" s="122"/>
      <c r="V412" s="94">
        <f t="shared" ca="1" si="71"/>
        <v>42.464444791665301</v>
      </c>
      <c r="W412" s="89">
        <f t="shared" si="72"/>
        <v>0</v>
      </c>
    </row>
    <row r="413" spans="1:23" ht="18">
      <c r="A413" s="115"/>
      <c r="B413" s="66" t="s">
        <v>505</v>
      </c>
      <c r="C413" s="175" t="s">
        <v>55</v>
      </c>
      <c r="D413" s="131" t="s">
        <v>883</v>
      </c>
      <c r="E413" s="245">
        <v>302</v>
      </c>
      <c r="F413" s="97">
        <v>44980</v>
      </c>
      <c r="G413" s="252">
        <v>31.93</v>
      </c>
      <c r="H413" s="257">
        <v>1743697.3</v>
      </c>
      <c r="I413" s="106">
        <f t="shared" si="52"/>
        <v>54610</v>
      </c>
      <c r="J413" s="122"/>
      <c r="K413" s="157" t="s">
        <v>979</v>
      </c>
      <c r="L413" s="166">
        <f t="shared" si="79"/>
        <v>302</v>
      </c>
      <c r="M413" s="119" t="s">
        <v>980</v>
      </c>
      <c r="N413" s="115">
        <f>3.817+24.694+0.865</f>
        <v>29.375999999999998</v>
      </c>
      <c r="O413" s="122"/>
      <c r="P413" s="92">
        <f t="shared" si="53"/>
        <v>29.375600000000002</v>
      </c>
      <c r="Q413" s="113">
        <f t="shared" si="54"/>
        <v>1.43685</v>
      </c>
      <c r="R413" s="92">
        <f t="shared" si="55"/>
        <v>1.11755</v>
      </c>
      <c r="S413" s="121"/>
      <c r="T413" s="93">
        <f t="shared" si="56"/>
        <v>-3.9999999999795754E-4</v>
      </c>
      <c r="U413" s="122"/>
      <c r="V413" s="94">
        <f t="shared" ca="1" si="71"/>
        <v>42.464444791665301</v>
      </c>
      <c r="W413" s="89">
        <f t="shared" si="72"/>
        <v>-4.3478260869343212E-4</v>
      </c>
    </row>
    <row r="414" spans="1:23" ht="18">
      <c r="A414" s="115"/>
      <c r="B414" s="66" t="s">
        <v>505</v>
      </c>
      <c r="C414" s="175" t="s">
        <v>55</v>
      </c>
      <c r="D414" s="131" t="s">
        <v>883</v>
      </c>
      <c r="E414" s="245">
        <v>303</v>
      </c>
      <c r="F414" s="97">
        <v>44980</v>
      </c>
      <c r="G414" s="252">
        <v>31.8</v>
      </c>
      <c r="H414" s="257">
        <v>1736598</v>
      </c>
      <c r="I414" s="106">
        <f t="shared" si="52"/>
        <v>54610</v>
      </c>
      <c r="J414" s="122"/>
      <c r="K414" s="157" t="s">
        <v>981</v>
      </c>
      <c r="L414" s="166">
        <f t="shared" si="79"/>
        <v>303</v>
      </c>
      <c r="M414" s="119" t="s">
        <v>982</v>
      </c>
      <c r="N414" s="115">
        <f>23.839+5.417</f>
        <v>29.256</v>
      </c>
      <c r="O414" s="122"/>
      <c r="P414" s="92">
        <f t="shared" si="53"/>
        <v>29.256</v>
      </c>
      <c r="Q414" s="113">
        <f t="shared" si="54"/>
        <v>1.431</v>
      </c>
      <c r="R414" s="92">
        <f t="shared" si="55"/>
        <v>1.1130000000000002</v>
      </c>
      <c r="S414" s="121"/>
      <c r="T414" s="93">
        <f t="shared" si="56"/>
        <v>0</v>
      </c>
      <c r="U414" s="122"/>
      <c r="V414" s="94">
        <f t="shared" ca="1" si="71"/>
        <v>42.464444791665301</v>
      </c>
      <c r="W414" s="89">
        <f t="shared" si="72"/>
        <v>0</v>
      </c>
    </row>
    <row r="415" spans="1:23" ht="18">
      <c r="A415" s="115"/>
      <c r="B415" s="66" t="s">
        <v>505</v>
      </c>
      <c r="C415" s="175" t="s">
        <v>55</v>
      </c>
      <c r="D415" s="131" t="s">
        <v>883</v>
      </c>
      <c r="E415" s="245">
        <v>304</v>
      </c>
      <c r="F415" s="97">
        <v>44980</v>
      </c>
      <c r="G415" s="252">
        <v>33.880000000000003</v>
      </c>
      <c r="H415" s="257">
        <v>1850186.8</v>
      </c>
      <c r="I415" s="106">
        <f t="shared" si="52"/>
        <v>54610</v>
      </c>
      <c r="J415" s="122"/>
      <c r="K415" s="157" t="s">
        <v>983</v>
      </c>
      <c r="L415" s="166">
        <f t="shared" si="79"/>
        <v>304</v>
      </c>
      <c r="M415" s="119" t="s">
        <v>982</v>
      </c>
      <c r="N415" s="115">
        <f>19.126+12.044</f>
        <v>31.17</v>
      </c>
      <c r="O415" s="122"/>
      <c r="P415" s="92">
        <f t="shared" si="53"/>
        <v>31.169600000000003</v>
      </c>
      <c r="Q415" s="113">
        <f t="shared" si="54"/>
        <v>1.5246</v>
      </c>
      <c r="R415" s="92">
        <f t="shared" si="55"/>
        <v>1.1858000000000002</v>
      </c>
      <c r="S415" s="121"/>
      <c r="T415" s="93">
        <f t="shared" si="56"/>
        <v>-3.9999999999928981E-4</v>
      </c>
      <c r="U415" s="122"/>
      <c r="V415" s="94">
        <f t="shared" ca="1" si="71"/>
        <v>42.464444791665301</v>
      </c>
      <c r="W415" s="89">
        <f t="shared" si="72"/>
        <v>-4.3478260869488018E-4</v>
      </c>
    </row>
    <row r="416" spans="1:23" ht="18">
      <c r="A416" s="115"/>
      <c r="B416" s="66" t="s">
        <v>505</v>
      </c>
      <c r="C416" s="175" t="s">
        <v>55</v>
      </c>
      <c r="D416" s="131" t="s">
        <v>883</v>
      </c>
      <c r="E416" s="245">
        <v>305</v>
      </c>
      <c r="F416" s="97">
        <v>44980</v>
      </c>
      <c r="G416" s="252">
        <v>31.91</v>
      </c>
      <c r="H416" s="257">
        <v>1742605.1</v>
      </c>
      <c r="I416" s="106">
        <f t="shared" si="52"/>
        <v>54610</v>
      </c>
      <c r="J416" s="122"/>
      <c r="K416" s="157" t="s">
        <v>984</v>
      </c>
      <c r="L416" s="166">
        <f t="shared" si="79"/>
        <v>305</v>
      </c>
      <c r="M416" s="119" t="s">
        <v>982</v>
      </c>
      <c r="N416" s="115">
        <f>12.174+17.183</f>
        <v>29.356999999999999</v>
      </c>
      <c r="O416" s="122"/>
      <c r="P416" s="92">
        <f t="shared" ref="P416:P444" si="80">G416*0.92</f>
        <v>29.357200000000002</v>
      </c>
      <c r="Q416" s="113">
        <f t="shared" ref="Q416:Q444" si="81">G416*4.5%</f>
        <v>1.4359500000000001</v>
      </c>
      <c r="R416" s="92">
        <f t="shared" ref="R416:R444" si="82">G416*3.5%</f>
        <v>1.1168500000000001</v>
      </c>
      <c r="S416" s="121"/>
      <c r="T416" s="93">
        <f t="shared" ref="T416:T444" si="83">G416-N416-Q416-R416</f>
        <v>2.0000000000064411E-4</v>
      </c>
      <c r="U416" s="122"/>
      <c r="V416" s="94">
        <f t="shared" ref="V416:V444" ca="1" si="84">360-($V$3-F416)</f>
        <v>42.464444791665301</v>
      </c>
      <c r="W416" s="89">
        <f t="shared" ref="W416:W444" si="85">T416/0.92%/100</f>
        <v>2.1739130434852622E-4</v>
      </c>
    </row>
    <row r="417" spans="1:23" ht="18">
      <c r="A417" s="115"/>
      <c r="B417" s="66" t="s">
        <v>505</v>
      </c>
      <c r="C417" s="175" t="s">
        <v>55</v>
      </c>
      <c r="D417" s="131" t="s">
        <v>883</v>
      </c>
      <c r="E417" s="245">
        <v>306</v>
      </c>
      <c r="F417" s="97">
        <v>44980</v>
      </c>
      <c r="G417" s="252">
        <v>33.83</v>
      </c>
      <c r="H417" s="257">
        <v>1847456.2999999998</v>
      </c>
      <c r="I417" s="106">
        <f t="shared" si="52"/>
        <v>54610</v>
      </c>
      <c r="J417" s="122"/>
      <c r="K417" s="157" t="s">
        <v>985</v>
      </c>
      <c r="L417" s="166">
        <f t="shared" si="79"/>
        <v>306</v>
      </c>
      <c r="M417" s="119" t="s">
        <v>986</v>
      </c>
      <c r="N417" s="115">
        <f>7.393+7.92+15.811</f>
        <v>31.123999999999999</v>
      </c>
      <c r="O417" s="122"/>
      <c r="P417" s="92">
        <f t="shared" si="80"/>
        <v>31.1236</v>
      </c>
      <c r="Q417" s="113">
        <f t="shared" si="81"/>
        <v>1.5223499999999999</v>
      </c>
      <c r="R417" s="92">
        <f t="shared" si="82"/>
        <v>1.18405</v>
      </c>
      <c r="S417" s="121"/>
      <c r="T417" s="93">
        <f t="shared" si="83"/>
        <v>-4.0000000000040004E-4</v>
      </c>
      <c r="U417" s="122"/>
      <c r="V417" s="94">
        <f t="shared" ca="1" si="84"/>
        <v>42.464444791665301</v>
      </c>
      <c r="W417" s="89">
        <f t="shared" si="85"/>
        <v>-4.3478260869608701E-4</v>
      </c>
    </row>
    <row r="418" spans="1:23" ht="18">
      <c r="A418" s="115"/>
      <c r="B418" s="66" t="s">
        <v>505</v>
      </c>
      <c r="C418" s="175" t="s">
        <v>55</v>
      </c>
      <c r="D418" s="131" t="s">
        <v>883</v>
      </c>
      <c r="E418" s="245">
        <v>307</v>
      </c>
      <c r="F418" s="97">
        <v>44980</v>
      </c>
      <c r="G418" s="252">
        <v>31.74</v>
      </c>
      <c r="H418" s="257">
        <v>1733321.4</v>
      </c>
      <c r="I418" s="106">
        <f t="shared" si="52"/>
        <v>54610</v>
      </c>
      <c r="J418" s="122"/>
      <c r="K418" s="157" t="s">
        <v>987</v>
      </c>
      <c r="L418" s="166">
        <f t="shared" si="79"/>
        <v>307</v>
      </c>
      <c r="M418" s="119" t="s">
        <v>988</v>
      </c>
      <c r="N418" s="115">
        <f>24.444+4.757</f>
        <v>29.201000000000001</v>
      </c>
      <c r="O418" s="122"/>
      <c r="P418" s="92">
        <f t="shared" si="80"/>
        <v>29.200800000000001</v>
      </c>
      <c r="Q418" s="113">
        <f t="shared" si="81"/>
        <v>1.4282999999999999</v>
      </c>
      <c r="R418" s="92">
        <f t="shared" si="82"/>
        <v>1.1109</v>
      </c>
      <c r="S418" s="121"/>
      <c r="T418" s="93">
        <f t="shared" si="83"/>
        <v>-2.0000000000197637E-4</v>
      </c>
      <c r="U418" s="122"/>
      <c r="V418" s="94">
        <f t="shared" ca="1" si="84"/>
        <v>42.464444791665301</v>
      </c>
      <c r="W418" s="89">
        <f t="shared" si="85"/>
        <v>-2.1739130434997433E-4</v>
      </c>
    </row>
    <row r="419" spans="1:23" ht="18">
      <c r="A419" s="115"/>
      <c r="B419" s="66" t="s">
        <v>505</v>
      </c>
      <c r="C419" s="175" t="s">
        <v>55</v>
      </c>
      <c r="D419" s="131" t="s">
        <v>883</v>
      </c>
      <c r="E419" s="245">
        <v>308</v>
      </c>
      <c r="F419" s="97">
        <v>44980</v>
      </c>
      <c r="G419" s="252">
        <v>33.880000000000003</v>
      </c>
      <c r="H419" s="257">
        <v>1850186.8</v>
      </c>
      <c r="I419" s="106">
        <f t="shared" si="52"/>
        <v>54610</v>
      </c>
      <c r="J419" s="122"/>
      <c r="K419" s="157" t="s">
        <v>990</v>
      </c>
      <c r="L419" s="166">
        <f t="shared" si="79"/>
        <v>308</v>
      </c>
      <c r="M419" s="119" t="s">
        <v>991</v>
      </c>
      <c r="N419" s="115">
        <f>4.394+24.441+2.335</f>
        <v>31.17</v>
      </c>
      <c r="O419" s="122"/>
      <c r="P419" s="92">
        <f t="shared" si="80"/>
        <v>31.169600000000003</v>
      </c>
      <c r="Q419" s="113">
        <f t="shared" si="81"/>
        <v>1.5246</v>
      </c>
      <c r="R419" s="92">
        <f t="shared" si="82"/>
        <v>1.1858000000000002</v>
      </c>
      <c r="S419" s="121"/>
      <c r="T419" s="93">
        <f t="shared" si="83"/>
        <v>-3.9999999999928981E-4</v>
      </c>
      <c r="U419" s="122"/>
      <c r="V419" s="94">
        <f t="shared" ca="1" si="84"/>
        <v>42.464444791665301</v>
      </c>
      <c r="W419" s="89">
        <f t="shared" si="85"/>
        <v>-4.3478260869488018E-4</v>
      </c>
    </row>
    <row r="420" spans="1:23" ht="18">
      <c r="A420" s="115"/>
      <c r="B420" s="66" t="s">
        <v>505</v>
      </c>
      <c r="C420" s="175" t="s">
        <v>55</v>
      </c>
      <c r="D420" s="131" t="s">
        <v>883</v>
      </c>
      <c r="E420" s="245">
        <v>309</v>
      </c>
      <c r="F420" s="97">
        <v>44980</v>
      </c>
      <c r="G420" s="252">
        <v>31.97</v>
      </c>
      <c r="H420" s="257">
        <v>1745881.7</v>
      </c>
      <c r="I420" s="106">
        <f t="shared" si="52"/>
        <v>54610</v>
      </c>
      <c r="J420" s="122"/>
      <c r="K420" s="157" t="s">
        <v>992</v>
      </c>
      <c r="L420" s="166">
        <f t="shared" si="79"/>
        <v>309</v>
      </c>
      <c r="M420" s="119" t="s">
        <v>989</v>
      </c>
      <c r="N420" s="115">
        <f>20.298+9.114</f>
        <v>29.411999999999999</v>
      </c>
      <c r="O420" s="122"/>
      <c r="P420" s="92">
        <f t="shared" si="80"/>
        <v>29.412400000000002</v>
      </c>
      <c r="Q420" s="113">
        <f t="shared" si="81"/>
        <v>1.43865</v>
      </c>
      <c r="R420" s="92">
        <f t="shared" si="82"/>
        <v>1.1189500000000001</v>
      </c>
      <c r="S420" s="121"/>
      <c r="T420" s="93">
        <f t="shared" si="83"/>
        <v>3.999999999997339E-4</v>
      </c>
      <c r="U420" s="122"/>
      <c r="V420" s="94">
        <f t="shared" ca="1" si="84"/>
        <v>42.464444791665301</v>
      </c>
      <c r="W420" s="89">
        <f t="shared" si="85"/>
        <v>4.3478260869536292E-4</v>
      </c>
    </row>
    <row r="421" spans="1:23" ht="18">
      <c r="A421" s="115"/>
      <c r="B421" s="66" t="s">
        <v>505</v>
      </c>
      <c r="C421" s="175" t="s">
        <v>55</v>
      </c>
      <c r="D421" s="131" t="s">
        <v>883</v>
      </c>
      <c r="E421" s="245">
        <v>310</v>
      </c>
      <c r="F421" s="97">
        <v>44980</v>
      </c>
      <c r="G421" s="252">
        <v>33.880000000000003</v>
      </c>
      <c r="H421" s="257">
        <v>1850186.8</v>
      </c>
      <c r="I421" s="106">
        <f t="shared" si="52"/>
        <v>54610</v>
      </c>
      <c r="J421" s="122"/>
      <c r="K421" s="157" t="s">
        <v>995</v>
      </c>
      <c r="L421" s="166">
        <f t="shared" si="79"/>
        <v>310</v>
      </c>
      <c r="M421" s="119" t="s">
        <v>993</v>
      </c>
      <c r="N421" s="115">
        <f>13.661+4.356+13.153</f>
        <v>31.17</v>
      </c>
      <c r="O421" s="122"/>
      <c r="P421" s="92">
        <f t="shared" si="80"/>
        <v>31.169600000000003</v>
      </c>
      <c r="Q421" s="113">
        <f t="shared" si="81"/>
        <v>1.5246</v>
      </c>
      <c r="R421" s="92">
        <f t="shared" si="82"/>
        <v>1.1858000000000002</v>
      </c>
      <c r="S421" s="121"/>
      <c r="T421" s="93">
        <f t="shared" si="83"/>
        <v>-3.9999999999928981E-4</v>
      </c>
      <c r="U421" s="122"/>
      <c r="V421" s="94">
        <f t="shared" ca="1" si="84"/>
        <v>42.464444791665301</v>
      </c>
      <c r="W421" s="89">
        <f t="shared" si="85"/>
        <v>-4.3478260869488018E-4</v>
      </c>
    </row>
    <row r="422" spans="1:23" ht="18">
      <c r="A422" s="115"/>
      <c r="B422" s="66" t="s">
        <v>505</v>
      </c>
      <c r="C422" s="175" t="s">
        <v>55</v>
      </c>
      <c r="D422" s="131" t="s">
        <v>883</v>
      </c>
      <c r="E422" s="245">
        <v>311</v>
      </c>
      <c r="F422" s="97">
        <v>44980</v>
      </c>
      <c r="G422" s="252">
        <v>31.75</v>
      </c>
      <c r="H422" s="257">
        <v>1733867.5</v>
      </c>
      <c r="I422" s="106">
        <f t="shared" si="52"/>
        <v>54610</v>
      </c>
      <c r="J422" s="122"/>
      <c r="K422" s="157" t="s">
        <v>996</v>
      </c>
      <c r="L422" s="166">
        <f t="shared" si="79"/>
        <v>311</v>
      </c>
      <c r="M422" s="119" t="s">
        <v>994</v>
      </c>
      <c r="N422" s="115">
        <f>2.789+22.14+4.281</f>
        <v>29.21</v>
      </c>
      <c r="O422" s="122"/>
      <c r="P422" s="92">
        <f t="shared" si="80"/>
        <v>29.21</v>
      </c>
      <c r="Q422" s="113">
        <f t="shared" si="81"/>
        <v>1.42875</v>
      </c>
      <c r="R422" s="92">
        <f t="shared" si="82"/>
        <v>1.1112500000000001</v>
      </c>
      <c r="S422" s="121"/>
      <c r="T422" s="93">
        <f t="shared" si="83"/>
        <v>0</v>
      </c>
      <c r="U422" s="122"/>
      <c r="V422" s="94">
        <f t="shared" ca="1" si="84"/>
        <v>42.464444791665301</v>
      </c>
      <c r="W422" s="89">
        <f t="shared" si="85"/>
        <v>0</v>
      </c>
    </row>
    <row r="423" spans="1:23" ht="18">
      <c r="A423" s="115"/>
      <c r="B423" s="66" t="s">
        <v>505</v>
      </c>
      <c r="C423" s="175" t="s">
        <v>55</v>
      </c>
      <c r="D423" s="131" t="s">
        <v>883</v>
      </c>
      <c r="E423" s="245">
        <v>312</v>
      </c>
      <c r="F423" s="97">
        <v>44980</v>
      </c>
      <c r="G423" s="252">
        <v>42.56</v>
      </c>
      <c r="H423" s="257">
        <v>2324201.6</v>
      </c>
      <c r="I423" s="106">
        <f t="shared" si="52"/>
        <v>54610</v>
      </c>
      <c r="J423" s="122"/>
      <c r="K423" s="157" t="s">
        <v>998</v>
      </c>
      <c r="L423" s="166">
        <f t="shared" si="79"/>
        <v>312</v>
      </c>
      <c r="M423" s="119" t="s">
        <v>999</v>
      </c>
      <c r="N423" s="115">
        <f>2.896+1.871+22.434+10.506+1.448</f>
        <v>39.155000000000001</v>
      </c>
      <c r="O423" s="122"/>
      <c r="P423" s="92">
        <f t="shared" si="80"/>
        <v>39.155200000000001</v>
      </c>
      <c r="Q423" s="113">
        <f t="shared" si="81"/>
        <v>1.9152</v>
      </c>
      <c r="R423" s="92">
        <f t="shared" si="82"/>
        <v>1.4896000000000003</v>
      </c>
      <c r="S423" s="121"/>
      <c r="T423" s="93">
        <f t="shared" si="83"/>
        <v>2.0000000000086615E-4</v>
      </c>
      <c r="U423" s="122"/>
      <c r="V423" s="94">
        <f t="shared" ca="1" si="84"/>
        <v>42.464444791665301</v>
      </c>
      <c r="W423" s="89">
        <f t="shared" si="85"/>
        <v>2.1739130434876756E-4</v>
      </c>
    </row>
    <row r="424" spans="1:23" ht="18">
      <c r="A424" s="115"/>
      <c r="B424" s="66" t="s">
        <v>505</v>
      </c>
      <c r="C424" s="175" t="s">
        <v>55</v>
      </c>
      <c r="D424" s="131" t="s">
        <v>883</v>
      </c>
      <c r="E424" s="245">
        <v>313</v>
      </c>
      <c r="F424" s="97">
        <v>44980</v>
      </c>
      <c r="G424" s="252">
        <v>31.86</v>
      </c>
      <c r="H424" s="257">
        <v>1739874.5999999999</v>
      </c>
      <c r="I424" s="106">
        <f t="shared" si="52"/>
        <v>54610</v>
      </c>
      <c r="J424" s="122"/>
      <c r="K424" s="157" t="s">
        <v>1000</v>
      </c>
      <c r="L424" s="166">
        <f t="shared" si="79"/>
        <v>313</v>
      </c>
      <c r="M424" s="119" t="s">
        <v>1001</v>
      </c>
      <c r="N424" s="115">
        <f>3.086+22.538+3.687</f>
        <v>29.311</v>
      </c>
      <c r="O424" s="122"/>
      <c r="P424" s="92">
        <f t="shared" si="80"/>
        <v>29.311199999999999</v>
      </c>
      <c r="Q424" s="113">
        <f t="shared" si="81"/>
        <v>1.4337</v>
      </c>
      <c r="R424" s="92">
        <f t="shared" si="82"/>
        <v>1.1151</v>
      </c>
      <c r="S424" s="121"/>
      <c r="T424" s="93">
        <f t="shared" si="83"/>
        <v>1.9999999999953388E-4</v>
      </c>
      <c r="U424" s="122"/>
      <c r="V424" s="94">
        <f t="shared" ca="1" si="84"/>
        <v>42.464444791665301</v>
      </c>
      <c r="W424" s="89">
        <f t="shared" si="85"/>
        <v>2.1739130434731945E-4</v>
      </c>
    </row>
    <row r="425" spans="1:23" ht="18">
      <c r="A425" s="115"/>
      <c r="B425" s="66" t="s">
        <v>505</v>
      </c>
      <c r="C425" s="175" t="s">
        <v>55</v>
      </c>
      <c r="D425" s="131" t="s">
        <v>883</v>
      </c>
      <c r="E425" s="245">
        <v>314</v>
      </c>
      <c r="F425" s="97">
        <v>44980</v>
      </c>
      <c r="G425" s="252">
        <v>40.24</v>
      </c>
      <c r="H425" s="257">
        <v>2197506.4</v>
      </c>
      <c r="I425" s="106">
        <f t="shared" si="52"/>
        <v>54609.999999999993</v>
      </c>
      <c r="J425" s="122"/>
      <c r="K425" s="157" t="s">
        <v>1002</v>
      </c>
      <c r="L425" s="166">
        <f t="shared" si="79"/>
        <v>314</v>
      </c>
      <c r="M425" s="119" t="s">
        <v>1003</v>
      </c>
      <c r="N425" s="115">
        <f>19.417+17.604</f>
        <v>37.021000000000001</v>
      </c>
      <c r="O425" s="122"/>
      <c r="P425" s="92">
        <f t="shared" si="80"/>
        <v>37.020800000000001</v>
      </c>
      <c r="Q425" s="113">
        <f t="shared" si="81"/>
        <v>1.8108</v>
      </c>
      <c r="R425" s="92">
        <f t="shared" si="82"/>
        <v>1.4084000000000001</v>
      </c>
      <c r="S425" s="121"/>
      <c r="T425" s="93">
        <f t="shared" si="83"/>
        <v>-1.9999999999886775E-4</v>
      </c>
      <c r="U425" s="122"/>
      <c r="V425" s="94">
        <f t="shared" ca="1" si="84"/>
        <v>42.464444791665301</v>
      </c>
      <c r="W425" s="89">
        <f t="shared" si="85"/>
        <v>-2.1739130434659539E-4</v>
      </c>
    </row>
    <row r="426" spans="1:23" ht="18">
      <c r="A426" s="270"/>
      <c r="B426" s="271" t="s">
        <v>505</v>
      </c>
      <c r="C426" s="272" t="s">
        <v>55</v>
      </c>
      <c r="D426" s="273" t="s">
        <v>883</v>
      </c>
      <c r="E426" s="274">
        <v>315</v>
      </c>
      <c r="F426" s="275">
        <v>44980</v>
      </c>
      <c r="G426" s="276">
        <v>31.92</v>
      </c>
      <c r="H426" s="277">
        <v>1743151.2000000002</v>
      </c>
      <c r="I426" s="278">
        <f t="shared" si="52"/>
        <v>54610</v>
      </c>
      <c r="J426" s="270"/>
      <c r="K426" s="279" t="s">
        <v>1004</v>
      </c>
      <c r="L426" s="280">
        <f t="shared" si="79"/>
        <v>315</v>
      </c>
      <c r="M426" s="281" t="s">
        <v>1005</v>
      </c>
      <c r="N426" s="270">
        <f>7.248+22.118</f>
        <v>29.366</v>
      </c>
      <c r="O426" s="270"/>
      <c r="P426" s="282">
        <f t="shared" si="80"/>
        <v>29.366400000000002</v>
      </c>
      <c r="Q426" s="282">
        <f t="shared" si="81"/>
        <v>1.4364000000000001</v>
      </c>
      <c r="R426" s="282">
        <f t="shared" si="82"/>
        <v>1.1172000000000002</v>
      </c>
      <c r="S426" s="283"/>
      <c r="T426" s="282">
        <f t="shared" si="83"/>
        <v>4.000000000017323E-4</v>
      </c>
      <c r="U426" s="270"/>
      <c r="V426" s="284">
        <f t="shared" ca="1" si="84"/>
        <v>42.464444791665301</v>
      </c>
      <c r="W426" s="89">
        <f t="shared" si="85"/>
        <v>4.3478260869753512E-4</v>
      </c>
    </row>
    <row r="427" spans="1:23" ht="18">
      <c r="A427" s="115"/>
      <c r="B427" s="66" t="s">
        <v>505</v>
      </c>
      <c r="C427" s="175" t="s">
        <v>55</v>
      </c>
      <c r="D427" s="131" t="s">
        <v>883</v>
      </c>
      <c r="E427" s="245">
        <v>316</v>
      </c>
      <c r="F427" s="97">
        <v>44980</v>
      </c>
      <c r="G427" s="252">
        <v>31.22</v>
      </c>
      <c r="H427" s="257">
        <v>1704924.2</v>
      </c>
      <c r="I427" s="106">
        <f t="shared" si="52"/>
        <v>54610</v>
      </c>
      <c r="J427" s="122"/>
      <c r="K427" s="157" t="s">
        <v>1006</v>
      </c>
      <c r="L427" s="166">
        <f t="shared" si="79"/>
        <v>316</v>
      </c>
      <c r="M427" s="119" t="s">
        <v>1007</v>
      </c>
      <c r="N427" s="115">
        <f>2.389+3.785+22.548</f>
        <v>28.721999999999998</v>
      </c>
      <c r="O427" s="122"/>
      <c r="P427" s="92">
        <f t="shared" si="80"/>
        <v>28.7224</v>
      </c>
      <c r="Q427" s="113">
        <f t="shared" si="81"/>
        <v>1.4048999999999998</v>
      </c>
      <c r="R427" s="92">
        <f t="shared" si="82"/>
        <v>1.0927</v>
      </c>
      <c r="S427" s="121"/>
      <c r="T427" s="93">
        <f t="shared" si="83"/>
        <v>4.0000000000128821E-4</v>
      </c>
      <c r="U427" s="122"/>
      <c r="V427" s="94">
        <f t="shared" ca="1" si="84"/>
        <v>42.464444791665301</v>
      </c>
      <c r="W427" s="89">
        <f t="shared" si="85"/>
        <v>4.3478260869705244E-4</v>
      </c>
    </row>
    <row r="428" spans="1:23" ht="18">
      <c r="A428" s="115"/>
      <c r="B428" s="66" t="s">
        <v>505</v>
      </c>
      <c r="C428" s="175" t="s">
        <v>55</v>
      </c>
      <c r="D428" s="131" t="s">
        <v>883</v>
      </c>
      <c r="E428" s="245">
        <v>317</v>
      </c>
      <c r="F428" s="97">
        <v>44980</v>
      </c>
      <c r="G428" s="252">
        <v>32.04</v>
      </c>
      <c r="H428" s="257">
        <v>1749704.4</v>
      </c>
      <c r="I428" s="106">
        <f t="shared" si="52"/>
        <v>54610</v>
      </c>
      <c r="J428" s="122"/>
      <c r="K428" s="157" t="s">
        <v>1011</v>
      </c>
      <c r="L428" s="166">
        <f t="shared" si="79"/>
        <v>317</v>
      </c>
      <c r="M428" s="119" t="s">
        <v>1012</v>
      </c>
      <c r="N428" s="115">
        <f>24.488+2.329+2.66</f>
        <v>29.477</v>
      </c>
      <c r="O428" s="122"/>
      <c r="P428" s="92">
        <f t="shared" si="80"/>
        <v>29.476800000000001</v>
      </c>
      <c r="Q428" s="113">
        <f t="shared" si="81"/>
        <v>1.4418</v>
      </c>
      <c r="R428" s="92">
        <f t="shared" si="82"/>
        <v>1.1214000000000002</v>
      </c>
      <c r="S428" s="121"/>
      <c r="T428" s="93">
        <f t="shared" si="83"/>
        <v>-2.0000000000131024E-4</v>
      </c>
      <c r="U428" s="122"/>
      <c r="V428" s="94">
        <f t="shared" ca="1" si="84"/>
        <v>42.464444791665301</v>
      </c>
      <c r="W428" s="89">
        <f t="shared" si="85"/>
        <v>-2.1739130434925025E-4</v>
      </c>
    </row>
    <row r="429" spans="1:23" ht="18">
      <c r="A429" s="115"/>
      <c r="B429" s="66" t="s">
        <v>505</v>
      </c>
      <c r="C429" s="175" t="s">
        <v>55</v>
      </c>
      <c r="D429" s="131" t="s">
        <v>883</v>
      </c>
      <c r="E429" s="245">
        <v>318</v>
      </c>
      <c r="F429" s="97">
        <v>44980</v>
      </c>
      <c r="G429" s="252">
        <v>34.06</v>
      </c>
      <c r="H429" s="257">
        <v>1860016.6</v>
      </c>
      <c r="I429" s="106">
        <f t="shared" si="52"/>
        <v>54610</v>
      </c>
      <c r="J429" s="122"/>
      <c r="K429" s="157" t="s">
        <v>1013</v>
      </c>
      <c r="L429" s="166">
        <f>E429</f>
        <v>318</v>
      </c>
      <c r="M429" s="119" t="s">
        <v>1008</v>
      </c>
      <c r="N429" s="115">
        <f>24.471+6.864</f>
        <v>31.335000000000001</v>
      </c>
      <c r="O429" s="122"/>
      <c r="P429" s="92">
        <f t="shared" si="80"/>
        <v>31.335200000000004</v>
      </c>
      <c r="Q429" s="113">
        <f t="shared" si="81"/>
        <v>1.5327</v>
      </c>
      <c r="R429" s="92">
        <f t="shared" si="82"/>
        <v>1.1921000000000002</v>
      </c>
      <c r="S429" s="121"/>
      <c r="T429" s="93">
        <f t="shared" si="83"/>
        <v>2.0000000000131024E-4</v>
      </c>
      <c r="U429" s="122"/>
      <c r="V429" s="94">
        <f t="shared" ca="1" si="84"/>
        <v>42.464444791665301</v>
      </c>
      <c r="W429" s="89">
        <f t="shared" si="85"/>
        <v>2.1739130434925025E-4</v>
      </c>
    </row>
    <row r="430" spans="1:23" ht="18">
      <c r="A430" s="115"/>
      <c r="B430" s="66" t="s">
        <v>505</v>
      </c>
      <c r="C430" s="175" t="s">
        <v>55</v>
      </c>
      <c r="D430" s="131" t="s">
        <v>883</v>
      </c>
      <c r="E430" s="245">
        <v>319</v>
      </c>
      <c r="F430" s="97">
        <v>44980</v>
      </c>
      <c r="G430" s="252">
        <v>31.79</v>
      </c>
      <c r="H430" s="257">
        <v>1736051.9</v>
      </c>
      <c r="I430" s="106">
        <f t="shared" si="52"/>
        <v>54610</v>
      </c>
      <c r="J430" s="122"/>
      <c r="K430" s="157" t="s">
        <v>185</v>
      </c>
      <c r="L430" s="166">
        <f t="shared" si="79"/>
        <v>319</v>
      </c>
      <c r="M430" s="119" t="s">
        <v>1014</v>
      </c>
      <c r="N430" s="115">
        <f>14.953+14.294</f>
        <v>29.247</v>
      </c>
      <c r="O430" s="122"/>
      <c r="P430" s="92">
        <f t="shared" si="80"/>
        <v>29.2468</v>
      </c>
      <c r="Q430" s="113">
        <f t="shared" si="81"/>
        <v>1.43055</v>
      </c>
      <c r="R430" s="92">
        <f t="shared" si="82"/>
        <v>1.1126500000000001</v>
      </c>
      <c r="S430" s="121"/>
      <c r="T430" s="93">
        <f t="shared" si="83"/>
        <v>-2.0000000000086615E-4</v>
      </c>
      <c r="U430" s="122"/>
      <c r="V430" s="94">
        <f t="shared" ca="1" si="84"/>
        <v>42.464444791665301</v>
      </c>
      <c r="W430" s="89">
        <f t="shared" si="85"/>
        <v>-2.1739130434876756E-4</v>
      </c>
    </row>
    <row r="431" spans="1:23" ht="18">
      <c r="A431" s="115"/>
      <c r="B431" s="66" t="s">
        <v>505</v>
      </c>
      <c r="C431" s="175" t="s">
        <v>55</v>
      </c>
      <c r="D431" s="131" t="s">
        <v>883</v>
      </c>
      <c r="E431" s="245">
        <v>320</v>
      </c>
      <c r="F431" s="97">
        <v>44980</v>
      </c>
      <c r="G431" s="252">
        <v>31.77</v>
      </c>
      <c r="H431" s="257">
        <v>1734959.7</v>
      </c>
      <c r="I431" s="106">
        <f t="shared" si="52"/>
        <v>54610</v>
      </c>
      <c r="J431" s="122"/>
      <c r="K431" s="157" t="s">
        <v>1015</v>
      </c>
      <c r="L431" s="166">
        <f t="shared" si="79"/>
        <v>320</v>
      </c>
      <c r="M431" s="119" t="s">
        <v>1014</v>
      </c>
      <c r="N431" s="115">
        <f>10.674+18.554</f>
        <v>29.227999999999998</v>
      </c>
      <c r="O431" s="122"/>
      <c r="P431" s="92">
        <f t="shared" si="80"/>
        <v>29.228400000000001</v>
      </c>
      <c r="Q431" s="113">
        <f t="shared" si="81"/>
        <v>1.4296499999999999</v>
      </c>
      <c r="R431" s="92">
        <f t="shared" si="82"/>
        <v>1.11195</v>
      </c>
      <c r="S431" s="121"/>
      <c r="T431" s="93">
        <f t="shared" si="83"/>
        <v>4.000000000017323E-4</v>
      </c>
      <c r="U431" s="122"/>
      <c r="V431" s="94">
        <f t="shared" ca="1" si="84"/>
        <v>42.464444791665301</v>
      </c>
      <c r="W431" s="89">
        <f t="shared" si="85"/>
        <v>4.3478260869753512E-4</v>
      </c>
    </row>
    <row r="432" spans="1:23" ht="18">
      <c r="A432" s="115"/>
      <c r="B432" s="66" t="s">
        <v>505</v>
      </c>
      <c r="C432" s="175" t="s">
        <v>55</v>
      </c>
      <c r="D432" s="131" t="s">
        <v>883</v>
      </c>
      <c r="E432" s="245">
        <v>321</v>
      </c>
      <c r="F432" s="97">
        <v>44980</v>
      </c>
      <c r="G432" s="252">
        <v>31.75</v>
      </c>
      <c r="H432" s="257">
        <v>1733867.5</v>
      </c>
      <c r="I432" s="106">
        <f t="shared" si="52"/>
        <v>54610</v>
      </c>
      <c r="J432" s="122"/>
      <c r="K432" s="157" t="s">
        <v>1016</v>
      </c>
      <c r="L432" s="166">
        <f t="shared" si="79"/>
        <v>321</v>
      </c>
      <c r="M432" s="119" t="s">
        <v>1017</v>
      </c>
      <c r="N432" s="115">
        <f>6.204+23.006</f>
        <v>29.21</v>
      </c>
      <c r="O432" s="122"/>
      <c r="P432" s="92">
        <f t="shared" si="80"/>
        <v>29.21</v>
      </c>
      <c r="Q432" s="113">
        <f t="shared" si="81"/>
        <v>1.42875</v>
      </c>
      <c r="R432" s="92">
        <f t="shared" si="82"/>
        <v>1.1112500000000001</v>
      </c>
      <c r="S432" s="121"/>
      <c r="T432" s="93">
        <f t="shared" si="83"/>
        <v>0</v>
      </c>
      <c r="U432" s="122"/>
      <c r="V432" s="94">
        <f t="shared" ca="1" si="84"/>
        <v>42.464444791665301</v>
      </c>
      <c r="W432" s="89">
        <f t="shared" si="85"/>
        <v>0</v>
      </c>
    </row>
    <row r="433" spans="1:23" ht="18">
      <c r="A433" s="115"/>
      <c r="B433" s="66" t="s">
        <v>505</v>
      </c>
      <c r="C433" s="175" t="s">
        <v>55</v>
      </c>
      <c r="D433" s="131" t="s">
        <v>883</v>
      </c>
      <c r="E433" s="245">
        <v>322</v>
      </c>
      <c r="F433" s="97">
        <v>44980</v>
      </c>
      <c r="G433" s="252">
        <v>31.73</v>
      </c>
      <c r="H433" s="257">
        <v>1732775.3</v>
      </c>
      <c r="I433" s="106">
        <f t="shared" si="52"/>
        <v>54610</v>
      </c>
      <c r="J433" s="122"/>
      <c r="K433" s="157" t="s">
        <v>1018</v>
      </c>
      <c r="L433" s="166">
        <f t="shared" si="79"/>
        <v>322</v>
      </c>
      <c r="M433" s="119" t="s">
        <v>1019</v>
      </c>
      <c r="N433" s="115">
        <f>1.482+24.62+3.09</f>
        <v>29.192</v>
      </c>
      <c r="O433" s="122"/>
      <c r="P433" s="92">
        <f t="shared" si="80"/>
        <v>29.191600000000001</v>
      </c>
      <c r="Q433" s="113">
        <f t="shared" si="81"/>
        <v>1.4278500000000001</v>
      </c>
      <c r="R433" s="92">
        <f t="shared" si="82"/>
        <v>1.1105500000000001</v>
      </c>
      <c r="S433" s="121"/>
      <c r="T433" s="93">
        <f t="shared" si="83"/>
        <v>-3.9999999999995595E-4</v>
      </c>
      <c r="U433" s="122"/>
      <c r="V433" s="94">
        <f t="shared" ca="1" si="84"/>
        <v>42.464444791665301</v>
      </c>
      <c r="W433" s="89">
        <f t="shared" si="85"/>
        <v>-4.3478260869560427E-4</v>
      </c>
    </row>
    <row r="434" spans="1:23" ht="18">
      <c r="A434" s="115"/>
      <c r="B434" s="66" t="s">
        <v>505</v>
      </c>
      <c r="C434" s="175" t="s">
        <v>55</v>
      </c>
      <c r="D434" s="131" t="s">
        <v>883</v>
      </c>
      <c r="E434" s="245">
        <v>323</v>
      </c>
      <c r="F434" s="97">
        <v>44980</v>
      </c>
      <c r="G434" s="252">
        <v>32.01</v>
      </c>
      <c r="H434" s="257">
        <v>1748066.0999999999</v>
      </c>
      <c r="I434" s="106">
        <f t="shared" si="52"/>
        <v>54610</v>
      </c>
      <c r="J434" s="122"/>
      <c r="K434" s="157" t="s">
        <v>193</v>
      </c>
      <c r="L434" s="166">
        <f t="shared" si="79"/>
        <v>323</v>
      </c>
      <c r="M434" s="119" t="s">
        <v>1020</v>
      </c>
      <c r="N434" s="115">
        <f>21.308+8.141</f>
        <v>29.448999999999998</v>
      </c>
      <c r="O434" s="122"/>
      <c r="P434" s="92">
        <f t="shared" si="80"/>
        <v>29.449200000000001</v>
      </c>
      <c r="Q434" s="113">
        <f t="shared" si="81"/>
        <v>1.4404499999999998</v>
      </c>
      <c r="R434" s="92">
        <f t="shared" si="82"/>
        <v>1.12035</v>
      </c>
      <c r="S434" s="121"/>
      <c r="T434" s="93">
        <f t="shared" si="83"/>
        <v>2.0000000000020002E-4</v>
      </c>
      <c r="U434" s="122"/>
      <c r="V434" s="94">
        <f t="shared" ca="1" si="84"/>
        <v>42.464444791665301</v>
      </c>
      <c r="W434" s="89">
        <f t="shared" si="85"/>
        <v>2.173913043480435E-4</v>
      </c>
    </row>
    <row r="435" spans="1:23" ht="18">
      <c r="A435" s="115"/>
      <c r="B435" s="66" t="s">
        <v>505</v>
      </c>
      <c r="C435" s="175" t="s">
        <v>55</v>
      </c>
      <c r="D435" s="131" t="s">
        <v>883</v>
      </c>
      <c r="E435" s="245">
        <v>324</v>
      </c>
      <c r="F435" s="97">
        <v>44980</v>
      </c>
      <c r="G435" s="252">
        <v>31.87</v>
      </c>
      <c r="H435" s="257">
        <v>1740420.7</v>
      </c>
      <c r="I435" s="106">
        <f t="shared" si="52"/>
        <v>54610</v>
      </c>
      <c r="J435" s="122"/>
      <c r="K435" s="157" t="s">
        <v>1021</v>
      </c>
      <c r="L435" s="166">
        <f t="shared" si="79"/>
        <v>324</v>
      </c>
      <c r="M435" s="119" t="s">
        <v>1022</v>
      </c>
      <c r="N435" s="115">
        <f>11.649+7.208+10.463</f>
        <v>29.32</v>
      </c>
      <c r="O435" s="122"/>
      <c r="P435" s="92">
        <f t="shared" si="80"/>
        <v>29.320400000000003</v>
      </c>
      <c r="Q435" s="113">
        <f t="shared" si="81"/>
        <v>1.43415</v>
      </c>
      <c r="R435" s="92">
        <f t="shared" si="82"/>
        <v>1.1154500000000001</v>
      </c>
      <c r="S435" s="121"/>
      <c r="T435" s="93">
        <f t="shared" si="83"/>
        <v>4.0000000000062208E-4</v>
      </c>
      <c r="U435" s="122"/>
      <c r="V435" s="94">
        <f t="shared" ca="1" si="84"/>
        <v>42.464444791665301</v>
      </c>
      <c r="W435" s="89">
        <f t="shared" si="85"/>
        <v>4.3478260869632835E-4</v>
      </c>
    </row>
    <row r="436" spans="1:23" ht="18">
      <c r="A436" s="115"/>
      <c r="B436" s="66" t="s">
        <v>505</v>
      </c>
      <c r="C436" s="175" t="s">
        <v>55</v>
      </c>
      <c r="D436" s="131" t="s">
        <v>883</v>
      </c>
      <c r="E436" s="245">
        <v>325</v>
      </c>
      <c r="F436" s="97">
        <v>44980</v>
      </c>
      <c r="G436" s="252">
        <v>31.83</v>
      </c>
      <c r="H436" s="257">
        <v>1738236.2999999998</v>
      </c>
      <c r="I436" s="106">
        <f t="shared" si="52"/>
        <v>54610</v>
      </c>
      <c r="J436" s="122"/>
      <c r="K436" s="157" t="s">
        <v>1023</v>
      </c>
      <c r="L436" s="166">
        <f t="shared" si="79"/>
        <v>325</v>
      </c>
      <c r="M436" s="119" t="s">
        <v>1024</v>
      </c>
      <c r="N436" s="115">
        <f>18.451+10.833</f>
        <v>29.283999999999999</v>
      </c>
      <c r="O436" s="122"/>
      <c r="P436" s="92">
        <f t="shared" si="80"/>
        <v>29.2836</v>
      </c>
      <c r="Q436" s="113">
        <f t="shared" si="81"/>
        <v>1.4323499999999998</v>
      </c>
      <c r="R436" s="92">
        <f t="shared" si="82"/>
        <v>1.11405</v>
      </c>
      <c r="S436" s="121"/>
      <c r="T436" s="93">
        <f t="shared" si="83"/>
        <v>-4.0000000000040004E-4</v>
      </c>
      <c r="U436" s="122"/>
      <c r="V436" s="94">
        <f t="shared" ca="1" si="84"/>
        <v>42.464444791665301</v>
      </c>
      <c r="W436" s="89">
        <f t="shared" si="85"/>
        <v>-4.3478260869608701E-4</v>
      </c>
    </row>
    <row r="437" spans="1:23" ht="18">
      <c r="A437" s="115"/>
      <c r="B437" s="66" t="s">
        <v>505</v>
      </c>
      <c r="C437" s="175" t="s">
        <v>55</v>
      </c>
      <c r="D437" s="131" t="s">
        <v>883</v>
      </c>
      <c r="E437" s="245">
        <v>326</v>
      </c>
      <c r="F437" s="97">
        <v>44980</v>
      </c>
      <c r="G437" s="252">
        <v>31.9</v>
      </c>
      <c r="H437" s="257">
        <v>1742059</v>
      </c>
      <c r="I437" s="106">
        <f t="shared" si="52"/>
        <v>54610</v>
      </c>
      <c r="J437" s="122"/>
      <c r="K437" s="157" t="s">
        <v>1025</v>
      </c>
      <c r="L437" s="166">
        <f t="shared" si="79"/>
        <v>326</v>
      </c>
      <c r="M437" s="119" t="s">
        <v>1024</v>
      </c>
      <c r="N437" s="115">
        <f>20.233+9.115</f>
        <v>29.347999999999999</v>
      </c>
      <c r="O437" s="122"/>
      <c r="P437" s="92">
        <f t="shared" si="80"/>
        <v>29.347999999999999</v>
      </c>
      <c r="Q437" s="113">
        <f t="shared" si="81"/>
        <v>1.4354999999999998</v>
      </c>
      <c r="R437" s="92">
        <f t="shared" si="82"/>
        <v>1.1165</v>
      </c>
      <c r="S437" s="121"/>
      <c r="T437" s="93">
        <f t="shared" si="83"/>
        <v>0</v>
      </c>
      <c r="U437" s="122"/>
      <c r="V437" s="94">
        <f t="shared" ca="1" si="84"/>
        <v>42.464444791665301</v>
      </c>
      <c r="W437" s="89">
        <f t="shared" si="85"/>
        <v>0</v>
      </c>
    </row>
    <row r="438" spans="1:23" ht="18">
      <c r="A438" s="115"/>
      <c r="B438" s="66" t="s">
        <v>505</v>
      </c>
      <c r="C438" s="175" t="s">
        <v>55</v>
      </c>
      <c r="D438" s="131" t="s">
        <v>883</v>
      </c>
      <c r="E438" s="245">
        <v>327</v>
      </c>
      <c r="F438" s="97">
        <v>44980</v>
      </c>
      <c r="G438" s="252">
        <v>31.9</v>
      </c>
      <c r="H438" s="257">
        <v>1742059</v>
      </c>
      <c r="I438" s="106">
        <f t="shared" si="52"/>
        <v>54610</v>
      </c>
      <c r="J438" s="122"/>
      <c r="K438" s="157" t="s">
        <v>1027</v>
      </c>
      <c r="L438" s="166">
        <f t="shared" si="79"/>
        <v>327</v>
      </c>
      <c r="M438" s="119" t="s">
        <v>1028</v>
      </c>
      <c r="N438" s="115">
        <f>11.971+15.455+1.922</f>
        <v>29.348000000000003</v>
      </c>
      <c r="O438" s="122"/>
      <c r="P438" s="92">
        <f t="shared" si="80"/>
        <v>29.347999999999999</v>
      </c>
      <c r="Q438" s="113">
        <f t="shared" si="81"/>
        <v>1.4354999999999998</v>
      </c>
      <c r="R438" s="92">
        <f t="shared" si="82"/>
        <v>1.1165</v>
      </c>
      <c r="S438" s="121"/>
      <c r="T438" s="93">
        <f t="shared" si="83"/>
        <v>-3.7747582837255322E-15</v>
      </c>
      <c r="U438" s="122"/>
      <c r="V438" s="94">
        <f t="shared" ca="1" si="84"/>
        <v>42.464444791665301</v>
      </c>
      <c r="W438" s="89">
        <f t="shared" si="85"/>
        <v>-4.1029981344842744E-15</v>
      </c>
    </row>
    <row r="439" spans="1:23" ht="18">
      <c r="A439" s="115"/>
      <c r="B439" s="66" t="s">
        <v>505</v>
      </c>
      <c r="C439" s="175" t="s">
        <v>55</v>
      </c>
      <c r="D439" s="131" t="s">
        <v>883</v>
      </c>
      <c r="E439" s="245">
        <v>328</v>
      </c>
      <c r="F439" s="97">
        <v>44980</v>
      </c>
      <c r="G439" s="252">
        <v>31.85</v>
      </c>
      <c r="H439" s="257">
        <v>1739328.5</v>
      </c>
      <c r="I439" s="106">
        <f t="shared" si="52"/>
        <v>54610</v>
      </c>
      <c r="J439" s="122"/>
      <c r="K439" s="157">
        <v>31</v>
      </c>
      <c r="L439" s="166">
        <f t="shared" si="79"/>
        <v>328</v>
      </c>
      <c r="M439" s="119" t="s">
        <v>1026</v>
      </c>
      <c r="N439" s="115">
        <v>29.302</v>
      </c>
      <c r="O439" s="122"/>
      <c r="P439" s="92">
        <f t="shared" si="80"/>
        <v>29.302000000000003</v>
      </c>
      <c r="Q439" s="113">
        <f t="shared" si="81"/>
        <v>1.4332499999999999</v>
      </c>
      <c r="R439" s="92">
        <f t="shared" si="82"/>
        <v>1.1147500000000001</v>
      </c>
      <c r="S439" s="121"/>
      <c r="T439" s="93">
        <f t="shared" si="83"/>
        <v>1.7763568394002505E-15</v>
      </c>
      <c r="U439" s="122"/>
      <c r="V439" s="94">
        <f t="shared" ca="1" si="84"/>
        <v>42.464444791665301</v>
      </c>
      <c r="W439" s="89">
        <f t="shared" si="85"/>
        <v>1.9308226515220113E-15</v>
      </c>
    </row>
    <row r="440" spans="1:23" ht="18">
      <c r="A440" s="115"/>
      <c r="B440" s="66" t="s">
        <v>505</v>
      </c>
      <c r="C440" s="175" t="s">
        <v>55</v>
      </c>
      <c r="D440" s="131" t="s">
        <v>883</v>
      </c>
      <c r="E440" s="245">
        <v>329</v>
      </c>
      <c r="F440" s="97">
        <v>44980</v>
      </c>
      <c r="G440" s="252">
        <v>31.96</v>
      </c>
      <c r="H440" s="257">
        <v>1745335.6</v>
      </c>
      <c r="I440" s="106">
        <f t="shared" si="52"/>
        <v>54610</v>
      </c>
      <c r="J440" s="122"/>
      <c r="K440" s="157" t="s">
        <v>1029</v>
      </c>
      <c r="L440" s="166">
        <f t="shared" si="79"/>
        <v>329</v>
      </c>
      <c r="M440" s="119" t="s">
        <v>1030</v>
      </c>
      <c r="N440" s="115">
        <f>2.195+17.518+9.69</f>
        <v>29.402999999999999</v>
      </c>
      <c r="O440" s="122"/>
      <c r="P440" s="92">
        <f t="shared" si="80"/>
        <v>29.403200000000002</v>
      </c>
      <c r="Q440" s="113">
        <f t="shared" si="81"/>
        <v>1.4381999999999999</v>
      </c>
      <c r="R440" s="92">
        <f t="shared" si="82"/>
        <v>1.1186</v>
      </c>
      <c r="S440" s="121"/>
      <c r="T440" s="93">
        <f t="shared" si="83"/>
        <v>2.0000000000219842E-4</v>
      </c>
      <c r="U440" s="122"/>
      <c r="V440" s="94">
        <f t="shared" ca="1" si="84"/>
        <v>42.464444791665301</v>
      </c>
      <c r="W440" s="89">
        <f t="shared" si="85"/>
        <v>2.1739130435021565E-4</v>
      </c>
    </row>
    <row r="441" spans="1:23" ht="18">
      <c r="A441" s="115"/>
      <c r="B441" s="66" t="s">
        <v>505</v>
      </c>
      <c r="C441" s="175" t="s">
        <v>55</v>
      </c>
      <c r="D441" s="131" t="s">
        <v>883</v>
      </c>
      <c r="E441" s="245">
        <v>330</v>
      </c>
      <c r="F441" s="97">
        <v>44980</v>
      </c>
      <c r="G441" s="252">
        <v>41.4</v>
      </c>
      <c r="H441" s="257">
        <v>2260854</v>
      </c>
      <c r="I441" s="106">
        <f t="shared" si="52"/>
        <v>54610</v>
      </c>
      <c r="J441" s="122"/>
      <c r="K441" s="157" t="s">
        <v>1031</v>
      </c>
      <c r="L441" s="166">
        <f t="shared" si="79"/>
        <v>330</v>
      </c>
      <c r="M441" s="119" t="s">
        <v>1032</v>
      </c>
      <c r="N441" s="115">
        <f>31.931+6.157</f>
        <v>38.088000000000001</v>
      </c>
      <c r="O441" s="122"/>
      <c r="P441" s="92">
        <f t="shared" si="80"/>
        <v>38.088000000000001</v>
      </c>
      <c r="Q441" s="113">
        <f t="shared" si="81"/>
        <v>1.8629999999999998</v>
      </c>
      <c r="R441" s="92">
        <f t="shared" si="82"/>
        <v>1.4490000000000001</v>
      </c>
      <c r="S441" s="121"/>
      <c r="T441" s="93">
        <f t="shared" si="83"/>
        <v>-2.2204460492503131E-15</v>
      </c>
      <c r="U441" s="122"/>
      <c r="V441" s="94">
        <f t="shared" ca="1" si="84"/>
        <v>42.464444791665301</v>
      </c>
      <c r="W441" s="89">
        <f t="shared" si="85"/>
        <v>-2.4135283144025143E-15</v>
      </c>
    </row>
    <row r="442" spans="1:23" ht="18">
      <c r="A442" s="115"/>
      <c r="B442" s="66" t="s">
        <v>505</v>
      </c>
      <c r="C442" s="175" t="s">
        <v>55</v>
      </c>
      <c r="D442" s="131" t="s">
        <v>883</v>
      </c>
      <c r="E442" s="245">
        <v>331</v>
      </c>
      <c r="F442" s="97">
        <v>44980</v>
      </c>
      <c r="G442" s="252">
        <v>33.99</v>
      </c>
      <c r="H442" s="257">
        <v>1856193.9000000001</v>
      </c>
      <c r="I442" s="106">
        <f t="shared" si="52"/>
        <v>54610</v>
      </c>
      <c r="J442" s="122"/>
      <c r="K442" s="157" t="s">
        <v>1033</v>
      </c>
      <c r="L442" s="166">
        <f t="shared" si="79"/>
        <v>331</v>
      </c>
      <c r="M442" s="119" t="s">
        <v>1036</v>
      </c>
      <c r="N442" s="115">
        <f>15.174+9.198+6.899</f>
        <v>31.271000000000001</v>
      </c>
      <c r="O442" s="122"/>
      <c r="P442" s="92">
        <f t="shared" si="80"/>
        <v>31.270800000000005</v>
      </c>
      <c r="Q442" s="113">
        <f t="shared" si="81"/>
        <v>1.52955</v>
      </c>
      <c r="R442" s="92">
        <f t="shared" si="82"/>
        <v>1.1896500000000001</v>
      </c>
      <c r="S442" s="121"/>
      <c r="T442" s="93">
        <f t="shared" si="83"/>
        <v>-1.9999999999886775E-4</v>
      </c>
      <c r="U442" s="122"/>
      <c r="V442" s="94">
        <f t="shared" ca="1" si="84"/>
        <v>42.464444791665301</v>
      </c>
      <c r="W442" s="89">
        <f t="shared" si="85"/>
        <v>-2.1739130434659539E-4</v>
      </c>
    </row>
    <row r="443" spans="1:23" ht="18">
      <c r="A443" s="115"/>
      <c r="B443" s="66" t="s">
        <v>505</v>
      </c>
      <c r="C443" s="175" t="s">
        <v>55</v>
      </c>
      <c r="D443" s="131" t="s">
        <v>883</v>
      </c>
      <c r="E443" s="245">
        <v>332</v>
      </c>
      <c r="F443" s="97">
        <v>44980</v>
      </c>
      <c r="G443" s="252">
        <v>34.03</v>
      </c>
      <c r="H443" s="257">
        <v>1858378.3</v>
      </c>
      <c r="I443" s="106">
        <f t="shared" si="52"/>
        <v>54610</v>
      </c>
      <c r="J443" s="122"/>
      <c r="K443" s="157" t="s">
        <v>1034</v>
      </c>
      <c r="L443" s="166">
        <f t="shared" si="79"/>
        <v>332</v>
      </c>
      <c r="M443" s="119" t="s">
        <v>1037</v>
      </c>
      <c r="N443" s="115">
        <f>25.621+5.687</f>
        <v>31.308</v>
      </c>
      <c r="O443" s="122"/>
      <c r="P443" s="92">
        <f t="shared" si="80"/>
        <v>31.307600000000001</v>
      </c>
      <c r="Q443" s="113">
        <f t="shared" si="81"/>
        <v>1.53135</v>
      </c>
      <c r="R443" s="92">
        <f t="shared" si="82"/>
        <v>1.1910500000000002</v>
      </c>
      <c r="S443" s="121"/>
      <c r="T443" s="93">
        <f t="shared" si="83"/>
        <v>-3.9999999999884572E-4</v>
      </c>
      <c r="U443" s="122"/>
      <c r="V443" s="94">
        <f t="shared" ca="1" si="84"/>
        <v>42.464444791665301</v>
      </c>
      <c r="W443" s="89">
        <f t="shared" si="85"/>
        <v>-4.3478260869439755E-4</v>
      </c>
    </row>
    <row r="444" spans="1:23" ht="18">
      <c r="A444" s="115"/>
      <c r="B444" s="66" t="s">
        <v>505</v>
      </c>
      <c r="C444" s="175" t="s">
        <v>55</v>
      </c>
      <c r="D444" s="131" t="s">
        <v>883</v>
      </c>
      <c r="E444" s="245">
        <v>333</v>
      </c>
      <c r="F444" s="97">
        <v>44980</v>
      </c>
      <c r="G444" s="252">
        <v>31.93</v>
      </c>
      <c r="H444" s="257">
        <v>1743697.3</v>
      </c>
      <c r="I444" s="106">
        <f t="shared" si="52"/>
        <v>54610</v>
      </c>
      <c r="J444" s="122"/>
      <c r="K444" s="157" t="s">
        <v>1035</v>
      </c>
      <c r="L444" s="166">
        <f t="shared" si="79"/>
        <v>333</v>
      </c>
      <c r="M444" s="119" t="s">
        <v>1039</v>
      </c>
      <c r="N444" s="115">
        <f>27.262+2.114</f>
        <v>29.376000000000001</v>
      </c>
      <c r="O444" s="122"/>
      <c r="P444" s="92">
        <f t="shared" si="80"/>
        <v>29.375600000000002</v>
      </c>
      <c r="Q444" s="113">
        <f t="shared" si="81"/>
        <v>1.43685</v>
      </c>
      <c r="R444" s="92">
        <f t="shared" si="82"/>
        <v>1.11755</v>
      </c>
      <c r="S444" s="121"/>
      <c r="T444" s="93">
        <f t="shared" si="83"/>
        <v>-4.0000000000151026E-4</v>
      </c>
      <c r="U444" s="122"/>
      <c r="V444" s="94">
        <f t="shared" ca="1" si="84"/>
        <v>42.464444791665301</v>
      </c>
      <c r="W444" s="89">
        <f t="shared" si="85"/>
        <v>-4.3478260869729378E-4</v>
      </c>
    </row>
    <row r="445" spans="1:23" ht="18">
      <c r="A445" s="115"/>
      <c r="B445" s="66" t="s">
        <v>505</v>
      </c>
      <c r="C445" s="175" t="s">
        <v>55</v>
      </c>
      <c r="D445" s="131" t="s">
        <v>883</v>
      </c>
      <c r="E445" s="245">
        <v>334</v>
      </c>
      <c r="F445" s="97">
        <v>44980</v>
      </c>
      <c r="G445" s="252">
        <v>31.84</v>
      </c>
      <c r="H445" s="257">
        <v>1738782.4</v>
      </c>
      <c r="I445" s="106">
        <f t="shared" si="52"/>
        <v>54610</v>
      </c>
      <c r="J445" s="122"/>
      <c r="K445" s="157" t="s">
        <v>1038</v>
      </c>
      <c r="L445" s="166">
        <f t="shared" si="79"/>
        <v>334</v>
      </c>
      <c r="M445" s="119" t="s">
        <v>1040</v>
      </c>
      <c r="N445" s="115">
        <f>19.73+9.563</f>
        <v>29.292999999999999</v>
      </c>
      <c r="O445" s="122"/>
      <c r="P445" s="92">
        <f t="shared" si="53"/>
        <v>29.2928</v>
      </c>
      <c r="Q445" s="113">
        <f t="shared" si="54"/>
        <v>1.4327999999999999</v>
      </c>
      <c r="R445" s="92">
        <f t="shared" si="55"/>
        <v>1.1144000000000001</v>
      </c>
      <c r="S445" s="121"/>
      <c r="T445" s="93">
        <f t="shared" si="56"/>
        <v>-1.9999999999931184E-4</v>
      </c>
      <c r="U445" s="122"/>
      <c r="V445" s="94">
        <f ca="1">360-($V$3-F445)</f>
        <v>42.464444791665301</v>
      </c>
      <c r="W445" s="89">
        <f>T445/0.92%/100</f>
        <v>-2.173913043470781E-4</v>
      </c>
    </row>
    <row r="446" spans="1:23" ht="18">
      <c r="A446" s="115"/>
      <c r="B446" s="66" t="s">
        <v>505</v>
      </c>
      <c r="C446" s="175" t="s">
        <v>55</v>
      </c>
      <c r="D446" s="131" t="s">
        <v>883</v>
      </c>
      <c r="E446" s="245">
        <v>335</v>
      </c>
      <c r="F446" s="97">
        <v>44980</v>
      </c>
      <c r="G446" s="252">
        <v>31.74</v>
      </c>
      <c r="H446" s="257">
        <v>1733321.4</v>
      </c>
      <c r="I446" s="106">
        <f t="shared" si="52"/>
        <v>54610</v>
      </c>
      <c r="J446" s="122"/>
      <c r="K446" s="157" t="s">
        <v>1041</v>
      </c>
      <c r="L446" s="166">
        <f t="shared" si="79"/>
        <v>335</v>
      </c>
      <c r="M446" s="119" t="s">
        <v>1042</v>
      </c>
      <c r="N446" s="115">
        <f>20.787+0.306+8.108</f>
        <v>29.201000000000001</v>
      </c>
      <c r="O446" s="122"/>
      <c r="P446" s="92">
        <f t="shared" si="53"/>
        <v>29.200800000000001</v>
      </c>
      <c r="Q446" s="113">
        <f t="shared" si="54"/>
        <v>1.4282999999999999</v>
      </c>
      <c r="R446" s="92">
        <f t="shared" si="55"/>
        <v>1.1109</v>
      </c>
      <c r="S446" s="121"/>
      <c r="T446" s="93">
        <f t="shared" si="56"/>
        <v>-2.0000000000197637E-4</v>
      </c>
      <c r="U446" s="122"/>
      <c r="V446" s="94">
        <f ca="1">360-($V$3-F446)</f>
        <v>42.464444791665301</v>
      </c>
      <c r="W446" s="89">
        <f>T446/0.92%/100</f>
        <v>-2.1739130434997433E-4</v>
      </c>
    </row>
    <row r="447" spans="1:23" ht="18">
      <c r="A447" s="115"/>
      <c r="B447" s="66" t="s">
        <v>505</v>
      </c>
      <c r="C447" s="175" t="s">
        <v>55</v>
      </c>
      <c r="D447" s="131" t="s">
        <v>883</v>
      </c>
      <c r="E447" s="245">
        <v>336</v>
      </c>
      <c r="F447" s="97">
        <v>44980</v>
      </c>
      <c r="G447" s="252">
        <v>34.08</v>
      </c>
      <c r="H447" s="257">
        <v>1861108.7999999998</v>
      </c>
      <c r="I447" s="106">
        <f t="shared" si="52"/>
        <v>54610</v>
      </c>
      <c r="J447" s="122"/>
      <c r="K447" s="157" t="s">
        <v>1043</v>
      </c>
      <c r="L447" s="166">
        <f t="shared" si="79"/>
        <v>336</v>
      </c>
      <c r="M447" s="119" t="s">
        <v>1044</v>
      </c>
      <c r="N447" s="115">
        <f>22.607+8.747</f>
        <v>31.353999999999999</v>
      </c>
      <c r="O447" s="122"/>
      <c r="P447" s="92">
        <f t="shared" si="53"/>
        <v>31.3536</v>
      </c>
      <c r="Q447" s="113">
        <f t="shared" si="54"/>
        <v>1.5335999999999999</v>
      </c>
      <c r="R447" s="92">
        <f t="shared" si="55"/>
        <v>1.1928000000000001</v>
      </c>
      <c r="S447" s="121"/>
      <c r="T447" s="93">
        <f t="shared" si="56"/>
        <v>-4.0000000000084412E-4</v>
      </c>
      <c r="U447" s="122"/>
      <c r="V447" s="94">
        <f ca="1">360-($V$3-F447)</f>
        <v>42.464444791665301</v>
      </c>
      <c r="W447" s="89">
        <f>T447/0.92%/100</f>
        <v>-4.347826086965697E-4</v>
      </c>
    </row>
    <row r="448" spans="1:23" ht="18">
      <c r="A448" s="115"/>
      <c r="B448" s="66" t="s">
        <v>505</v>
      </c>
      <c r="C448" s="175" t="s">
        <v>55</v>
      </c>
      <c r="D448" s="258" t="s">
        <v>884</v>
      </c>
      <c r="E448" s="245">
        <v>337</v>
      </c>
      <c r="F448" s="97">
        <v>44980</v>
      </c>
      <c r="G448" s="252">
        <v>34.119999999999997</v>
      </c>
      <c r="H448" s="257">
        <v>1863293.2</v>
      </c>
      <c r="I448" s="106">
        <f t="shared" si="52"/>
        <v>54610</v>
      </c>
      <c r="J448" s="122"/>
      <c r="K448" s="157" t="s">
        <v>1045</v>
      </c>
      <c r="L448" s="166">
        <f t="shared" si="79"/>
        <v>337</v>
      </c>
      <c r="M448" s="119" t="s">
        <v>1046</v>
      </c>
      <c r="N448" s="115">
        <f>15.855+15.535</f>
        <v>31.39</v>
      </c>
      <c r="O448" s="122"/>
      <c r="P448" s="92">
        <f t="shared" si="53"/>
        <v>31.3904</v>
      </c>
      <c r="Q448" s="113">
        <f t="shared" si="54"/>
        <v>1.5353999999999999</v>
      </c>
      <c r="R448" s="92">
        <f t="shared" si="55"/>
        <v>1.1941999999999999</v>
      </c>
      <c r="S448" s="121"/>
      <c r="T448" s="93">
        <f t="shared" si="56"/>
        <v>3.9999999999706937E-4</v>
      </c>
      <c r="U448" s="122"/>
      <c r="V448" s="94">
        <f t="shared" ca="1" si="69"/>
        <v>42.464444791665301</v>
      </c>
      <c r="W448" s="89">
        <f t="shared" si="70"/>
        <v>4.3478260869246675E-4</v>
      </c>
    </row>
    <row r="449" spans="1:23" ht="18">
      <c r="A449" s="115"/>
      <c r="B449" s="66" t="s">
        <v>505</v>
      </c>
      <c r="C449" s="175" t="s">
        <v>55</v>
      </c>
      <c r="D449" s="131" t="s">
        <v>883</v>
      </c>
      <c r="E449" s="245">
        <v>338</v>
      </c>
      <c r="F449" s="97">
        <v>44980</v>
      </c>
      <c r="G449" s="252">
        <v>31.016999999999999</v>
      </c>
      <c r="H449" s="257">
        <v>1693838.3699999999</v>
      </c>
      <c r="I449" s="106">
        <f t="shared" si="52"/>
        <v>54610</v>
      </c>
      <c r="J449" s="122"/>
      <c r="K449" s="157" t="s">
        <v>1047</v>
      </c>
      <c r="L449" s="166">
        <f t="shared" si="79"/>
        <v>338</v>
      </c>
      <c r="M449" s="119" t="s">
        <v>1046</v>
      </c>
      <c r="N449" s="115">
        <f>24.727+3.809</f>
        <v>28.536000000000001</v>
      </c>
      <c r="O449" s="122"/>
      <c r="P449" s="92">
        <f t="shared" si="53"/>
        <v>28.535640000000001</v>
      </c>
      <c r="Q449" s="113">
        <f t="shared" si="54"/>
        <v>1.3957649999999999</v>
      </c>
      <c r="R449" s="92">
        <f t="shared" si="55"/>
        <v>1.0855950000000001</v>
      </c>
      <c r="S449" s="121"/>
      <c r="T449" s="93">
        <f t="shared" si="56"/>
        <v>-3.6000000000191434E-4</v>
      </c>
      <c r="U449" s="122"/>
      <c r="V449" s="94">
        <f t="shared" ref="V449:V450" ca="1" si="86">360-($V$3-F449)</f>
        <v>42.464444791665301</v>
      </c>
      <c r="W449" s="89">
        <f t="shared" ref="W449:W1262" si="87">T449/0.92%/100</f>
        <v>-3.9130434782816778E-4</v>
      </c>
    </row>
    <row r="450" spans="1:23" s="291" customFormat="1" ht="18">
      <c r="A450" s="133"/>
      <c r="B450" s="133" t="s">
        <v>505</v>
      </c>
      <c r="C450" s="133" t="s">
        <v>506</v>
      </c>
      <c r="D450" s="285" t="s">
        <v>928</v>
      </c>
      <c r="E450" s="240">
        <v>339</v>
      </c>
      <c r="F450" s="286">
        <v>44994</v>
      </c>
      <c r="G450" s="251">
        <v>38.04</v>
      </c>
      <c r="H450" s="287">
        <v>2099427.6</v>
      </c>
      <c r="I450" s="288">
        <f t="shared" si="52"/>
        <v>55190.000000000007</v>
      </c>
      <c r="J450" s="133"/>
      <c r="K450" s="230" t="s">
        <v>1048</v>
      </c>
      <c r="L450" s="133">
        <v>339</v>
      </c>
      <c r="M450" s="231" t="s">
        <v>1046</v>
      </c>
      <c r="N450" s="133">
        <f>26.673+8.324</f>
        <v>34.997</v>
      </c>
      <c r="O450" s="133"/>
      <c r="P450" s="289">
        <f t="shared" si="53"/>
        <v>34.9968</v>
      </c>
      <c r="Q450" s="289">
        <f t="shared" si="54"/>
        <v>1.7118</v>
      </c>
      <c r="R450" s="289">
        <f t="shared" si="55"/>
        <v>1.3314000000000001</v>
      </c>
      <c r="S450" s="142"/>
      <c r="T450" s="289">
        <f t="shared" si="56"/>
        <v>-2.0000000000086615E-4</v>
      </c>
      <c r="U450" s="133"/>
      <c r="V450" s="287">
        <f t="shared" ca="1" si="86"/>
        <v>56.464444791665301</v>
      </c>
      <c r="W450" s="290">
        <f t="shared" si="87"/>
        <v>-2.1739130434876756E-4</v>
      </c>
    </row>
    <row r="451" spans="1:23" ht="18">
      <c r="A451" s="115"/>
      <c r="B451" s="260" t="s">
        <v>505</v>
      </c>
      <c r="C451" s="264" t="s">
        <v>506</v>
      </c>
      <c r="D451" s="261" t="s">
        <v>929</v>
      </c>
      <c r="E451" s="262">
        <v>340</v>
      </c>
      <c r="F451" s="263">
        <v>44994</v>
      </c>
      <c r="G451" s="265">
        <v>26.78</v>
      </c>
      <c r="H451" s="266">
        <v>1477988.2</v>
      </c>
      <c r="I451" s="106">
        <f t="shared" ref="I451:I1261" si="88">H451/G451</f>
        <v>55189.999999999993</v>
      </c>
      <c r="J451" s="122"/>
      <c r="K451" s="157" t="s">
        <v>1049</v>
      </c>
      <c r="L451" s="166">
        <f t="shared" si="79"/>
        <v>340</v>
      </c>
      <c r="M451" s="119" t="s">
        <v>1050</v>
      </c>
      <c r="N451" s="115">
        <f>3.371+21.267</f>
        <v>24.637999999999998</v>
      </c>
      <c r="O451" s="122"/>
      <c r="P451" s="92">
        <f t="shared" ref="P451:P494" si="89">G451*0.92</f>
        <v>24.637600000000003</v>
      </c>
      <c r="Q451" s="113">
        <f t="shared" ref="Q451:Q494" si="90">G451*4.5%</f>
        <v>1.2051000000000001</v>
      </c>
      <c r="R451" s="92">
        <f t="shared" ref="R451:R494" si="91">G451*3.5%</f>
        <v>0.93730000000000013</v>
      </c>
      <c r="S451" s="121"/>
      <c r="T451" s="93">
        <f t="shared" ref="T451:T494" si="92">G451-N451-Q451-R451</f>
        <v>-3.9999999999718039E-4</v>
      </c>
      <c r="U451" s="122"/>
      <c r="V451" s="94">
        <f t="shared" ref="V451:V707" ca="1" si="93">360-($V$3-F451)</f>
        <v>56.464444791665301</v>
      </c>
      <c r="W451" s="89">
        <f t="shared" ref="W451:W1261" si="94">T451/0.92%/100</f>
        <v>-4.3478260869258737E-4</v>
      </c>
    </row>
    <row r="452" spans="1:23" ht="18">
      <c r="A452" s="115"/>
      <c r="B452" s="260" t="s">
        <v>505</v>
      </c>
      <c r="C452" s="264" t="s">
        <v>506</v>
      </c>
      <c r="D452" s="261" t="s">
        <v>930</v>
      </c>
      <c r="E452" s="262">
        <v>341</v>
      </c>
      <c r="F452" s="263">
        <v>44994</v>
      </c>
      <c r="G452" s="265">
        <v>41.5</v>
      </c>
      <c r="H452" s="266">
        <v>2290385</v>
      </c>
      <c r="I452" s="106">
        <f t="shared" si="88"/>
        <v>55190</v>
      </c>
      <c r="J452" s="122"/>
      <c r="K452" s="157" t="s">
        <v>1051</v>
      </c>
      <c r="L452" s="166">
        <f t="shared" ref="L452:L515" si="95">E452</f>
        <v>341</v>
      </c>
      <c r="M452" s="119" t="s">
        <v>1052</v>
      </c>
      <c r="N452" s="115">
        <f>11.036+27.144</f>
        <v>38.18</v>
      </c>
      <c r="O452" s="122"/>
      <c r="P452" s="92">
        <f t="shared" si="89"/>
        <v>38.18</v>
      </c>
      <c r="Q452" s="113">
        <f t="shared" si="90"/>
        <v>1.8674999999999999</v>
      </c>
      <c r="R452" s="92">
        <f t="shared" si="91"/>
        <v>1.4525000000000001</v>
      </c>
      <c r="S452" s="121"/>
      <c r="T452" s="93">
        <f t="shared" si="92"/>
        <v>0</v>
      </c>
      <c r="U452" s="122"/>
      <c r="V452" s="94">
        <f t="shared" ca="1" si="93"/>
        <v>56.464444791665301</v>
      </c>
      <c r="W452" s="89">
        <f t="shared" si="94"/>
        <v>0</v>
      </c>
    </row>
    <row r="453" spans="1:23" ht="18">
      <c r="A453" s="115"/>
      <c r="B453" s="260" t="s">
        <v>505</v>
      </c>
      <c r="C453" s="264" t="s">
        <v>506</v>
      </c>
      <c r="D453" s="261" t="s">
        <v>931</v>
      </c>
      <c r="E453" s="262">
        <v>342</v>
      </c>
      <c r="F453" s="263">
        <v>44994</v>
      </c>
      <c r="G453" s="265">
        <v>30.22</v>
      </c>
      <c r="H453" s="266">
        <v>1667841.8</v>
      </c>
      <c r="I453" s="106">
        <f t="shared" si="88"/>
        <v>55190</v>
      </c>
      <c r="J453" s="122"/>
      <c r="K453" s="157" t="s">
        <v>237</v>
      </c>
      <c r="L453" s="166">
        <f t="shared" si="95"/>
        <v>342</v>
      </c>
      <c r="M453" s="119" t="s">
        <v>1053</v>
      </c>
      <c r="N453" s="115">
        <f>5.358+22.444</f>
        <v>27.802</v>
      </c>
      <c r="O453" s="122"/>
      <c r="P453" s="92">
        <f t="shared" si="89"/>
        <v>27.802399999999999</v>
      </c>
      <c r="Q453" s="113">
        <f t="shared" si="90"/>
        <v>1.3598999999999999</v>
      </c>
      <c r="R453" s="92">
        <f t="shared" si="91"/>
        <v>1.0577000000000001</v>
      </c>
      <c r="S453" s="121"/>
      <c r="T453" s="93">
        <f t="shared" si="92"/>
        <v>3.9999999999928981E-4</v>
      </c>
      <c r="U453" s="122"/>
      <c r="V453" s="94">
        <f t="shared" ca="1" si="93"/>
        <v>56.464444791665301</v>
      </c>
      <c r="W453" s="89">
        <f t="shared" si="94"/>
        <v>4.3478260869488018E-4</v>
      </c>
    </row>
    <row r="454" spans="1:23" ht="18">
      <c r="A454" s="115"/>
      <c r="B454" s="260" t="s">
        <v>505</v>
      </c>
      <c r="C454" s="264" t="s">
        <v>506</v>
      </c>
      <c r="D454" s="261" t="s">
        <v>932</v>
      </c>
      <c r="E454" s="262">
        <v>343</v>
      </c>
      <c r="F454" s="263">
        <v>44994</v>
      </c>
      <c r="G454" s="265">
        <v>30.24</v>
      </c>
      <c r="H454" s="266">
        <v>1668945.5999999999</v>
      </c>
      <c r="I454" s="106">
        <f t="shared" si="88"/>
        <v>55190</v>
      </c>
      <c r="J454" s="122"/>
      <c r="K454" s="157" t="s">
        <v>1054</v>
      </c>
      <c r="L454" s="166">
        <f t="shared" si="95"/>
        <v>343</v>
      </c>
      <c r="M454" s="119" t="s">
        <v>1055</v>
      </c>
      <c r="N454" s="115">
        <f>9.843+15.014+2.964</f>
        <v>27.820999999999998</v>
      </c>
      <c r="O454" s="122"/>
      <c r="P454" s="92">
        <f t="shared" si="89"/>
        <v>27.820799999999998</v>
      </c>
      <c r="Q454" s="113">
        <f t="shared" si="90"/>
        <v>1.3607999999999998</v>
      </c>
      <c r="R454" s="92">
        <f t="shared" si="91"/>
        <v>1.0584</v>
      </c>
      <c r="S454" s="121"/>
      <c r="T454" s="93">
        <f t="shared" si="92"/>
        <v>-1.9999999999931184E-4</v>
      </c>
      <c r="U454" s="122"/>
      <c r="V454" s="94">
        <f t="shared" ca="1" si="93"/>
        <v>56.464444791665301</v>
      </c>
      <c r="W454" s="89">
        <f t="shared" si="94"/>
        <v>-2.173913043470781E-4</v>
      </c>
    </row>
    <row r="455" spans="1:23" ht="18">
      <c r="A455" s="115"/>
      <c r="B455" s="260" t="s">
        <v>505</v>
      </c>
      <c r="C455" s="264" t="s">
        <v>506</v>
      </c>
      <c r="D455" s="261" t="s">
        <v>933</v>
      </c>
      <c r="E455" s="262">
        <v>344</v>
      </c>
      <c r="F455" s="263">
        <v>44994</v>
      </c>
      <c r="G455" s="267">
        <v>41.58</v>
      </c>
      <c r="H455" s="266">
        <v>2294800.1999999997</v>
      </c>
      <c r="I455" s="106">
        <f t="shared" si="88"/>
        <v>55189.999999999993</v>
      </c>
      <c r="J455" s="122"/>
      <c r="K455" s="157" t="s">
        <v>1056</v>
      </c>
      <c r="L455" s="166">
        <f t="shared" si="95"/>
        <v>344</v>
      </c>
      <c r="M455" s="119" t="s">
        <v>1057</v>
      </c>
      <c r="N455" s="115">
        <f>32.043+6.211</f>
        <v>38.253999999999998</v>
      </c>
      <c r="O455" s="122"/>
      <c r="P455" s="92">
        <f t="shared" si="89"/>
        <v>38.253599999999999</v>
      </c>
      <c r="Q455" s="113">
        <f t="shared" si="90"/>
        <v>1.8710999999999998</v>
      </c>
      <c r="R455" s="92">
        <f t="shared" si="91"/>
        <v>1.4553</v>
      </c>
      <c r="S455" s="121"/>
      <c r="T455" s="93">
        <f t="shared" si="92"/>
        <v>-3.9999999999928981E-4</v>
      </c>
      <c r="U455" s="122"/>
      <c r="V455" s="94">
        <f t="shared" ca="1" si="93"/>
        <v>56.464444791665301</v>
      </c>
      <c r="W455" s="89">
        <f t="shared" si="94"/>
        <v>-4.3478260869488018E-4</v>
      </c>
    </row>
    <row r="456" spans="1:23" ht="18">
      <c r="A456" s="115"/>
      <c r="B456" s="260" t="s">
        <v>505</v>
      </c>
      <c r="C456" s="264" t="s">
        <v>506</v>
      </c>
      <c r="D456" s="261" t="s">
        <v>934</v>
      </c>
      <c r="E456" s="262">
        <v>345</v>
      </c>
      <c r="F456" s="263">
        <v>44994</v>
      </c>
      <c r="G456" s="267">
        <v>30.08</v>
      </c>
      <c r="H456" s="266">
        <v>1660115.2</v>
      </c>
      <c r="I456" s="106">
        <f t="shared" si="88"/>
        <v>55190</v>
      </c>
      <c r="J456" s="122"/>
      <c r="K456" s="157" t="s">
        <v>1060</v>
      </c>
      <c r="L456" s="166">
        <f t="shared" si="95"/>
        <v>345</v>
      </c>
      <c r="M456" s="119" t="s">
        <v>1061</v>
      </c>
      <c r="N456" s="115">
        <f>17.014+10.66</f>
        <v>27.673999999999999</v>
      </c>
      <c r="O456" s="122"/>
      <c r="P456" s="92">
        <f t="shared" si="89"/>
        <v>27.6736</v>
      </c>
      <c r="Q456" s="113">
        <f t="shared" si="90"/>
        <v>1.3535999999999999</v>
      </c>
      <c r="R456" s="92">
        <f t="shared" si="91"/>
        <v>1.0528</v>
      </c>
      <c r="S456" s="121"/>
      <c r="T456" s="93">
        <f t="shared" si="92"/>
        <v>-4.0000000000106617E-4</v>
      </c>
      <c r="U456" s="122"/>
      <c r="V456" s="94">
        <f t="shared" ca="1" si="93"/>
        <v>56.464444791665301</v>
      </c>
      <c r="W456" s="89">
        <f t="shared" si="94"/>
        <v>-4.3478260869681104E-4</v>
      </c>
    </row>
    <row r="457" spans="1:23" ht="18">
      <c r="A457" s="115"/>
      <c r="B457" s="260" t="s">
        <v>505</v>
      </c>
      <c r="C457" s="264" t="s">
        <v>506</v>
      </c>
      <c r="D457" s="261" t="s">
        <v>935</v>
      </c>
      <c r="E457" s="262">
        <v>346</v>
      </c>
      <c r="F457" s="263">
        <v>44994</v>
      </c>
      <c r="G457" s="265">
        <v>41.44</v>
      </c>
      <c r="H457" s="266">
        <v>2287073.6</v>
      </c>
      <c r="I457" s="106">
        <f t="shared" si="88"/>
        <v>55190.000000000007</v>
      </c>
      <c r="J457" s="122"/>
      <c r="K457" s="157" t="s">
        <v>1058</v>
      </c>
      <c r="L457" s="166">
        <f t="shared" si="95"/>
        <v>346</v>
      </c>
      <c r="M457" s="119" t="s">
        <v>1057</v>
      </c>
      <c r="N457" s="115">
        <f>31.627+6.498</f>
        <v>38.125</v>
      </c>
      <c r="O457" s="122"/>
      <c r="P457" s="92">
        <f t="shared" si="89"/>
        <v>38.1248</v>
      </c>
      <c r="Q457" s="113">
        <f t="shared" si="90"/>
        <v>1.8647999999999998</v>
      </c>
      <c r="R457" s="92">
        <f t="shared" si="91"/>
        <v>1.4504000000000001</v>
      </c>
      <c r="S457" s="121"/>
      <c r="T457" s="93">
        <f t="shared" si="92"/>
        <v>-2.0000000000219842E-4</v>
      </c>
      <c r="U457" s="122"/>
      <c r="V457" s="94">
        <f t="shared" ca="1" si="93"/>
        <v>56.464444791665301</v>
      </c>
      <c r="W457" s="89">
        <f t="shared" si="94"/>
        <v>-2.1739130435021565E-4</v>
      </c>
    </row>
    <row r="458" spans="1:23" ht="18">
      <c r="A458" s="115"/>
      <c r="B458" s="260" t="s">
        <v>505</v>
      </c>
      <c r="C458" s="264" t="s">
        <v>506</v>
      </c>
      <c r="D458" s="261" t="s">
        <v>936</v>
      </c>
      <c r="E458" s="262">
        <v>347</v>
      </c>
      <c r="F458" s="263">
        <v>44994</v>
      </c>
      <c r="G458" s="265">
        <v>26.52</v>
      </c>
      <c r="H458" s="266">
        <v>1463638.8</v>
      </c>
      <c r="I458" s="106">
        <f t="shared" si="88"/>
        <v>55190</v>
      </c>
      <c r="J458" s="122"/>
      <c r="K458" s="157" t="s">
        <v>1062</v>
      </c>
      <c r="L458" s="166">
        <f t="shared" si="95"/>
        <v>347</v>
      </c>
      <c r="M458" s="119" t="s">
        <v>1061</v>
      </c>
      <c r="N458" s="115">
        <f>21.063+3.335</f>
        <v>24.398</v>
      </c>
      <c r="O458" s="122"/>
      <c r="P458" s="92">
        <f t="shared" si="89"/>
        <v>24.398400000000002</v>
      </c>
      <c r="Q458" s="113">
        <f t="shared" si="90"/>
        <v>1.1934</v>
      </c>
      <c r="R458" s="92">
        <f t="shared" si="91"/>
        <v>0.92820000000000003</v>
      </c>
      <c r="S458" s="121"/>
      <c r="T458" s="93">
        <f t="shared" si="92"/>
        <v>3.9999999999984492E-4</v>
      </c>
      <c r="U458" s="122"/>
      <c r="V458" s="94">
        <f t="shared" ca="1" si="93"/>
        <v>56.464444791665301</v>
      </c>
      <c r="W458" s="89">
        <f t="shared" si="94"/>
        <v>4.347826086954836E-4</v>
      </c>
    </row>
    <row r="459" spans="1:23" ht="18">
      <c r="A459" s="115"/>
      <c r="B459" s="260" t="s">
        <v>505</v>
      </c>
      <c r="C459" s="264" t="s">
        <v>506</v>
      </c>
      <c r="D459" s="261" t="s">
        <v>937</v>
      </c>
      <c r="E459" s="262">
        <v>348</v>
      </c>
      <c r="F459" s="263">
        <v>44994</v>
      </c>
      <c r="G459" s="265">
        <v>30.34</v>
      </c>
      <c r="H459" s="266">
        <v>1674464.6</v>
      </c>
      <c r="I459" s="106">
        <f t="shared" si="88"/>
        <v>55190</v>
      </c>
      <c r="J459" s="122"/>
      <c r="K459" s="157">
        <v>75</v>
      </c>
      <c r="L459" s="166">
        <f t="shared" si="95"/>
        <v>348</v>
      </c>
      <c r="M459" s="119" t="s">
        <v>1059</v>
      </c>
      <c r="N459" s="115">
        <v>27.913</v>
      </c>
      <c r="O459" s="122"/>
      <c r="P459" s="92">
        <f t="shared" si="89"/>
        <v>27.912800000000001</v>
      </c>
      <c r="Q459" s="113">
        <f t="shared" si="90"/>
        <v>1.3653</v>
      </c>
      <c r="R459" s="92">
        <f t="shared" si="91"/>
        <v>1.0619000000000001</v>
      </c>
      <c r="S459" s="121"/>
      <c r="T459" s="93">
        <f t="shared" si="92"/>
        <v>-2.0000000000042206E-4</v>
      </c>
      <c r="U459" s="122"/>
      <c r="V459" s="94">
        <f t="shared" ca="1" si="93"/>
        <v>56.464444791665301</v>
      </c>
      <c r="W459" s="89">
        <f t="shared" si="94"/>
        <v>-2.1739130434828485E-4</v>
      </c>
    </row>
    <row r="460" spans="1:23" ht="18">
      <c r="A460" s="115"/>
      <c r="B460" s="260" t="s">
        <v>505</v>
      </c>
      <c r="C460" s="264" t="s">
        <v>506</v>
      </c>
      <c r="D460" s="261" t="s">
        <v>938</v>
      </c>
      <c r="E460" s="262">
        <v>349</v>
      </c>
      <c r="F460" s="263">
        <v>44994</v>
      </c>
      <c r="G460" s="265">
        <v>26.44</v>
      </c>
      <c r="H460" s="266">
        <v>1459223.6</v>
      </c>
      <c r="I460" s="106">
        <f t="shared" si="88"/>
        <v>55190</v>
      </c>
      <c r="J460" s="122"/>
      <c r="K460" s="157" t="s">
        <v>1063</v>
      </c>
      <c r="L460" s="166">
        <f t="shared" si="95"/>
        <v>349</v>
      </c>
      <c r="M460" s="119" t="s">
        <v>1064</v>
      </c>
      <c r="N460" s="115">
        <f>1.361+22.964</f>
        <v>24.324999999999999</v>
      </c>
      <c r="O460" s="122"/>
      <c r="P460" s="92">
        <f t="shared" si="89"/>
        <v>24.324800000000003</v>
      </c>
      <c r="Q460" s="113">
        <f t="shared" si="90"/>
        <v>1.1898</v>
      </c>
      <c r="R460" s="92">
        <f t="shared" si="91"/>
        <v>0.92540000000000011</v>
      </c>
      <c r="S460" s="121"/>
      <c r="T460" s="93">
        <f t="shared" si="92"/>
        <v>-1.9999999999809059E-4</v>
      </c>
      <c r="U460" s="122"/>
      <c r="V460" s="94">
        <f t="shared" ca="1" si="93"/>
        <v>56.464444791665301</v>
      </c>
      <c r="W460" s="89">
        <f t="shared" si="94"/>
        <v>-2.1739130434575066E-4</v>
      </c>
    </row>
    <row r="461" spans="1:23" ht="18">
      <c r="A461" s="115"/>
      <c r="B461" s="260" t="s">
        <v>505</v>
      </c>
      <c r="C461" s="264" t="s">
        <v>506</v>
      </c>
      <c r="D461" s="261" t="s">
        <v>939</v>
      </c>
      <c r="E461" s="262">
        <v>350</v>
      </c>
      <c r="F461" s="263">
        <v>44994</v>
      </c>
      <c r="G461" s="265">
        <v>26.5</v>
      </c>
      <c r="H461" s="266">
        <v>1462535</v>
      </c>
      <c r="I461" s="106">
        <f t="shared" si="88"/>
        <v>55190</v>
      </c>
      <c r="J461" s="122"/>
      <c r="K461" s="157" t="s">
        <v>1067</v>
      </c>
      <c r="L461" s="166">
        <f t="shared" si="95"/>
        <v>350</v>
      </c>
      <c r="M461" s="119" t="s">
        <v>1066</v>
      </c>
      <c r="N461" s="115">
        <f>9.298+15.082</f>
        <v>24.380000000000003</v>
      </c>
      <c r="O461" s="122"/>
      <c r="P461" s="92">
        <f t="shared" si="89"/>
        <v>24.380000000000003</v>
      </c>
      <c r="Q461" s="113">
        <f t="shared" si="90"/>
        <v>1.1924999999999999</v>
      </c>
      <c r="R461" s="92">
        <f t="shared" si="91"/>
        <v>0.9275000000000001</v>
      </c>
      <c r="S461" s="121"/>
      <c r="T461" s="93">
        <f t="shared" si="92"/>
        <v>-2.55351295663786E-15</v>
      </c>
      <c r="U461" s="122"/>
      <c r="V461" s="94">
        <f t="shared" ca="1" si="93"/>
        <v>56.464444791665301</v>
      </c>
      <c r="W461" s="89">
        <f t="shared" si="94"/>
        <v>-2.7755575615628914E-15</v>
      </c>
    </row>
    <row r="462" spans="1:23" ht="18">
      <c r="A462" s="115"/>
      <c r="B462" s="260" t="s">
        <v>505</v>
      </c>
      <c r="C462" s="264" t="s">
        <v>506</v>
      </c>
      <c r="D462" s="261" t="s">
        <v>940</v>
      </c>
      <c r="E462" s="262">
        <v>351</v>
      </c>
      <c r="F462" s="263">
        <v>44994</v>
      </c>
      <c r="G462" s="265">
        <v>26.22</v>
      </c>
      <c r="H462" s="266">
        <v>1447081.8</v>
      </c>
      <c r="I462" s="106">
        <f t="shared" si="88"/>
        <v>55190.000000000007</v>
      </c>
      <c r="J462" s="122"/>
      <c r="K462" s="157" t="s">
        <v>1068</v>
      </c>
      <c r="L462" s="166">
        <f t="shared" si="95"/>
        <v>351</v>
      </c>
      <c r="M462" s="119" t="s">
        <v>1069</v>
      </c>
      <c r="N462" s="115">
        <f>11.125+12.997</f>
        <v>24.122</v>
      </c>
      <c r="O462" s="122"/>
      <c r="P462" s="92">
        <f t="shared" si="89"/>
        <v>24.122399999999999</v>
      </c>
      <c r="Q462" s="113">
        <f t="shared" si="90"/>
        <v>1.1798999999999999</v>
      </c>
      <c r="R462" s="92">
        <f t="shared" si="91"/>
        <v>0.91770000000000007</v>
      </c>
      <c r="S462" s="121"/>
      <c r="T462" s="93">
        <f t="shared" si="92"/>
        <v>3.9999999999895675E-4</v>
      </c>
      <c r="U462" s="122"/>
      <c r="V462" s="94">
        <f t="shared" ca="1" si="93"/>
        <v>56.464444791665301</v>
      </c>
      <c r="W462" s="89">
        <f t="shared" si="94"/>
        <v>4.3478260869451822E-4</v>
      </c>
    </row>
    <row r="463" spans="1:23" ht="18">
      <c r="A463" s="115"/>
      <c r="B463" s="260" t="s">
        <v>505</v>
      </c>
      <c r="C463" s="264" t="s">
        <v>506</v>
      </c>
      <c r="D463" s="261" t="s">
        <v>941</v>
      </c>
      <c r="E463" s="262">
        <v>352</v>
      </c>
      <c r="F463" s="263">
        <v>44994</v>
      </c>
      <c r="G463" s="265">
        <v>27.96</v>
      </c>
      <c r="H463" s="266">
        <v>1543112.4000000001</v>
      </c>
      <c r="I463" s="106">
        <f t="shared" si="88"/>
        <v>55190</v>
      </c>
      <c r="J463" s="122"/>
      <c r="K463" s="157" t="s">
        <v>1070</v>
      </c>
      <c r="L463" s="166">
        <f t="shared" si="95"/>
        <v>352</v>
      </c>
      <c r="M463" s="119" t="s">
        <v>1069</v>
      </c>
      <c r="N463" s="115">
        <f>19.428+6.295</f>
        <v>25.722999999999999</v>
      </c>
      <c r="O463" s="122"/>
      <c r="P463" s="92">
        <f t="shared" si="89"/>
        <v>25.723200000000002</v>
      </c>
      <c r="Q463" s="113">
        <f t="shared" si="90"/>
        <v>1.2582</v>
      </c>
      <c r="R463" s="92">
        <f t="shared" si="91"/>
        <v>0.97860000000000014</v>
      </c>
      <c r="S463" s="121"/>
      <c r="T463" s="93">
        <f t="shared" si="92"/>
        <v>2.0000000000175433E-4</v>
      </c>
      <c r="U463" s="122"/>
      <c r="V463" s="94">
        <f t="shared" ca="1" si="93"/>
        <v>56.464444791665301</v>
      </c>
      <c r="W463" s="89">
        <f t="shared" si="94"/>
        <v>2.1739130434973296E-4</v>
      </c>
    </row>
    <row r="464" spans="1:23" ht="18">
      <c r="A464" s="115"/>
      <c r="B464" s="260" t="s">
        <v>505</v>
      </c>
      <c r="C464" s="264" t="s">
        <v>506</v>
      </c>
      <c r="D464" s="261" t="s">
        <v>942</v>
      </c>
      <c r="E464" s="262">
        <v>353</v>
      </c>
      <c r="F464" s="263">
        <v>44994</v>
      </c>
      <c r="G464" s="265">
        <v>3.3239999999999998</v>
      </c>
      <c r="H464" s="266">
        <v>183451.56</v>
      </c>
      <c r="I464" s="106">
        <f t="shared" si="88"/>
        <v>55190</v>
      </c>
      <c r="J464" s="122"/>
      <c r="K464" s="157">
        <v>87</v>
      </c>
      <c r="L464" s="166">
        <f t="shared" si="95"/>
        <v>353</v>
      </c>
      <c r="M464" s="119" t="s">
        <v>1071</v>
      </c>
      <c r="N464" s="115">
        <v>3.0579999999999998</v>
      </c>
      <c r="O464" s="122"/>
      <c r="P464" s="92">
        <f t="shared" si="89"/>
        <v>3.0580799999999999</v>
      </c>
      <c r="Q464" s="113">
        <f t="shared" si="90"/>
        <v>0.14957999999999999</v>
      </c>
      <c r="R464" s="92">
        <f t="shared" si="91"/>
        <v>0.11634</v>
      </c>
      <c r="S464" s="121"/>
      <c r="T464" s="93">
        <f t="shared" si="92"/>
        <v>8.0000000000024496E-5</v>
      </c>
      <c r="U464" s="122"/>
      <c r="V464" s="94">
        <f t="shared" ca="1" si="93"/>
        <v>56.464444791665301</v>
      </c>
      <c r="W464" s="89">
        <f t="shared" si="94"/>
        <v>8.6956521739157058E-5</v>
      </c>
    </row>
    <row r="465" spans="1:23" ht="18">
      <c r="A465" s="115"/>
      <c r="B465" s="250" t="s">
        <v>505</v>
      </c>
      <c r="C465" s="250" t="s">
        <v>506</v>
      </c>
      <c r="D465" s="292" t="s">
        <v>943</v>
      </c>
      <c r="E465" s="234">
        <v>354</v>
      </c>
      <c r="F465" s="293">
        <v>44994</v>
      </c>
      <c r="G465" s="294">
        <v>30.14</v>
      </c>
      <c r="H465" s="295">
        <v>1645945.4000000001</v>
      </c>
      <c r="I465" s="296">
        <f t="shared" si="88"/>
        <v>54610</v>
      </c>
      <c r="J465" s="133"/>
      <c r="K465" s="230" t="s">
        <v>1072</v>
      </c>
      <c r="L465" s="240">
        <f t="shared" si="95"/>
        <v>354</v>
      </c>
      <c r="M465" s="231" t="s">
        <v>1073</v>
      </c>
      <c r="N465" s="133">
        <f>26.608+1.121</f>
        <v>27.728999999999999</v>
      </c>
      <c r="O465" s="133"/>
      <c r="P465" s="232">
        <f t="shared" si="89"/>
        <v>27.728800000000003</v>
      </c>
      <c r="Q465" s="232">
        <f t="shared" si="90"/>
        <v>1.3563000000000001</v>
      </c>
      <c r="R465" s="232">
        <f t="shared" si="91"/>
        <v>1.0549000000000002</v>
      </c>
      <c r="S465" s="142"/>
      <c r="T465" s="232">
        <f t="shared" si="92"/>
        <v>-1.9999999999886775E-4</v>
      </c>
      <c r="U465" s="122"/>
      <c r="V465" s="94">
        <f t="shared" ca="1" si="93"/>
        <v>56.464444791665301</v>
      </c>
      <c r="W465" s="89">
        <f t="shared" si="94"/>
        <v>-2.1739130434659539E-4</v>
      </c>
    </row>
    <row r="466" spans="1:23" ht="18">
      <c r="A466" s="115"/>
      <c r="B466" s="260" t="s">
        <v>505</v>
      </c>
      <c r="C466" s="264" t="s">
        <v>506</v>
      </c>
      <c r="D466" s="261" t="s">
        <v>944</v>
      </c>
      <c r="E466" s="262">
        <v>355</v>
      </c>
      <c r="F466" s="263">
        <v>44994</v>
      </c>
      <c r="G466" s="265">
        <v>41.5</v>
      </c>
      <c r="H466" s="266">
        <v>2266315</v>
      </c>
      <c r="I466" s="106">
        <f t="shared" si="88"/>
        <v>54610</v>
      </c>
      <c r="J466" s="122"/>
      <c r="K466" s="157" t="s">
        <v>1065</v>
      </c>
      <c r="L466" s="166">
        <f t="shared" si="95"/>
        <v>355</v>
      </c>
      <c r="M466" s="119" t="s">
        <v>1066</v>
      </c>
      <c r="N466" s="115">
        <f>32.626+5.554</f>
        <v>38.18</v>
      </c>
      <c r="O466" s="122"/>
      <c r="P466" s="92">
        <f t="shared" si="89"/>
        <v>38.18</v>
      </c>
      <c r="Q466" s="113">
        <f t="shared" si="90"/>
        <v>1.8674999999999999</v>
      </c>
      <c r="R466" s="92">
        <f t="shared" si="91"/>
        <v>1.4525000000000001</v>
      </c>
      <c r="S466" s="121"/>
      <c r="T466" s="93">
        <f t="shared" si="92"/>
        <v>0</v>
      </c>
      <c r="U466" s="122"/>
      <c r="V466" s="94">
        <f t="shared" ca="1" si="93"/>
        <v>56.464444791665301</v>
      </c>
      <c r="W466" s="89">
        <f t="shared" si="94"/>
        <v>0</v>
      </c>
    </row>
    <row r="467" spans="1:23" ht="18">
      <c r="A467" s="115"/>
      <c r="B467" s="260" t="s">
        <v>505</v>
      </c>
      <c r="C467" s="264" t="s">
        <v>506</v>
      </c>
      <c r="D467" s="261" t="s">
        <v>945</v>
      </c>
      <c r="E467" s="262">
        <v>356</v>
      </c>
      <c r="F467" s="263">
        <v>44994</v>
      </c>
      <c r="G467" s="265">
        <v>26.54</v>
      </c>
      <c r="H467" s="266">
        <v>1449349.4</v>
      </c>
      <c r="I467" s="106">
        <f t="shared" si="88"/>
        <v>54610</v>
      </c>
      <c r="J467" s="122"/>
      <c r="K467" s="157">
        <v>89</v>
      </c>
      <c r="L467" s="166">
        <f t="shared" si="95"/>
        <v>356</v>
      </c>
      <c r="M467" s="119" t="s">
        <v>1071</v>
      </c>
      <c r="N467" s="115">
        <v>24.417000000000002</v>
      </c>
      <c r="O467" s="122"/>
      <c r="P467" s="92">
        <f t="shared" si="89"/>
        <v>24.416799999999999</v>
      </c>
      <c r="Q467" s="113">
        <f t="shared" si="90"/>
        <v>1.1942999999999999</v>
      </c>
      <c r="R467" s="92">
        <f t="shared" si="91"/>
        <v>0.92890000000000006</v>
      </c>
      <c r="S467" s="121"/>
      <c r="T467" s="93">
        <f t="shared" si="92"/>
        <v>-2.0000000000242046E-4</v>
      </c>
      <c r="U467" s="122"/>
      <c r="V467" s="94">
        <f t="shared" ca="1" si="93"/>
        <v>56.464444791665301</v>
      </c>
      <c r="W467" s="89">
        <f t="shared" si="94"/>
        <v>-2.1739130435045702E-4</v>
      </c>
    </row>
    <row r="468" spans="1:23" ht="18">
      <c r="A468" s="115"/>
      <c r="B468" s="260" t="s">
        <v>505</v>
      </c>
      <c r="C468" s="264" t="s">
        <v>506</v>
      </c>
      <c r="D468" s="261" t="s">
        <v>946</v>
      </c>
      <c r="E468" s="262">
        <v>357</v>
      </c>
      <c r="F468" s="263">
        <v>44994</v>
      </c>
      <c r="G468" s="265">
        <v>26.36</v>
      </c>
      <c r="H468" s="266">
        <v>1439519.5999999999</v>
      </c>
      <c r="I468" s="106">
        <f t="shared" si="88"/>
        <v>54609.999999999993</v>
      </c>
      <c r="J468" s="122"/>
      <c r="K468" s="157" t="s">
        <v>1074</v>
      </c>
      <c r="L468" s="166">
        <f t="shared" si="95"/>
        <v>357</v>
      </c>
      <c r="M468" s="119" t="s">
        <v>1075</v>
      </c>
      <c r="N468" s="115">
        <f>3.689+13.266+7.296</f>
        <v>24.250999999999998</v>
      </c>
      <c r="O468" s="122"/>
      <c r="P468" s="92">
        <f t="shared" si="89"/>
        <v>24.251200000000001</v>
      </c>
      <c r="Q468" s="113">
        <f t="shared" si="90"/>
        <v>1.1861999999999999</v>
      </c>
      <c r="R468" s="92">
        <f t="shared" si="91"/>
        <v>0.92260000000000009</v>
      </c>
      <c r="S468" s="121"/>
      <c r="T468" s="93">
        <f t="shared" si="92"/>
        <v>2.0000000000175433E-4</v>
      </c>
      <c r="U468" s="122"/>
      <c r="V468" s="94">
        <f t="shared" ca="1" si="93"/>
        <v>56.464444791665301</v>
      </c>
      <c r="W468" s="89">
        <f t="shared" si="94"/>
        <v>2.1739130434973296E-4</v>
      </c>
    </row>
    <row r="469" spans="1:23" ht="18">
      <c r="A469" s="115"/>
      <c r="B469" s="260" t="s">
        <v>505</v>
      </c>
      <c r="C469" s="264" t="s">
        <v>506</v>
      </c>
      <c r="D469" s="261" t="s">
        <v>947</v>
      </c>
      <c r="E469" s="262">
        <v>358</v>
      </c>
      <c r="F469" s="263">
        <v>44994</v>
      </c>
      <c r="G469" s="265">
        <v>34.119999999999997</v>
      </c>
      <c r="H469" s="266">
        <v>1863293.2</v>
      </c>
      <c r="I469" s="106">
        <f t="shared" si="88"/>
        <v>54610</v>
      </c>
      <c r="J469" s="122"/>
      <c r="K469" s="157" t="s">
        <v>129</v>
      </c>
      <c r="L469" s="166">
        <f t="shared" si="95"/>
        <v>358</v>
      </c>
      <c r="M469" s="119" t="s">
        <v>1076</v>
      </c>
      <c r="N469" s="115">
        <f>25.485+5.905</f>
        <v>31.39</v>
      </c>
      <c r="O469" s="122"/>
      <c r="P469" s="92">
        <f t="shared" si="89"/>
        <v>31.3904</v>
      </c>
      <c r="Q469" s="113">
        <f t="shared" si="90"/>
        <v>1.5353999999999999</v>
      </c>
      <c r="R469" s="92">
        <f t="shared" si="91"/>
        <v>1.1941999999999999</v>
      </c>
      <c r="S469" s="121"/>
      <c r="T469" s="93">
        <f t="shared" si="92"/>
        <v>3.9999999999706937E-4</v>
      </c>
      <c r="U469" s="122"/>
      <c r="V469" s="94">
        <f t="shared" ca="1" si="93"/>
        <v>56.464444791665301</v>
      </c>
      <c r="W469" s="89">
        <f t="shared" si="94"/>
        <v>4.3478260869246675E-4</v>
      </c>
    </row>
    <row r="470" spans="1:23" ht="18">
      <c r="A470" s="115"/>
      <c r="B470" s="260" t="s">
        <v>505</v>
      </c>
      <c r="C470" s="264" t="s">
        <v>506</v>
      </c>
      <c r="D470" s="261" t="s">
        <v>948</v>
      </c>
      <c r="E470" s="262">
        <v>359</v>
      </c>
      <c r="F470" s="263">
        <v>44994</v>
      </c>
      <c r="G470" s="265">
        <v>30.28</v>
      </c>
      <c r="H470" s="266">
        <v>1653590.8</v>
      </c>
      <c r="I470" s="106">
        <f t="shared" si="88"/>
        <v>54610</v>
      </c>
      <c r="J470" s="122"/>
      <c r="K470" s="157" t="s">
        <v>132</v>
      </c>
      <c r="L470" s="166">
        <f t="shared" si="95"/>
        <v>359</v>
      </c>
      <c r="M470" s="119" t="s">
        <v>1077</v>
      </c>
      <c r="N470" s="115">
        <f>26.276+1.582</f>
        <v>27.858000000000001</v>
      </c>
      <c r="O470" s="122"/>
      <c r="P470" s="92">
        <f t="shared" si="89"/>
        <v>27.857600000000001</v>
      </c>
      <c r="Q470" s="113">
        <f t="shared" si="90"/>
        <v>1.3626</v>
      </c>
      <c r="R470" s="92">
        <f t="shared" si="91"/>
        <v>1.0598000000000001</v>
      </c>
      <c r="S470" s="121"/>
      <c r="T470" s="93">
        <f t="shared" si="92"/>
        <v>-3.9999999999951186E-4</v>
      </c>
      <c r="U470" s="122"/>
      <c r="V470" s="94">
        <f t="shared" ca="1" si="93"/>
        <v>56.464444791665301</v>
      </c>
      <c r="W470" s="89">
        <f t="shared" si="94"/>
        <v>-4.3478260869512164E-4</v>
      </c>
    </row>
    <row r="471" spans="1:23" ht="18">
      <c r="A471" s="115"/>
      <c r="B471" s="260" t="s">
        <v>505</v>
      </c>
      <c r="C471" s="264" t="s">
        <v>506</v>
      </c>
      <c r="D471" s="261" t="s">
        <v>949</v>
      </c>
      <c r="E471" s="262">
        <v>360</v>
      </c>
      <c r="F471" s="263">
        <v>44994</v>
      </c>
      <c r="G471" s="265">
        <v>37.78</v>
      </c>
      <c r="H471" s="266">
        <v>2063165.8</v>
      </c>
      <c r="I471" s="106">
        <f t="shared" si="88"/>
        <v>54610</v>
      </c>
      <c r="J471" s="122"/>
      <c r="K471" s="157" t="s">
        <v>1081</v>
      </c>
      <c r="L471" s="166">
        <f t="shared" si="95"/>
        <v>360</v>
      </c>
      <c r="M471" s="119" t="s">
        <v>1082</v>
      </c>
      <c r="N471" s="115">
        <f>31.932+2.826</f>
        <v>34.757999999999996</v>
      </c>
      <c r="O471" s="122"/>
      <c r="P471" s="92">
        <f t="shared" si="89"/>
        <v>34.757600000000004</v>
      </c>
      <c r="Q471" s="113">
        <f t="shared" si="90"/>
        <v>1.7000999999999999</v>
      </c>
      <c r="R471" s="92">
        <f t="shared" si="91"/>
        <v>1.3223000000000003</v>
      </c>
      <c r="S471" s="121"/>
      <c r="T471" s="93">
        <f t="shared" si="92"/>
        <v>-3.9999999999462688E-4</v>
      </c>
      <c r="U471" s="122"/>
      <c r="V471" s="94">
        <f t="shared" ca="1" si="93"/>
        <v>56.464444791665301</v>
      </c>
      <c r="W471" s="89">
        <f t="shared" si="94"/>
        <v>-4.3478260868981181E-4</v>
      </c>
    </row>
    <row r="472" spans="1:23" ht="18">
      <c r="A472" s="115"/>
      <c r="B472" s="260" t="s">
        <v>505</v>
      </c>
      <c r="C472" s="264" t="s">
        <v>506</v>
      </c>
      <c r="D472" s="261" t="s">
        <v>950</v>
      </c>
      <c r="E472" s="262">
        <v>361</v>
      </c>
      <c r="F472" s="263">
        <v>44994</v>
      </c>
      <c r="G472" s="265">
        <v>26.6</v>
      </c>
      <c r="H472" s="266">
        <v>1452626</v>
      </c>
      <c r="I472" s="106">
        <f t="shared" si="88"/>
        <v>54610</v>
      </c>
      <c r="J472" s="122"/>
      <c r="K472" s="157">
        <v>97</v>
      </c>
      <c r="L472" s="166">
        <f t="shared" si="95"/>
        <v>361</v>
      </c>
      <c r="M472" s="119" t="s">
        <v>1078</v>
      </c>
      <c r="N472" s="115">
        <v>24.472000000000001</v>
      </c>
      <c r="O472" s="122"/>
      <c r="P472" s="92">
        <f t="shared" si="89"/>
        <v>24.472000000000001</v>
      </c>
      <c r="Q472" s="113">
        <f t="shared" si="90"/>
        <v>1.1970000000000001</v>
      </c>
      <c r="R472" s="92">
        <f t="shared" si="91"/>
        <v>0.93100000000000016</v>
      </c>
      <c r="S472" s="121"/>
      <c r="T472" s="93">
        <f t="shared" si="92"/>
        <v>0</v>
      </c>
      <c r="U472" s="122"/>
      <c r="V472" s="94">
        <f t="shared" ca="1" si="93"/>
        <v>56.464444791665301</v>
      </c>
      <c r="W472" s="89">
        <f t="shared" si="94"/>
        <v>0</v>
      </c>
    </row>
    <row r="473" spans="1:23" ht="18">
      <c r="A473" s="115"/>
      <c r="B473" s="260" t="s">
        <v>505</v>
      </c>
      <c r="C473" s="264" t="s">
        <v>506</v>
      </c>
      <c r="D473" s="261" t="s">
        <v>951</v>
      </c>
      <c r="E473" s="262">
        <v>362</v>
      </c>
      <c r="F473" s="263">
        <v>44994</v>
      </c>
      <c r="G473" s="267">
        <v>30.06</v>
      </c>
      <c r="H473" s="266">
        <v>1641576.5999999999</v>
      </c>
      <c r="I473" s="106">
        <f t="shared" si="88"/>
        <v>54610</v>
      </c>
      <c r="J473" s="122"/>
      <c r="K473" s="157" t="s">
        <v>1079</v>
      </c>
      <c r="L473" s="166">
        <f t="shared" si="95"/>
        <v>362</v>
      </c>
      <c r="M473" s="119" t="s">
        <v>1080</v>
      </c>
      <c r="N473" s="115">
        <f>7.574+20.081</f>
        <v>27.655000000000001</v>
      </c>
      <c r="O473" s="122"/>
      <c r="P473" s="92">
        <f t="shared" si="89"/>
        <v>27.655200000000001</v>
      </c>
      <c r="Q473" s="113">
        <f t="shared" si="90"/>
        <v>1.3526999999999998</v>
      </c>
      <c r="R473" s="92">
        <f t="shared" si="91"/>
        <v>1.0521</v>
      </c>
      <c r="S473" s="121"/>
      <c r="T473" s="93">
        <f t="shared" si="92"/>
        <v>1.9999999999775753E-4</v>
      </c>
      <c r="U473" s="122"/>
      <c r="V473" s="94">
        <f t="shared" ca="1" si="93"/>
        <v>56.464444791665301</v>
      </c>
      <c r="W473" s="89">
        <f t="shared" si="94"/>
        <v>2.1739130434538862E-4</v>
      </c>
    </row>
    <row r="474" spans="1:23" ht="18">
      <c r="A474" s="115"/>
      <c r="B474" s="260" t="s">
        <v>505</v>
      </c>
      <c r="C474" s="264" t="s">
        <v>506</v>
      </c>
      <c r="D474" s="261" t="s">
        <v>952</v>
      </c>
      <c r="E474" s="262">
        <v>363</v>
      </c>
      <c r="F474" s="263">
        <v>44994</v>
      </c>
      <c r="G474" s="267">
        <v>30.1</v>
      </c>
      <c r="H474" s="266">
        <v>1643761</v>
      </c>
      <c r="I474" s="106">
        <f t="shared" si="88"/>
        <v>54610</v>
      </c>
      <c r="J474" s="122"/>
      <c r="K474" s="157" t="s">
        <v>1083</v>
      </c>
      <c r="L474" s="166">
        <f t="shared" si="95"/>
        <v>363</v>
      </c>
      <c r="M474" s="119" t="s">
        <v>1082</v>
      </c>
      <c r="N474" s="115">
        <f>12.577+15.115</f>
        <v>27.692</v>
      </c>
      <c r="O474" s="122"/>
      <c r="P474" s="92">
        <f t="shared" si="89"/>
        <v>27.692000000000004</v>
      </c>
      <c r="Q474" s="113">
        <f t="shared" si="90"/>
        <v>1.3545</v>
      </c>
      <c r="R474" s="92">
        <f t="shared" si="91"/>
        <v>1.0535000000000001</v>
      </c>
      <c r="S474" s="121"/>
      <c r="T474" s="93">
        <f t="shared" si="92"/>
        <v>0</v>
      </c>
      <c r="U474" s="122"/>
      <c r="V474" s="94">
        <f t="shared" ca="1" si="93"/>
        <v>56.464444791665301</v>
      </c>
      <c r="W474" s="89">
        <f t="shared" si="94"/>
        <v>0</v>
      </c>
    </row>
    <row r="475" spans="1:23" ht="18">
      <c r="A475" s="115"/>
      <c r="B475" s="260" t="s">
        <v>505</v>
      </c>
      <c r="C475" s="264" t="s">
        <v>506</v>
      </c>
      <c r="D475" s="261" t="s">
        <v>953</v>
      </c>
      <c r="E475" s="262">
        <v>364</v>
      </c>
      <c r="F475" s="263">
        <v>44994</v>
      </c>
      <c r="G475" s="265">
        <v>30.22</v>
      </c>
      <c r="H475" s="266">
        <v>1650314.2</v>
      </c>
      <c r="I475" s="106">
        <f t="shared" si="88"/>
        <v>54610</v>
      </c>
      <c r="J475" s="122"/>
      <c r="K475" s="157" t="s">
        <v>1084</v>
      </c>
      <c r="L475" s="166">
        <f t="shared" si="95"/>
        <v>364</v>
      </c>
      <c r="M475" s="119" t="s">
        <v>1085</v>
      </c>
      <c r="N475" s="115">
        <f>14.214+13.588</f>
        <v>27.802</v>
      </c>
      <c r="O475" s="122"/>
      <c r="P475" s="92">
        <f t="shared" si="89"/>
        <v>27.802399999999999</v>
      </c>
      <c r="Q475" s="113">
        <f t="shared" si="90"/>
        <v>1.3598999999999999</v>
      </c>
      <c r="R475" s="92">
        <f t="shared" si="91"/>
        <v>1.0577000000000001</v>
      </c>
      <c r="S475" s="121"/>
      <c r="T475" s="93">
        <f t="shared" si="92"/>
        <v>3.9999999999928981E-4</v>
      </c>
      <c r="U475" s="122"/>
      <c r="V475" s="94">
        <f t="shared" ca="1" si="93"/>
        <v>56.464444791665301</v>
      </c>
      <c r="W475" s="89">
        <f t="shared" si="94"/>
        <v>4.3478260869488018E-4</v>
      </c>
    </row>
    <row r="476" spans="1:23" ht="18">
      <c r="A476" s="115"/>
      <c r="B476" s="260" t="s">
        <v>505</v>
      </c>
      <c r="C476" s="264" t="s">
        <v>506</v>
      </c>
      <c r="D476" s="261" t="s">
        <v>954</v>
      </c>
      <c r="E476" s="262">
        <v>365</v>
      </c>
      <c r="F476" s="263">
        <v>44994</v>
      </c>
      <c r="G476" s="267">
        <v>34.06</v>
      </c>
      <c r="H476" s="266">
        <v>1860016.6</v>
      </c>
      <c r="I476" s="106">
        <f t="shared" si="88"/>
        <v>54610</v>
      </c>
      <c r="J476" s="122"/>
      <c r="K476" s="157" t="s">
        <v>1086</v>
      </c>
      <c r="L476" s="166">
        <f t="shared" si="95"/>
        <v>365</v>
      </c>
      <c r="M476" s="119" t="s">
        <v>1087</v>
      </c>
      <c r="N476" s="115">
        <f>20.201+11.134</f>
        <v>31.335000000000001</v>
      </c>
      <c r="O476" s="122"/>
      <c r="P476" s="92">
        <f t="shared" si="89"/>
        <v>31.335200000000004</v>
      </c>
      <c r="Q476" s="113">
        <f t="shared" si="90"/>
        <v>1.5327</v>
      </c>
      <c r="R476" s="92">
        <f t="shared" si="91"/>
        <v>1.1921000000000002</v>
      </c>
      <c r="S476" s="121"/>
      <c r="T476" s="93">
        <f t="shared" si="92"/>
        <v>2.0000000000131024E-4</v>
      </c>
      <c r="U476" s="122"/>
      <c r="V476" s="94">
        <f t="shared" ca="1" si="93"/>
        <v>56.464444791665301</v>
      </c>
      <c r="W476" s="89">
        <f t="shared" si="94"/>
        <v>2.1739130434925025E-4</v>
      </c>
    </row>
    <row r="477" spans="1:23" ht="18">
      <c r="A477" s="115"/>
      <c r="B477" s="260" t="s">
        <v>505</v>
      </c>
      <c r="C477" s="264" t="s">
        <v>506</v>
      </c>
      <c r="D477" s="261" t="s">
        <v>955</v>
      </c>
      <c r="E477" s="262">
        <v>366</v>
      </c>
      <c r="F477" s="263">
        <v>44994</v>
      </c>
      <c r="G477" s="267">
        <v>37.86</v>
      </c>
      <c r="H477" s="266">
        <v>2067534.5999999999</v>
      </c>
      <c r="I477" s="106">
        <f t="shared" si="88"/>
        <v>54610</v>
      </c>
      <c r="J477" s="122"/>
      <c r="K477" s="157" t="s">
        <v>1088</v>
      </c>
      <c r="L477" s="166">
        <f>E477</f>
        <v>366</v>
      </c>
      <c r="M477" s="119" t="s">
        <v>1087</v>
      </c>
      <c r="N477" s="115">
        <f>32.115+2.716</f>
        <v>34.831000000000003</v>
      </c>
      <c r="O477" s="122"/>
      <c r="P477" s="92">
        <f t="shared" si="89"/>
        <v>34.831200000000003</v>
      </c>
      <c r="Q477" s="113">
        <f t="shared" si="90"/>
        <v>1.7037</v>
      </c>
      <c r="R477" s="92">
        <f t="shared" si="91"/>
        <v>1.3251000000000002</v>
      </c>
      <c r="S477" s="121"/>
      <c r="T477" s="93">
        <f t="shared" si="92"/>
        <v>1.9999999999620321E-4</v>
      </c>
      <c r="U477" s="122"/>
      <c r="V477" s="94">
        <f t="shared" ca="1" si="93"/>
        <v>56.464444791665301</v>
      </c>
      <c r="W477" s="89">
        <f t="shared" si="94"/>
        <v>2.1739130434369913E-4</v>
      </c>
    </row>
    <row r="478" spans="1:23" ht="18">
      <c r="A478" s="115"/>
      <c r="B478" s="260" t="s">
        <v>505</v>
      </c>
      <c r="C478" s="264" t="s">
        <v>506</v>
      </c>
      <c r="D478" s="261" t="s">
        <v>956</v>
      </c>
      <c r="E478" s="262">
        <v>367</v>
      </c>
      <c r="F478" s="263">
        <v>44994</v>
      </c>
      <c r="G478" s="265">
        <v>41.58</v>
      </c>
      <c r="H478" s="266">
        <v>2270683.7999999998</v>
      </c>
      <c r="I478" s="106">
        <f t="shared" si="88"/>
        <v>54610</v>
      </c>
      <c r="J478" s="122"/>
      <c r="K478" s="157" t="s">
        <v>1089</v>
      </c>
      <c r="L478" s="166">
        <f t="shared" si="95"/>
        <v>367</v>
      </c>
      <c r="M478" s="119" t="s">
        <v>1087</v>
      </c>
      <c r="N478" s="115">
        <f>32.613+5.641</f>
        <v>38.253999999999998</v>
      </c>
      <c r="O478" s="122"/>
      <c r="P478" s="92">
        <f t="shared" si="89"/>
        <v>38.253599999999999</v>
      </c>
      <c r="Q478" s="113">
        <f t="shared" si="90"/>
        <v>1.8710999999999998</v>
      </c>
      <c r="R478" s="92">
        <f t="shared" si="91"/>
        <v>1.4553</v>
      </c>
      <c r="S478" s="121"/>
      <c r="T478" s="93">
        <f t="shared" si="92"/>
        <v>-3.9999999999928981E-4</v>
      </c>
      <c r="U478" s="122"/>
      <c r="V478" s="94">
        <f t="shared" ca="1" si="93"/>
        <v>56.464444791665301</v>
      </c>
      <c r="W478" s="89">
        <f t="shared" si="94"/>
        <v>-4.3478260869488018E-4</v>
      </c>
    </row>
    <row r="479" spans="1:23" ht="18">
      <c r="A479" s="115"/>
      <c r="B479" s="260" t="s">
        <v>505</v>
      </c>
      <c r="C479" s="264" t="s">
        <v>506</v>
      </c>
      <c r="D479" s="261" t="s">
        <v>957</v>
      </c>
      <c r="E479" s="262">
        <v>368</v>
      </c>
      <c r="F479" s="263">
        <v>44994</v>
      </c>
      <c r="G479" s="265">
        <v>30.26</v>
      </c>
      <c r="H479" s="266">
        <v>1652498.6</v>
      </c>
      <c r="I479" s="106">
        <f t="shared" si="88"/>
        <v>54610</v>
      </c>
      <c r="J479" s="122"/>
      <c r="K479" s="157" t="s">
        <v>144</v>
      </c>
      <c r="L479" s="166">
        <f t="shared" si="95"/>
        <v>368</v>
      </c>
      <c r="M479" s="119" t="s">
        <v>1125</v>
      </c>
      <c r="N479" s="115">
        <f>12.804+15.035</f>
        <v>27.838999999999999</v>
      </c>
      <c r="O479" s="122"/>
      <c r="P479" s="92">
        <f t="shared" si="89"/>
        <v>27.839200000000002</v>
      </c>
      <c r="Q479" s="113">
        <f t="shared" si="90"/>
        <v>1.3616999999999999</v>
      </c>
      <c r="R479" s="92">
        <f t="shared" si="91"/>
        <v>1.0591000000000002</v>
      </c>
      <c r="S479" s="121"/>
      <c r="T479" s="93">
        <f t="shared" si="92"/>
        <v>2.0000000000286455E-4</v>
      </c>
      <c r="U479" s="122"/>
      <c r="V479" s="94">
        <f t="shared" ca="1" si="93"/>
        <v>56.464444791665301</v>
      </c>
      <c r="W479" s="89">
        <f t="shared" si="94"/>
        <v>2.1739130435093973E-4</v>
      </c>
    </row>
    <row r="480" spans="1:23" ht="18">
      <c r="A480" s="115"/>
      <c r="B480" s="260" t="s">
        <v>505</v>
      </c>
      <c r="C480" s="264" t="s">
        <v>506</v>
      </c>
      <c r="D480" s="261" t="s">
        <v>958</v>
      </c>
      <c r="E480" s="262">
        <v>369</v>
      </c>
      <c r="F480" s="263">
        <v>44994</v>
      </c>
      <c r="G480" s="265">
        <v>41.5</v>
      </c>
      <c r="H480" s="266">
        <v>2266315</v>
      </c>
      <c r="I480" s="106">
        <f t="shared" si="88"/>
        <v>54610</v>
      </c>
      <c r="J480" s="122"/>
      <c r="K480" s="157" t="s">
        <v>1126</v>
      </c>
      <c r="L480" s="166">
        <f t="shared" si="95"/>
        <v>369</v>
      </c>
      <c r="M480" s="119" t="s">
        <v>1127</v>
      </c>
      <c r="N480" s="115">
        <f>32.05+6.13</f>
        <v>38.18</v>
      </c>
      <c r="O480" s="122"/>
      <c r="P480" s="92">
        <f t="shared" si="89"/>
        <v>38.18</v>
      </c>
      <c r="Q480" s="113">
        <f t="shared" si="90"/>
        <v>1.8674999999999999</v>
      </c>
      <c r="R480" s="92">
        <f t="shared" si="91"/>
        <v>1.4525000000000001</v>
      </c>
      <c r="S480" s="121"/>
      <c r="T480" s="93">
        <f t="shared" si="92"/>
        <v>0</v>
      </c>
      <c r="U480" s="122"/>
      <c r="V480" s="94">
        <f t="shared" ca="1" si="93"/>
        <v>56.464444791665301</v>
      </c>
      <c r="W480" s="89">
        <f t="shared" si="94"/>
        <v>0</v>
      </c>
    </row>
    <row r="481" spans="1:23" ht="18">
      <c r="A481" s="115"/>
      <c r="B481" s="260" t="s">
        <v>505</v>
      </c>
      <c r="C481" s="264" t="s">
        <v>506</v>
      </c>
      <c r="D481" s="261" t="s">
        <v>959</v>
      </c>
      <c r="E481" s="262">
        <v>370</v>
      </c>
      <c r="F481" s="263">
        <v>44994</v>
      </c>
      <c r="G481" s="265">
        <v>30.16</v>
      </c>
      <c r="H481" s="266">
        <v>1647037.6</v>
      </c>
      <c r="I481" s="106">
        <f t="shared" si="88"/>
        <v>54610</v>
      </c>
      <c r="J481" s="122"/>
      <c r="K481" s="157" t="s">
        <v>1128</v>
      </c>
      <c r="L481" s="166">
        <f t="shared" si="95"/>
        <v>370</v>
      </c>
      <c r="M481" s="119" t="s">
        <v>1127</v>
      </c>
      <c r="N481" s="115">
        <f>17.023+10.724</f>
        <v>27.747</v>
      </c>
      <c r="O481" s="122"/>
      <c r="P481" s="92">
        <f t="shared" si="89"/>
        <v>27.747200000000003</v>
      </c>
      <c r="Q481" s="113">
        <f t="shared" si="90"/>
        <v>1.3572</v>
      </c>
      <c r="R481" s="92">
        <f t="shared" si="91"/>
        <v>1.0556000000000001</v>
      </c>
      <c r="S481" s="121"/>
      <c r="T481" s="93">
        <f t="shared" si="92"/>
        <v>2.0000000000020002E-4</v>
      </c>
      <c r="U481" s="122"/>
      <c r="V481" s="94">
        <f t="shared" ca="1" si="93"/>
        <v>56.464444791665301</v>
      </c>
      <c r="W481" s="89">
        <f t="shared" si="94"/>
        <v>2.173913043480435E-4</v>
      </c>
    </row>
    <row r="482" spans="1:23" ht="18">
      <c r="A482" s="115"/>
      <c r="B482" s="260" t="s">
        <v>505</v>
      </c>
      <c r="C482" s="264" t="s">
        <v>506</v>
      </c>
      <c r="D482" s="261" t="s">
        <v>960</v>
      </c>
      <c r="E482" s="262">
        <v>371</v>
      </c>
      <c r="F482" s="263">
        <v>44994</v>
      </c>
      <c r="G482" s="265">
        <v>41.38</v>
      </c>
      <c r="H482" s="266">
        <v>2259761.8000000003</v>
      </c>
      <c r="I482" s="106">
        <f t="shared" si="88"/>
        <v>54610</v>
      </c>
      <c r="J482" s="122"/>
      <c r="K482" s="157" t="s">
        <v>1129</v>
      </c>
      <c r="L482" s="166">
        <f t="shared" si="95"/>
        <v>371</v>
      </c>
      <c r="M482" s="119" t="s">
        <v>1130</v>
      </c>
      <c r="N482" s="115">
        <f>16.585+21.485</f>
        <v>38.07</v>
      </c>
      <c r="O482" s="122"/>
      <c r="P482" s="92">
        <f t="shared" si="89"/>
        <v>38.069600000000001</v>
      </c>
      <c r="Q482" s="113">
        <f t="shared" si="90"/>
        <v>1.8621000000000001</v>
      </c>
      <c r="R482" s="92">
        <f t="shared" si="91"/>
        <v>1.4483000000000001</v>
      </c>
      <c r="S482" s="121"/>
      <c r="T482" s="93">
        <f t="shared" si="92"/>
        <v>-3.9999999999795754E-4</v>
      </c>
      <c r="U482" s="122"/>
      <c r="V482" s="94">
        <f t="shared" ca="1" si="93"/>
        <v>56.464444791665301</v>
      </c>
      <c r="W482" s="89">
        <f t="shared" si="94"/>
        <v>-4.3478260869343212E-4</v>
      </c>
    </row>
    <row r="483" spans="1:23" ht="18">
      <c r="A483" s="115"/>
      <c r="B483" s="260" t="s">
        <v>505</v>
      </c>
      <c r="C483" s="264" t="s">
        <v>506</v>
      </c>
      <c r="D483" s="261" t="s">
        <v>961</v>
      </c>
      <c r="E483" s="262">
        <v>372</v>
      </c>
      <c r="F483" s="263">
        <v>44994</v>
      </c>
      <c r="G483" s="265">
        <v>41.46</v>
      </c>
      <c r="H483" s="266">
        <v>2264130.6</v>
      </c>
      <c r="I483" s="106">
        <f t="shared" si="88"/>
        <v>54610</v>
      </c>
      <c r="J483" s="122"/>
      <c r="K483" s="157" t="s">
        <v>1131</v>
      </c>
      <c r="L483" s="166">
        <f t="shared" si="95"/>
        <v>372</v>
      </c>
      <c r="M483" s="119" t="s">
        <v>1132</v>
      </c>
      <c r="N483" s="115">
        <f>32.635+5.508</f>
        <v>38.143000000000001</v>
      </c>
      <c r="O483" s="122"/>
      <c r="P483" s="92">
        <f t="shared" si="89"/>
        <v>38.1432</v>
      </c>
      <c r="Q483" s="113">
        <f t="shared" si="90"/>
        <v>1.8656999999999999</v>
      </c>
      <c r="R483" s="92">
        <f t="shared" si="91"/>
        <v>1.4511000000000003</v>
      </c>
      <c r="S483" s="121"/>
      <c r="T483" s="93">
        <f t="shared" si="92"/>
        <v>1.9999999999997797E-4</v>
      </c>
      <c r="U483" s="122"/>
      <c r="V483" s="94">
        <f t="shared" ca="1" si="93"/>
        <v>56.464444791665301</v>
      </c>
      <c r="W483" s="89">
        <f t="shared" si="94"/>
        <v>2.1739130434780213E-4</v>
      </c>
    </row>
    <row r="484" spans="1:23" ht="18">
      <c r="A484" s="115"/>
      <c r="B484" s="260" t="s">
        <v>505</v>
      </c>
      <c r="C484" s="264" t="s">
        <v>506</v>
      </c>
      <c r="D484" s="261" t="s">
        <v>962</v>
      </c>
      <c r="E484" s="262">
        <v>373</v>
      </c>
      <c r="F484" s="263">
        <v>44994</v>
      </c>
      <c r="G484" s="265">
        <v>30.24</v>
      </c>
      <c r="H484" s="266">
        <v>1651406.4</v>
      </c>
      <c r="I484" s="106">
        <f t="shared" si="88"/>
        <v>54610</v>
      </c>
      <c r="J484" s="122"/>
      <c r="K484" s="157" t="s">
        <v>1133</v>
      </c>
      <c r="L484" s="166">
        <f t="shared" si="95"/>
        <v>373</v>
      </c>
      <c r="M484" s="119" t="s">
        <v>1132</v>
      </c>
      <c r="N484" s="115">
        <f>11.27+16.551</f>
        <v>27.820999999999998</v>
      </c>
      <c r="O484" s="122"/>
      <c r="P484" s="92">
        <f t="shared" si="89"/>
        <v>27.820799999999998</v>
      </c>
      <c r="Q484" s="113">
        <f t="shared" si="90"/>
        <v>1.3607999999999998</v>
      </c>
      <c r="R484" s="92">
        <f t="shared" si="91"/>
        <v>1.0584</v>
      </c>
      <c r="S484" s="121"/>
      <c r="T484" s="93">
        <f t="shared" si="92"/>
        <v>-1.9999999999931184E-4</v>
      </c>
      <c r="U484" s="122"/>
      <c r="V484" s="94">
        <f t="shared" ca="1" si="93"/>
        <v>56.464444791665301</v>
      </c>
      <c r="W484" s="89">
        <f t="shared" si="94"/>
        <v>-2.173913043470781E-4</v>
      </c>
    </row>
    <row r="485" spans="1:23" ht="18">
      <c r="A485" s="115"/>
      <c r="B485" s="260" t="s">
        <v>505</v>
      </c>
      <c r="C485" s="264" t="s">
        <v>506</v>
      </c>
      <c r="D485" s="261" t="s">
        <v>963</v>
      </c>
      <c r="E485" s="262">
        <v>374</v>
      </c>
      <c r="F485" s="263">
        <v>44994</v>
      </c>
      <c r="G485" s="265">
        <v>41.5</v>
      </c>
      <c r="H485" s="266">
        <v>2266315</v>
      </c>
      <c r="I485" s="106">
        <f t="shared" si="88"/>
        <v>54610</v>
      </c>
      <c r="J485" s="122"/>
      <c r="K485" s="157" t="s">
        <v>1134</v>
      </c>
      <c r="L485" s="166">
        <f t="shared" si="95"/>
        <v>374</v>
      </c>
      <c r="M485" s="119" t="s">
        <v>1135</v>
      </c>
      <c r="N485" s="115">
        <f>9.909+28.271</f>
        <v>38.18</v>
      </c>
      <c r="O485" s="122"/>
      <c r="P485" s="92">
        <f t="shared" si="89"/>
        <v>38.18</v>
      </c>
      <c r="Q485" s="113">
        <f t="shared" si="90"/>
        <v>1.8674999999999999</v>
      </c>
      <c r="R485" s="92">
        <f t="shared" si="91"/>
        <v>1.4525000000000001</v>
      </c>
      <c r="S485" s="121"/>
      <c r="T485" s="93">
        <f t="shared" si="92"/>
        <v>0</v>
      </c>
      <c r="U485" s="122"/>
      <c r="V485" s="94">
        <f t="shared" ca="1" si="93"/>
        <v>56.464444791665301</v>
      </c>
      <c r="W485" s="89">
        <f t="shared" si="94"/>
        <v>0</v>
      </c>
    </row>
    <row r="486" spans="1:23" ht="18">
      <c r="A486" s="115"/>
      <c r="B486" s="260" t="s">
        <v>505</v>
      </c>
      <c r="C486" s="264" t="s">
        <v>506</v>
      </c>
      <c r="D486" s="261" t="s">
        <v>964</v>
      </c>
      <c r="E486" s="262">
        <v>375</v>
      </c>
      <c r="F486" s="263">
        <v>44994</v>
      </c>
      <c r="G486" s="265">
        <v>30.06</v>
      </c>
      <c r="H486" s="266">
        <v>1641576.5999999999</v>
      </c>
      <c r="I486" s="106">
        <f t="shared" si="88"/>
        <v>54610</v>
      </c>
      <c r="J486" s="122"/>
      <c r="K486" s="157" t="s">
        <v>1136</v>
      </c>
      <c r="L486" s="166">
        <f t="shared" si="95"/>
        <v>375</v>
      </c>
      <c r="M486" s="119" t="s">
        <v>1137</v>
      </c>
      <c r="N486" s="115">
        <f>5.161+22.494</f>
        <v>27.655000000000001</v>
      </c>
      <c r="O486" s="122"/>
      <c r="P486" s="92">
        <f t="shared" si="89"/>
        <v>27.655200000000001</v>
      </c>
      <c r="Q486" s="113">
        <f t="shared" si="90"/>
        <v>1.3526999999999998</v>
      </c>
      <c r="R486" s="92">
        <f t="shared" si="91"/>
        <v>1.0521</v>
      </c>
      <c r="S486" s="121"/>
      <c r="T486" s="93">
        <f t="shared" si="92"/>
        <v>1.9999999999775753E-4</v>
      </c>
      <c r="U486" s="122"/>
      <c r="V486" s="94">
        <f t="shared" ca="1" si="93"/>
        <v>56.464444791665301</v>
      </c>
      <c r="W486" s="89">
        <f t="shared" si="94"/>
        <v>2.1739130434538862E-4</v>
      </c>
    </row>
    <row r="487" spans="1:23" ht="18">
      <c r="A487" s="115"/>
      <c r="B487" s="260" t="s">
        <v>505</v>
      </c>
      <c r="C487" s="264" t="s">
        <v>506</v>
      </c>
      <c r="D487" s="261" t="s">
        <v>965</v>
      </c>
      <c r="E487" s="262">
        <v>376</v>
      </c>
      <c r="F487" s="263">
        <v>44994</v>
      </c>
      <c r="G487" s="265">
        <v>33.979999999999997</v>
      </c>
      <c r="H487" s="266">
        <v>1855647.7999999998</v>
      </c>
      <c r="I487" s="106">
        <f t="shared" si="88"/>
        <v>54610</v>
      </c>
      <c r="J487" s="122"/>
      <c r="K487" s="157" t="s">
        <v>310</v>
      </c>
      <c r="L487" s="166">
        <f t="shared" si="95"/>
        <v>376</v>
      </c>
      <c r="M487" s="119" t="s">
        <v>1139</v>
      </c>
      <c r="N487" s="115">
        <f>9.394+21.868</f>
        <v>31.262</v>
      </c>
      <c r="O487" s="122"/>
      <c r="P487" s="92">
        <f t="shared" si="89"/>
        <v>31.261599999999998</v>
      </c>
      <c r="Q487" s="113">
        <f t="shared" si="90"/>
        <v>1.5290999999999999</v>
      </c>
      <c r="R487" s="92">
        <f t="shared" si="91"/>
        <v>1.1893</v>
      </c>
      <c r="S487" s="121"/>
      <c r="T487" s="93">
        <f t="shared" si="92"/>
        <v>-4.0000000000350866E-4</v>
      </c>
      <c r="U487" s="122"/>
      <c r="V487" s="94">
        <f t="shared" ca="1" si="93"/>
        <v>56.464444791665301</v>
      </c>
      <c r="W487" s="89">
        <f t="shared" si="94"/>
        <v>-4.3478260869946593E-4</v>
      </c>
    </row>
    <row r="488" spans="1:23" ht="18">
      <c r="A488" s="115"/>
      <c r="B488" s="260" t="s">
        <v>505</v>
      </c>
      <c r="C488" s="264" t="s">
        <v>506</v>
      </c>
      <c r="D488" s="261" t="s">
        <v>966</v>
      </c>
      <c r="E488" s="262">
        <v>377</v>
      </c>
      <c r="F488" s="263">
        <v>44994</v>
      </c>
      <c r="G488" s="265">
        <v>30.44</v>
      </c>
      <c r="H488" s="266">
        <v>1662328.4000000001</v>
      </c>
      <c r="I488" s="106">
        <f t="shared" si="88"/>
        <v>54610</v>
      </c>
      <c r="J488" s="122"/>
      <c r="K488" s="157" t="s">
        <v>1138</v>
      </c>
      <c r="L488" s="166">
        <f t="shared" si="95"/>
        <v>377</v>
      </c>
      <c r="M488" s="119" t="s">
        <v>1140</v>
      </c>
      <c r="N488" s="115">
        <f>10.212+17.793</f>
        <v>28.004999999999999</v>
      </c>
      <c r="O488" s="122"/>
      <c r="P488" s="92">
        <f t="shared" si="89"/>
        <v>28.004800000000003</v>
      </c>
      <c r="Q488" s="113">
        <f t="shared" si="90"/>
        <v>1.3697999999999999</v>
      </c>
      <c r="R488" s="92">
        <f t="shared" si="91"/>
        <v>1.0654000000000001</v>
      </c>
      <c r="S488" s="121"/>
      <c r="T488" s="93">
        <f t="shared" si="92"/>
        <v>-1.9999999999775753E-4</v>
      </c>
      <c r="U488" s="122"/>
      <c r="V488" s="94">
        <f t="shared" ca="1" si="93"/>
        <v>56.464444791665301</v>
      </c>
      <c r="W488" s="89">
        <f t="shared" si="94"/>
        <v>-2.1739130434538862E-4</v>
      </c>
    </row>
    <row r="489" spans="1:23" ht="18">
      <c r="A489" s="115"/>
      <c r="B489" s="260" t="s">
        <v>505</v>
      </c>
      <c r="C489" s="264" t="s">
        <v>506</v>
      </c>
      <c r="D489" s="261" t="s">
        <v>967</v>
      </c>
      <c r="E489" s="262">
        <v>378</v>
      </c>
      <c r="F489" s="263">
        <v>44994</v>
      </c>
      <c r="G489" s="265">
        <v>30.32</v>
      </c>
      <c r="H489" s="266">
        <v>1655775.2</v>
      </c>
      <c r="I489" s="106">
        <f t="shared" si="88"/>
        <v>54610</v>
      </c>
      <c r="J489" s="122"/>
      <c r="K489" s="157" t="s">
        <v>1142</v>
      </c>
      <c r="L489" s="166">
        <f t="shared" si="95"/>
        <v>378</v>
      </c>
      <c r="M489" s="119" t="s">
        <v>1141</v>
      </c>
      <c r="N489" s="115">
        <f>15.039+12.855</f>
        <v>27.893999999999998</v>
      </c>
      <c r="O489" s="122"/>
      <c r="P489" s="92">
        <f t="shared" si="89"/>
        <v>27.894400000000001</v>
      </c>
      <c r="Q489" s="113">
        <f t="shared" si="90"/>
        <v>1.3644000000000001</v>
      </c>
      <c r="R489" s="92">
        <f t="shared" si="91"/>
        <v>1.0612000000000001</v>
      </c>
      <c r="S489" s="121"/>
      <c r="T489" s="93">
        <f t="shared" si="92"/>
        <v>4.000000000017323E-4</v>
      </c>
      <c r="U489" s="122"/>
      <c r="V489" s="94">
        <f t="shared" ca="1" si="93"/>
        <v>56.464444791665301</v>
      </c>
      <c r="W489" s="89">
        <f t="shared" si="94"/>
        <v>4.3478260869753512E-4</v>
      </c>
    </row>
    <row r="490" spans="1:23" ht="18">
      <c r="A490" s="115"/>
      <c r="B490" s="260" t="s">
        <v>505</v>
      </c>
      <c r="C490" s="264" t="s">
        <v>506</v>
      </c>
      <c r="D490" s="261" t="s">
        <v>968</v>
      </c>
      <c r="E490" s="262">
        <v>379</v>
      </c>
      <c r="F490" s="263">
        <v>44994</v>
      </c>
      <c r="G490" s="265">
        <v>30.42</v>
      </c>
      <c r="H490" s="266">
        <v>1661236.2000000002</v>
      </c>
      <c r="I490" s="106">
        <f t="shared" si="88"/>
        <v>54610</v>
      </c>
      <c r="J490" s="122"/>
      <c r="K490" s="157" t="s">
        <v>1143</v>
      </c>
      <c r="L490" s="166">
        <f t="shared" si="95"/>
        <v>379</v>
      </c>
      <c r="M490" s="119" t="s">
        <v>1144</v>
      </c>
      <c r="N490" s="115">
        <f>18.374+9.612</f>
        <v>27.985999999999997</v>
      </c>
      <c r="O490" s="122"/>
      <c r="P490" s="92">
        <f t="shared" si="89"/>
        <v>27.986400000000003</v>
      </c>
      <c r="Q490" s="113">
        <f t="shared" si="90"/>
        <v>1.3689</v>
      </c>
      <c r="R490" s="92">
        <f t="shared" si="91"/>
        <v>1.0647000000000002</v>
      </c>
      <c r="S490" s="121"/>
      <c r="T490" s="93">
        <f t="shared" si="92"/>
        <v>4.0000000000439684E-4</v>
      </c>
      <c r="U490" s="122"/>
      <c r="V490" s="94">
        <f t="shared" ca="1" si="93"/>
        <v>56.464444791665301</v>
      </c>
      <c r="W490" s="89">
        <f t="shared" si="94"/>
        <v>4.347826087004313E-4</v>
      </c>
    </row>
    <row r="491" spans="1:23" ht="18">
      <c r="A491" s="115"/>
      <c r="B491" s="260" t="s">
        <v>505</v>
      </c>
      <c r="C491" s="264" t="s">
        <v>506</v>
      </c>
      <c r="D491" s="261" t="s">
        <v>969</v>
      </c>
      <c r="E491" s="262">
        <v>380</v>
      </c>
      <c r="F491" s="263">
        <v>44994</v>
      </c>
      <c r="G491" s="265">
        <v>30.08</v>
      </c>
      <c r="H491" s="266">
        <v>1642668.7999999998</v>
      </c>
      <c r="I491" s="106">
        <f t="shared" si="88"/>
        <v>54610</v>
      </c>
      <c r="J491" s="122"/>
      <c r="K491" s="157" t="s">
        <v>1145</v>
      </c>
      <c r="L491" s="166">
        <f t="shared" si="95"/>
        <v>380</v>
      </c>
      <c r="M491" s="119" t="s">
        <v>1146</v>
      </c>
      <c r="N491" s="115">
        <f>23.575+4.099</f>
        <v>27.673999999999999</v>
      </c>
      <c r="O491" s="122"/>
      <c r="P491" s="92">
        <f t="shared" si="89"/>
        <v>27.6736</v>
      </c>
      <c r="Q491" s="113">
        <f t="shared" si="90"/>
        <v>1.3535999999999999</v>
      </c>
      <c r="R491" s="92">
        <f t="shared" si="91"/>
        <v>1.0528</v>
      </c>
      <c r="S491" s="121"/>
      <c r="T491" s="93">
        <f t="shared" si="92"/>
        <v>-4.0000000000106617E-4</v>
      </c>
      <c r="U491" s="122"/>
      <c r="V491" s="94">
        <f t="shared" ca="1" si="93"/>
        <v>56.464444791665301</v>
      </c>
      <c r="W491" s="89">
        <f t="shared" si="94"/>
        <v>-4.3478260869681104E-4</v>
      </c>
    </row>
    <row r="492" spans="1:23" ht="18">
      <c r="A492" s="115"/>
      <c r="B492" s="260" t="s">
        <v>505</v>
      </c>
      <c r="C492" s="264" t="s">
        <v>506</v>
      </c>
      <c r="D492" s="261" t="s">
        <v>970</v>
      </c>
      <c r="E492" s="262">
        <v>381</v>
      </c>
      <c r="F492" s="263">
        <v>44994</v>
      </c>
      <c r="G492" s="265">
        <v>41.54</v>
      </c>
      <c r="H492" s="266">
        <v>2268499.4</v>
      </c>
      <c r="I492" s="106">
        <f t="shared" si="88"/>
        <v>54610</v>
      </c>
      <c r="J492" s="122"/>
      <c r="K492" s="157" t="s">
        <v>1147</v>
      </c>
      <c r="L492" s="166">
        <f t="shared" si="95"/>
        <v>381</v>
      </c>
      <c r="M492" s="119" t="s">
        <v>1148</v>
      </c>
      <c r="N492" s="115">
        <f>29.313+8.904</f>
        <v>38.216999999999999</v>
      </c>
      <c r="O492" s="122"/>
      <c r="P492" s="92">
        <f t="shared" si="89"/>
        <v>38.216799999999999</v>
      </c>
      <c r="Q492" s="113">
        <f t="shared" si="90"/>
        <v>1.8693</v>
      </c>
      <c r="R492" s="92">
        <f t="shared" si="91"/>
        <v>1.4539000000000002</v>
      </c>
      <c r="S492" s="121"/>
      <c r="T492" s="93">
        <f t="shared" si="92"/>
        <v>-1.9999999999975593E-4</v>
      </c>
      <c r="U492" s="122"/>
      <c r="V492" s="94">
        <f t="shared" ca="1" si="93"/>
        <v>56.464444791665301</v>
      </c>
      <c r="W492" s="89">
        <f t="shared" si="94"/>
        <v>-2.1739130434756082E-4</v>
      </c>
    </row>
    <row r="493" spans="1:23" ht="18">
      <c r="A493" s="115"/>
      <c r="B493" s="260" t="s">
        <v>505</v>
      </c>
      <c r="C493" s="264" t="s">
        <v>506</v>
      </c>
      <c r="D493" s="261" t="s">
        <v>971</v>
      </c>
      <c r="E493" s="262">
        <v>382</v>
      </c>
      <c r="F493" s="263">
        <v>44994</v>
      </c>
      <c r="G493" s="265">
        <v>29.84</v>
      </c>
      <c r="H493" s="266">
        <v>1629562.4</v>
      </c>
      <c r="I493" s="106">
        <f t="shared" si="88"/>
        <v>54610</v>
      </c>
      <c r="J493" s="122"/>
      <c r="K493" s="157" t="s">
        <v>1151</v>
      </c>
      <c r="L493" s="166">
        <f t="shared" si="95"/>
        <v>382</v>
      </c>
      <c r="M493" s="119" t="s">
        <v>1152</v>
      </c>
      <c r="N493" s="115">
        <f>17.3+10.153</f>
        <v>27.453000000000003</v>
      </c>
      <c r="O493" s="122"/>
      <c r="P493" s="92">
        <f t="shared" si="89"/>
        <v>27.4528</v>
      </c>
      <c r="Q493" s="113">
        <f t="shared" ref="Q493" si="96">G493*4.5%</f>
        <v>1.3428</v>
      </c>
      <c r="R493" s="92">
        <f t="shared" ref="R493" si="97">G493*3.5%</f>
        <v>1.0444</v>
      </c>
      <c r="S493" s="121"/>
      <c r="T493" s="93">
        <f t="shared" si="92"/>
        <v>-2.000000000030866E-4</v>
      </c>
      <c r="U493" s="122"/>
      <c r="V493" s="94">
        <f t="shared" ca="1" si="93"/>
        <v>56.464444791665301</v>
      </c>
      <c r="W493" s="89">
        <f t="shared" si="94"/>
        <v>-2.1739130435118108E-4</v>
      </c>
    </row>
    <row r="494" spans="1:23" ht="18">
      <c r="A494" s="115"/>
      <c r="B494" s="260" t="s">
        <v>505</v>
      </c>
      <c r="C494" s="264" t="s">
        <v>506</v>
      </c>
      <c r="D494" s="261" t="s">
        <v>972</v>
      </c>
      <c r="E494" s="262">
        <v>383</v>
      </c>
      <c r="F494" s="263">
        <v>44994</v>
      </c>
      <c r="G494" s="265">
        <v>23.175999999999998</v>
      </c>
      <c r="H494" s="266">
        <v>1265641.3599999999</v>
      </c>
      <c r="I494" s="106">
        <f t="shared" si="88"/>
        <v>54610</v>
      </c>
      <c r="J494" s="122"/>
      <c r="K494" s="157" t="s">
        <v>1153</v>
      </c>
      <c r="L494" s="166">
        <f t="shared" si="95"/>
        <v>383</v>
      </c>
      <c r="M494" s="119" t="s">
        <v>1154</v>
      </c>
      <c r="N494" s="115">
        <f>14.668+6.654</f>
        <v>21.321999999999999</v>
      </c>
      <c r="O494" s="122"/>
      <c r="P494" s="92">
        <f t="shared" si="89"/>
        <v>21.321919999999999</v>
      </c>
      <c r="Q494" s="113">
        <f t="shared" si="90"/>
        <v>1.0429199999999998</v>
      </c>
      <c r="R494" s="92">
        <f t="shared" si="91"/>
        <v>0.81115999999999999</v>
      </c>
      <c r="S494" s="121"/>
      <c r="T494" s="93">
        <f t="shared" si="92"/>
        <v>-8.0000000000635119E-5</v>
      </c>
      <c r="U494" s="122"/>
      <c r="V494" s="94">
        <f t="shared" ca="1" si="93"/>
        <v>56.464444791665301</v>
      </c>
      <c r="W494" s="89">
        <f t="shared" si="94"/>
        <v>-8.6956521739820793E-5</v>
      </c>
    </row>
    <row r="495" spans="1:23" ht="18.75">
      <c r="A495" s="260"/>
      <c r="B495" s="260" t="s">
        <v>505</v>
      </c>
      <c r="C495" s="264" t="s">
        <v>55</v>
      </c>
      <c r="D495" s="131" t="s">
        <v>997</v>
      </c>
      <c r="E495" s="269">
        <v>384</v>
      </c>
      <c r="F495" s="263">
        <v>45006</v>
      </c>
      <c r="G495" s="268">
        <v>19.95</v>
      </c>
      <c r="H495" s="90">
        <v>1096412</v>
      </c>
      <c r="I495" s="106">
        <f t="shared" si="88"/>
        <v>54957.994987468672</v>
      </c>
      <c r="J495" s="122"/>
      <c r="K495" s="157" t="s">
        <v>1155</v>
      </c>
      <c r="L495" s="166">
        <f t="shared" si="95"/>
        <v>384</v>
      </c>
      <c r="M495" s="119" t="s">
        <v>1156</v>
      </c>
      <c r="N495" s="115">
        <f>18.033+0.321</f>
        <v>18.354000000000003</v>
      </c>
      <c r="O495" s="122"/>
      <c r="P495" s="92">
        <f t="shared" ref="P495:P1262" si="98">G495*0.92</f>
        <v>18.353999999999999</v>
      </c>
      <c r="Q495" s="113">
        <f t="shared" ref="Q495:Q1262" si="99">G495*4.5%</f>
        <v>0.89774999999999994</v>
      </c>
      <c r="R495" s="92">
        <f t="shared" ref="R495:R1262" si="100">G495*3.5%</f>
        <v>0.69825000000000004</v>
      </c>
      <c r="S495" s="121"/>
      <c r="T495" s="93">
        <f t="shared" ref="T495:T1262" si="101">G495-N495-Q495-R495</f>
        <v>-3.4416913763379853E-15</v>
      </c>
      <c r="U495" s="122"/>
      <c r="V495" s="94">
        <f t="shared" ca="1" si="93"/>
        <v>68.464444791665301</v>
      </c>
      <c r="W495" s="89">
        <f t="shared" si="94"/>
        <v>-3.7409688873238974E-15</v>
      </c>
    </row>
    <row r="496" spans="1:23" ht="18.75">
      <c r="A496" s="260"/>
      <c r="B496" s="260"/>
      <c r="C496" s="264"/>
      <c r="D496" s="131"/>
      <c r="E496" s="269"/>
      <c r="F496" s="263"/>
      <c r="G496" s="268"/>
      <c r="H496" s="90"/>
      <c r="I496" s="106"/>
      <c r="J496" s="122"/>
      <c r="K496" s="157"/>
      <c r="L496" s="115"/>
      <c r="M496" s="119"/>
      <c r="N496" s="115"/>
      <c r="O496" s="122"/>
      <c r="P496" s="92">
        <f t="shared" si="98"/>
        <v>0</v>
      </c>
      <c r="Q496" s="113">
        <f t="shared" si="99"/>
        <v>0</v>
      </c>
      <c r="R496" s="92">
        <f t="shared" si="100"/>
        <v>0</v>
      </c>
      <c r="S496" s="121"/>
      <c r="T496" s="93">
        <f t="shared" si="101"/>
        <v>0</v>
      </c>
      <c r="U496" s="122"/>
      <c r="V496" s="94"/>
      <c r="W496" s="89"/>
    </row>
    <row r="497" spans="1:23" ht="18">
      <c r="A497" s="260"/>
      <c r="B497" s="260" t="s">
        <v>505</v>
      </c>
      <c r="C497" s="175" t="s">
        <v>55</v>
      </c>
      <c r="D497" s="131" t="s">
        <v>1090</v>
      </c>
      <c r="E497" s="297">
        <v>1</v>
      </c>
      <c r="F497" s="263">
        <v>45033</v>
      </c>
      <c r="G497" s="252">
        <v>40.46</v>
      </c>
      <c r="H497" s="90">
        <v>2317548.8000000003</v>
      </c>
      <c r="I497" s="106">
        <f>H497/G497</f>
        <v>57280.000000000007</v>
      </c>
      <c r="J497" s="122"/>
      <c r="K497" s="157" t="s">
        <v>1158</v>
      </c>
      <c r="L497" s="166">
        <f t="shared" si="95"/>
        <v>1</v>
      </c>
      <c r="M497" s="119" t="s">
        <v>1159</v>
      </c>
      <c r="N497" s="115">
        <f>24.034+13.189</f>
        <v>37.222999999999999</v>
      </c>
      <c r="O497" s="122"/>
      <c r="P497" s="92">
        <f t="shared" si="98"/>
        <v>37.223200000000006</v>
      </c>
      <c r="Q497" s="113">
        <f t="shared" si="99"/>
        <v>1.8207</v>
      </c>
      <c r="R497" s="92">
        <f t="shared" si="100"/>
        <v>1.4161000000000001</v>
      </c>
      <c r="S497" s="121"/>
      <c r="T497" s="93">
        <f t="shared" si="101"/>
        <v>2.0000000000175433E-4</v>
      </c>
      <c r="U497" s="122"/>
      <c r="V497" s="94">
        <f t="shared" ca="1" si="93"/>
        <v>95.464444791665301</v>
      </c>
      <c r="W497" s="89"/>
    </row>
    <row r="498" spans="1:23" ht="18">
      <c r="A498" s="260"/>
      <c r="B498" s="260" t="s">
        <v>505</v>
      </c>
      <c r="C498" s="175" t="s">
        <v>55</v>
      </c>
      <c r="D498" s="131" t="s">
        <v>1091</v>
      </c>
      <c r="E498" s="297">
        <v>2</v>
      </c>
      <c r="F498" s="263">
        <v>45033</v>
      </c>
      <c r="G498" s="252">
        <v>27.6</v>
      </c>
      <c r="H498" s="90">
        <v>1580928</v>
      </c>
      <c r="I498" s="106">
        <f>H498/G498</f>
        <v>57280</v>
      </c>
      <c r="J498" s="122"/>
      <c r="K498" s="157" t="s">
        <v>1160</v>
      </c>
      <c r="L498" s="166">
        <f t="shared" si="95"/>
        <v>2</v>
      </c>
      <c r="M498" s="119" t="s">
        <v>1161</v>
      </c>
      <c r="N498" s="115">
        <f>11.926+13.466</f>
        <v>25.391999999999999</v>
      </c>
      <c r="O498" s="122"/>
      <c r="P498" s="92">
        <f t="shared" si="98"/>
        <v>25.392000000000003</v>
      </c>
      <c r="Q498" s="113">
        <f t="shared" si="99"/>
        <v>1.242</v>
      </c>
      <c r="R498" s="92">
        <f t="shared" si="100"/>
        <v>0.96600000000000019</v>
      </c>
      <c r="S498" s="121"/>
      <c r="T498" s="93">
        <f t="shared" si="101"/>
        <v>1.7763568394002505E-15</v>
      </c>
      <c r="U498" s="122"/>
      <c r="V498" s="94">
        <f t="shared" ca="1" si="93"/>
        <v>95.464444791665301</v>
      </c>
      <c r="W498" s="89"/>
    </row>
    <row r="499" spans="1:23" ht="18">
      <c r="A499" s="260"/>
      <c r="B499" s="260" t="s">
        <v>505</v>
      </c>
      <c r="C499" s="175" t="s">
        <v>55</v>
      </c>
      <c r="D499" s="131" t="s">
        <v>1092</v>
      </c>
      <c r="E499" s="297">
        <v>3</v>
      </c>
      <c r="F499" s="263">
        <v>45033</v>
      </c>
      <c r="G499" s="252">
        <v>31.82</v>
      </c>
      <c r="H499" s="90">
        <v>1822649.6</v>
      </c>
      <c r="I499" s="106">
        <f>H499/G499</f>
        <v>57280</v>
      </c>
      <c r="J499" s="122"/>
      <c r="K499" s="157" t="s">
        <v>1162</v>
      </c>
      <c r="L499" s="166">
        <f t="shared" si="95"/>
        <v>3</v>
      </c>
      <c r="M499" s="119" t="s">
        <v>1163</v>
      </c>
      <c r="N499" s="115">
        <f>11.389+17.885</f>
        <v>29.274000000000001</v>
      </c>
      <c r="O499" s="122"/>
      <c r="P499" s="92">
        <f t="shared" si="98"/>
        <v>29.2744</v>
      </c>
      <c r="Q499" s="113">
        <f t="shared" si="99"/>
        <v>1.4319</v>
      </c>
      <c r="R499" s="92">
        <f t="shared" si="100"/>
        <v>1.1137000000000001</v>
      </c>
      <c r="S499" s="121"/>
      <c r="T499" s="93">
        <f t="shared" si="101"/>
        <v>3.9999999999928981E-4</v>
      </c>
      <c r="U499" s="122"/>
      <c r="V499" s="94">
        <f t="shared" ca="1" si="93"/>
        <v>95.464444791665301</v>
      </c>
      <c r="W499" s="89"/>
    </row>
    <row r="500" spans="1:23" ht="18">
      <c r="A500" s="260"/>
      <c r="B500" s="260" t="s">
        <v>505</v>
      </c>
      <c r="C500" s="175" t="s">
        <v>55</v>
      </c>
      <c r="D500" s="131" t="s">
        <v>1093</v>
      </c>
      <c r="E500" s="297">
        <v>4</v>
      </c>
      <c r="F500" s="263">
        <v>45033</v>
      </c>
      <c r="G500" s="252">
        <v>27.44</v>
      </c>
      <c r="H500" s="90">
        <v>1571763.2000000002</v>
      </c>
      <c r="I500" s="106">
        <f>H500/G500</f>
        <v>57280.000000000007</v>
      </c>
      <c r="J500" s="122"/>
      <c r="K500" s="157" t="s">
        <v>1164</v>
      </c>
      <c r="L500" s="166">
        <f t="shared" si="95"/>
        <v>4</v>
      </c>
      <c r="M500" s="119" t="s">
        <v>1165</v>
      </c>
      <c r="N500" s="115">
        <f>6.73+18.515</f>
        <v>25.245000000000001</v>
      </c>
      <c r="O500" s="122"/>
      <c r="P500" s="92">
        <f t="shared" si="98"/>
        <v>25.244800000000001</v>
      </c>
      <c r="Q500" s="113">
        <f t="shared" si="99"/>
        <v>1.2348000000000001</v>
      </c>
      <c r="R500" s="92">
        <f t="shared" si="100"/>
        <v>0.96040000000000014</v>
      </c>
      <c r="S500" s="121"/>
      <c r="T500" s="93">
        <f t="shared" si="101"/>
        <v>-1.9999999999997797E-4</v>
      </c>
      <c r="U500" s="122"/>
      <c r="V500" s="94">
        <f t="shared" ca="1" si="93"/>
        <v>95.464444791665301</v>
      </c>
      <c r="W500" s="89"/>
    </row>
    <row r="501" spans="1:23" ht="18">
      <c r="A501" s="260"/>
      <c r="B501" s="260" t="s">
        <v>505</v>
      </c>
      <c r="C501" s="175" t="s">
        <v>55</v>
      </c>
      <c r="D501" s="131" t="s">
        <v>1094</v>
      </c>
      <c r="E501" s="297">
        <v>5</v>
      </c>
      <c r="F501" s="263">
        <v>45033</v>
      </c>
      <c r="G501" s="252">
        <v>31.86</v>
      </c>
      <c r="H501" s="90">
        <v>1824940.8</v>
      </c>
      <c r="I501" s="106">
        <f>H501/G501</f>
        <v>57280</v>
      </c>
      <c r="J501" s="122"/>
      <c r="K501" s="157" t="s">
        <v>1166</v>
      </c>
      <c r="L501" s="166">
        <f t="shared" si="95"/>
        <v>5</v>
      </c>
      <c r="M501" s="119" t="s">
        <v>1167</v>
      </c>
      <c r="N501" s="115">
        <f>6.34+3.817+19.154</f>
        <v>29.311</v>
      </c>
      <c r="O501" s="122"/>
      <c r="P501" s="92">
        <f t="shared" si="98"/>
        <v>29.311199999999999</v>
      </c>
      <c r="Q501" s="113">
        <f t="shared" si="99"/>
        <v>1.4337</v>
      </c>
      <c r="R501" s="92">
        <f t="shared" si="100"/>
        <v>1.1151</v>
      </c>
      <c r="S501" s="121"/>
      <c r="T501" s="93">
        <f t="shared" si="101"/>
        <v>1.9999999999953388E-4</v>
      </c>
      <c r="U501" s="122"/>
      <c r="V501" s="94">
        <f t="shared" ca="1" si="93"/>
        <v>95.464444791665301</v>
      </c>
      <c r="W501" s="89"/>
    </row>
    <row r="502" spans="1:23" ht="18">
      <c r="A502" s="260"/>
      <c r="B502" s="260" t="s">
        <v>505</v>
      </c>
      <c r="C502" s="175" t="s">
        <v>55</v>
      </c>
      <c r="D502" s="131" t="s">
        <v>1095</v>
      </c>
      <c r="E502" s="297">
        <v>6</v>
      </c>
      <c r="F502" s="263">
        <v>45033</v>
      </c>
      <c r="G502" s="252">
        <v>42.12</v>
      </c>
      <c r="H502" s="90">
        <v>2412633.5999999996</v>
      </c>
      <c r="I502" s="106">
        <f t="shared" si="88"/>
        <v>57279.999999999993</v>
      </c>
      <c r="J502" s="122"/>
      <c r="K502" s="157" t="s">
        <v>1169</v>
      </c>
      <c r="L502" s="166">
        <f t="shared" si="95"/>
        <v>6</v>
      </c>
      <c r="M502" s="119" t="s">
        <v>1168</v>
      </c>
      <c r="N502" s="115">
        <f>24.497+14.253</f>
        <v>38.75</v>
      </c>
      <c r="O502" s="122"/>
      <c r="P502" s="92">
        <f t="shared" si="98"/>
        <v>38.750399999999999</v>
      </c>
      <c r="Q502" s="113">
        <f t="shared" si="99"/>
        <v>1.8953999999999998</v>
      </c>
      <c r="R502" s="92">
        <f t="shared" si="100"/>
        <v>1.4742</v>
      </c>
      <c r="S502" s="121"/>
      <c r="T502" s="93">
        <f t="shared" si="101"/>
        <v>3.999999999977355E-4</v>
      </c>
      <c r="U502" s="122"/>
      <c r="V502" s="94">
        <f t="shared" ca="1" si="93"/>
        <v>95.464444791665301</v>
      </c>
      <c r="W502" s="89"/>
    </row>
    <row r="503" spans="1:23" ht="18">
      <c r="A503" s="260"/>
      <c r="B503" s="260" t="s">
        <v>505</v>
      </c>
      <c r="C503" s="175" t="s">
        <v>55</v>
      </c>
      <c r="D503" s="131" t="s">
        <v>1096</v>
      </c>
      <c r="E503" s="297">
        <v>7</v>
      </c>
      <c r="F503" s="263">
        <v>45033</v>
      </c>
      <c r="G503" s="252">
        <v>27.56</v>
      </c>
      <c r="H503" s="90">
        <v>1578636.7999999998</v>
      </c>
      <c r="I503" s="106">
        <f t="shared" si="88"/>
        <v>57279.999999999993</v>
      </c>
      <c r="J503" s="122"/>
      <c r="K503" s="157" t="s">
        <v>1171</v>
      </c>
      <c r="L503" s="166">
        <f t="shared" si="95"/>
        <v>7</v>
      </c>
      <c r="M503" s="119" t="s">
        <v>1172</v>
      </c>
      <c r="N503" s="115">
        <f>0.472+24.883</f>
        <v>25.355</v>
      </c>
      <c r="O503" s="122"/>
      <c r="P503" s="92">
        <f t="shared" si="98"/>
        <v>25.3552</v>
      </c>
      <c r="Q503" s="113">
        <f t="shared" si="99"/>
        <v>1.2402</v>
      </c>
      <c r="R503" s="92">
        <f t="shared" si="100"/>
        <v>0.96460000000000001</v>
      </c>
      <c r="S503" s="121"/>
      <c r="T503" s="93">
        <f t="shared" si="101"/>
        <v>1.9999999999831264E-4</v>
      </c>
      <c r="U503" s="122"/>
      <c r="V503" s="94">
        <f t="shared" ca="1" si="93"/>
        <v>95.464444791665301</v>
      </c>
      <c r="W503" s="89"/>
    </row>
    <row r="504" spans="1:23" ht="18">
      <c r="A504" s="260"/>
      <c r="B504" s="260" t="s">
        <v>505</v>
      </c>
      <c r="C504" s="175" t="s">
        <v>55</v>
      </c>
      <c r="D504" s="131" t="s">
        <v>1097</v>
      </c>
      <c r="E504" s="297">
        <v>8</v>
      </c>
      <c r="F504" s="263">
        <v>45033</v>
      </c>
      <c r="G504" s="252">
        <v>27.64</v>
      </c>
      <c r="H504" s="90">
        <v>1583219.2</v>
      </c>
      <c r="I504" s="106">
        <f t="shared" si="88"/>
        <v>57280</v>
      </c>
      <c r="J504" s="122"/>
      <c r="K504" s="157" t="s">
        <v>1173</v>
      </c>
      <c r="L504" s="166">
        <f t="shared" si="95"/>
        <v>8</v>
      </c>
      <c r="M504" s="119" t="s">
        <v>1174</v>
      </c>
      <c r="N504" s="115">
        <f>7.673+17.756</f>
        <v>25.429000000000002</v>
      </c>
      <c r="O504" s="122"/>
      <c r="P504" s="92">
        <f t="shared" si="98"/>
        <v>25.428800000000003</v>
      </c>
      <c r="Q504" s="113">
        <f t="shared" si="99"/>
        <v>1.2438</v>
      </c>
      <c r="R504" s="92">
        <f t="shared" si="100"/>
        <v>0.96740000000000015</v>
      </c>
      <c r="S504" s="121"/>
      <c r="T504" s="93">
        <f t="shared" si="101"/>
        <v>-2.0000000000164331E-4</v>
      </c>
      <c r="U504" s="122"/>
      <c r="V504" s="94">
        <f t="shared" ca="1" si="93"/>
        <v>95.464444791665301</v>
      </c>
      <c r="W504" s="89"/>
    </row>
    <row r="505" spans="1:23" ht="18">
      <c r="A505" s="260"/>
      <c r="B505" s="260" t="s">
        <v>505</v>
      </c>
      <c r="C505" s="175" t="s">
        <v>55</v>
      </c>
      <c r="D505" s="131" t="s">
        <v>1098</v>
      </c>
      <c r="E505" s="297">
        <v>9</v>
      </c>
      <c r="F505" s="263">
        <v>45033</v>
      </c>
      <c r="G505" s="252">
        <v>31.86</v>
      </c>
      <c r="H505" s="90">
        <v>1824940.8</v>
      </c>
      <c r="I505" s="106">
        <f t="shared" si="88"/>
        <v>57280</v>
      </c>
      <c r="J505" s="122"/>
      <c r="K505" s="157" t="s">
        <v>1175</v>
      </c>
      <c r="L505" s="166">
        <f t="shared" si="95"/>
        <v>9</v>
      </c>
      <c r="M505" s="119" t="s">
        <v>1176</v>
      </c>
      <c r="N505" s="115">
        <f>15.81+13.501</f>
        <v>29.311</v>
      </c>
      <c r="O505" s="122"/>
      <c r="P505" s="92">
        <f t="shared" si="98"/>
        <v>29.311199999999999</v>
      </c>
      <c r="Q505" s="113">
        <f t="shared" si="99"/>
        <v>1.4337</v>
      </c>
      <c r="R505" s="92">
        <f t="shared" si="100"/>
        <v>1.1151</v>
      </c>
      <c r="S505" s="121"/>
      <c r="T505" s="93">
        <f t="shared" si="101"/>
        <v>1.9999999999953388E-4</v>
      </c>
      <c r="U505" s="122"/>
      <c r="V505" s="94">
        <f t="shared" ca="1" si="93"/>
        <v>95.464444791665301</v>
      </c>
      <c r="W505" s="89"/>
    </row>
    <row r="506" spans="1:23" ht="18">
      <c r="A506" s="260"/>
      <c r="B506" s="260" t="s">
        <v>505</v>
      </c>
      <c r="C506" s="175" t="s">
        <v>55</v>
      </c>
      <c r="D506" s="131" t="s">
        <v>1099</v>
      </c>
      <c r="E506" s="297">
        <v>10</v>
      </c>
      <c r="F506" s="263">
        <v>45033</v>
      </c>
      <c r="G506" s="252">
        <v>31.94</v>
      </c>
      <c r="H506" s="90">
        <v>1829523.2000000002</v>
      </c>
      <c r="I506" s="106">
        <f t="shared" si="88"/>
        <v>57280</v>
      </c>
      <c r="J506" s="122"/>
      <c r="K506" s="157" t="s">
        <v>1177</v>
      </c>
      <c r="L506" s="166">
        <f t="shared" si="95"/>
        <v>10</v>
      </c>
      <c r="M506" s="119" t="s">
        <v>1178</v>
      </c>
      <c r="N506" s="115">
        <f>20.109+9.276</f>
        <v>29.385000000000002</v>
      </c>
      <c r="O506" s="122"/>
      <c r="P506" s="92">
        <f t="shared" si="98"/>
        <v>29.384800000000002</v>
      </c>
      <c r="Q506" s="113">
        <f t="shared" si="99"/>
        <v>1.4373</v>
      </c>
      <c r="R506" s="92">
        <f t="shared" si="100"/>
        <v>1.1179000000000001</v>
      </c>
      <c r="S506" s="121"/>
      <c r="T506" s="93">
        <f t="shared" si="101"/>
        <v>-2.0000000000042206E-4</v>
      </c>
      <c r="U506" s="122"/>
      <c r="V506" s="94">
        <f t="shared" ca="1" si="93"/>
        <v>95.464444791665301</v>
      </c>
      <c r="W506" s="89"/>
    </row>
    <row r="507" spans="1:23" ht="18">
      <c r="A507" s="260"/>
      <c r="B507" s="260" t="s">
        <v>505</v>
      </c>
      <c r="C507" s="175" t="s">
        <v>55</v>
      </c>
      <c r="D507" s="131" t="s">
        <v>1100</v>
      </c>
      <c r="E507" s="297">
        <v>11</v>
      </c>
      <c r="F507" s="263">
        <v>45033</v>
      </c>
      <c r="G507" s="252">
        <v>31.76</v>
      </c>
      <c r="H507" s="90">
        <v>1819212.8</v>
      </c>
      <c r="I507" s="106">
        <f t="shared" si="88"/>
        <v>57280</v>
      </c>
      <c r="J507" s="122"/>
      <c r="K507" s="158">
        <v>167169</v>
      </c>
      <c r="L507" s="166">
        <f t="shared" si="95"/>
        <v>11</v>
      </c>
      <c r="M507" s="119" t="s">
        <v>1179</v>
      </c>
      <c r="N507" s="115">
        <f>23.169+6.05</f>
        <v>29.219000000000001</v>
      </c>
      <c r="O507" s="122"/>
      <c r="P507" s="92">
        <f t="shared" si="98"/>
        <v>29.219200000000004</v>
      </c>
      <c r="Q507" s="113">
        <f t="shared" si="99"/>
        <v>1.4292</v>
      </c>
      <c r="R507" s="92">
        <f t="shared" si="100"/>
        <v>1.1116000000000001</v>
      </c>
      <c r="S507" s="121"/>
      <c r="T507" s="93">
        <f t="shared" si="101"/>
        <v>2.0000000000020002E-4</v>
      </c>
      <c r="U507" s="122"/>
      <c r="V507" s="94">
        <f t="shared" ca="1" si="93"/>
        <v>95.464444791665301</v>
      </c>
      <c r="W507" s="89"/>
    </row>
    <row r="508" spans="1:23" ht="18">
      <c r="A508" s="260"/>
      <c r="B508" s="260" t="s">
        <v>505</v>
      </c>
      <c r="C508" s="175" t="s">
        <v>55</v>
      </c>
      <c r="D508" s="131" t="s">
        <v>1101</v>
      </c>
      <c r="E508" s="297">
        <v>12</v>
      </c>
      <c r="F508" s="263">
        <v>45033</v>
      </c>
      <c r="G508" s="252">
        <v>42.5</v>
      </c>
      <c r="H508" s="90">
        <v>2434400</v>
      </c>
      <c r="I508" s="106">
        <f t="shared" si="88"/>
        <v>57280</v>
      </c>
      <c r="J508" s="122"/>
      <c r="K508" s="157" t="s">
        <v>1180</v>
      </c>
      <c r="L508" s="166">
        <f t="shared" si="95"/>
        <v>12</v>
      </c>
      <c r="M508" s="119" t="s">
        <v>1179</v>
      </c>
      <c r="N508" s="115">
        <f>32.732+6.368</f>
        <v>39.1</v>
      </c>
      <c r="O508" s="122"/>
      <c r="P508" s="92">
        <f t="shared" si="98"/>
        <v>39.1</v>
      </c>
      <c r="Q508" s="113">
        <f t="shared" si="99"/>
        <v>1.9124999999999999</v>
      </c>
      <c r="R508" s="92">
        <f t="shared" si="100"/>
        <v>1.4875</v>
      </c>
      <c r="S508" s="121"/>
      <c r="T508" s="93">
        <f t="shared" si="101"/>
        <v>0</v>
      </c>
      <c r="U508" s="122"/>
      <c r="V508" s="94">
        <f t="shared" ca="1" si="93"/>
        <v>95.464444791665301</v>
      </c>
      <c r="W508" s="89"/>
    </row>
    <row r="509" spans="1:23" ht="18">
      <c r="A509" s="260"/>
      <c r="B509" s="260" t="s">
        <v>505</v>
      </c>
      <c r="C509" s="175" t="s">
        <v>55</v>
      </c>
      <c r="D509" s="131" t="s">
        <v>1102</v>
      </c>
      <c r="E509" s="297">
        <v>13</v>
      </c>
      <c r="F509" s="263">
        <v>45033</v>
      </c>
      <c r="G509" s="252">
        <v>42.32</v>
      </c>
      <c r="H509" s="90">
        <v>2424089.6000000001</v>
      </c>
      <c r="I509" s="106">
        <f t="shared" si="88"/>
        <v>57280</v>
      </c>
      <c r="J509" s="122"/>
      <c r="K509" s="158">
        <v>171172</v>
      </c>
      <c r="L509" s="166">
        <f t="shared" si="95"/>
        <v>13</v>
      </c>
      <c r="M509" s="119" t="s">
        <v>1181</v>
      </c>
      <c r="N509" s="115">
        <f>19.473+19.461</f>
        <v>38.933999999999997</v>
      </c>
      <c r="O509" s="122"/>
      <c r="P509" s="92">
        <f t="shared" si="98"/>
        <v>38.934400000000004</v>
      </c>
      <c r="Q509" s="113">
        <f t="shared" si="99"/>
        <v>1.9043999999999999</v>
      </c>
      <c r="R509" s="92">
        <f t="shared" si="100"/>
        <v>1.4812000000000001</v>
      </c>
      <c r="S509" s="121"/>
      <c r="T509" s="93">
        <f t="shared" si="101"/>
        <v>4.0000000000284253E-4</v>
      </c>
      <c r="U509" s="122"/>
      <c r="V509" s="94">
        <f t="shared" ca="1" si="93"/>
        <v>95.464444791665301</v>
      </c>
      <c r="W509" s="89"/>
    </row>
    <row r="510" spans="1:23" ht="18">
      <c r="A510" s="260"/>
      <c r="B510" s="260" t="s">
        <v>505</v>
      </c>
      <c r="C510" s="175" t="s">
        <v>55</v>
      </c>
      <c r="D510" s="131" t="s">
        <v>1103</v>
      </c>
      <c r="E510" s="297">
        <v>14</v>
      </c>
      <c r="F510" s="263">
        <v>45033</v>
      </c>
      <c r="G510" s="252">
        <v>23.48</v>
      </c>
      <c r="H510" s="90">
        <v>1344934.4000000001</v>
      </c>
      <c r="I510" s="106">
        <f t="shared" si="88"/>
        <v>57280.000000000007</v>
      </c>
      <c r="J510" s="122"/>
      <c r="K510" s="157" t="s">
        <v>1182</v>
      </c>
      <c r="L510" s="166">
        <f t="shared" si="95"/>
        <v>14</v>
      </c>
      <c r="M510" s="119" t="s">
        <v>1181</v>
      </c>
      <c r="N510" s="115">
        <f>12.843+8.759</f>
        <v>21.602</v>
      </c>
      <c r="O510" s="122"/>
      <c r="P510" s="92">
        <f t="shared" si="98"/>
        <v>21.601600000000001</v>
      </c>
      <c r="Q510" s="113">
        <f t="shared" si="99"/>
        <v>1.0566</v>
      </c>
      <c r="R510" s="92">
        <f t="shared" si="100"/>
        <v>0.82180000000000009</v>
      </c>
      <c r="S510" s="121"/>
      <c r="T510" s="93">
        <f t="shared" si="101"/>
        <v>-3.9999999999995595E-4</v>
      </c>
      <c r="U510" s="122"/>
      <c r="V510" s="94">
        <f t="shared" ca="1" si="93"/>
        <v>95.464444791665301</v>
      </c>
      <c r="W510" s="89"/>
    </row>
    <row r="511" spans="1:23" ht="18">
      <c r="A511" s="260"/>
      <c r="B511" s="260" t="s">
        <v>505</v>
      </c>
      <c r="C511" s="175" t="s">
        <v>55</v>
      </c>
      <c r="D511" s="131" t="s">
        <v>1104</v>
      </c>
      <c r="E511" s="297">
        <v>15</v>
      </c>
      <c r="F511" s="263">
        <v>45033</v>
      </c>
      <c r="G511" s="252">
        <v>31.82</v>
      </c>
      <c r="H511" s="90">
        <v>1822649.6</v>
      </c>
      <c r="I511" s="106">
        <f t="shared" si="88"/>
        <v>57280</v>
      </c>
      <c r="J511" s="122"/>
      <c r="K511" s="157" t="s">
        <v>1185</v>
      </c>
      <c r="L511" s="166">
        <f t="shared" si="95"/>
        <v>15</v>
      </c>
      <c r="M511" s="119" t="s">
        <v>1183</v>
      </c>
      <c r="N511" s="115">
        <f>23.656+5.618</f>
        <v>29.274000000000001</v>
      </c>
      <c r="O511" s="122"/>
      <c r="P511" s="92">
        <f t="shared" si="98"/>
        <v>29.2744</v>
      </c>
      <c r="Q511" s="113">
        <f t="shared" si="99"/>
        <v>1.4319</v>
      </c>
      <c r="R511" s="92">
        <f t="shared" si="100"/>
        <v>1.1137000000000001</v>
      </c>
      <c r="S511" s="121"/>
      <c r="T511" s="93">
        <f t="shared" si="101"/>
        <v>3.9999999999928981E-4</v>
      </c>
      <c r="U511" s="122"/>
      <c r="V511" s="94">
        <f t="shared" ca="1" si="93"/>
        <v>95.464444791665301</v>
      </c>
      <c r="W511" s="89"/>
    </row>
    <row r="512" spans="1:23" ht="18">
      <c r="A512" s="260"/>
      <c r="B512" s="260" t="s">
        <v>505</v>
      </c>
      <c r="C512" s="175" t="s">
        <v>55</v>
      </c>
      <c r="D512" s="131" t="s">
        <v>1105</v>
      </c>
      <c r="E512" s="297">
        <v>16</v>
      </c>
      <c r="F512" s="263">
        <v>45033</v>
      </c>
      <c r="G512" s="252">
        <v>31.74</v>
      </c>
      <c r="H512" s="90">
        <v>1818067.2</v>
      </c>
      <c r="I512" s="106">
        <f t="shared" si="88"/>
        <v>57280</v>
      </c>
      <c r="J512" s="122"/>
      <c r="K512" s="157" t="s">
        <v>1186</v>
      </c>
      <c r="L512" s="166">
        <f t="shared" si="95"/>
        <v>16</v>
      </c>
      <c r="M512" s="119" t="s">
        <v>1187</v>
      </c>
      <c r="N512" s="115">
        <f>26.213+2.988</f>
        <v>29.201000000000001</v>
      </c>
      <c r="O512" s="122"/>
      <c r="P512" s="92">
        <f t="shared" si="98"/>
        <v>29.200800000000001</v>
      </c>
      <c r="Q512" s="113">
        <f t="shared" si="99"/>
        <v>1.4282999999999999</v>
      </c>
      <c r="R512" s="92">
        <f t="shared" si="100"/>
        <v>1.1109</v>
      </c>
      <c r="S512" s="121"/>
      <c r="T512" s="93">
        <f t="shared" si="101"/>
        <v>-2.0000000000197637E-4</v>
      </c>
      <c r="U512" s="122"/>
      <c r="V512" s="94">
        <f t="shared" ca="1" si="93"/>
        <v>95.464444791665301</v>
      </c>
      <c r="W512" s="89"/>
    </row>
    <row r="513" spans="1:23" ht="18">
      <c r="A513" s="260"/>
      <c r="B513" s="260" t="s">
        <v>505</v>
      </c>
      <c r="C513" s="175" t="s">
        <v>55</v>
      </c>
      <c r="D513" s="131" t="s">
        <v>1106</v>
      </c>
      <c r="E513" s="297">
        <v>17</v>
      </c>
      <c r="F513" s="263">
        <v>45033</v>
      </c>
      <c r="G513" s="252">
        <v>25.376999999999999</v>
      </c>
      <c r="H513" s="90">
        <v>1453594.5599999998</v>
      </c>
      <c r="I513" s="106">
        <f t="shared" si="88"/>
        <v>57279.999999999993</v>
      </c>
      <c r="J513" s="122"/>
      <c r="K513" s="157">
        <v>179</v>
      </c>
      <c r="L513" s="166">
        <f t="shared" si="95"/>
        <v>17</v>
      </c>
      <c r="M513" s="119" t="s">
        <v>1184</v>
      </c>
      <c r="N513" s="115">
        <v>23.347000000000001</v>
      </c>
      <c r="O513" s="122"/>
      <c r="P513" s="92">
        <f t="shared" si="98"/>
        <v>23.34684</v>
      </c>
      <c r="Q513" s="113">
        <f t="shared" si="99"/>
        <v>1.1419649999999999</v>
      </c>
      <c r="R513" s="92">
        <f t="shared" si="100"/>
        <v>0.88819500000000007</v>
      </c>
      <c r="S513" s="121"/>
      <c r="T513" s="93">
        <f t="shared" si="101"/>
        <v>-1.6000000000238046E-4</v>
      </c>
      <c r="U513" s="122"/>
      <c r="V513" s="94">
        <f t="shared" ca="1" si="93"/>
        <v>95.464444791665301</v>
      </c>
      <c r="W513" s="89"/>
    </row>
    <row r="514" spans="1:23" ht="18">
      <c r="A514" s="260"/>
      <c r="B514" s="260" t="s">
        <v>505</v>
      </c>
      <c r="C514" s="175" t="s">
        <v>55</v>
      </c>
      <c r="D514" s="131" t="s">
        <v>1107</v>
      </c>
      <c r="E514" s="297">
        <v>18</v>
      </c>
      <c r="F514" s="263">
        <v>45033</v>
      </c>
      <c r="G514" s="252">
        <v>14.803000000000001</v>
      </c>
      <c r="H514" s="90">
        <v>847915.84000000008</v>
      </c>
      <c r="I514" s="106">
        <f t="shared" si="88"/>
        <v>57280</v>
      </c>
      <c r="J514" s="122"/>
      <c r="K514" s="157" t="s">
        <v>1188</v>
      </c>
      <c r="L514" s="166">
        <f t="shared" si="95"/>
        <v>18</v>
      </c>
      <c r="M514" s="119" t="s">
        <v>1203</v>
      </c>
      <c r="N514" s="115">
        <f>5.743+7.876</f>
        <v>13.619</v>
      </c>
      <c r="O514" s="122"/>
      <c r="P514" s="92">
        <f t="shared" si="98"/>
        <v>13.618760000000002</v>
      </c>
      <c r="Q514" s="113">
        <f t="shared" si="99"/>
        <v>0.66613500000000003</v>
      </c>
      <c r="R514" s="92">
        <f t="shared" si="100"/>
        <v>0.51810500000000004</v>
      </c>
      <c r="S514" s="121"/>
      <c r="T514" s="93">
        <f t="shared" si="101"/>
        <v>-2.3999999999901878E-4</v>
      </c>
      <c r="U514" s="122"/>
      <c r="V514" s="94">
        <f t="shared" ca="1" si="93"/>
        <v>95.464444791665301</v>
      </c>
      <c r="W514" s="89"/>
    </row>
    <row r="515" spans="1:23" ht="18">
      <c r="A515" s="260"/>
      <c r="B515" s="260" t="s">
        <v>505</v>
      </c>
      <c r="C515" s="175" t="s">
        <v>55</v>
      </c>
      <c r="D515" s="131" t="s">
        <v>1108</v>
      </c>
      <c r="E515" s="297">
        <v>19</v>
      </c>
      <c r="F515" s="263">
        <v>45033</v>
      </c>
      <c r="G515" s="252">
        <v>40.299999999999997</v>
      </c>
      <c r="H515" s="90">
        <v>2308384</v>
      </c>
      <c r="I515" s="106">
        <f t="shared" si="88"/>
        <v>57280.000000000007</v>
      </c>
      <c r="J515" s="122"/>
      <c r="K515" s="157" t="s">
        <v>1189</v>
      </c>
      <c r="L515" s="166">
        <f t="shared" si="95"/>
        <v>19</v>
      </c>
      <c r="M515" s="119" t="s">
        <v>1203</v>
      </c>
      <c r="N515" s="115">
        <f>32.344+4.732</f>
        <v>37.076000000000001</v>
      </c>
      <c r="O515" s="122"/>
      <c r="P515" s="92">
        <f t="shared" si="98"/>
        <v>37.076000000000001</v>
      </c>
      <c r="Q515" s="113">
        <f t="shared" si="99"/>
        <v>1.8134999999999999</v>
      </c>
      <c r="R515" s="92">
        <f t="shared" si="100"/>
        <v>1.4105000000000001</v>
      </c>
      <c r="S515" s="121"/>
      <c r="T515" s="93">
        <f t="shared" si="101"/>
        <v>-3.3306690738754696E-15</v>
      </c>
      <c r="U515" s="122"/>
      <c r="V515" s="94">
        <f t="shared" ca="1" si="93"/>
        <v>95.464444791665301</v>
      </c>
      <c r="W515" s="89"/>
    </row>
    <row r="516" spans="1:23" ht="18">
      <c r="A516" s="260"/>
      <c r="B516" s="260" t="s">
        <v>505</v>
      </c>
      <c r="C516" s="175" t="s">
        <v>55</v>
      </c>
      <c r="D516" s="131" t="s">
        <v>1109</v>
      </c>
      <c r="E516" s="297">
        <v>20</v>
      </c>
      <c r="F516" s="263">
        <v>45033</v>
      </c>
      <c r="G516" s="252">
        <v>27.62</v>
      </c>
      <c r="H516" s="90">
        <v>1582073.6</v>
      </c>
      <c r="I516" s="106">
        <f t="shared" si="88"/>
        <v>57280</v>
      </c>
      <c r="J516" s="122"/>
      <c r="K516" s="157" t="s">
        <v>1191</v>
      </c>
      <c r="L516" s="166">
        <f t="shared" ref="L516:L552" si="102">E516</f>
        <v>20</v>
      </c>
      <c r="M516" s="119" t="s">
        <v>1190</v>
      </c>
      <c r="N516" s="115">
        <f>24.63+0.78</f>
        <v>25.41</v>
      </c>
      <c r="O516" s="122"/>
      <c r="P516" s="92">
        <f t="shared" si="98"/>
        <v>25.410400000000003</v>
      </c>
      <c r="Q516" s="113">
        <f t="shared" si="99"/>
        <v>1.2428999999999999</v>
      </c>
      <c r="R516" s="92">
        <f t="shared" si="100"/>
        <v>0.96670000000000011</v>
      </c>
      <c r="S516" s="121"/>
      <c r="T516" s="93">
        <f t="shared" si="101"/>
        <v>4.0000000000084412E-4</v>
      </c>
      <c r="U516" s="122"/>
      <c r="V516" s="94">
        <f t="shared" ca="1" si="93"/>
        <v>95.464444791665301</v>
      </c>
      <c r="W516" s="89"/>
    </row>
    <row r="517" spans="1:23" ht="18">
      <c r="A517" s="260"/>
      <c r="B517" s="260" t="s">
        <v>505</v>
      </c>
      <c r="C517" s="175" t="s">
        <v>55</v>
      </c>
      <c r="D517" s="131" t="s">
        <v>1110</v>
      </c>
      <c r="E517" s="297">
        <v>21</v>
      </c>
      <c r="F517" s="263">
        <v>45033</v>
      </c>
      <c r="G517" s="252">
        <v>31.74</v>
      </c>
      <c r="H517" s="90">
        <v>1818067.2</v>
      </c>
      <c r="I517" s="106">
        <f t="shared" si="88"/>
        <v>57280</v>
      </c>
      <c r="J517" s="122"/>
      <c r="K517" s="157" t="s">
        <v>1192</v>
      </c>
      <c r="L517" s="166">
        <f t="shared" si="102"/>
        <v>21</v>
      </c>
      <c r="M517" s="119" t="s">
        <v>1190</v>
      </c>
      <c r="N517" s="115">
        <f>24.587+4.614</f>
        <v>29.201000000000001</v>
      </c>
      <c r="O517" s="122"/>
      <c r="P517" s="92">
        <f t="shared" si="98"/>
        <v>29.200800000000001</v>
      </c>
      <c r="Q517" s="113">
        <f t="shared" si="99"/>
        <v>1.4282999999999999</v>
      </c>
      <c r="R517" s="92">
        <f t="shared" si="100"/>
        <v>1.1109</v>
      </c>
      <c r="S517" s="121"/>
      <c r="T517" s="93">
        <f t="shared" si="101"/>
        <v>-2.0000000000197637E-4</v>
      </c>
      <c r="U517" s="122"/>
      <c r="V517" s="94">
        <f t="shared" ca="1" si="93"/>
        <v>95.464444791665301</v>
      </c>
      <c r="W517" s="89"/>
    </row>
    <row r="518" spans="1:23" ht="18">
      <c r="A518" s="260"/>
      <c r="B518" s="260" t="s">
        <v>505</v>
      </c>
      <c r="C518" s="175" t="s">
        <v>55</v>
      </c>
      <c r="D518" s="131" t="s">
        <v>1111</v>
      </c>
      <c r="E518" s="297">
        <v>22</v>
      </c>
      <c r="F518" s="263">
        <v>45033</v>
      </c>
      <c r="G518" s="252">
        <v>31.72</v>
      </c>
      <c r="H518" s="90">
        <v>1816921.5999999999</v>
      </c>
      <c r="I518" s="106">
        <f t="shared" si="88"/>
        <v>57280</v>
      </c>
      <c r="J518" s="122"/>
      <c r="K518" s="157" t="s">
        <v>1193</v>
      </c>
      <c r="L518" s="166">
        <f t="shared" si="102"/>
        <v>22</v>
      </c>
      <c r="M518" s="119" t="s">
        <v>1190</v>
      </c>
      <c r="N518" s="115">
        <f>14.423+14.759</f>
        <v>29.182000000000002</v>
      </c>
      <c r="O518" s="122"/>
      <c r="P518" s="92">
        <f t="shared" si="98"/>
        <v>29.182400000000001</v>
      </c>
      <c r="Q518" s="113">
        <f t="shared" si="99"/>
        <v>1.4274</v>
      </c>
      <c r="R518" s="92">
        <f t="shared" si="100"/>
        <v>1.1102000000000001</v>
      </c>
      <c r="S518" s="121"/>
      <c r="T518" s="93">
        <f t="shared" si="101"/>
        <v>3.9999999999662528E-4</v>
      </c>
      <c r="U518" s="122"/>
      <c r="V518" s="94">
        <f t="shared" ca="1" si="93"/>
        <v>95.464444791665301</v>
      </c>
      <c r="W518" s="89"/>
    </row>
    <row r="519" spans="1:23" ht="18">
      <c r="A519" s="260"/>
      <c r="B519" s="260" t="s">
        <v>505</v>
      </c>
      <c r="C519" s="175" t="s">
        <v>55</v>
      </c>
      <c r="D519" s="131" t="s">
        <v>1112</v>
      </c>
      <c r="E519" s="297">
        <v>23</v>
      </c>
      <c r="F519" s="263">
        <v>45033</v>
      </c>
      <c r="G519" s="252">
        <v>31.86</v>
      </c>
      <c r="H519" s="90">
        <v>1824940.8</v>
      </c>
      <c r="I519" s="106">
        <f t="shared" si="88"/>
        <v>57280</v>
      </c>
      <c r="J519" s="122"/>
      <c r="K519" s="157" t="s">
        <v>1204</v>
      </c>
      <c r="L519" s="166">
        <f t="shared" si="102"/>
        <v>23</v>
      </c>
      <c r="M519" s="119" t="s">
        <v>1205</v>
      </c>
      <c r="N519" s="115">
        <f>17.338+11.973</f>
        <v>29.311</v>
      </c>
      <c r="O519" s="122"/>
      <c r="P519" s="92">
        <f t="shared" si="98"/>
        <v>29.311199999999999</v>
      </c>
      <c r="Q519" s="113">
        <f t="shared" si="99"/>
        <v>1.4337</v>
      </c>
      <c r="R519" s="92">
        <f t="shared" si="100"/>
        <v>1.1151</v>
      </c>
      <c r="S519" s="121"/>
      <c r="T519" s="93">
        <f t="shared" si="101"/>
        <v>1.9999999999953388E-4</v>
      </c>
      <c r="U519" s="122"/>
      <c r="V519" s="94">
        <f t="shared" ca="1" si="93"/>
        <v>95.464444791665301</v>
      </c>
      <c r="W519" s="89"/>
    </row>
    <row r="520" spans="1:23" ht="18">
      <c r="A520" s="260"/>
      <c r="B520" s="260" t="s">
        <v>505</v>
      </c>
      <c r="C520" s="175" t="s">
        <v>55</v>
      </c>
      <c r="D520" s="131" t="s">
        <v>1113</v>
      </c>
      <c r="E520" s="297">
        <v>24</v>
      </c>
      <c r="F520" s="263">
        <v>45033</v>
      </c>
      <c r="G520" s="252">
        <v>31.8</v>
      </c>
      <c r="H520" s="90">
        <v>1821504</v>
      </c>
      <c r="I520" s="106">
        <f t="shared" si="88"/>
        <v>57280</v>
      </c>
      <c r="J520" s="122"/>
      <c r="K520" s="157" t="s">
        <v>1206</v>
      </c>
      <c r="L520" s="166">
        <f t="shared" si="102"/>
        <v>24</v>
      </c>
      <c r="M520" s="119" t="s">
        <v>1207</v>
      </c>
      <c r="N520" s="115">
        <f>13.305+15.951</f>
        <v>29.256</v>
      </c>
      <c r="O520" s="122"/>
      <c r="P520" s="92">
        <f t="shared" si="98"/>
        <v>29.256</v>
      </c>
      <c r="Q520" s="113">
        <f t="shared" si="99"/>
        <v>1.431</v>
      </c>
      <c r="R520" s="92">
        <f t="shared" si="100"/>
        <v>1.1130000000000002</v>
      </c>
      <c r="S520" s="121"/>
      <c r="T520" s="93">
        <f t="shared" si="101"/>
        <v>0</v>
      </c>
      <c r="U520" s="122"/>
      <c r="V520" s="94">
        <f t="shared" ca="1" si="93"/>
        <v>95.464444791665301</v>
      </c>
      <c r="W520" s="89"/>
    </row>
    <row r="521" spans="1:23" ht="18">
      <c r="A521" s="260"/>
      <c r="B521" s="260" t="s">
        <v>505</v>
      </c>
      <c r="C521" s="175" t="s">
        <v>55</v>
      </c>
      <c r="D521" s="131" t="s">
        <v>1114</v>
      </c>
      <c r="E521" s="297">
        <v>25</v>
      </c>
      <c r="F521" s="263">
        <v>45033</v>
      </c>
      <c r="G521" s="252">
        <v>40.22</v>
      </c>
      <c r="H521" s="90">
        <v>2303801.6</v>
      </c>
      <c r="I521" s="106">
        <f t="shared" si="88"/>
        <v>57280.000000000007</v>
      </c>
      <c r="J521" s="122"/>
      <c r="K521" s="157" t="s">
        <v>1208</v>
      </c>
      <c r="L521" s="166">
        <f t="shared" si="102"/>
        <v>25</v>
      </c>
      <c r="M521" s="119" t="s">
        <v>1209</v>
      </c>
      <c r="N521" s="115">
        <f>29.892+7.11</f>
        <v>37.002000000000002</v>
      </c>
      <c r="O521" s="122"/>
      <c r="P521" s="92">
        <f t="shared" si="98"/>
        <v>37.002400000000002</v>
      </c>
      <c r="Q521" s="113">
        <f t="shared" si="99"/>
        <v>1.8098999999999998</v>
      </c>
      <c r="R521" s="92">
        <f t="shared" si="100"/>
        <v>1.4077000000000002</v>
      </c>
      <c r="S521" s="121"/>
      <c r="T521" s="93">
        <f t="shared" si="101"/>
        <v>3.9999999999640323E-4</v>
      </c>
      <c r="U521" s="122"/>
      <c r="V521" s="94">
        <f t="shared" ca="1" si="93"/>
        <v>95.464444791665301</v>
      </c>
      <c r="W521" s="89"/>
    </row>
    <row r="522" spans="1:23" ht="18">
      <c r="A522" s="260"/>
      <c r="B522" s="260" t="s">
        <v>505</v>
      </c>
      <c r="C522" s="175" t="s">
        <v>55</v>
      </c>
      <c r="D522" s="131" t="s">
        <v>1115</v>
      </c>
      <c r="E522" s="297">
        <v>26</v>
      </c>
      <c r="F522" s="263">
        <v>45033</v>
      </c>
      <c r="G522" s="252">
        <v>25.48</v>
      </c>
      <c r="H522" s="90">
        <v>1459494.4000000001</v>
      </c>
      <c r="I522" s="106">
        <f t="shared" si="88"/>
        <v>57280.000000000007</v>
      </c>
      <c r="J522" s="122"/>
      <c r="K522" s="157" t="s">
        <v>1210</v>
      </c>
      <c r="L522" s="166">
        <f t="shared" si="102"/>
        <v>26</v>
      </c>
      <c r="M522" s="119" t="s">
        <v>1211</v>
      </c>
      <c r="N522" s="115">
        <f>2.09+21.352</f>
        <v>23.442</v>
      </c>
      <c r="O522" s="122"/>
      <c r="P522" s="92">
        <f t="shared" si="98"/>
        <v>23.441600000000001</v>
      </c>
      <c r="Q522" s="113">
        <f t="shared" si="99"/>
        <v>1.1466000000000001</v>
      </c>
      <c r="R522" s="92">
        <f t="shared" si="100"/>
        <v>0.89180000000000015</v>
      </c>
      <c r="S522" s="121"/>
      <c r="T522" s="93">
        <f t="shared" si="101"/>
        <v>-3.9999999999995595E-4</v>
      </c>
      <c r="U522" s="122"/>
      <c r="V522" s="94">
        <f t="shared" ca="1" si="93"/>
        <v>95.464444791665301</v>
      </c>
      <c r="W522" s="89"/>
    </row>
    <row r="523" spans="1:23" ht="18">
      <c r="A523" s="260"/>
      <c r="B523" s="260" t="s">
        <v>505</v>
      </c>
      <c r="C523" s="175" t="s">
        <v>55</v>
      </c>
      <c r="D523" s="131" t="s">
        <v>1116</v>
      </c>
      <c r="E523" s="297">
        <v>27</v>
      </c>
      <c r="F523" s="263">
        <v>45033</v>
      </c>
      <c r="G523" s="252">
        <v>31.8</v>
      </c>
      <c r="H523" s="90">
        <v>1821504</v>
      </c>
      <c r="I523" s="106">
        <f t="shared" si="88"/>
        <v>57280</v>
      </c>
      <c r="J523" s="122"/>
      <c r="K523" s="157" t="s">
        <v>1212</v>
      </c>
      <c r="L523" s="166">
        <f t="shared" si="102"/>
        <v>27</v>
      </c>
      <c r="M523" s="119" t="s">
        <v>1213</v>
      </c>
      <c r="N523" s="115">
        <f>24.833+3.884+0.539</f>
        <v>29.256</v>
      </c>
      <c r="O523" s="122"/>
      <c r="P523" s="92">
        <f t="shared" si="98"/>
        <v>29.256</v>
      </c>
      <c r="Q523" s="113">
        <f t="shared" si="99"/>
        <v>1.431</v>
      </c>
      <c r="R523" s="92">
        <f t="shared" si="100"/>
        <v>1.1130000000000002</v>
      </c>
      <c r="S523" s="121"/>
      <c r="T523" s="93">
        <f t="shared" si="101"/>
        <v>0</v>
      </c>
      <c r="U523" s="122"/>
      <c r="V523" s="94">
        <f t="shared" ca="1" si="93"/>
        <v>95.464444791665301</v>
      </c>
      <c r="W523" s="89"/>
    </row>
    <row r="524" spans="1:23" ht="18">
      <c r="A524" s="260"/>
      <c r="B524" s="260" t="s">
        <v>505</v>
      </c>
      <c r="C524" s="175" t="s">
        <v>55</v>
      </c>
      <c r="D524" s="131" t="s">
        <v>1117</v>
      </c>
      <c r="E524" s="297">
        <v>28</v>
      </c>
      <c r="F524" s="263">
        <v>45033</v>
      </c>
      <c r="G524" s="252">
        <v>9.2260000000000009</v>
      </c>
      <c r="H524" s="90">
        <v>528465.28</v>
      </c>
      <c r="I524" s="106">
        <f t="shared" si="88"/>
        <v>57280</v>
      </c>
      <c r="J524" s="122"/>
      <c r="K524" s="157">
        <v>201</v>
      </c>
      <c r="L524" s="166">
        <f t="shared" si="102"/>
        <v>28</v>
      </c>
      <c r="M524" s="119" t="s">
        <v>1214</v>
      </c>
      <c r="N524" s="115">
        <v>8.4879999999999995</v>
      </c>
      <c r="O524" s="122"/>
      <c r="P524" s="92">
        <f t="shared" si="98"/>
        <v>8.4879200000000008</v>
      </c>
      <c r="Q524" s="113">
        <f t="shared" si="99"/>
        <v>0.41517000000000004</v>
      </c>
      <c r="R524" s="92">
        <f t="shared" si="100"/>
        <v>0.32291000000000009</v>
      </c>
      <c r="S524" s="121"/>
      <c r="T524" s="93">
        <f t="shared" si="101"/>
        <v>-7.9999999998803251E-5</v>
      </c>
      <c r="U524" s="122"/>
      <c r="V524" s="94">
        <f t="shared" ca="1" si="93"/>
        <v>95.464444791665301</v>
      </c>
      <c r="W524" s="89"/>
    </row>
    <row r="525" spans="1:23" ht="18">
      <c r="A525" s="260"/>
      <c r="B525" s="260" t="s">
        <v>505</v>
      </c>
      <c r="C525" s="175" t="s">
        <v>55</v>
      </c>
      <c r="D525" s="131" t="s">
        <v>1118</v>
      </c>
      <c r="E525" s="297">
        <v>29</v>
      </c>
      <c r="F525" s="263">
        <v>45033</v>
      </c>
      <c r="G525" s="252">
        <v>23.193999999999999</v>
      </c>
      <c r="H525" s="90">
        <v>1328552.3199999998</v>
      </c>
      <c r="I525" s="106">
        <f t="shared" si="88"/>
        <v>57279.999999999993</v>
      </c>
      <c r="J525" s="122"/>
      <c r="K525" s="157" t="s">
        <v>1215</v>
      </c>
      <c r="L525" s="166">
        <f t="shared" si="102"/>
        <v>29</v>
      </c>
      <c r="M525" s="119" t="s">
        <v>1216</v>
      </c>
      <c r="N525" s="115">
        <f>15.79+5.548</f>
        <v>21.338000000000001</v>
      </c>
      <c r="O525" s="122"/>
      <c r="P525" s="92">
        <f t="shared" si="98"/>
        <v>21.338480000000001</v>
      </c>
      <c r="Q525" s="113">
        <f t="shared" si="99"/>
        <v>1.0437299999999998</v>
      </c>
      <c r="R525" s="92">
        <f t="shared" si="100"/>
        <v>0.81179000000000001</v>
      </c>
      <c r="S525" s="121"/>
      <c r="T525" s="93">
        <f t="shared" si="101"/>
        <v>4.799999999982596E-4</v>
      </c>
      <c r="U525" s="122"/>
      <c r="V525" s="94">
        <f t="shared" ca="1" si="93"/>
        <v>95.464444791665301</v>
      </c>
      <c r="W525" s="89"/>
    </row>
    <row r="526" spans="1:23" ht="18">
      <c r="A526" s="260"/>
      <c r="B526" s="260" t="s">
        <v>505</v>
      </c>
      <c r="C526" s="175" t="s">
        <v>55</v>
      </c>
      <c r="D526" s="131" t="s">
        <v>1119</v>
      </c>
      <c r="E526" s="297">
        <v>30</v>
      </c>
      <c r="F526" s="263">
        <v>45033</v>
      </c>
      <c r="G526" s="252">
        <v>27.54</v>
      </c>
      <c r="H526" s="90">
        <v>1577491.2</v>
      </c>
      <c r="I526" s="106">
        <f t="shared" si="88"/>
        <v>57280</v>
      </c>
      <c r="J526" s="122"/>
      <c r="K526" s="157" t="s">
        <v>1217</v>
      </c>
      <c r="L526" s="166">
        <f t="shared" si="102"/>
        <v>30</v>
      </c>
      <c r="M526" s="119" t="s">
        <v>1218</v>
      </c>
      <c r="N526" s="115">
        <f>19.252+6.085</f>
        <v>25.337</v>
      </c>
      <c r="O526" s="122"/>
      <c r="P526" s="92">
        <f t="shared" si="98"/>
        <v>25.3368</v>
      </c>
      <c r="Q526" s="113">
        <f t="shared" si="99"/>
        <v>1.2392999999999998</v>
      </c>
      <c r="R526" s="92">
        <f t="shared" si="100"/>
        <v>0.96390000000000009</v>
      </c>
      <c r="S526" s="121"/>
      <c r="T526" s="93">
        <f t="shared" si="101"/>
        <v>-2.0000000000053308E-4</v>
      </c>
      <c r="U526" s="122"/>
      <c r="V526" s="94">
        <f t="shared" ca="1" si="93"/>
        <v>95.464444791665301</v>
      </c>
      <c r="W526" s="89"/>
    </row>
    <row r="527" spans="1:23" ht="18">
      <c r="A527" s="260"/>
      <c r="B527" s="260" t="s">
        <v>505</v>
      </c>
      <c r="C527" s="175" t="s">
        <v>55</v>
      </c>
      <c r="D527" s="131" t="s">
        <v>1120</v>
      </c>
      <c r="E527" s="297">
        <v>31</v>
      </c>
      <c r="F527" s="263">
        <v>45033</v>
      </c>
      <c r="G527" s="252">
        <v>27.64</v>
      </c>
      <c r="H527" s="90">
        <v>1583219.2</v>
      </c>
      <c r="I527" s="106">
        <f t="shared" si="88"/>
        <v>57280</v>
      </c>
      <c r="J527" s="122"/>
      <c r="K527" s="157" t="s">
        <v>1220</v>
      </c>
      <c r="L527" s="166">
        <f t="shared" si="102"/>
        <v>31</v>
      </c>
      <c r="M527" s="119" t="s">
        <v>1221</v>
      </c>
      <c r="N527" s="115">
        <f>13.594+11.835</f>
        <v>25.429000000000002</v>
      </c>
      <c r="O527" s="122"/>
      <c r="P527" s="92">
        <f t="shared" si="98"/>
        <v>25.428800000000003</v>
      </c>
      <c r="Q527" s="113">
        <f t="shared" si="99"/>
        <v>1.2438</v>
      </c>
      <c r="R527" s="92">
        <f t="shared" si="100"/>
        <v>0.96740000000000015</v>
      </c>
      <c r="S527" s="121"/>
      <c r="T527" s="93">
        <f t="shared" si="101"/>
        <v>-2.0000000000164331E-4</v>
      </c>
      <c r="U527" s="122"/>
      <c r="V527" s="94">
        <f t="shared" ca="1" si="93"/>
        <v>95.464444791665301</v>
      </c>
      <c r="W527" s="89"/>
    </row>
    <row r="528" spans="1:23" ht="18">
      <c r="A528" s="260"/>
      <c r="B528" s="260" t="s">
        <v>505</v>
      </c>
      <c r="C528" s="175" t="s">
        <v>55</v>
      </c>
      <c r="D528" s="131" t="s">
        <v>1121</v>
      </c>
      <c r="E528" s="297">
        <v>32</v>
      </c>
      <c r="F528" s="263">
        <v>45033</v>
      </c>
      <c r="G528" s="252">
        <v>40.36</v>
      </c>
      <c r="H528" s="90">
        <v>2311820.7999999998</v>
      </c>
      <c r="I528" s="106">
        <f t="shared" si="88"/>
        <v>57279.999999999993</v>
      </c>
      <c r="J528" s="122"/>
      <c r="K528" s="157" t="s">
        <v>1219</v>
      </c>
      <c r="L528" s="166">
        <f t="shared" si="102"/>
        <v>32</v>
      </c>
      <c r="M528" s="119" t="s">
        <v>1218</v>
      </c>
      <c r="N528" s="115">
        <f>31.614+5.517</f>
        <v>37.131</v>
      </c>
      <c r="O528" s="122"/>
      <c r="P528" s="92">
        <f t="shared" si="98"/>
        <v>37.1312</v>
      </c>
      <c r="Q528" s="113">
        <f t="shared" si="99"/>
        <v>1.8161999999999998</v>
      </c>
      <c r="R528" s="92">
        <f t="shared" si="100"/>
        <v>1.4126000000000001</v>
      </c>
      <c r="S528" s="121"/>
      <c r="T528" s="93">
        <f t="shared" si="101"/>
        <v>1.9999999999931184E-4</v>
      </c>
      <c r="U528" s="122"/>
      <c r="V528" s="94">
        <f t="shared" ca="1" si="93"/>
        <v>95.464444791665301</v>
      </c>
      <c r="W528" s="89"/>
    </row>
    <row r="529" spans="1:23" ht="18">
      <c r="A529" s="260"/>
      <c r="B529" s="260" t="s">
        <v>505</v>
      </c>
      <c r="C529" s="175" t="s">
        <v>55</v>
      </c>
      <c r="D529" s="131" t="s">
        <v>1122</v>
      </c>
      <c r="E529" s="297">
        <v>33</v>
      </c>
      <c r="F529" s="263">
        <v>45033</v>
      </c>
      <c r="G529" s="252">
        <v>31.84</v>
      </c>
      <c r="H529" s="90">
        <v>1823795.2</v>
      </c>
      <c r="I529" s="106">
        <f t="shared" si="88"/>
        <v>57280</v>
      </c>
      <c r="J529" s="122"/>
      <c r="K529" s="157" t="s">
        <v>1222</v>
      </c>
      <c r="L529" s="166">
        <f t="shared" si="102"/>
        <v>33</v>
      </c>
      <c r="M529" s="119" t="s">
        <v>1223</v>
      </c>
      <c r="N529" s="115">
        <f>13.288+16.005</f>
        <v>29.292999999999999</v>
      </c>
      <c r="O529" s="122"/>
      <c r="P529" s="92">
        <f t="shared" si="98"/>
        <v>29.2928</v>
      </c>
      <c r="Q529" s="113">
        <f t="shared" si="99"/>
        <v>1.4327999999999999</v>
      </c>
      <c r="R529" s="92">
        <f t="shared" si="100"/>
        <v>1.1144000000000001</v>
      </c>
      <c r="S529" s="121"/>
      <c r="T529" s="93">
        <f t="shared" si="101"/>
        <v>-1.9999999999931184E-4</v>
      </c>
      <c r="U529" s="122"/>
      <c r="V529" s="94">
        <f t="shared" ca="1" si="93"/>
        <v>95.464444791665301</v>
      </c>
      <c r="W529" s="89"/>
    </row>
    <row r="530" spans="1:23" ht="18">
      <c r="A530" s="260"/>
      <c r="B530" s="260" t="s">
        <v>505</v>
      </c>
      <c r="C530" s="175" t="s">
        <v>55</v>
      </c>
      <c r="D530" s="131" t="s">
        <v>1123</v>
      </c>
      <c r="E530" s="297">
        <v>34</v>
      </c>
      <c r="F530" s="263">
        <v>45033</v>
      </c>
      <c r="G530" s="252">
        <v>31.64</v>
      </c>
      <c r="H530" s="90">
        <v>1812339.2</v>
      </c>
      <c r="I530" s="106">
        <f t="shared" si="88"/>
        <v>57280</v>
      </c>
      <c r="J530" s="122"/>
      <c r="K530" s="157" t="s">
        <v>1224</v>
      </c>
      <c r="L530" s="166">
        <f t="shared" si="102"/>
        <v>34</v>
      </c>
      <c r="M530" s="119" t="s">
        <v>1225</v>
      </c>
      <c r="N530" s="115">
        <f>16.227+12.882</f>
        <v>29.109000000000002</v>
      </c>
      <c r="O530" s="122"/>
      <c r="P530" s="92">
        <f t="shared" si="98"/>
        <v>29.108800000000002</v>
      </c>
      <c r="Q530" s="113">
        <f>G530*4.5%</f>
        <v>1.4238</v>
      </c>
      <c r="R530" s="92">
        <f t="shared" si="100"/>
        <v>1.1074000000000002</v>
      </c>
      <c r="S530" s="121"/>
      <c r="T530" s="93">
        <f t="shared" si="101"/>
        <v>-2.0000000000131024E-4</v>
      </c>
      <c r="U530" s="122"/>
      <c r="V530" s="94">
        <f t="shared" ca="1" si="93"/>
        <v>95.464444791665301</v>
      </c>
      <c r="W530" s="89"/>
    </row>
    <row r="531" spans="1:23" ht="18">
      <c r="A531" s="260"/>
      <c r="B531" s="260" t="s">
        <v>505</v>
      </c>
      <c r="C531" s="175" t="s">
        <v>55</v>
      </c>
      <c r="D531" s="131" t="s">
        <v>1124</v>
      </c>
      <c r="E531" s="300">
        <v>35</v>
      </c>
      <c r="F531" s="263">
        <v>45033</v>
      </c>
      <c r="G531" s="252">
        <v>41.94</v>
      </c>
      <c r="H531" s="90">
        <v>2402323.1999999997</v>
      </c>
      <c r="I531" s="106">
        <f>H531/G531</f>
        <v>57280</v>
      </c>
      <c r="J531" s="122"/>
      <c r="K531" s="157" t="s">
        <v>1226</v>
      </c>
      <c r="L531" s="166">
        <f t="shared" si="102"/>
        <v>35</v>
      </c>
      <c r="M531" s="119" t="s">
        <v>1227</v>
      </c>
      <c r="N531" s="115">
        <f>12.934+24.666+0.985</f>
        <v>38.585000000000001</v>
      </c>
      <c r="O531" s="122"/>
      <c r="P531" s="92">
        <f t="shared" si="98"/>
        <v>38.584800000000001</v>
      </c>
      <c r="Q531" s="113">
        <f t="shared" si="99"/>
        <v>1.8872999999999998</v>
      </c>
      <c r="R531" s="92">
        <f t="shared" si="100"/>
        <v>1.4679</v>
      </c>
      <c r="S531" s="121"/>
      <c r="T531" s="93">
        <f t="shared" si="101"/>
        <v>-2.0000000000286455E-4</v>
      </c>
      <c r="U531" s="122"/>
      <c r="V531" s="94">
        <f t="shared" ca="1" si="93"/>
        <v>95.464444791665301</v>
      </c>
      <c r="W531" s="89"/>
    </row>
    <row r="532" spans="1:23" ht="18">
      <c r="A532" s="260"/>
      <c r="B532" s="260"/>
      <c r="C532" s="175"/>
      <c r="D532" s="131"/>
      <c r="E532" s="300"/>
      <c r="F532" s="263"/>
      <c r="G532" s="252"/>
      <c r="H532" s="90"/>
      <c r="I532" s="106"/>
      <c r="J532" s="122"/>
      <c r="K532" s="157"/>
      <c r="L532" s="166"/>
      <c r="M532" s="119"/>
      <c r="N532" s="115"/>
      <c r="O532" s="122"/>
      <c r="P532" s="92"/>
      <c r="Q532" s="113"/>
      <c r="R532" s="92"/>
      <c r="S532" s="121"/>
      <c r="T532" s="93"/>
      <c r="U532" s="122"/>
      <c r="V532" s="94"/>
      <c r="W532" s="89"/>
    </row>
    <row r="533" spans="1:23" ht="18">
      <c r="A533" s="260"/>
      <c r="B533" s="260" t="s">
        <v>505</v>
      </c>
      <c r="C533" s="175" t="s">
        <v>55</v>
      </c>
      <c r="D533" s="131" t="s">
        <v>1157</v>
      </c>
      <c r="E533" s="145">
        <v>36</v>
      </c>
      <c r="F533" s="263">
        <v>45042</v>
      </c>
      <c r="G533" s="252">
        <v>31.91</v>
      </c>
      <c r="H533" s="90">
        <v>1827804.8</v>
      </c>
      <c r="I533" s="106">
        <f>H533/G533</f>
        <v>57280</v>
      </c>
      <c r="J533" s="122"/>
      <c r="K533" s="157" t="s">
        <v>1247</v>
      </c>
      <c r="L533" s="166">
        <f t="shared" si="102"/>
        <v>36</v>
      </c>
      <c r="M533" s="119" t="s">
        <v>1248</v>
      </c>
      <c r="N533" s="115">
        <f>11.587+17.77</f>
        <v>29.356999999999999</v>
      </c>
      <c r="O533" s="122"/>
      <c r="P533" s="92">
        <f t="shared" si="98"/>
        <v>29.357200000000002</v>
      </c>
      <c r="Q533" s="113">
        <f t="shared" si="99"/>
        <v>1.4359500000000001</v>
      </c>
      <c r="R533" s="92">
        <f t="shared" si="100"/>
        <v>1.1168500000000001</v>
      </c>
      <c r="S533" s="121"/>
      <c r="T533" s="93">
        <f t="shared" si="101"/>
        <v>2.0000000000064411E-4</v>
      </c>
      <c r="U533" s="122"/>
      <c r="V533" s="94">
        <f t="shared" ca="1" si="93"/>
        <v>104.4644447916653</v>
      </c>
      <c r="W533" s="89"/>
    </row>
    <row r="534" spans="1:23" ht="18">
      <c r="A534" s="260"/>
      <c r="B534" s="260" t="s">
        <v>505</v>
      </c>
      <c r="C534" s="175" t="s">
        <v>55</v>
      </c>
      <c r="D534" s="131" t="s">
        <v>1157</v>
      </c>
      <c r="E534" s="145">
        <v>37</v>
      </c>
      <c r="F534" s="263">
        <v>45042</v>
      </c>
      <c r="G534" s="252">
        <v>40.47</v>
      </c>
      <c r="H534" s="90">
        <v>2318121.6</v>
      </c>
      <c r="I534" s="106">
        <f t="shared" ref="I534:I547" si="103">H534/G534</f>
        <v>57280.000000000007</v>
      </c>
      <c r="J534" s="122"/>
      <c r="K534" s="157" t="s">
        <v>1249</v>
      </c>
      <c r="L534" s="166">
        <f t="shared" si="102"/>
        <v>37</v>
      </c>
      <c r="M534" s="119" t="s">
        <v>1250</v>
      </c>
      <c r="N534" s="115">
        <f>25.035+7.343+4.854</f>
        <v>37.231999999999999</v>
      </c>
      <c r="O534" s="122"/>
      <c r="P534" s="92">
        <f t="shared" si="98"/>
        <v>37.232399999999998</v>
      </c>
      <c r="Q534" s="113">
        <f t="shared" si="99"/>
        <v>1.8211499999999998</v>
      </c>
      <c r="R534" s="92">
        <f t="shared" si="100"/>
        <v>1.41645</v>
      </c>
      <c r="S534" s="121"/>
      <c r="T534" s="93">
        <f t="shared" si="101"/>
        <v>3.999999999997339E-4</v>
      </c>
      <c r="U534" s="122"/>
      <c r="V534" s="94">
        <f t="shared" ca="1" si="93"/>
        <v>104.4644447916653</v>
      </c>
      <c r="W534" s="89"/>
    </row>
    <row r="535" spans="1:23" ht="18">
      <c r="A535" s="260"/>
      <c r="B535" s="260" t="s">
        <v>505</v>
      </c>
      <c r="C535" s="175" t="s">
        <v>55</v>
      </c>
      <c r="D535" s="131" t="s">
        <v>1157</v>
      </c>
      <c r="E535" s="145">
        <v>38</v>
      </c>
      <c r="F535" s="263">
        <v>45042</v>
      </c>
      <c r="G535" s="252">
        <v>31.85</v>
      </c>
      <c r="H535" s="90">
        <v>1824368</v>
      </c>
      <c r="I535" s="106">
        <f t="shared" si="103"/>
        <v>57280</v>
      </c>
      <c r="J535" s="122"/>
      <c r="K535" s="157" t="s">
        <v>1251</v>
      </c>
      <c r="L535" s="166">
        <f t="shared" si="102"/>
        <v>38</v>
      </c>
      <c r="M535" s="119" t="s">
        <v>1252</v>
      </c>
      <c r="N535" s="115">
        <f>27.504+1.798</f>
        <v>29.302</v>
      </c>
      <c r="O535" s="122"/>
      <c r="P535" s="92">
        <f t="shared" si="98"/>
        <v>29.302000000000003</v>
      </c>
      <c r="Q535" s="113">
        <f t="shared" si="99"/>
        <v>1.4332499999999999</v>
      </c>
      <c r="R535" s="92">
        <f t="shared" si="100"/>
        <v>1.1147500000000001</v>
      </c>
      <c r="S535" s="121"/>
      <c r="T535" s="93">
        <f t="shared" si="101"/>
        <v>1.7763568394002505E-15</v>
      </c>
      <c r="U535" s="122"/>
      <c r="V535" s="94">
        <f t="shared" ca="1" si="93"/>
        <v>104.4644447916653</v>
      </c>
      <c r="W535" s="89"/>
    </row>
    <row r="536" spans="1:23" ht="18">
      <c r="A536" s="260"/>
      <c r="B536" s="260" t="s">
        <v>505</v>
      </c>
      <c r="C536" s="175" t="s">
        <v>55</v>
      </c>
      <c r="D536" s="131" t="s">
        <v>1157</v>
      </c>
      <c r="E536" s="145">
        <v>39</v>
      </c>
      <c r="F536" s="263">
        <v>45042</v>
      </c>
      <c r="G536" s="252">
        <v>33.979999999999997</v>
      </c>
      <c r="H536" s="90">
        <v>1946374.4</v>
      </c>
      <c r="I536" s="106">
        <f t="shared" si="103"/>
        <v>57280</v>
      </c>
      <c r="J536" s="122"/>
      <c r="K536" s="157" t="s">
        <v>1253</v>
      </c>
      <c r="L536" s="166">
        <f t="shared" si="102"/>
        <v>39</v>
      </c>
      <c r="M536" s="119" t="s">
        <v>1254</v>
      </c>
      <c r="N536" s="115">
        <f>23.002+8.26</f>
        <v>31.262</v>
      </c>
      <c r="O536" s="122"/>
      <c r="P536" s="92">
        <f t="shared" si="98"/>
        <v>31.261599999999998</v>
      </c>
      <c r="Q536" s="113">
        <f t="shared" si="99"/>
        <v>1.5290999999999999</v>
      </c>
      <c r="R536" s="92">
        <f t="shared" si="100"/>
        <v>1.1893</v>
      </c>
      <c r="S536" s="121"/>
      <c r="T536" s="93">
        <f t="shared" si="101"/>
        <v>-4.0000000000350866E-4</v>
      </c>
      <c r="U536" s="122"/>
      <c r="V536" s="94">
        <f t="shared" ca="1" si="93"/>
        <v>104.4644447916653</v>
      </c>
      <c r="W536" s="89"/>
    </row>
    <row r="537" spans="1:23" ht="18">
      <c r="A537" s="260"/>
      <c r="B537" s="260" t="s">
        <v>505</v>
      </c>
      <c r="C537" s="175" t="s">
        <v>55</v>
      </c>
      <c r="D537" s="131" t="s">
        <v>1157</v>
      </c>
      <c r="E537" s="145">
        <v>40</v>
      </c>
      <c r="F537" s="263">
        <v>45042</v>
      </c>
      <c r="G537" s="252">
        <v>34.01</v>
      </c>
      <c r="H537" s="90">
        <v>1948092.7999999998</v>
      </c>
      <c r="I537" s="106">
        <f t="shared" si="103"/>
        <v>57280</v>
      </c>
      <c r="J537" s="122"/>
      <c r="K537" s="157" t="s">
        <v>1255</v>
      </c>
      <c r="L537" s="166">
        <f t="shared" si="102"/>
        <v>40</v>
      </c>
      <c r="M537" s="119" t="s">
        <v>1256</v>
      </c>
      <c r="N537" s="115">
        <f>24.65+6.639</f>
        <v>31.288999999999998</v>
      </c>
      <c r="O537" s="122"/>
      <c r="P537" s="92">
        <f t="shared" si="98"/>
        <v>31.289200000000001</v>
      </c>
      <c r="Q537" s="113">
        <f t="shared" si="99"/>
        <v>1.5304499999999999</v>
      </c>
      <c r="R537" s="92">
        <f t="shared" si="100"/>
        <v>1.19035</v>
      </c>
      <c r="S537" s="121"/>
      <c r="T537" s="93">
        <f t="shared" si="101"/>
        <v>2.0000000000020002E-4</v>
      </c>
      <c r="U537" s="122"/>
      <c r="V537" s="94">
        <f t="shared" ca="1" si="93"/>
        <v>104.4644447916653</v>
      </c>
      <c r="W537" s="89"/>
    </row>
    <row r="538" spans="1:23" ht="18">
      <c r="A538" s="260"/>
      <c r="B538" s="260" t="s">
        <v>505</v>
      </c>
      <c r="C538" s="175" t="s">
        <v>55</v>
      </c>
      <c r="D538" s="131" t="s">
        <v>1157</v>
      </c>
      <c r="E538" s="145">
        <v>41</v>
      </c>
      <c r="F538" s="263">
        <v>45042</v>
      </c>
      <c r="G538" s="252">
        <v>31.92</v>
      </c>
      <c r="H538" s="90">
        <v>1828377.6000000001</v>
      </c>
      <c r="I538" s="106">
        <f t="shared" si="103"/>
        <v>57280</v>
      </c>
      <c r="J538" s="122"/>
      <c r="K538" s="157" t="s">
        <v>1257</v>
      </c>
      <c r="L538" s="166">
        <f t="shared" si="102"/>
        <v>41</v>
      </c>
      <c r="M538" s="119" t="s">
        <v>1258</v>
      </c>
      <c r="N538" s="115">
        <f>26.047+3.319</f>
        <v>29.366</v>
      </c>
      <c r="O538" s="122"/>
      <c r="P538" s="92">
        <f t="shared" si="98"/>
        <v>29.366400000000002</v>
      </c>
      <c r="Q538" s="113">
        <f t="shared" si="99"/>
        <v>1.4364000000000001</v>
      </c>
      <c r="R538" s="92">
        <f t="shared" si="100"/>
        <v>1.1172000000000002</v>
      </c>
      <c r="S538" s="121"/>
      <c r="T538" s="93">
        <f t="shared" si="101"/>
        <v>4.000000000017323E-4</v>
      </c>
      <c r="U538" s="122"/>
      <c r="V538" s="94">
        <f t="shared" ca="1" si="93"/>
        <v>104.4644447916653</v>
      </c>
      <c r="W538" s="89"/>
    </row>
    <row r="539" spans="1:23" ht="18">
      <c r="A539" s="260"/>
      <c r="B539" s="260" t="s">
        <v>505</v>
      </c>
      <c r="C539" s="175" t="s">
        <v>55</v>
      </c>
      <c r="D539" s="131" t="s">
        <v>1157</v>
      </c>
      <c r="E539" s="145">
        <v>42</v>
      </c>
      <c r="F539" s="263">
        <v>45042</v>
      </c>
      <c r="G539" s="252">
        <v>34.06</v>
      </c>
      <c r="H539" s="90">
        <v>1950956.8</v>
      </c>
      <c r="I539" s="106">
        <f t="shared" si="103"/>
        <v>57280</v>
      </c>
      <c r="J539" s="122"/>
      <c r="K539" s="157" t="s">
        <v>1259</v>
      </c>
      <c r="L539" s="166">
        <f t="shared" si="102"/>
        <v>42</v>
      </c>
      <c r="M539" s="119" t="s">
        <v>1260</v>
      </c>
      <c r="N539" s="115">
        <f>25.209+6.126</f>
        <v>31.335000000000001</v>
      </c>
      <c r="O539" s="122"/>
      <c r="P539" s="92">
        <f t="shared" si="98"/>
        <v>31.335200000000004</v>
      </c>
      <c r="Q539" s="113">
        <f t="shared" si="99"/>
        <v>1.5327</v>
      </c>
      <c r="R539" s="92">
        <f t="shared" si="100"/>
        <v>1.1921000000000002</v>
      </c>
      <c r="S539" s="121"/>
      <c r="T539" s="93">
        <f t="shared" si="101"/>
        <v>2.0000000000131024E-4</v>
      </c>
      <c r="U539" s="122"/>
      <c r="V539" s="94">
        <f t="shared" ca="1" si="93"/>
        <v>104.4644447916653</v>
      </c>
      <c r="W539" s="89"/>
    </row>
    <row r="540" spans="1:23" ht="18">
      <c r="A540" s="260"/>
      <c r="B540" s="260" t="s">
        <v>505</v>
      </c>
      <c r="C540" s="175" t="s">
        <v>55</v>
      </c>
      <c r="D540" s="131" t="s">
        <v>1157</v>
      </c>
      <c r="E540" s="145">
        <v>43</v>
      </c>
      <c r="F540" s="263">
        <v>45042</v>
      </c>
      <c r="G540" s="252">
        <v>34.049999999999997</v>
      </c>
      <c r="H540" s="90">
        <v>1950383.9999999998</v>
      </c>
      <c r="I540" s="106">
        <f t="shared" si="103"/>
        <v>57280</v>
      </c>
      <c r="J540" s="122"/>
      <c r="K540" s="157" t="s">
        <v>1261</v>
      </c>
      <c r="L540" s="166">
        <f t="shared" si="102"/>
        <v>43</v>
      </c>
      <c r="M540" s="119" t="s">
        <v>1260</v>
      </c>
      <c r="N540" s="115">
        <f>24.571+6.755</f>
        <v>31.326000000000001</v>
      </c>
      <c r="O540" s="122"/>
      <c r="P540" s="92">
        <f t="shared" si="98"/>
        <v>31.326000000000001</v>
      </c>
      <c r="Q540" s="113">
        <f t="shared" si="99"/>
        <v>1.5322499999999999</v>
      </c>
      <c r="R540" s="92">
        <f t="shared" si="100"/>
        <v>1.1917500000000001</v>
      </c>
      <c r="S540" s="121"/>
      <c r="T540" s="93">
        <f t="shared" si="101"/>
        <v>-3.3306690738754696E-15</v>
      </c>
      <c r="U540" s="122"/>
      <c r="V540" s="94">
        <f t="shared" ca="1" si="93"/>
        <v>104.4644447916653</v>
      </c>
      <c r="W540" s="89"/>
    </row>
    <row r="541" spans="1:23" ht="18">
      <c r="A541" s="260"/>
      <c r="B541" s="260" t="s">
        <v>505</v>
      </c>
      <c r="C541" s="175" t="s">
        <v>55</v>
      </c>
      <c r="D541" s="131" t="s">
        <v>1157</v>
      </c>
      <c r="E541" s="145">
        <v>44</v>
      </c>
      <c r="F541" s="263">
        <v>45042</v>
      </c>
      <c r="G541" s="252">
        <v>40.29</v>
      </c>
      <c r="H541" s="90">
        <v>2307811.1999999997</v>
      </c>
      <c r="I541" s="106">
        <f t="shared" si="103"/>
        <v>57279.999999999993</v>
      </c>
      <c r="J541" s="122"/>
      <c r="K541" s="157" t="s">
        <v>1262</v>
      </c>
      <c r="L541" s="166">
        <f t="shared" si="102"/>
        <v>44</v>
      </c>
      <c r="M541" s="119" t="s">
        <v>1263</v>
      </c>
      <c r="N541" s="115">
        <f>8.769+24.801+3.497</f>
        <v>37.067</v>
      </c>
      <c r="O541" s="122"/>
      <c r="P541" s="92">
        <f t="shared" si="98"/>
        <v>37.066800000000001</v>
      </c>
      <c r="Q541" s="113">
        <f t="shared" si="99"/>
        <v>1.8130499999999998</v>
      </c>
      <c r="R541" s="92">
        <f t="shared" si="100"/>
        <v>1.41015</v>
      </c>
      <c r="S541" s="121"/>
      <c r="T541" s="93">
        <f t="shared" si="101"/>
        <v>-2.0000000000086615E-4</v>
      </c>
      <c r="U541" s="122"/>
      <c r="V541" s="94">
        <f t="shared" ca="1" si="93"/>
        <v>104.4644447916653</v>
      </c>
      <c r="W541" s="89"/>
    </row>
    <row r="542" spans="1:23" ht="18">
      <c r="A542" s="260"/>
      <c r="B542" s="260" t="s">
        <v>505</v>
      </c>
      <c r="C542" s="175" t="s">
        <v>55</v>
      </c>
      <c r="D542" s="131" t="s">
        <v>1157</v>
      </c>
      <c r="E542" s="145">
        <v>45</v>
      </c>
      <c r="F542" s="263">
        <v>45042</v>
      </c>
      <c r="G542" s="252">
        <v>34.090000000000003</v>
      </c>
      <c r="H542" s="90">
        <v>1952675.2000000002</v>
      </c>
      <c r="I542" s="106">
        <f t="shared" si="103"/>
        <v>57280</v>
      </c>
      <c r="J542" s="122"/>
      <c r="K542" s="157" t="s">
        <v>1264</v>
      </c>
      <c r="L542" s="166">
        <f t="shared" si="102"/>
        <v>45</v>
      </c>
      <c r="M542" s="119" t="s">
        <v>1265</v>
      </c>
      <c r="N542" s="115">
        <f>27.965+3.398</f>
        <v>31.363</v>
      </c>
      <c r="O542" s="122"/>
      <c r="P542" s="92">
        <f t="shared" si="98"/>
        <v>31.362800000000004</v>
      </c>
      <c r="Q542" s="113">
        <f t="shared" si="99"/>
        <v>1.5340500000000001</v>
      </c>
      <c r="R542" s="92">
        <f t="shared" si="100"/>
        <v>1.1931500000000002</v>
      </c>
      <c r="S542" s="121"/>
      <c r="T542" s="93">
        <f t="shared" si="101"/>
        <v>-1.9999999999642526E-4</v>
      </c>
      <c r="U542" s="122"/>
      <c r="V542" s="94">
        <f t="shared" ca="1" si="93"/>
        <v>104.4644447916653</v>
      </c>
      <c r="W542" s="89"/>
    </row>
    <row r="543" spans="1:23" ht="18">
      <c r="A543" s="260"/>
      <c r="B543" s="260" t="s">
        <v>505</v>
      </c>
      <c r="C543" s="175" t="s">
        <v>55</v>
      </c>
      <c r="D543" s="131" t="s">
        <v>1157</v>
      </c>
      <c r="E543" s="145">
        <v>46</v>
      </c>
      <c r="F543" s="263">
        <v>45042</v>
      </c>
      <c r="G543" s="252">
        <v>33.99</v>
      </c>
      <c r="H543" s="90">
        <v>1946947.2000000002</v>
      </c>
      <c r="I543" s="106">
        <f t="shared" si="103"/>
        <v>57280</v>
      </c>
      <c r="J543" s="122"/>
      <c r="K543" s="157" t="s">
        <v>1266</v>
      </c>
      <c r="L543" s="166">
        <f t="shared" si="102"/>
        <v>46</v>
      </c>
      <c r="M543" s="119" t="s">
        <v>1267</v>
      </c>
      <c r="N543" s="115">
        <f>25.204+6.067</f>
        <v>31.271000000000001</v>
      </c>
      <c r="O543" s="122"/>
      <c r="P543" s="92">
        <f t="shared" si="98"/>
        <v>31.270800000000005</v>
      </c>
      <c r="Q543" s="113">
        <f t="shared" si="99"/>
        <v>1.52955</v>
      </c>
      <c r="R543" s="92">
        <f t="shared" si="100"/>
        <v>1.1896500000000001</v>
      </c>
      <c r="S543" s="121"/>
      <c r="T543" s="93">
        <f t="shared" si="101"/>
        <v>-1.9999999999886775E-4</v>
      </c>
      <c r="U543" s="122"/>
      <c r="V543" s="94">
        <f t="shared" ca="1" si="93"/>
        <v>104.4644447916653</v>
      </c>
      <c r="W543" s="89"/>
    </row>
    <row r="544" spans="1:23" ht="18">
      <c r="A544" s="260"/>
      <c r="B544" s="260" t="s">
        <v>505</v>
      </c>
      <c r="C544" s="175" t="s">
        <v>55</v>
      </c>
      <c r="D544" s="131" t="s">
        <v>1157</v>
      </c>
      <c r="E544" s="145">
        <v>47</v>
      </c>
      <c r="F544" s="263">
        <v>45042</v>
      </c>
      <c r="G544" s="252">
        <v>33.723999999999997</v>
      </c>
      <c r="H544" s="90">
        <v>1931710.7199999997</v>
      </c>
      <c r="I544" s="106">
        <f t="shared" si="103"/>
        <v>57280</v>
      </c>
      <c r="J544" s="122"/>
      <c r="K544" s="157" t="s">
        <v>1268</v>
      </c>
      <c r="L544" s="166">
        <f t="shared" si="102"/>
        <v>47</v>
      </c>
      <c r="M544" s="119" t="s">
        <v>1269</v>
      </c>
      <c r="N544" s="115">
        <f>15.552+15.474</f>
        <v>31.026</v>
      </c>
      <c r="O544" s="122"/>
      <c r="P544" s="92">
        <f t="shared" si="98"/>
        <v>31.026079999999997</v>
      </c>
      <c r="Q544" s="113">
        <f t="shared" si="99"/>
        <v>1.5175799999999997</v>
      </c>
      <c r="R544" s="92">
        <f t="shared" si="100"/>
        <v>1.1803399999999999</v>
      </c>
      <c r="S544" s="121"/>
      <c r="T544" s="93">
        <f t="shared" si="101"/>
        <v>7.9999999997193427E-5</v>
      </c>
      <c r="U544" s="122"/>
      <c r="V544" s="94">
        <f t="shared" ca="1" si="93"/>
        <v>104.4644447916653</v>
      </c>
      <c r="W544" s="89"/>
    </row>
    <row r="545" spans="1:23" ht="18">
      <c r="A545" s="260"/>
      <c r="B545" s="260" t="s">
        <v>505</v>
      </c>
      <c r="C545" s="175" t="s">
        <v>55</v>
      </c>
      <c r="D545" s="131" t="s">
        <v>1157</v>
      </c>
      <c r="E545" s="145">
        <v>48</v>
      </c>
      <c r="F545" s="263">
        <v>45042</v>
      </c>
      <c r="G545" s="252">
        <v>50.601999999999997</v>
      </c>
      <c r="H545" s="90">
        <v>2898482.5599999996</v>
      </c>
      <c r="I545" s="106">
        <f t="shared" si="103"/>
        <v>57279.999999999993</v>
      </c>
      <c r="J545" s="122"/>
      <c r="K545" s="158" t="s">
        <v>1270</v>
      </c>
      <c r="L545" s="166">
        <f t="shared" si="102"/>
        <v>48</v>
      </c>
      <c r="M545" s="119" t="s">
        <v>1271</v>
      </c>
      <c r="N545" s="115">
        <f>8.873+24.403+13.278</f>
        <v>46.553999999999995</v>
      </c>
      <c r="O545" s="122"/>
      <c r="P545" s="92">
        <f t="shared" si="98"/>
        <v>46.553840000000001</v>
      </c>
      <c r="Q545" s="113">
        <f t="shared" si="99"/>
        <v>2.2770899999999998</v>
      </c>
      <c r="R545" s="92">
        <f t="shared" si="100"/>
        <v>1.7710700000000001</v>
      </c>
      <c r="S545" s="121"/>
      <c r="T545" s="93">
        <f t="shared" si="101"/>
        <v>-1.5999999999816161E-4</v>
      </c>
      <c r="U545" s="122"/>
      <c r="V545" s="94">
        <f t="shared" ca="1" si="93"/>
        <v>104.4644447916653</v>
      </c>
      <c r="W545" s="89"/>
    </row>
    <row r="546" spans="1:23" ht="18">
      <c r="A546" s="260"/>
      <c r="B546" s="260" t="s">
        <v>505</v>
      </c>
      <c r="C546" s="175" t="s">
        <v>55</v>
      </c>
      <c r="D546" s="131" t="s">
        <v>1157</v>
      </c>
      <c r="E546" s="145">
        <v>49</v>
      </c>
      <c r="F546" s="263">
        <v>45042</v>
      </c>
      <c r="G546" s="252">
        <v>54.976999999999997</v>
      </c>
      <c r="H546" s="90">
        <v>3149082.5599999996</v>
      </c>
      <c r="I546" s="106">
        <f t="shared" si="103"/>
        <v>57279.999999999993</v>
      </c>
      <c r="J546" s="122"/>
      <c r="K546" s="157" t="s">
        <v>1272</v>
      </c>
      <c r="L546" s="166">
        <f t="shared" si="102"/>
        <v>49</v>
      </c>
      <c r="M546" s="119" t="s">
        <v>1273</v>
      </c>
      <c r="N546" s="115">
        <f>19.977+24.912+5.69</f>
        <v>50.578999999999994</v>
      </c>
      <c r="O546" s="122"/>
      <c r="P546" s="92">
        <f t="shared" si="98"/>
        <v>50.57884</v>
      </c>
      <c r="Q546" s="113">
        <f t="shared" si="99"/>
        <v>2.4739649999999997</v>
      </c>
      <c r="R546" s="92">
        <f t="shared" si="100"/>
        <v>1.9241950000000001</v>
      </c>
      <c r="S546" s="121"/>
      <c r="T546" s="93">
        <f>G546-N546-Q546-R546</f>
        <v>-1.599999999966073E-4</v>
      </c>
      <c r="U546" s="122"/>
      <c r="V546" s="94">
        <f t="shared" ca="1" si="93"/>
        <v>104.4644447916653</v>
      </c>
      <c r="W546" s="89"/>
    </row>
    <row r="547" spans="1:23" ht="18">
      <c r="A547" s="260"/>
      <c r="B547" s="260" t="s">
        <v>505</v>
      </c>
      <c r="C547" s="175" t="s">
        <v>55</v>
      </c>
      <c r="D547" s="131" t="s">
        <v>1157</v>
      </c>
      <c r="E547" s="145">
        <v>50</v>
      </c>
      <c r="F547" s="263">
        <v>45042</v>
      </c>
      <c r="G547" s="252">
        <v>48.531999999999996</v>
      </c>
      <c r="H547" s="90">
        <v>2779912.96</v>
      </c>
      <c r="I547" s="106">
        <f t="shared" si="103"/>
        <v>57280</v>
      </c>
      <c r="J547" s="122"/>
      <c r="K547" s="157" t="s">
        <v>1275</v>
      </c>
      <c r="L547" s="166">
        <f t="shared" si="102"/>
        <v>50</v>
      </c>
      <c r="M547" s="119" t="s">
        <v>1276</v>
      </c>
      <c r="N547" s="115">
        <f>19.187+24.958+0.504</f>
        <v>44.648999999999994</v>
      </c>
      <c r="O547" s="122"/>
      <c r="P547" s="92">
        <f t="shared" si="98"/>
        <v>44.649439999999998</v>
      </c>
      <c r="Q547" s="113">
        <f t="shared" si="99"/>
        <v>2.1839399999999998</v>
      </c>
      <c r="R547" s="92">
        <f t="shared" si="100"/>
        <v>1.69862</v>
      </c>
      <c r="S547" s="121"/>
      <c r="T547" s="93">
        <f t="shared" si="101"/>
        <v>4.4000000000288253E-4</v>
      </c>
      <c r="U547" s="122"/>
      <c r="V547" s="94">
        <f t="shared" ca="1" si="93"/>
        <v>104.4644447916653</v>
      </c>
      <c r="W547" s="89"/>
    </row>
    <row r="548" spans="1:23" ht="18.75">
      <c r="A548" s="260"/>
      <c r="B548" s="260"/>
      <c r="C548" s="264"/>
      <c r="D548" s="131"/>
      <c r="E548" s="269"/>
      <c r="F548" s="263"/>
      <c r="G548" s="268"/>
      <c r="H548" s="90"/>
      <c r="I548" s="106"/>
      <c r="J548" s="122"/>
      <c r="K548" s="157"/>
      <c r="L548" s="115"/>
      <c r="M548" s="119"/>
      <c r="N548" s="115"/>
      <c r="O548" s="122"/>
      <c r="P548" s="92">
        <f t="shared" si="98"/>
        <v>0</v>
      </c>
      <c r="Q548" s="113">
        <f t="shared" si="99"/>
        <v>0</v>
      </c>
      <c r="R548" s="92">
        <f t="shared" si="100"/>
        <v>0</v>
      </c>
      <c r="S548" s="121"/>
      <c r="T548" s="93">
        <f t="shared" si="101"/>
        <v>0</v>
      </c>
      <c r="U548" s="122"/>
      <c r="V548" s="94"/>
      <c r="W548" s="89"/>
    </row>
    <row r="549" spans="1:23" ht="18">
      <c r="A549" s="260"/>
      <c r="B549" s="260" t="s">
        <v>51</v>
      </c>
      <c r="C549" s="301" t="s">
        <v>1170</v>
      </c>
      <c r="D549" s="131">
        <v>231401300720</v>
      </c>
      <c r="E549" s="303">
        <v>51</v>
      </c>
      <c r="F549" s="263">
        <v>45063</v>
      </c>
      <c r="G549" s="306">
        <v>31.54</v>
      </c>
      <c r="H549" s="305">
        <v>1551768</v>
      </c>
      <c r="I549" s="106">
        <f t="shared" ref="I549:I582" si="104">H549/G549</f>
        <v>49200</v>
      </c>
      <c r="J549" s="122"/>
      <c r="K549" s="157" t="s">
        <v>1277</v>
      </c>
      <c r="L549" s="166">
        <f t="shared" si="102"/>
        <v>51</v>
      </c>
      <c r="M549" s="119" t="s">
        <v>1274</v>
      </c>
      <c r="N549" s="115">
        <f>24.373+4.644</f>
        <v>29.017000000000003</v>
      </c>
      <c r="O549" s="122"/>
      <c r="P549" s="92">
        <f t="shared" ref="P549:P859" si="105">G549*0.92</f>
        <v>29.0168</v>
      </c>
      <c r="Q549" s="113">
        <f t="shared" ref="Q549:Q859" si="106">G549*4.5%</f>
        <v>1.4193</v>
      </c>
      <c r="R549" s="92">
        <f t="shared" ref="R549:R859" si="107">G549*3.5%</f>
        <v>1.1039000000000001</v>
      </c>
      <c r="S549" s="121"/>
      <c r="T549" s="93">
        <f t="shared" ref="T549:T859" si="108">G549-N549-Q549-R549</f>
        <v>-2.0000000000397478E-4</v>
      </c>
      <c r="U549" s="122"/>
      <c r="V549" s="94">
        <f t="shared" ca="1" si="93"/>
        <v>125.4644447916653</v>
      </c>
      <c r="W549" s="89"/>
    </row>
    <row r="550" spans="1:23" ht="18">
      <c r="A550" s="260"/>
      <c r="B550" s="260" t="s">
        <v>51</v>
      </c>
      <c r="C550" s="301" t="s">
        <v>1170</v>
      </c>
      <c r="D550" s="131">
        <v>231401300744</v>
      </c>
      <c r="E550" s="303">
        <v>52</v>
      </c>
      <c r="F550" s="263">
        <v>45063</v>
      </c>
      <c r="G550" s="304">
        <v>31.51</v>
      </c>
      <c r="H550" s="305">
        <v>1550292</v>
      </c>
      <c r="I550" s="106">
        <f t="shared" si="104"/>
        <v>49200</v>
      </c>
      <c r="J550" s="122"/>
      <c r="K550" s="157" t="s">
        <v>1278</v>
      </c>
      <c r="L550" s="166">
        <f t="shared" si="102"/>
        <v>52</v>
      </c>
      <c r="M550" s="119" t="s">
        <v>1279</v>
      </c>
      <c r="N550" s="115">
        <f>20.635+8.354</f>
        <v>28.989000000000001</v>
      </c>
      <c r="O550" s="122"/>
      <c r="P550" s="92">
        <f t="shared" si="105"/>
        <v>28.989200000000004</v>
      </c>
      <c r="Q550" s="113">
        <f t="shared" si="106"/>
        <v>1.41795</v>
      </c>
      <c r="R550" s="92">
        <f t="shared" si="107"/>
        <v>1.1028500000000001</v>
      </c>
      <c r="S550" s="121"/>
      <c r="T550" s="93">
        <f t="shared" si="108"/>
        <v>2.0000000000064411E-4</v>
      </c>
      <c r="U550" s="122"/>
      <c r="V550" s="94">
        <f t="shared" ca="1" si="93"/>
        <v>125.4644447916653</v>
      </c>
      <c r="W550" s="89"/>
    </row>
    <row r="551" spans="1:23" ht="18">
      <c r="A551" s="260"/>
      <c r="B551" s="260" t="s">
        <v>51</v>
      </c>
      <c r="C551" s="301" t="s">
        <v>1170</v>
      </c>
      <c r="D551" s="131">
        <v>231401300744</v>
      </c>
      <c r="E551" s="303">
        <v>53</v>
      </c>
      <c r="F551" s="263">
        <v>45063</v>
      </c>
      <c r="G551" s="304">
        <v>31.54</v>
      </c>
      <c r="H551" s="305">
        <v>1551768</v>
      </c>
      <c r="I551" s="106">
        <f t="shared" si="104"/>
        <v>49200</v>
      </c>
      <c r="J551" s="122"/>
      <c r="K551" s="157" t="s">
        <v>1280</v>
      </c>
      <c r="L551" s="166">
        <f t="shared" si="102"/>
        <v>53</v>
      </c>
      <c r="M551" s="119" t="s">
        <v>1279</v>
      </c>
      <c r="N551" s="115">
        <f>24.656+4.361</f>
        <v>29.016999999999999</v>
      </c>
      <c r="O551" s="122"/>
      <c r="P551" s="92">
        <f t="shared" si="105"/>
        <v>29.0168</v>
      </c>
      <c r="Q551" s="113">
        <f t="shared" si="106"/>
        <v>1.4193</v>
      </c>
      <c r="R551" s="92">
        <f t="shared" si="107"/>
        <v>1.1039000000000001</v>
      </c>
      <c r="S551" s="121"/>
      <c r="T551" s="93">
        <f t="shared" si="108"/>
        <v>-2.0000000000042206E-4</v>
      </c>
      <c r="U551" s="122"/>
      <c r="V551" s="94">
        <f t="shared" ca="1" si="93"/>
        <v>125.4644447916653</v>
      </c>
      <c r="W551" s="89"/>
    </row>
    <row r="552" spans="1:23" ht="18">
      <c r="A552" s="260"/>
      <c r="B552" s="260" t="s">
        <v>51</v>
      </c>
      <c r="C552" s="302" t="s">
        <v>94</v>
      </c>
      <c r="D552" s="131">
        <v>231401300732</v>
      </c>
      <c r="E552" s="303">
        <v>54</v>
      </c>
      <c r="F552" s="263">
        <v>45063</v>
      </c>
      <c r="G552" s="306">
        <v>31.86</v>
      </c>
      <c r="H552" s="305">
        <v>1497420</v>
      </c>
      <c r="I552" s="106">
        <f t="shared" si="104"/>
        <v>47000</v>
      </c>
      <c r="J552" s="122"/>
      <c r="K552" s="157" t="s">
        <v>1281</v>
      </c>
      <c r="L552" s="166">
        <f t="shared" si="102"/>
        <v>54</v>
      </c>
      <c r="M552" s="119" t="s">
        <v>1282</v>
      </c>
      <c r="N552" s="115">
        <f>12.671+16.64</f>
        <v>29.311</v>
      </c>
      <c r="O552" s="122"/>
      <c r="P552" s="92">
        <f t="shared" si="105"/>
        <v>29.311199999999999</v>
      </c>
      <c r="Q552" s="113">
        <f t="shared" si="106"/>
        <v>1.4337</v>
      </c>
      <c r="R552" s="92">
        <f t="shared" si="107"/>
        <v>1.1151</v>
      </c>
      <c r="S552" s="121"/>
      <c r="T552" s="93">
        <f t="shared" si="108"/>
        <v>1.9999999999953388E-4</v>
      </c>
      <c r="U552" s="122"/>
      <c r="V552" s="94">
        <f t="shared" ca="1" si="93"/>
        <v>125.4644447916653</v>
      </c>
      <c r="W552" s="89"/>
    </row>
    <row r="553" spans="1:23" ht="18">
      <c r="A553" s="260"/>
      <c r="B553" s="260" t="s">
        <v>51</v>
      </c>
      <c r="C553" s="302" t="s">
        <v>94</v>
      </c>
      <c r="D553" s="131">
        <v>231401300735</v>
      </c>
      <c r="E553" s="303">
        <v>55</v>
      </c>
      <c r="F553" s="263">
        <v>45063</v>
      </c>
      <c r="G553" s="306">
        <v>31.96</v>
      </c>
      <c r="H553" s="305">
        <v>1502120</v>
      </c>
      <c r="I553" s="106">
        <f t="shared" si="104"/>
        <v>47000</v>
      </c>
      <c r="J553" s="122"/>
      <c r="K553" s="157" t="s">
        <v>1283</v>
      </c>
      <c r="L553" s="166">
        <f>E553</f>
        <v>55</v>
      </c>
      <c r="M553" s="119" t="s">
        <v>1282</v>
      </c>
      <c r="N553" s="115">
        <f>7.697+21.705</f>
        <v>29.401999999999997</v>
      </c>
      <c r="O553" s="122"/>
      <c r="P553" s="92">
        <f t="shared" si="105"/>
        <v>29.403200000000002</v>
      </c>
      <c r="Q553" s="113">
        <f t="shared" si="106"/>
        <v>1.4381999999999999</v>
      </c>
      <c r="R553" s="92">
        <v>1.1200000000000001</v>
      </c>
      <c r="S553" s="121"/>
      <c r="T553" s="93">
        <f t="shared" si="108"/>
        <v>-1.999999999966473E-4</v>
      </c>
      <c r="U553" s="122"/>
      <c r="V553" s="94">
        <f t="shared" ca="1" si="93"/>
        <v>125.4644447916653</v>
      </c>
      <c r="W553" s="89"/>
    </row>
    <row r="554" spans="1:23" ht="18">
      <c r="A554" s="260"/>
      <c r="B554" s="260"/>
      <c r="C554" s="302"/>
      <c r="D554" s="131"/>
      <c r="E554" s="303"/>
      <c r="F554" s="263"/>
      <c r="G554" s="306"/>
      <c r="H554" s="305"/>
      <c r="I554" s="106"/>
      <c r="J554" s="122"/>
      <c r="K554" s="157"/>
      <c r="L554" s="166"/>
      <c r="M554" s="119"/>
      <c r="N554" s="115"/>
      <c r="O554" s="122"/>
      <c r="P554" s="92"/>
      <c r="Q554" s="113"/>
      <c r="R554" s="92"/>
      <c r="S554" s="121"/>
      <c r="T554" s="93"/>
      <c r="U554" s="122"/>
      <c r="V554" s="94"/>
      <c r="W554" s="89"/>
    </row>
    <row r="555" spans="1:23" ht="18">
      <c r="A555" s="260"/>
      <c r="B555" s="260" t="s">
        <v>51</v>
      </c>
      <c r="C555" s="302" t="s">
        <v>94</v>
      </c>
      <c r="D555" s="131">
        <v>231401300735</v>
      </c>
      <c r="E555" s="311">
        <v>56</v>
      </c>
      <c r="F555" s="263">
        <v>45064</v>
      </c>
      <c r="G555" s="306">
        <v>31.959</v>
      </c>
      <c r="H555" s="305">
        <v>1502073</v>
      </c>
      <c r="I555" s="106">
        <f t="shared" si="104"/>
        <v>47000</v>
      </c>
      <c r="J555" s="122"/>
      <c r="K555" s="157" t="s">
        <v>1284</v>
      </c>
      <c r="L555" s="166">
        <f t="shared" ref="L555:L567" si="109">E555</f>
        <v>56</v>
      </c>
      <c r="M555" s="119" t="s">
        <v>1287</v>
      </c>
      <c r="N555" s="115">
        <f>10.958+18.444</f>
        <v>29.402000000000001</v>
      </c>
      <c r="O555" s="122"/>
      <c r="P555" s="92">
        <f t="shared" si="105"/>
        <v>29.402280000000001</v>
      </c>
      <c r="Q555" s="113">
        <f t="shared" si="106"/>
        <v>1.4381549999999999</v>
      </c>
      <c r="R555" s="92">
        <f t="shared" si="107"/>
        <v>1.118565</v>
      </c>
      <c r="S555" s="121"/>
      <c r="T555" s="93">
        <f>G555-N555-Q555-R555</f>
        <v>2.7999999999872571E-4</v>
      </c>
      <c r="U555" s="122"/>
      <c r="V555" s="94">
        <f t="shared" ca="1" si="93"/>
        <v>126.4644447916653</v>
      </c>
      <c r="W555" s="89"/>
    </row>
    <row r="556" spans="1:23" ht="18">
      <c r="A556" s="260"/>
      <c r="B556" s="260" t="s">
        <v>51</v>
      </c>
      <c r="C556" s="301" t="s">
        <v>1170</v>
      </c>
      <c r="D556" s="131">
        <v>231401300720</v>
      </c>
      <c r="E556" s="311">
        <v>57</v>
      </c>
      <c r="F556" s="263">
        <v>45064</v>
      </c>
      <c r="G556" s="306">
        <v>31.5</v>
      </c>
      <c r="H556" s="305">
        <v>1549800</v>
      </c>
      <c r="I556" s="106">
        <f t="shared" si="104"/>
        <v>49200</v>
      </c>
      <c r="J556" s="122"/>
      <c r="K556" s="157" t="s">
        <v>1285</v>
      </c>
      <c r="L556" s="166">
        <f t="shared" si="109"/>
        <v>57</v>
      </c>
      <c r="M556" s="119" t="s">
        <v>1288</v>
      </c>
      <c r="N556" s="115">
        <f>13.389+15.591</f>
        <v>28.979999999999997</v>
      </c>
      <c r="O556" s="122"/>
      <c r="P556" s="92">
        <f t="shared" si="105"/>
        <v>28.98</v>
      </c>
      <c r="Q556" s="113">
        <f t="shared" si="106"/>
        <v>1.4175</v>
      </c>
      <c r="R556" s="92">
        <f t="shared" si="107"/>
        <v>1.1025</v>
      </c>
      <c r="S556" s="121"/>
      <c r="T556" s="93">
        <f t="shared" si="108"/>
        <v>3.1086244689504383E-15</v>
      </c>
      <c r="U556" s="122"/>
      <c r="V556" s="94">
        <f t="shared" ca="1" si="93"/>
        <v>126.4644447916653</v>
      </c>
      <c r="W556" s="89"/>
    </row>
    <row r="557" spans="1:23" ht="18">
      <c r="A557" s="260"/>
      <c r="B557" s="260" t="s">
        <v>51</v>
      </c>
      <c r="C557" s="301" t="s">
        <v>1170</v>
      </c>
      <c r="D557" s="131">
        <v>231401300722</v>
      </c>
      <c r="E557" s="303">
        <v>58</v>
      </c>
      <c r="F557" s="263">
        <v>45064</v>
      </c>
      <c r="G557" s="304">
        <v>31.47</v>
      </c>
      <c r="H557" s="305">
        <v>1548324</v>
      </c>
      <c r="I557" s="106">
        <f t="shared" si="104"/>
        <v>49200</v>
      </c>
      <c r="J557" s="122"/>
      <c r="K557" s="157" t="s">
        <v>1286</v>
      </c>
      <c r="L557" s="166">
        <f t="shared" si="109"/>
        <v>58</v>
      </c>
      <c r="M557" s="119" t="s">
        <v>1289</v>
      </c>
      <c r="N557" s="115">
        <f>15.504+13.448</f>
        <v>28.951999999999998</v>
      </c>
      <c r="O557" s="122"/>
      <c r="P557" s="92">
        <f t="shared" si="105"/>
        <v>28.952400000000001</v>
      </c>
      <c r="Q557" s="113">
        <f t="shared" si="106"/>
        <v>1.4161499999999998</v>
      </c>
      <c r="R557" s="92">
        <f t="shared" si="107"/>
        <v>1.10145</v>
      </c>
      <c r="S557" s="121"/>
      <c r="T557" s="93">
        <f t="shared" si="108"/>
        <v>4.0000000000084412E-4</v>
      </c>
      <c r="U557" s="122"/>
      <c r="V557" s="94">
        <f t="shared" ca="1" si="93"/>
        <v>126.4644447916653</v>
      </c>
      <c r="W557" s="89"/>
    </row>
    <row r="558" spans="1:23" ht="18">
      <c r="A558" s="260"/>
      <c r="B558" s="260" t="s">
        <v>51</v>
      </c>
      <c r="C558" s="301" t="s">
        <v>1170</v>
      </c>
      <c r="D558" s="131">
        <v>231401300722</v>
      </c>
      <c r="E558" s="303">
        <v>59</v>
      </c>
      <c r="F558" s="263">
        <v>45064</v>
      </c>
      <c r="G558" s="304">
        <v>31.48</v>
      </c>
      <c r="H558" s="305">
        <v>1548816</v>
      </c>
      <c r="I558" s="106">
        <f>H558/G558</f>
        <v>49200</v>
      </c>
      <c r="J558" s="122"/>
      <c r="K558" s="157" t="s">
        <v>1290</v>
      </c>
      <c r="L558" s="166">
        <f t="shared" si="109"/>
        <v>59</v>
      </c>
      <c r="M558" s="119" t="s">
        <v>1291</v>
      </c>
      <c r="N558" s="115">
        <f>11.638+17.324</f>
        <v>28.962000000000003</v>
      </c>
      <c r="O558" s="122"/>
      <c r="P558" s="92">
        <f t="shared" si="105"/>
        <v>28.961600000000001</v>
      </c>
      <c r="Q558" s="113">
        <f t="shared" si="106"/>
        <v>1.4165999999999999</v>
      </c>
      <c r="R558" s="92">
        <f t="shared" si="107"/>
        <v>1.1018000000000001</v>
      </c>
      <c r="S558" s="121"/>
      <c r="T558" s="93">
        <f t="shared" si="108"/>
        <v>-4.0000000000284253E-4</v>
      </c>
      <c r="U558" s="122"/>
      <c r="V558" s="94">
        <f t="shared" ca="1" si="93"/>
        <v>126.4644447916653</v>
      </c>
      <c r="W558" s="89"/>
    </row>
    <row r="559" spans="1:23" ht="18">
      <c r="A559" s="260"/>
      <c r="B559" s="260" t="s">
        <v>51</v>
      </c>
      <c r="C559" s="301" t="s">
        <v>1170</v>
      </c>
      <c r="D559" s="131">
        <v>231401300721</v>
      </c>
      <c r="E559" s="303">
        <v>60</v>
      </c>
      <c r="F559" s="263">
        <v>45064</v>
      </c>
      <c r="G559" s="306">
        <v>31.23</v>
      </c>
      <c r="H559" s="305">
        <v>1536516</v>
      </c>
      <c r="I559" s="106">
        <f t="shared" si="104"/>
        <v>49200</v>
      </c>
      <c r="J559" s="122"/>
      <c r="K559" s="157" t="s">
        <v>1292</v>
      </c>
      <c r="L559" s="166">
        <f t="shared" si="109"/>
        <v>60</v>
      </c>
      <c r="M559" s="119" t="s">
        <v>1291</v>
      </c>
      <c r="N559" s="115">
        <f>7.203+21.529</f>
        <v>28.731999999999999</v>
      </c>
      <c r="O559" s="122"/>
      <c r="P559" s="92">
        <f t="shared" si="105"/>
        <v>28.7316</v>
      </c>
      <c r="Q559" s="113">
        <f t="shared" si="106"/>
        <v>1.4053499999999999</v>
      </c>
      <c r="R559" s="92">
        <f t="shared" si="107"/>
        <v>1.0930500000000001</v>
      </c>
      <c r="S559" s="121"/>
      <c r="T559" s="93">
        <f t="shared" si="108"/>
        <v>-3.9999999999884572E-4</v>
      </c>
      <c r="U559" s="122"/>
      <c r="V559" s="94">
        <f t="shared" ca="1" si="93"/>
        <v>126.4644447916653</v>
      </c>
      <c r="W559" s="89"/>
    </row>
    <row r="560" spans="1:23" ht="18">
      <c r="A560" s="260"/>
      <c r="B560" s="260" t="s">
        <v>51</v>
      </c>
      <c r="C560" s="302" t="s">
        <v>94</v>
      </c>
      <c r="D560" s="131">
        <v>231401300734</v>
      </c>
      <c r="E560" s="303">
        <v>61</v>
      </c>
      <c r="F560" s="263">
        <v>45064</v>
      </c>
      <c r="G560" s="306">
        <v>31.99</v>
      </c>
      <c r="H560" s="305">
        <v>1503530</v>
      </c>
      <c r="I560" s="106">
        <f t="shared" si="104"/>
        <v>47000</v>
      </c>
      <c r="J560" s="122"/>
      <c r="K560" s="157" t="s">
        <v>1293</v>
      </c>
      <c r="L560" s="166">
        <f t="shared" si="109"/>
        <v>61</v>
      </c>
      <c r="M560" s="119" t="s">
        <v>1291</v>
      </c>
      <c r="N560" s="115">
        <f>3.498+25.933</f>
        <v>29.431000000000001</v>
      </c>
      <c r="O560" s="122"/>
      <c r="P560" s="92">
        <f t="shared" si="105"/>
        <v>29.430800000000001</v>
      </c>
      <c r="Q560" s="113">
        <f t="shared" si="106"/>
        <v>1.4395499999999999</v>
      </c>
      <c r="R560" s="92">
        <f t="shared" si="107"/>
        <v>1.11965</v>
      </c>
      <c r="S560" s="121"/>
      <c r="T560" s="93">
        <f t="shared" si="108"/>
        <v>-2.0000000000242046E-4</v>
      </c>
      <c r="U560" s="122"/>
      <c r="V560" s="94">
        <f t="shared" ca="1" si="93"/>
        <v>126.4644447916653</v>
      </c>
      <c r="W560" s="89"/>
    </row>
    <row r="561" spans="1:23" ht="18">
      <c r="A561" s="260"/>
      <c r="B561" s="260" t="s">
        <v>51</v>
      </c>
      <c r="C561" s="301" t="s">
        <v>1170</v>
      </c>
      <c r="D561" s="131">
        <v>231401300721</v>
      </c>
      <c r="E561" s="303">
        <v>62</v>
      </c>
      <c r="F561" s="263">
        <v>45064</v>
      </c>
      <c r="G561" s="306">
        <v>31.23</v>
      </c>
      <c r="H561" s="305">
        <v>1536516</v>
      </c>
      <c r="I561" s="106">
        <f t="shared" si="104"/>
        <v>49200</v>
      </c>
      <c r="J561" s="122"/>
      <c r="K561" s="157" t="s">
        <v>1294</v>
      </c>
      <c r="L561" s="166">
        <f t="shared" si="109"/>
        <v>62</v>
      </c>
      <c r="M561" s="119" t="s">
        <v>1291</v>
      </c>
      <c r="N561" s="115">
        <f>6.92+21.812</f>
        <v>28.731999999999999</v>
      </c>
      <c r="O561" s="122"/>
      <c r="P561" s="92">
        <f t="shared" si="105"/>
        <v>28.7316</v>
      </c>
      <c r="Q561" s="113">
        <f t="shared" si="106"/>
        <v>1.4053499999999999</v>
      </c>
      <c r="R561" s="92">
        <f t="shared" si="107"/>
        <v>1.0930500000000001</v>
      </c>
      <c r="S561" s="121"/>
      <c r="T561" s="93">
        <f t="shared" si="108"/>
        <v>-3.9999999999884572E-4</v>
      </c>
      <c r="U561" s="122"/>
      <c r="V561" s="94">
        <f t="shared" ca="1" si="93"/>
        <v>126.4644447916653</v>
      </c>
      <c r="W561" s="89"/>
    </row>
    <row r="562" spans="1:23" ht="18">
      <c r="A562" s="260"/>
      <c r="B562" s="260" t="s">
        <v>51</v>
      </c>
      <c r="C562" s="302" t="s">
        <v>94</v>
      </c>
      <c r="D562" s="131">
        <v>231401300734</v>
      </c>
      <c r="E562" s="303">
        <v>63</v>
      </c>
      <c r="F562" s="263">
        <v>45064</v>
      </c>
      <c r="G562" s="306">
        <v>31.99</v>
      </c>
      <c r="H562" s="305">
        <v>1503530</v>
      </c>
      <c r="I562" s="106">
        <f t="shared" si="104"/>
        <v>47000</v>
      </c>
      <c r="J562" s="122"/>
      <c r="K562" s="157" t="s">
        <v>1295</v>
      </c>
      <c r="L562" s="166">
        <f t="shared" si="109"/>
        <v>63</v>
      </c>
      <c r="M562" s="119" t="s">
        <v>1296</v>
      </c>
      <c r="N562" s="115">
        <f>3.125+24.257+2.049</f>
        <v>29.431000000000001</v>
      </c>
      <c r="O562" s="122"/>
      <c r="P562" s="92">
        <f t="shared" si="105"/>
        <v>29.430800000000001</v>
      </c>
      <c r="Q562" s="113">
        <f t="shared" si="106"/>
        <v>1.4395499999999999</v>
      </c>
      <c r="R562" s="92">
        <f t="shared" si="107"/>
        <v>1.11965</v>
      </c>
      <c r="S562" s="121"/>
      <c r="T562" s="93">
        <f t="shared" si="108"/>
        <v>-2.0000000000242046E-4</v>
      </c>
      <c r="U562" s="122"/>
      <c r="V562" s="94">
        <f t="shared" ca="1" si="93"/>
        <v>126.4644447916653</v>
      </c>
      <c r="W562" s="89"/>
    </row>
    <row r="563" spans="1:23" ht="18">
      <c r="A563" s="260"/>
      <c r="B563" s="260" t="s">
        <v>51</v>
      </c>
      <c r="C563" s="301" t="s">
        <v>1170</v>
      </c>
      <c r="D563" s="131">
        <v>231401300751</v>
      </c>
      <c r="E563" s="303">
        <v>64</v>
      </c>
      <c r="F563" s="263">
        <v>45064</v>
      </c>
      <c r="G563" s="306">
        <v>31.77</v>
      </c>
      <c r="H563" s="305">
        <v>1563084</v>
      </c>
      <c r="I563" s="106">
        <f t="shared" si="104"/>
        <v>49200</v>
      </c>
      <c r="J563" s="122"/>
      <c r="K563" s="157" t="s">
        <v>1297</v>
      </c>
      <c r="L563" s="166">
        <f t="shared" si="109"/>
        <v>64</v>
      </c>
      <c r="M563" s="119" t="s">
        <v>1291</v>
      </c>
      <c r="N563" s="115">
        <f>25.192+4.036</f>
        <v>29.228000000000002</v>
      </c>
      <c r="O563" s="122"/>
      <c r="P563" s="92">
        <f t="shared" si="105"/>
        <v>29.228400000000001</v>
      </c>
      <c r="Q563" s="113">
        <f t="shared" si="106"/>
        <v>1.4296499999999999</v>
      </c>
      <c r="R563" s="92">
        <f t="shared" si="107"/>
        <v>1.11195</v>
      </c>
      <c r="S563" s="121"/>
      <c r="T563" s="93">
        <f t="shared" si="108"/>
        <v>3.9999999999817959E-4</v>
      </c>
      <c r="U563" s="122"/>
      <c r="V563" s="94">
        <f t="shared" ca="1" si="93"/>
        <v>126.4644447916653</v>
      </c>
      <c r="W563" s="89"/>
    </row>
    <row r="564" spans="1:23" ht="18">
      <c r="A564" s="260"/>
      <c r="B564" s="260" t="s">
        <v>51</v>
      </c>
      <c r="C564" s="301" t="s">
        <v>1170</v>
      </c>
      <c r="D564" s="131">
        <v>231401300751</v>
      </c>
      <c r="E564" s="303">
        <v>65</v>
      </c>
      <c r="F564" s="263">
        <v>45064</v>
      </c>
      <c r="G564" s="306">
        <v>31.77</v>
      </c>
      <c r="H564" s="305">
        <v>1563084</v>
      </c>
      <c r="I564" s="106">
        <f t="shared" si="104"/>
        <v>49200</v>
      </c>
      <c r="J564" s="122"/>
      <c r="K564" s="157" t="s">
        <v>1298</v>
      </c>
      <c r="L564" s="166">
        <f t="shared" si="109"/>
        <v>65</v>
      </c>
      <c r="M564" s="119" t="s">
        <v>1299</v>
      </c>
      <c r="N564" s="115">
        <f>23.788+5.44</f>
        <v>29.228000000000002</v>
      </c>
      <c r="O564" s="122"/>
      <c r="P564" s="92">
        <f t="shared" si="105"/>
        <v>29.228400000000001</v>
      </c>
      <c r="Q564" s="113">
        <f t="shared" si="106"/>
        <v>1.4296499999999999</v>
      </c>
      <c r="R564" s="92">
        <f t="shared" si="107"/>
        <v>1.11195</v>
      </c>
      <c r="S564" s="121"/>
      <c r="T564" s="93">
        <f t="shared" si="108"/>
        <v>3.9999999999817959E-4</v>
      </c>
      <c r="U564" s="122"/>
      <c r="V564" s="94">
        <f t="shared" ca="1" si="93"/>
        <v>126.4644447916653</v>
      </c>
      <c r="W564" s="89"/>
    </row>
    <row r="565" spans="1:23" ht="18">
      <c r="A565" s="260"/>
      <c r="B565" s="260" t="s">
        <v>51</v>
      </c>
      <c r="C565" s="301" t="s">
        <v>1170</v>
      </c>
      <c r="D565" s="131">
        <v>231401300748</v>
      </c>
      <c r="E565" s="303">
        <v>66</v>
      </c>
      <c r="F565" s="263">
        <v>45064</v>
      </c>
      <c r="G565" s="309">
        <v>31.550999999999998</v>
      </c>
      <c r="H565" s="311">
        <v>1552307</v>
      </c>
      <c r="I565" s="106">
        <f t="shared" si="104"/>
        <v>49199.930271623722</v>
      </c>
      <c r="J565" s="122"/>
      <c r="K565" s="157" t="s">
        <v>1300</v>
      </c>
      <c r="L565" s="166">
        <f t="shared" si="109"/>
        <v>66</v>
      </c>
      <c r="M565" s="119" t="s">
        <v>1301</v>
      </c>
      <c r="N565" s="115">
        <f>24.91+4.117</f>
        <v>29.027000000000001</v>
      </c>
      <c r="O565" s="122"/>
      <c r="P565" s="92">
        <f t="shared" si="105"/>
        <v>29.02692</v>
      </c>
      <c r="Q565" s="113">
        <f t="shared" si="106"/>
        <v>1.4197949999999999</v>
      </c>
      <c r="R565" s="92">
        <f t="shared" si="107"/>
        <v>1.104285</v>
      </c>
      <c r="S565" s="121"/>
      <c r="T565" s="93">
        <f t="shared" si="108"/>
        <v>-8.0000000002522498E-5</v>
      </c>
      <c r="U565" s="122"/>
      <c r="V565" s="94">
        <f t="shared" ca="1" si="93"/>
        <v>126.4644447916653</v>
      </c>
      <c r="W565" s="89"/>
    </row>
    <row r="566" spans="1:23" ht="18">
      <c r="A566" s="260"/>
      <c r="B566" s="260" t="s">
        <v>51</v>
      </c>
      <c r="C566" s="301" t="s">
        <v>1170</v>
      </c>
      <c r="D566" s="131">
        <v>231401300748</v>
      </c>
      <c r="E566" s="303">
        <v>67</v>
      </c>
      <c r="F566" s="263">
        <v>45064</v>
      </c>
      <c r="G566" s="306">
        <v>31.53</v>
      </c>
      <c r="H566" s="305">
        <v>1551276</v>
      </c>
      <c r="I566" s="106">
        <f t="shared" si="104"/>
        <v>49200</v>
      </c>
      <c r="J566" s="122"/>
      <c r="K566" s="157" t="s">
        <v>1302</v>
      </c>
      <c r="L566" s="166">
        <f t="shared" si="109"/>
        <v>67</v>
      </c>
      <c r="M566" s="119" t="s">
        <v>1301</v>
      </c>
      <c r="N566" s="115">
        <f>15.357+13.651</f>
        <v>29.007999999999999</v>
      </c>
      <c r="O566" s="122"/>
      <c r="P566" s="92">
        <f t="shared" si="105"/>
        <v>29.007600000000004</v>
      </c>
      <c r="Q566" s="113">
        <f t="shared" si="106"/>
        <v>1.4188499999999999</v>
      </c>
      <c r="R566" s="92">
        <f t="shared" si="107"/>
        <v>1.1035500000000003</v>
      </c>
      <c r="S566" s="121"/>
      <c r="T566" s="93">
        <f t="shared" si="108"/>
        <v>-3.9999999999817959E-4</v>
      </c>
      <c r="U566" s="122"/>
      <c r="V566" s="94">
        <f t="shared" ca="1" si="93"/>
        <v>126.4644447916653</v>
      </c>
      <c r="W566" s="89"/>
    </row>
    <row r="567" spans="1:23" ht="18">
      <c r="A567" s="260"/>
      <c r="B567" s="260" t="s">
        <v>51</v>
      </c>
      <c r="C567" s="302" t="s">
        <v>94</v>
      </c>
      <c r="D567" s="131">
        <v>231401300729</v>
      </c>
      <c r="E567" s="303">
        <v>68</v>
      </c>
      <c r="F567" s="263">
        <v>45064</v>
      </c>
      <c r="G567" s="306">
        <v>31.99</v>
      </c>
      <c r="H567" s="305">
        <v>1503530</v>
      </c>
      <c r="I567" s="106">
        <f t="shared" si="104"/>
        <v>47000</v>
      </c>
      <c r="J567" s="122"/>
      <c r="K567" s="157" t="s">
        <v>1303</v>
      </c>
      <c r="L567" s="166">
        <f t="shared" si="109"/>
        <v>68</v>
      </c>
      <c r="M567" s="119" t="s">
        <v>1301</v>
      </c>
      <c r="N567" s="115">
        <f>18.416+11.015</f>
        <v>29.431000000000001</v>
      </c>
      <c r="O567" s="122"/>
      <c r="P567" s="92">
        <f t="shared" si="105"/>
        <v>29.430800000000001</v>
      </c>
      <c r="Q567" s="113">
        <f t="shared" si="106"/>
        <v>1.4395499999999999</v>
      </c>
      <c r="R567" s="92">
        <f t="shared" si="107"/>
        <v>1.11965</v>
      </c>
      <c r="S567" s="121"/>
      <c r="T567" s="93">
        <f t="shared" si="108"/>
        <v>-2.0000000000242046E-4</v>
      </c>
      <c r="U567" s="122"/>
      <c r="V567" s="94">
        <f t="shared" ca="1" si="93"/>
        <v>126.4644447916653</v>
      </c>
      <c r="W567" s="89"/>
    </row>
    <row r="568" spans="1:23" ht="18">
      <c r="A568" s="260"/>
      <c r="B568" s="260" t="s">
        <v>51</v>
      </c>
      <c r="C568" s="302" t="s">
        <v>94</v>
      </c>
      <c r="D568" s="131">
        <v>231401300729</v>
      </c>
      <c r="E568" s="303">
        <v>69</v>
      </c>
      <c r="F568" s="263">
        <v>45064</v>
      </c>
      <c r="G568" s="306">
        <v>31.99</v>
      </c>
      <c r="H568" s="305">
        <v>1503530</v>
      </c>
      <c r="I568" s="106">
        <f t="shared" si="104"/>
        <v>47000</v>
      </c>
      <c r="J568" s="122"/>
      <c r="K568" s="157" t="s">
        <v>1304</v>
      </c>
      <c r="L568" s="166">
        <f t="shared" ref="L568:L631" si="110">E568</f>
        <v>69</v>
      </c>
      <c r="M568" s="119" t="s">
        <v>1301</v>
      </c>
      <c r="N568" s="115">
        <f>13.997+15.434</f>
        <v>29.430999999999997</v>
      </c>
      <c r="O568" s="122"/>
      <c r="P568" s="92">
        <f t="shared" si="105"/>
        <v>29.430800000000001</v>
      </c>
      <c r="Q568" s="113">
        <f t="shared" si="106"/>
        <v>1.4395499999999999</v>
      </c>
      <c r="R568" s="92">
        <f t="shared" si="107"/>
        <v>1.11965</v>
      </c>
      <c r="S568" s="121"/>
      <c r="T568" s="93">
        <f t="shared" si="108"/>
        <v>-1.9999999999886775E-4</v>
      </c>
      <c r="U568" s="122"/>
      <c r="V568" s="94">
        <f t="shared" ca="1" si="93"/>
        <v>126.4644447916653</v>
      </c>
      <c r="W568" s="89"/>
    </row>
    <row r="569" spans="1:23" ht="18">
      <c r="A569" s="260"/>
      <c r="B569" s="260" t="s">
        <v>51</v>
      </c>
      <c r="C569" s="302" t="s">
        <v>55</v>
      </c>
      <c r="D569" s="131">
        <v>231401300739</v>
      </c>
      <c r="E569" s="303">
        <v>70</v>
      </c>
      <c r="F569" s="263">
        <v>45064</v>
      </c>
      <c r="G569" s="304">
        <v>31.59</v>
      </c>
      <c r="H569" s="305">
        <v>1547910</v>
      </c>
      <c r="I569" s="106">
        <f t="shared" si="104"/>
        <v>49000</v>
      </c>
      <c r="J569" s="122"/>
      <c r="K569" s="157" t="s">
        <v>1305</v>
      </c>
      <c r="L569" s="166">
        <f t="shared" si="110"/>
        <v>70</v>
      </c>
      <c r="M569" s="119" t="s">
        <v>1301</v>
      </c>
      <c r="N569" s="115">
        <f>16.996+12.067</f>
        <v>29.062999999999999</v>
      </c>
      <c r="O569" s="122"/>
      <c r="P569" s="92">
        <f t="shared" si="105"/>
        <v>29.062800000000003</v>
      </c>
      <c r="Q569" s="113">
        <f t="shared" si="106"/>
        <v>1.4215499999999999</v>
      </c>
      <c r="R569" s="92">
        <f t="shared" si="107"/>
        <v>1.10565</v>
      </c>
      <c r="S569" s="121"/>
      <c r="T569" s="93">
        <f t="shared" si="108"/>
        <v>-1.9999999999886775E-4</v>
      </c>
      <c r="U569" s="122"/>
      <c r="V569" s="94">
        <f t="shared" ca="1" si="93"/>
        <v>126.4644447916653</v>
      </c>
      <c r="W569" s="89"/>
    </row>
    <row r="570" spans="1:23" ht="18">
      <c r="A570" s="260"/>
      <c r="B570" s="260" t="s">
        <v>51</v>
      </c>
      <c r="C570" s="302" t="s">
        <v>55</v>
      </c>
      <c r="D570" s="131">
        <v>231401300739</v>
      </c>
      <c r="E570" s="303">
        <v>71</v>
      </c>
      <c r="F570" s="263">
        <v>45064</v>
      </c>
      <c r="G570" s="304">
        <v>31.59</v>
      </c>
      <c r="H570" s="305">
        <v>1547910</v>
      </c>
      <c r="I570" s="106">
        <f t="shared" si="104"/>
        <v>49000</v>
      </c>
      <c r="J570" s="122"/>
      <c r="K570" s="157" t="s">
        <v>1306</v>
      </c>
      <c r="L570" s="166">
        <f t="shared" si="110"/>
        <v>71</v>
      </c>
      <c r="M570" s="119" t="s">
        <v>1301</v>
      </c>
      <c r="N570" s="115">
        <f>12.834+16.229</f>
        <v>29.062999999999999</v>
      </c>
      <c r="O570" s="122"/>
      <c r="P570" s="92">
        <f t="shared" si="105"/>
        <v>29.062800000000003</v>
      </c>
      <c r="Q570" s="113">
        <f t="shared" si="106"/>
        <v>1.4215499999999999</v>
      </c>
      <c r="R570" s="92">
        <f t="shared" si="107"/>
        <v>1.10565</v>
      </c>
      <c r="S570" s="121"/>
      <c r="T570" s="93">
        <f t="shared" si="108"/>
        <v>-1.9999999999886775E-4</v>
      </c>
      <c r="U570" s="122"/>
      <c r="V570" s="94">
        <f t="shared" ca="1" si="93"/>
        <v>126.4644447916653</v>
      </c>
      <c r="W570" s="89"/>
    </row>
    <row r="571" spans="1:23" ht="18">
      <c r="A571" s="260"/>
      <c r="B571" s="260" t="s">
        <v>51</v>
      </c>
      <c r="C571" s="301" t="s">
        <v>1170</v>
      </c>
      <c r="D571" s="131">
        <v>231401300745</v>
      </c>
      <c r="E571" s="303">
        <v>72</v>
      </c>
      <c r="F571" s="263">
        <v>45064</v>
      </c>
      <c r="G571" s="306">
        <v>31.62</v>
      </c>
      <c r="H571" s="305">
        <v>1555704</v>
      </c>
      <c r="I571" s="106">
        <f t="shared" si="104"/>
        <v>49200</v>
      </c>
      <c r="J571" s="122"/>
      <c r="K571" s="157" t="s">
        <v>1307</v>
      </c>
      <c r="L571" s="166">
        <f t="shared" si="110"/>
        <v>72</v>
      </c>
      <c r="M571" s="119" t="s">
        <v>1308</v>
      </c>
      <c r="N571" s="115">
        <f>7.918+21.172</f>
        <v>29.09</v>
      </c>
      <c r="O571" s="122"/>
      <c r="P571" s="92">
        <f t="shared" si="105"/>
        <v>29.090400000000002</v>
      </c>
      <c r="Q571" s="113">
        <f t="shared" si="106"/>
        <v>1.4229000000000001</v>
      </c>
      <c r="R571" s="92">
        <f t="shared" si="107"/>
        <v>1.1067000000000002</v>
      </c>
      <c r="S571" s="121"/>
      <c r="T571" s="93">
        <f t="shared" si="108"/>
        <v>4.0000000000084412E-4</v>
      </c>
      <c r="U571" s="122"/>
      <c r="V571" s="94">
        <f t="shared" ca="1" si="93"/>
        <v>126.4644447916653</v>
      </c>
      <c r="W571" s="89"/>
    </row>
    <row r="572" spans="1:23" ht="18">
      <c r="A572" s="260"/>
      <c r="B572" s="260" t="s">
        <v>51</v>
      </c>
      <c r="C572" s="301" t="s">
        <v>1170</v>
      </c>
      <c r="D572" s="131">
        <v>231401300745</v>
      </c>
      <c r="E572" s="303">
        <v>73</v>
      </c>
      <c r="F572" s="263">
        <v>45064</v>
      </c>
      <c r="G572" s="306">
        <v>31.62</v>
      </c>
      <c r="H572" s="305">
        <v>1555704</v>
      </c>
      <c r="I572" s="106">
        <f t="shared" si="104"/>
        <v>49200</v>
      </c>
      <c r="J572" s="122"/>
      <c r="K572" s="157" t="s">
        <v>1309</v>
      </c>
      <c r="L572" s="166">
        <f t="shared" si="110"/>
        <v>73</v>
      </c>
      <c r="M572" s="119" t="s">
        <v>1310</v>
      </c>
      <c r="N572" s="115">
        <f>7.949+21.141</f>
        <v>29.089999999999996</v>
      </c>
      <c r="O572" s="122"/>
      <c r="P572" s="92">
        <f t="shared" si="105"/>
        <v>29.090400000000002</v>
      </c>
      <c r="Q572" s="113">
        <f t="shared" si="106"/>
        <v>1.4229000000000001</v>
      </c>
      <c r="R572" s="92">
        <f t="shared" si="107"/>
        <v>1.1067000000000002</v>
      </c>
      <c r="S572" s="121"/>
      <c r="T572" s="93">
        <f t="shared" si="108"/>
        <v>4.0000000000439684E-4</v>
      </c>
      <c r="U572" s="122"/>
      <c r="V572" s="94">
        <f t="shared" ca="1" si="93"/>
        <v>126.4644447916653</v>
      </c>
      <c r="W572" s="89"/>
    </row>
    <row r="573" spans="1:23" ht="18">
      <c r="A573" s="260"/>
      <c r="B573" s="260" t="s">
        <v>51</v>
      </c>
      <c r="C573" s="302" t="s">
        <v>94</v>
      </c>
      <c r="D573" s="131">
        <v>231401300733</v>
      </c>
      <c r="E573" s="303">
        <v>74</v>
      </c>
      <c r="F573" s="263">
        <v>45064</v>
      </c>
      <c r="G573" s="306">
        <v>31.98</v>
      </c>
      <c r="H573" s="305">
        <v>1503060</v>
      </c>
      <c r="I573" s="106">
        <f t="shared" si="104"/>
        <v>47000</v>
      </c>
      <c r="J573" s="122"/>
      <c r="K573" s="157" t="s">
        <v>1311</v>
      </c>
      <c r="L573" s="166">
        <f t="shared" si="110"/>
        <v>74</v>
      </c>
      <c r="M573" s="119" t="s">
        <v>1310</v>
      </c>
      <c r="N573" s="115">
        <f>3.892+25.53</f>
        <v>29.422000000000001</v>
      </c>
      <c r="O573" s="122"/>
      <c r="P573" s="92">
        <f t="shared" si="105"/>
        <v>29.421600000000002</v>
      </c>
      <c r="Q573" s="113">
        <f t="shared" si="106"/>
        <v>1.4391</v>
      </c>
      <c r="R573" s="92">
        <f t="shared" si="107"/>
        <v>1.1193000000000002</v>
      </c>
      <c r="S573" s="121"/>
      <c r="T573" s="93">
        <f t="shared" si="108"/>
        <v>-4.0000000000040004E-4</v>
      </c>
      <c r="U573" s="122"/>
      <c r="V573" s="94">
        <f t="shared" ca="1" si="93"/>
        <v>126.4644447916653</v>
      </c>
      <c r="W573" s="89"/>
    </row>
    <row r="574" spans="1:23" ht="18">
      <c r="A574" s="260"/>
      <c r="B574" s="260"/>
      <c r="C574" s="302"/>
      <c r="D574" s="131"/>
      <c r="E574" s="303"/>
      <c r="F574" s="263"/>
      <c r="G574" s="306"/>
      <c r="H574" s="305"/>
      <c r="I574" s="106"/>
      <c r="J574" s="122"/>
      <c r="K574" s="157"/>
      <c r="L574" s="166"/>
      <c r="M574" s="119"/>
      <c r="N574" s="115"/>
      <c r="O574" s="122"/>
      <c r="P574" s="92"/>
      <c r="Q574" s="113"/>
      <c r="R574" s="92"/>
      <c r="S574" s="121"/>
      <c r="T574" s="93"/>
      <c r="U574" s="122"/>
      <c r="V574" s="94"/>
      <c r="W574" s="89"/>
    </row>
    <row r="575" spans="1:23" ht="18">
      <c r="A575" s="260"/>
      <c r="B575" s="260" t="s">
        <v>51</v>
      </c>
      <c r="C575" s="302" t="s">
        <v>94</v>
      </c>
      <c r="D575" s="131">
        <v>231401300725</v>
      </c>
      <c r="E575" s="303">
        <v>75</v>
      </c>
      <c r="F575" s="263">
        <v>45065</v>
      </c>
      <c r="G575" s="306">
        <v>32.01</v>
      </c>
      <c r="H575" s="305">
        <v>1504470</v>
      </c>
      <c r="I575" s="106">
        <f t="shared" si="104"/>
        <v>47000</v>
      </c>
      <c r="J575" s="122"/>
      <c r="K575" s="158">
        <v>323324</v>
      </c>
      <c r="L575" s="166">
        <f t="shared" si="110"/>
        <v>75</v>
      </c>
      <c r="M575" s="119" t="s">
        <v>1310</v>
      </c>
      <c r="N575" s="115">
        <f>7.089+22.36</f>
        <v>29.448999999999998</v>
      </c>
      <c r="O575" s="122"/>
      <c r="P575" s="92">
        <f t="shared" si="105"/>
        <v>29.449200000000001</v>
      </c>
      <c r="Q575" s="113">
        <f t="shared" si="106"/>
        <v>1.4404499999999998</v>
      </c>
      <c r="R575" s="92">
        <f t="shared" si="107"/>
        <v>1.12035</v>
      </c>
      <c r="S575" s="121"/>
      <c r="T575" s="93">
        <f t="shared" si="108"/>
        <v>2.0000000000020002E-4</v>
      </c>
      <c r="U575" s="122"/>
      <c r="V575" s="94">
        <f t="shared" ca="1" si="93"/>
        <v>127.4644447916653</v>
      </c>
      <c r="W575" s="89"/>
    </row>
    <row r="576" spans="1:23" ht="18">
      <c r="A576" s="260"/>
      <c r="B576" s="260" t="s">
        <v>51</v>
      </c>
      <c r="C576" s="302" t="s">
        <v>94</v>
      </c>
      <c r="D576" s="131">
        <v>231401300725</v>
      </c>
      <c r="E576" s="303">
        <v>76</v>
      </c>
      <c r="F576" s="263">
        <v>45065</v>
      </c>
      <c r="G576" s="306">
        <v>32.01</v>
      </c>
      <c r="H576" s="305">
        <v>1504470</v>
      </c>
      <c r="I576" s="106">
        <f t="shared" si="104"/>
        <v>47000</v>
      </c>
      <c r="J576" s="122"/>
      <c r="K576" s="157" t="s">
        <v>1312</v>
      </c>
      <c r="L576" s="166">
        <f t="shared" si="110"/>
        <v>76</v>
      </c>
      <c r="M576" s="119" t="s">
        <v>1313</v>
      </c>
      <c r="N576" s="115">
        <f>1.822+27.627</f>
        <v>29.448999999999998</v>
      </c>
      <c r="O576" s="122"/>
      <c r="P576" s="92">
        <f t="shared" si="105"/>
        <v>29.449200000000001</v>
      </c>
      <c r="Q576" s="113">
        <f t="shared" si="106"/>
        <v>1.4404499999999998</v>
      </c>
      <c r="R576" s="92">
        <f t="shared" si="107"/>
        <v>1.12035</v>
      </c>
      <c r="S576" s="121"/>
      <c r="T576" s="93">
        <f t="shared" si="108"/>
        <v>2.0000000000020002E-4</v>
      </c>
      <c r="U576" s="122"/>
      <c r="V576" s="94">
        <f t="shared" ca="1" si="93"/>
        <v>127.4644447916653</v>
      </c>
      <c r="W576" s="89"/>
    </row>
    <row r="577" spans="1:23" ht="18">
      <c r="A577" s="260"/>
      <c r="B577" s="260" t="s">
        <v>51</v>
      </c>
      <c r="C577" s="301" t="s">
        <v>1170</v>
      </c>
      <c r="D577" s="131">
        <v>231401300766</v>
      </c>
      <c r="E577" s="303">
        <v>77</v>
      </c>
      <c r="F577" s="263">
        <v>45065</v>
      </c>
      <c r="G577" s="306">
        <v>31.64</v>
      </c>
      <c r="H577" s="305">
        <v>1556688</v>
      </c>
      <c r="I577" s="106">
        <f t="shared" si="104"/>
        <v>49200</v>
      </c>
      <c r="J577" s="122"/>
      <c r="K577" s="157" t="s">
        <v>1314</v>
      </c>
      <c r="L577" s="166">
        <f t="shared" si="110"/>
        <v>77</v>
      </c>
      <c r="M577" s="119" t="s">
        <v>1315</v>
      </c>
      <c r="N577" s="115">
        <f>4.923+24.186</f>
        <v>29.109000000000002</v>
      </c>
      <c r="O577" s="122"/>
      <c r="P577" s="92">
        <f t="shared" si="105"/>
        <v>29.108800000000002</v>
      </c>
      <c r="Q577" s="113">
        <f t="shared" si="106"/>
        <v>1.4238</v>
      </c>
      <c r="R577" s="92">
        <f t="shared" si="107"/>
        <v>1.1074000000000002</v>
      </c>
      <c r="S577" s="121"/>
      <c r="T577" s="93">
        <f t="shared" si="108"/>
        <v>-2.0000000000131024E-4</v>
      </c>
      <c r="U577" s="122"/>
      <c r="V577" s="94">
        <f t="shared" ca="1" si="93"/>
        <v>127.4644447916653</v>
      </c>
      <c r="W577" s="89"/>
    </row>
    <row r="578" spans="1:23" ht="18">
      <c r="A578" s="260"/>
      <c r="B578" s="260" t="s">
        <v>51</v>
      </c>
      <c r="C578" s="301" t="s">
        <v>1170</v>
      </c>
      <c r="D578" s="131">
        <v>231401300766</v>
      </c>
      <c r="E578" s="303">
        <v>78</v>
      </c>
      <c r="F578" s="263">
        <v>45065</v>
      </c>
      <c r="G578" s="306">
        <v>31.64</v>
      </c>
      <c r="H578" s="305">
        <v>1556688</v>
      </c>
      <c r="I578" s="106">
        <f t="shared" si="104"/>
        <v>49200</v>
      </c>
      <c r="J578" s="122"/>
      <c r="K578" s="157" t="s">
        <v>1316</v>
      </c>
      <c r="L578" s="166">
        <f t="shared" si="110"/>
        <v>78</v>
      </c>
      <c r="M578" s="119" t="s">
        <v>1315</v>
      </c>
      <c r="N578" s="115">
        <f>7.742+21.367</f>
        <v>29.109000000000002</v>
      </c>
      <c r="O578" s="122"/>
      <c r="P578" s="92">
        <f t="shared" si="105"/>
        <v>29.108800000000002</v>
      </c>
      <c r="Q578" s="113">
        <f t="shared" si="106"/>
        <v>1.4238</v>
      </c>
      <c r="R578" s="92">
        <f t="shared" si="107"/>
        <v>1.1074000000000002</v>
      </c>
      <c r="S578" s="121"/>
      <c r="T578" s="93">
        <f t="shared" si="108"/>
        <v>-2.0000000000131024E-4</v>
      </c>
      <c r="U578" s="122"/>
      <c r="V578" s="94">
        <f t="shared" ca="1" si="93"/>
        <v>127.4644447916653</v>
      </c>
      <c r="W578" s="89"/>
    </row>
    <row r="579" spans="1:23" ht="18">
      <c r="A579" s="260"/>
      <c r="B579" s="260" t="s">
        <v>51</v>
      </c>
      <c r="C579" s="301" t="s">
        <v>1170</v>
      </c>
      <c r="D579" s="131">
        <v>231401300752</v>
      </c>
      <c r="E579" s="303">
        <v>79</v>
      </c>
      <c r="F579" s="263">
        <v>45065</v>
      </c>
      <c r="G579" s="307">
        <v>31.57</v>
      </c>
      <c r="H579" s="308">
        <v>1546930</v>
      </c>
      <c r="I579" s="106">
        <f t="shared" si="104"/>
        <v>49000</v>
      </c>
      <c r="J579" s="122"/>
      <c r="K579" s="157" t="s">
        <v>1317</v>
      </c>
      <c r="L579" s="166">
        <f t="shared" si="110"/>
        <v>79</v>
      </c>
      <c r="M579" s="119" t="s">
        <v>1318</v>
      </c>
      <c r="N579" s="115">
        <f>4.019+25.025</f>
        <v>29.043999999999997</v>
      </c>
      <c r="O579" s="122"/>
      <c r="P579" s="92">
        <f t="shared" si="105"/>
        <v>29.044400000000003</v>
      </c>
      <c r="Q579" s="113">
        <f t="shared" si="106"/>
        <v>1.42065</v>
      </c>
      <c r="R579" s="92">
        <f t="shared" si="107"/>
        <v>1.1049500000000001</v>
      </c>
      <c r="S579" s="121"/>
      <c r="T579" s="93">
        <f t="shared" si="108"/>
        <v>4.0000000000328662E-4</v>
      </c>
      <c r="U579" s="122"/>
      <c r="V579" s="94">
        <f t="shared" ca="1" si="93"/>
        <v>127.4644447916653</v>
      </c>
      <c r="W579" s="89"/>
    </row>
    <row r="580" spans="1:23" ht="18">
      <c r="A580" s="260"/>
      <c r="B580" s="260" t="s">
        <v>51</v>
      </c>
      <c r="C580" s="302" t="s">
        <v>94</v>
      </c>
      <c r="D580" s="131">
        <v>231401300728</v>
      </c>
      <c r="E580" s="303">
        <v>80</v>
      </c>
      <c r="F580" s="263">
        <v>45065</v>
      </c>
      <c r="G580" s="307">
        <v>31.56</v>
      </c>
      <c r="H580" s="308">
        <v>1552752</v>
      </c>
      <c r="I580" s="106">
        <f t="shared" si="104"/>
        <v>49200</v>
      </c>
      <c r="J580" s="122"/>
      <c r="K580" s="157" t="s">
        <v>1319</v>
      </c>
      <c r="L580" s="166">
        <f t="shared" si="110"/>
        <v>80</v>
      </c>
      <c r="M580" s="119" t="s">
        <v>1320</v>
      </c>
      <c r="N580" s="115">
        <f>6.871+22.164</f>
        <v>29.035000000000004</v>
      </c>
      <c r="O580" s="122"/>
      <c r="P580" s="92">
        <f t="shared" si="105"/>
        <v>29.0352</v>
      </c>
      <c r="Q580" s="113">
        <f t="shared" si="106"/>
        <v>1.4201999999999999</v>
      </c>
      <c r="R580" s="92">
        <f t="shared" si="107"/>
        <v>1.1046</v>
      </c>
      <c r="S580" s="121"/>
      <c r="T580" s="93">
        <f t="shared" si="108"/>
        <v>1.9999999999509299E-4</v>
      </c>
      <c r="U580" s="122"/>
      <c r="V580" s="94">
        <f t="shared" ca="1" si="93"/>
        <v>127.4644447916653</v>
      </c>
      <c r="W580" s="89"/>
    </row>
    <row r="581" spans="1:23" ht="18">
      <c r="A581" s="260"/>
      <c r="B581" s="260" t="s">
        <v>51</v>
      </c>
      <c r="C581" s="302" t="s">
        <v>55</v>
      </c>
      <c r="D581" s="131">
        <v>231401300746</v>
      </c>
      <c r="E581" s="303">
        <v>81</v>
      </c>
      <c r="F581" s="263">
        <v>45065</v>
      </c>
      <c r="G581" s="307">
        <v>31.93</v>
      </c>
      <c r="H581" s="308">
        <v>1500710</v>
      </c>
      <c r="I581" s="106">
        <f t="shared" si="104"/>
        <v>47000</v>
      </c>
      <c r="J581" s="122"/>
      <c r="K581" s="157" t="s">
        <v>1321</v>
      </c>
      <c r="L581" s="166">
        <f t="shared" si="110"/>
        <v>81</v>
      </c>
      <c r="M581" s="119" t="s">
        <v>1320</v>
      </c>
      <c r="N581" s="115">
        <f>3.17+26.206</f>
        <v>29.375999999999998</v>
      </c>
      <c r="O581" s="122"/>
      <c r="P581" s="92">
        <f t="shared" si="105"/>
        <v>29.375600000000002</v>
      </c>
      <c r="Q581" s="113">
        <f t="shared" si="106"/>
        <v>1.43685</v>
      </c>
      <c r="R581" s="92">
        <f t="shared" si="107"/>
        <v>1.11755</v>
      </c>
      <c r="S581" s="121"/>
      <c r="T581" s="93">
        <f t="shared" si="108"/>
        <v>-3.9999999999795754E-4</v>
      </c>
      <c r="U581" s="122"/>
      <c r="V581" s="94">
        <f t="shared" ca="1" si="93"/>
        <v>127.4644447916653</v>
      </c>
      <c r="W581" s="89"/>
    </row>
    <row r="582" spans="1:23" ht="18">
      <c r="A582" s="260"/>
      <c r="B582" s="260" t="s">
        <v>51</v>
      </c>
      <c r="C582" s="302" t="s">
        <v>94</v>
      </c>
      <c r="D582" s="131">
        <v>231401300728</v>
      </c>
      <c r="E582" s="303">
        <v>82</v>
      </c>
      <c r="F582" s="263">
        <v>45065</v>
      </c>
      <c r="G582" s="306">
        <v>31.93</v>
      </c>
      <c r="H582" s="303">
        <v>1500710</v>
      </c>
      <c r="I582" s="106">
        <f t="shared" si="104"/>
        <v>47000</v>
      </c>
      <c r="J582" s="122"/>
      <c r="K582" s="157">
        <v>338</v>
      </c>
      <c r="L582" s="166">
        <f t="shared" si="110"/>
        <v>82</v>
      </c>
      <c r="M582" s="119" t="s">
        <v>1322</v>
      </c>
      <c r="N582" s="115">
        <v>29.376000000000001</v>
      </c>
      <c r="O582" s="122"/>
      <c r="P582" s="92">
        <f t="shared" si="105"/>
        <v>29.375600000000002</v>
      </c>
      <c r="Q582" s="113">
        <f t="shared" si="106"/>
        <v>1.43685</v>
      </c>
      <c r="R582" s="92">
        <f t="shared" si="107"/>
        <v>1.11755</v>
      </c>
      <c r="S582" s="121"/>
      <c r="T582" s="93">
        <f t="shared" si="108"/>
        <v>-4.0000000000151026E-4</v>
      </c>
      <c r="U582" s="122"/>
      <c r="V582" s="94">
        <f t="shared" ca="1" si="93"/>
        <v>127.4644447916653</v>
      </c>
      <c r="W582" s="89"/>
    </row>
    <row r="583" spans="1:23" ht="18">
      <c r="A583" s="260"/>
      <c r="B583" s="260" t="s">
        <v>51</v>
      </c>
      <c r="C583" s="302" t="s">
        <v>55</v>
      </c>
      <c r="D583" s="131">
        <v>231401300746</v>
      </c>
      <c r="E583" s="303">
        <v>83</v>
      </c>
      <c r="F583" s="263">
        <v>45065</v>
      </c>
      <c r="G583" s="304">
        <v>31.57</v>
      </c>
      <c r="H583" s="303">
        <v>1546930</v>
      </c>
      <c r="I583" s="106">
        <f t="shared" ref="I583:I615" si="111">H583/G583</f>
        <v>49000</v>
      </c>
      <c r="J583" s="122"/>
      <c r="K583" s="158" t="s">
        <v>1323</v>
      </c>
      <c r="L583" s="166">
        <f t="shared" si="110"/>
        <v>83</v>
      </c>
      <c r="M583" s="119" t="s">
        <v>1324</v>
      </c>
      <c r="N583" s="115">
        <f>5.696+2.659+20.689</f>
        <v>29.044</v>
      </c>
      <c r="O583" s="122"/>
      <c r="P583" s="92">
        <f t="shared" si="105"/>
        <v>29.044400000000003</v>
      </c>
      <c r="Q583" s="113">
        <f t="shared" si="106"/>
        <v>1.42065</v>
      </c>
      <c r="R583" s="92">
        <f t="shared" si="107"/>
        <v>1.1049500000000001</v>
      </c>
      <c r="S583" s="121"/>
      <c r="T583" s="93">
        <f t="shared" si="108"/>
        <v>3.999999999997339E-4</v>
      </c>
      <c r="U583" s="122"/>
      <c r="V583" s="94">
        <f t="shared" ca="1" si="93"/>
        <v>127.4644447916653</v>
      </c>
      <c r="W583" s="89"/>
    </row>
    <row r="584" spans="1:23" ht="18">
      <c r="A584" s="260"/>
      <c r="B584" s="260" t="s">
        <v>51</v>
      </c>
      <c r="C584" s="302" t="s">
        <v>94</v>
      </c>
      <c r="D584" s="131">
        <v>231401300730</v>
      </c>
      <c r="E584" s="303">
        <v>84</v>
      </c>
      <c r="F584" s="263">
        <v>45065</v>
      </c>
      <c r="G584" s="306">
        <v>32.04</v>
      </c>
      <c r="H584" s="303">
        <v>1505880</v>
      </c>
      <c r="I584" s="106">
        <f t="shared" si="111"/>
        <v>47000</v>
      </c>
      <c r="J584" s="122"/>
      <c r="K584" s="157" t="s">
        <v>1325</v>
      </c>
      <c r="L584" s="166">
        <f t="shared" si="110"/>
        <v>84</v>
      </c>
      <c r="M584" s="119" t="s">
        <v>1326</v>
      </c>
      <c r="N584" s="115">
        <f>4.258+25.068+0.151</f>
        <v>29.477</v>
      </c>
      <c r="O584" s="122"/>
      <c r="P584" s="92">
        <f t="shared" si="105"/>
        <v>29.476800000000001</v>
      </c>
      <c r="Q584" s="113">
        <f t="shared" si="106"/>
        <v>1.4418</v>
      </c>
      <c r="R584" s="92">
        <f t="shared" si="107"/>
        <v>1.1214000000000002</v>
      </c>
      <c r="S584" s="121"/>
      <c r="T584" s="93">
        <f t="shared" si="108"/>
        <v>-2.0000000000131024E-4</v>
      </c>
      <c r="U584" s="122"/>
      <c r="V584" s="94">
        <f t="shared" ca="1" si="93"/>
        <v>127.4644447916653</v>
      </c>
      <c r="W584" s="89"/>
    </row>
    <row r="585" spans="1:23" ht="18">
      <c r="A585" s="260"/>
      <c r="B585" s="260" t="s">
        <v>51</v>
      </c>
      <c r="C585" s="302" t="s">
        <v>94</v>
      </c>
      <c r="D585" s="131">
        <v>231401300730</v>
      </c>
      <c r="E585" s="303">
        <v>85</v>
      </c>
      <c r="F585" s="263">
        <v>45065</v>
      </c>
      <c r="G585" s="306">
        <v>32.04</v>
      </c>
      <c r="H585" s="303">
        <v>1505880</v>
      </c>
      <c r="I585" s="106">
        <f t="shared" si="111"/>
        <v>47000</v>
      </c>
      <c r="J585" s="122"/>
      <c r="K585" s="157">
        <v>344</v>
      </c>
      <c r="L585" s="166">
        <f t="shared" si="110"/>
        <v>85</v>
      </c>
      <c r="M585" s="119" t="s">
        <v>1322</v>
      </c>
      <c r="N585" s="115">
        <v>29.477</v>
      </c>
      <c r="O585" s="122"/>
      <c r="P585" s="92">
        <f t="shared" si="105"/>
        <v>29.476800000000001</v>
      </c>
      <c r="Q585" s="113">
        <f t="shared" si="106"/>
        <v>1.4418</v>
      </c>
      <c r="R585" s="92">
        <f t="shared" si="107"/>
        <v>1.1214000000000002</v>
      </c>
      <c r="S585" s="121"/>
      <c r="T585" s="93">
        <f t="shared" si="108"/>
        <v>-2.0000000000131024E-4</v>
      </c>
      <c r="U585" s="122"/>
      <c r="V585" s="94">
        <f t="shared" ca="1" si="93"/>
        <v>127.4644447916653</v>
      </c>
      <c r="W585" s="89"/>
    </row>
    <row r="586" spans="1:23" ht="18">
      <c r="A586" s="260"/>
      <c r="B586" s="260" t="s">
        <v>51</v>
      </c>
      <c r="C586" s="302" t="s">
        <v>94</v>
      </c>
      <c r="D586" s="131">
        <v>231401300726</v>
      </c>
      <c r="E586" s="303">
        <v>86</v>
      </c>
      <c r="F586" s="263">
        <v>45065</v>
      </c>
      <c r="G586" s="306">
        <v>31.99</v>
      </c>
      <c r="H586" s="303">
        <v>1503530</v>
      </c>
      <c r="I586" s="106">
        <f t="shared" si="111"/>
        <v>47000</v>
      </c>
      <c r="J586" s="122"/>
      <c r="K586" s="157" t="s">
        <v>1327</v>
      </c>
      <c r="L586" s="166">
        <f t="shared" si="110"/>
        <v>86</v>
      </c>
      <c r="M586" s="119" t="s">
        <v>1328</v>
      </c>
      <c r="N586" s="115">
        <f>2.68+26.751</f>
        <v>29.431000000000001</v>
      </c>
      <c r="O586" s="122"/>
      <c r="P586" s="92">
        <f t="shared" si="105"/>
        <v>29.430800000000001</v>
      </c>
      <c r="Q586" s="113">
        <f t="shared" si="106"/>
        <v>1.4395499999999999</v>
      </c>
      <c r="R586" s="92">
        <f t="shared" si="107"/>
        <v>1.11965</v>
      </c>
      <c r="S586" s="121"/>
      <c r="T586" s="93">
        <f t="shared" si="108"/>
        <v>-2.0000000000242046E-4</v>
      </c>
      <c r="U586" s="122"/>
      <c r="V586" s="94">
        <f t="shared" ca="1" si="93"/>
        <v>127.4644447916653</v>
      </c>
      <c r="W586" s="89"/>
    </row>
    <row r="587" spans="1:23" ht="18">
      <c r="A587" s="260"/>
      <c r="B587" s="260" t="s">
        <v>51</v>
      </c>
      <c r="C587" s="302" t="s">
        <v>94</v>
      </c>
      <c r="D587" s="131">
        <v>231401300726</v>
      </c>
      <c r="E587" s="303">
        <v>87</v>
      </c>
      <c r="F587" s="263">
        <v>45065</v>
      </c>
      <c r="G587" s="306">
        <v>31.99</v>
      </c>
      <c r="H587" s="303">
        <v>1503530</v>
      </c>
      <c r="I587" s="106">
        <f t="shared" si="111"/>
        <v>47000</v>
      </c>
      <c r="J587" s="122"/>
      <c r="K587" s="157" t="s">
        <v>1329</v>
      </c>
      <c r="L587" s="166">
        <f t="shared" si="110"/>
        <v>87</v>
      </c>
      <c r="M587" s="119" t="s">
        <v>1330</v>
      </c>
      <c r="N587" s="115">
        <f>5.544+23.887</f>
        <v>29.431000000000001</v>
      </c>
      <c r="O587" s="122"/>
      <c r="P587" s="92">
        <f t="shared" si="105"/>
        <v>29.430800000000001</v>
      </c>
      <c r="Q587" s="113">
        <f t="shared" si="106"/>
        <v>1.4395499999999999</v>
      </c>
      <c r="R587" s="92">
        <f t="shared" si="107"/>
        <v>1.11965</v>
      </c>
      <c r="S587" s="121"/>
      <c r="T587" s="93">
        <f t="shared" si="108"/>
        <v>-2.0000000000242046E-4</v>
      </c>
      <c r="U587" s="122"/>
      <c r="V587" s="94">
        <f t="shared" ca="1" si="93"/>
        <v>127.4644447916653</v>
      </c>
      <c r="W587" s="89"/>
    </row>
    <row r="588" spans="1:23" ht="18">
      <c r="A588" s="260"/>
      <c r="B588" s="260" t="s">
        <v>51</v>
      </c>
      <c r="C588" s="301" t="s">
        <v>1170</v>
      </c>
      <c r="D588" s="131">
        <v>231401300724</v>
      </c>
      <c r="E588" s="303">
        <v>88</v>
      </c>
      <c r="F588" s="263">
        <v>45065</v>
      </c>
      <c r="G588" s="306">
        <v>31.54</v>
      </c>
      <c r="H588" s="305">
        <v>1551768</v>
      </c>
      <c r="I588" s="106">
        <f t="shared" si="111"/>
        <v>49200</v>
      </c>
      <c r="J588" s="122"/>
      <c r="K588" s="157" t="s">
        <v>1331</v>
      </c>
      <c r="L588" s="166">
        <f t="shared" si="110"/>
        <v>88</v>
      </c>
      <c r="M588" s="119" t="s">
        <v>1330</v>
      </c>
      <c r="N588" s="115">
        <f>8.561+20.456</f>
        <v>29.016999999999999</v>
      </c>
      <c r="O588" s="122"/>
      <c r="P588" s="92">
        <f t="shared" ref="P588:P615" si="112">G588*0.92</f>
        <v>29.0168</v>
      </c>
      <c r="Q588" s="113">
        <f t="shared" ref="Q588:Q615" si="113">G588*4.5%</f>
        <v>1.4193</v>
      </c>
      <c r="R588" s="92">
        <f t="shared" ref="R588:R615" si="114">G588*3.5%</f>
        <v>1.1039000000000001</v>
      </c>
      <c r="S588" s="121"/>
      <c r="T588" s="93">
        <f t="shared" ref="T588:T615" si="115">G588-N588-Q588-R588</f>
        <v>-2.0000000000042206E-4</v>
      </c>
      <c r="U588" s="122"/>
      <c r="V588" s="94">
        <f t="shared" ca="1" si="93"/>
        <v>127.4644447916653</v>
      </c>
      <c r="W588" s="89"/>
    </row>
    <row r="589" spans="1:23" ht="18">
      <c r="A589" s="260"/>
      <c r="B589" s="260" t="s">
        <v>51</v>
      </c>
      <c r="C589" s="301" t="s">
        <v>1170</v>
      </c>
      <c r="D589" s="131">
        <v>231401300724</v>
      </c>
      <c r="E589" s="303">
        <v>89</v>
      </c>
      <c r="F589" s="263">
        <v>45065</v>
      </c>
      <c r="G589" s="306">
        <v>31.54</v>
      </c>
      <c r="H589" s="305">
        <v>1551768</v>
      </c>
      <c r="I589" s="106">
        <f t="shared" si="111"/>
        <v>49200</v>
      </c>
      <c r="J589" s="122"/>
      <c r="K589" s="157" t="s">
        <v>1332</v>
      </c>
      <c r="L589" s="166">
        <f t="shared" si="110"/>
        <v>89</v>
      </c>
      <c r="M589" s="119" t="s">
        <v>1333</v>
      </c>
      <c r="N589" s="115">
        <f>11.444+17.573</f>
        <v>29.017000000000003</v>
      </c>
      <c r="O589" s="122"/>
      <c r="P589" s="92">
        <f t="shared" si="112"/>
        <v>29.0168</v>
      </c>
      <c r="Q589" s="113">
        <f t="shared" si="113"/>
        <v>1.4193</v>
      </c>
      <c r="R589" s="92">
        <f t="shared" si="114"/>
        <v>1.1039000000000001</v>
      </c>
      <c r="S589" s="121"/>
      <c r="T589" s="93">
        <f t="shared" si="115"/>
        <v>-2.0000000000397478E-4</v>
      </c>
      <c r="U589" s="122"/>
      <c r="V589" s="94">
        <f t="shared" ca="1" si="93"/>
        <v>127.4644447916653</v>
      </c>
      <c r="W589" s="89"/>
    </row>
    <row r="590" spans="1:23" ht="18">
      <c r="A590" s="260"/>
      <c r="B590" s="260" t="s">
        <v>51</v>
      </c>
      <c r="C590" s="302" t="s">
        <v>94</v>
      </c>
      <c r="D590" s="131">
        <v>231401300733</v>
      </c>
      <c r="E590" s="303">
        <v>90</v>
      </c>
      <c r="F590" s="263">
        <v>45065</v>
      </c>
      <c r="G590" s="306">
        <v>31.98</v>
      </c>
      <c r="H590" s="305">
        <v>1503060</v>
      </c>
      <c r="I590" s="106">
        <f t="shared" si="111"/>
        <v>47000</v>
      </c>
      <c r="J590" s="122"/>
      <c r="K590" s="157" t="s">
        <v>1334</v>
      </c>
      <c r="L590" s="166">
        <f t="shared" si="110"/>
        <v>90</v>
      </c>
      <c r="M590" s="119" t="s">
        <v>1335</v>
      </c>
      <c r="N590" s="115">
        <f>14.522+14.9</f>
        <v>29.422000000000001</v>
      </c>
      <c r="O590" s="122"/>
      <c r="P590" s="92">
        <f t="shared" si="112"/>
        <v>29.421600000000002</v>
      </c>
      <c r="Q590" s="113">
        <f>G590*4.5%</f>
        <v>1.4391</v>
      </c>
      <c r="R590" s="92">
        <f t="shared" si="114"/>
        <v>1.1193000000000002</v>
      </c>
      <c r="S590" s="121"/>
      <c r="T590" s="93">
        <f t="shared" si="115"/>
        <v>-4.0000000000040004E-4</v>
      </c>
      <c r="U590" s="122"/>
      <c r="V590" s="94">
        <f t="shared" ca="1" si="93"/>
        <v>127.4644447916653</v>
      </c>
      <c r="W590" s="89"/>
    </row>
    <row r="591" spans="1:23" ht="18">
      <c r="A591" s="260"/>
      <c r="B591" s="260" t="s">
        <v>51</v>
      </c>
      <c r="C591" s="302" t="s">
        <v>94</v>
      </c>
      <c r="D591" s="131">
        <v>231401300732</v>
      </c>
      <c r="E591" s="303">
        <v>91</v>
      </c>
      <c r="F591" s="263">
        <v>45065</v>
      </c>
      <c r="G591" s="306">
        <v>31.86</v>
      </c>
      <c r="H591" s="303">
        <v>1497420</v>
      </c>
      <c r="I591" s="106">
        <f t="shared" si="111"/>
        <v>47000</v>
      </c>
      <c r="J591" s="122"/>
      <c r="K591" s="158">
        <v>355356</v>
      </c>
      <c r="L591" s="166">
        <f t="shared" si="110"/>
        <v>91</v>
      </c>
      <c r="M591" s="119" t="s">
        <v>1335</v>
      </c>
      <c r="N591" s="115">
        <f>9.734+19.577</f>
        <v>29.311</v>
      </c>
      <c r="O591" s="122"/>
      <c r="P591" s="92">
        <f t="shared" si="112"/>
        <v>29.311199999999999</v>
      </c>
      <c r="Q591" s="113">
        <f t="shared" si="113"/>
        <v>1.4337</v>
      </c>
      <c r="R591" s="92">
        <f t="shared" si="114"/>
        <v>1.1151</v>
      </c>
      <c r="S591" s="121"/>
      <c r="T591" s="93">
        <f t="shared" si="115"/>
        <v>1.9999999999953388E-4</v>
      </c>
      <c r="U591" s="122"/>
      <c r="V591" s="94">
        <f t="shared" ca="1" si="93"/>
        <v>127.4644447916653</v>
      </c>
      <c r="W591" s="89"/>
    </row>
    <row r="592" spans="1:23" ht="18">
      <c r="A592" s="260"/>
      <c r="B592" s="260" t="s">
        <v>51</v>
      </c>
      <c r="C592" s="301" t="s">
        <v>1170</v>
      </c>
      <c r="D592" s="131">
        <v>231401300752</v>
      </c>
      <c r="E592" s="303">
        <v>92</v>
      </c>
      <c r="F592" s="263">
        <v>45065</v>
      </c>
      <c r="G592" s="306">
        <v>31.56</v>
      </c>
      <c r="H592" s="303">
        <v>1552752</v>
      </c>
      <c r="I592" s="106">
        <f t="shared" si="111"/>
        <v>49200</v>
      </c>
      <c r="J592" s="122"/>
      <c r="K592" s="157" t="s">
        <v>1336</v>
      </c>
      <c r="L592" s="166">
        <f t="shared" si="110"/>
        <v>92</v>
      </c>
      <c r="M592" s="119" t="s">
        <v>1335</v>
      </c>
      <c r="N592" s="115">
        <f>11.539+17.496</f>
        <v>29.034999999999997</v>
      </c>
      <c r="O592" s="122"/>
      <c r="P592" s="92">
        <f t="shared" si="112"/>
        <v>29.0352</v>
      </c>
      <c r="Q592" s="113">
        <f t="shared" si="113"/>
        <v>1.4201999999999999</v>
      </c>
      <c r="R592" s="92">
        <f t="shared" si="114"/>
        <v>1.1046</v>
      </c>
      <c r="S592" s="121"/>
      <c r="T592" s="93">
        <f t="shared" si="115"/>
        <v>2.0000000000219842E-4</v>
      </c>
      <c r="U592" s="122"/>
      <c r="V592" s="94">
        <f t="shared" ca="1" si="93"/>
        <v>127.4644447916653</v>
      </c>
      <c r="W592" s="89"/>
    </row>
    <row r="593" spans="1:23" ht="18">
      <c r="A593" s="260"/>
      <c r="B593" s="260" t="s">
        <v>51</v>
      </c>
      <c r="C593" s="302" t="s">
        <v>55</v>
      </c>
      <c r="D593" s="131">
        <v>231401300738</v>
      </c>
      <c r="E593" s="303">
        <v>93</v>
      </c>
      <c r="F593" s="263">
        <v>45065</v>
      </c>
      <c r="G593" s="304">
        <v>31.54</v>
      </c>
      <c r="H593" s="303">
        <v>1545460</v>
      </c>
      <c r="I593" s="106">
        <f t="shared" si="111"/>
        <v>49000</v>
      </c>
      <c r="J593" s="122"/>
      <c r="K593" s="157" t="s">
        <v>1337</v>
      </c>
      <c r="L593" s="166">
        <f t="shared" si="110"/>
        <v>93</v>
      </c>
      <c r="M593" s="119" t="s">
        <v>1335</v>
      </c>
      <c r="N593" s="115">
        <f>7.469+21.548</f>
        <v>29.016999999999999</v>
      </c>
      <c r="O593" s="122"/>
      <c r="P593" s="92">
        <f t="shared" si="112"/>
        <v>29.0168</v>
      </c>
      <c r="Q593" s="113">
        <f t="shared" si="113"/>
        <v>1.4193</v>
      </c>
      <c r="R593" s="92">
        <f t="shared" si="114"/>
        <v>1.1039000000000001</v>
      </c>
      <c r="S593" s="121"/>
      <c r="T593" s="93">
        <f t="shared" si="115"/>
        <v>-2.0000000000042206E-4</v>
      </c>
      <c r="U593" s="122"/>
      <c r="V593" s="94">
        <f t="shared" ca="1" si="93"/>
        <v>127.4644447916653</v>
      </c>
      <c r="W593" s="89"/>
    </row>
    <row r="594" spans="1:23" ht="18">
      <c r="A594" s="260"/>
      <c r="B594" s="260" t="s">
        <v>51</v>
      </c>
      <c r="C594" s="302" t="s">
        <v>55</v>
      </c>
      <c r="D594" s="131">
        <v>231401300738</v>
      </c>
      <c r="E594" s="303">
        <v>94</v>
      </c>
      <c r="F594" s="263">
        <v>45065</v>
      </c>
      <c r="G594" s="304">
        <v>31.54</v>
      </c>
      <c r="H594" s="303">
        <v>1545460</v>
      </c>
      <c r="I594" s="106">
        <f t="shared" si="111"/>
        <v>49000</v>
      </c>
      <c r="J594" s="122"/>
      <c r="K594" s="157" t="s">
        <v>1339</v>
      </c>
      <c r="L594" s="166">
        <f t="shared" si="110"/>
        <v>94</v>
      </c>
      <c r="M594" s="119" t="s">
        <v>1338</v>
      </c>
      <c r="N594" s="115">
        <f>10.219+18.798</f>
        <v>29.016999999999996</v>
      </c>
      <c r="O594" s="122"/>
      <c r="P594" s="92">
        <f t="shared" si="112"/>
        <v>29.0168</v>
      </c>
      <c r="Q594" s="113">
        <f t="shared" si="113"/>
        <v>1.4193</v>
      </c>
      <c r="R594" s="92">
        <f t="shared" si="114"/>
        <v>1.1039000000000001</v>
      </c>
      <c r="S594" s="121"/>
      <c r="T594" s="93">
        <f t="shared" si="115"/>
        <v>-1.9999999999686935E-4</v>
      </c>
      <c r="U594" s="122"/>
      <c r="V594" s="94">
        <f t="shared" ca="1" si="93"/>
        <v>127.4644447916653</v>
      </c>
      <c r="W594" s="89"/>
    </row>
    <row r="595" spans="1:23" ht="18">
      <c r="A595" s="260"/>
      <c r="B595" s="260" t="s">
        <v>51</v>
      </c>
      <c r="C595" s="302" t="s">
        <v>94</v>
      </c>
      <c r="D595" s="131">
        <v>231401300727</v>
      </c>
      <c r="E595" s="303">
        <v>95</v>
      </c>
      <c r="F595" s="263">
        <v>45065</v>
      </c>
      <c r="G595" s="306">
        <v>31.94</v>
      </c>
      <c r="H595" s="303">
        <v>1501180</v>
      </c>
      <c r="I595" s="106">
        <f t="shared" si="111"/>
        <v>47000</v>
      </c>
      <c r="J595" s="122"/>
      <c r="K595" s="157" t="s">
        <v>1340</v>
      </c>
      <c r="L595" s="166">
        <f t="shared" si="110"/>
        <v>95</v>
      </c>
      <c r="M595" s="119" t="s">
        <v>1341</v>
      </c>
      <c r="N595" s="115">
        <f>13.118+16.267</f>
        <v>29.384999999999998</v>
      </c>
      <c r="O595" s="122"/>
      <c r="P595" s="92">
        <f t="shared" si="112"/>
        <v>29.384800000000002</v>
      </c>
      <c r="Q595" s="113">
        <f t="shared" si="113"/>
        <v>1.4373</v>
      </c>
      <c r="R595" s="92">
        <f t="shared" si="114"/>
        <v>1.1179000000000001</v>
      </c>
      <c r="S595" s="121"/>
      <c r="T595" s="93">
        <f t="shared" si="115"/>
        <v>-1.9999999999686935E-4</v>
      </c>
      <c r="U595" s="122"/>
      <c r="V595" s="94">
        <f t="shared" ca="1" si="93"/>
        <v>127.4644447916653</v>
      </c>
      <c r="W595" s="89"/>
    </row>
    <row r="596" spans="1:23" ht="18">
      <c r="A596" s="260"/>
      <c r="B596" s="260" t="s">
        <v>51</v>
      </c>
      <c r="C596" s="302" t="s">
        <v>94</v>
      </c>
      <c r="D596" s="131">
        <v>231401300727</v>
      </c>
      <c r="E596" s="303">
        <v>96</v>
      </c>
      <c r="F596" s="263">
        <v>45065</v>
      </c>
      <c r="G596" s="306">
        <v>31.94</v>
      </c>
      <c r="H596" s="303">
        <v>1501180</v>
      </c>
      <c r="I596" s="106">
        <f t="shared" si="111"/>
        <v>47000</v>
      </c>
      <c r="J596" s="122"/>
      <c r="K596" s="157" t="s">
        <v>1342</v>
      </c>
      <c r="L596" s="166">
        <f t="shared" si="110"/>
        <v>96</v>
      </c>
      <c r="M596" s="119" t="s">
        <v>1341</v>
      </c>
      <c r="N596" s="115">
        <f>8.463+20.922</f>
        <v>29.384999999999998</v>
      </c>
      <c r="O596" s="122"/>
      <c r="P596" s="92">
        <f t="shared" si="112"/>
        <v>29.384800000000002</v>
      </c>
      <c r="Q596" s="113">
        <f t="shared" si="113"/>
        <v>1.4373</v>
      </c>
      <c r="R596" s="92">
        <f t="shared" si="114"/>
        <v>1.1179000000000001</v>
      </c>
      <c r="S596" s="121"/>
      <c r="T596" s="93">
        <f t="shared" si="115"/>
        <v>-1.9999999999686935E-4</v>
      </c>
      <c r="U596" s="122"/>
      <c r="V596" s="94">
        <f t="shared" ca="1" si="93"/>
        <v>127.4644447916653</v>
      </c>
      <c r="W596" s="89"/>
    </row>
    <row r="597" spans="1:23" ht="18">
      <c r="A597" s="260"/>
      <c r="B597" s="260" t="s">
        <v>51</v>
      </c>
      <c r="C597" s="301" t="s">
        <v>1170</v>
      </c>
      <c r="D597" s="131">
        <v>231401300741</v>
      </c>
      <c r="E597" s="303">
        <v>97</v>
      </c>
      <c r="F597" s="263">
        <v>45065</v>
      </c>
      <c r="G597" s="304">
        <v>31.58</v>
      </c>
      <c r="H597" s="305">
        <v>1553736</v>
      </c>
      <c r="I597" s="106">
        <f t="shared" si="111"/>
        <v>49200</v>
      </c>
      <c r="J597" s="122"/>
      <c r="K597" s="157" t="s">
        <v>1344</v>
      </c>
      <c r="L597" s="166">
        <f t="shared" si="110"/>
        <v>97</v>
      </c>
      <c r="M597" s="119" t="s">
        <v>1343</v>
      </c>
      <c r="N597" s="115">
        <f>11.286+17.768</f>
        <v>29.054000000000002</v>
      </c>
      <c r="O597" s="122"/>
      <c r="P597" s="92">
        <f t="shared" si="112"/>
        <v>29.053599999999999</v>
      </c>
      <c r="Q597" s="113">
        <f t="shared" si="113"/>
        <v>1.4210999999999998</v>
      </c>
      <c r="R597" s="92">
        <f t="shared" si="114"/>
        <v>1.1052999999999999</v>
      </c>
      <c r="S597" s="121"/>
      <c r="T597" s="93">
        <f t="shared" si="115"/>
        <v>-4.0000000000350866E-4</v>
      </c>
      <c r="U597" s="122"/>
      <c r="V597" s="94">
        <f t="shared" ca="1" si="93"/>
        <v>127.4644447916653</v>
      </c>
      <c r="W597" s="89"/>
    </row>
    <row r="598" spans="1:23" ht="18">
      <c r="A598" s="260"/>
      <c r="B598" s="260" t="s">
        <v>51</v>
      </c>
      <c r="C598" s="301" t="s">
        <v>1170</v>
      </c>
      <c r="D598" s="131">
        <v>231401300741</v>
      </c>
      <c r="E598" s="303">
        <v>98</v>
      </c>
      <c r="F598" s="263">
        <v>45065</v>
      </c>
      <c r="G598" s="304">
        <v>31.58</v>
      </c>
      <c r="H598" s="305">
        <v>1553736</v>
      </c>
      <c r="I598" s="106">
        <f t="shared" si="111"/>
        <v>49200</v>
      </c>
      <c r="J598" s="122"/>
      <c r="K598" s="157" t="s">
        <v>1348</v>
      </c>
      <c r="L598" s="166">
        <f t="shared" si="110"/>
        <v>98</v>
      </c>
      <c r="M598" s="119" t="s">
        <v>1347</v>
      </c>
      <c r="N598" s="115">
        <f>7.482+21.572</f>
        <v>29.053999999999998</v>
      </c>
      <c r="O598" s="122"/>
      <c r="P598" s="92">
        <f t="shared" si="112"/>
        <v>29.053599999999999</v>
      </c>
      <c r="Q598" s="113">
        <f t="shared" si="113"/>
        <v>1.4210999999999998</v>
      </c>
      <c r="R598" s="92">
        <f t="shared" si="114"/>
        <v>1.1052999999999999</v>
      </c>
      <c r="S598" s="121"/>
      <c r="T598" s="93">
        <f t="shared" si="115"/>
        <v>-3.9999999999995595E-4</v>
      </c>
      <c r="U598" s="122"/>
      <c r="V598" s="94">
        <f t="shared" ca="1" si="93"/>
        <v>127.4644447916653</v>
      </c>
      <c r="W598" s="89"/>
    </row>
    <row r="599" spans="1:23" ht="18">
      <c r="A599" s="260"/>
      <c r="B599" s="260" t="s">
        <v>51</v>
      </c>
      <c r="C599" s="302" t="s">
        <v>55</v>
      </c>
      <c r="D599" s="131">
        <v>231401300737</v>
      </c>
      <c r="E599" s="303">
        <v>99</v>
      </c>
      <c r="F599" s="263">
        <v>45065</v>
      </c>
      <c r="G599" s="306">
        <v>31.54</v>
      </c>
      <c r="H599" s="305">
        <v>1545460</v>
      </c>
      <c r="I599" s="106">
        <f t="shared" si="111"/>
        <v>49000</v>
      </c>
      <c r="J599" s="122"/>
      <c r="K599" s="157" t="s">
        <v>1349</v>
      </c>
      <c r="L599" s="166">
        <f t="shared" si="110"/>
        <v>99</v>
      </c>
      <c r="M599" s="119" t="s">
        <v>1347</v>
      </c>
      <c r="N599" s="115">
        <f>10.097+18.92</f>
        <v>29.017000000000003</v>
      </c>
      <c r="O599" s="122"/>
      <c r="P599" s="92">
        <f t="shared" si="112"/>
        <v>29.0168</v>
      </c>
      <c r="Q599" s="113">
        <f t="shared" si="113"/>
        <v>1.4193</v>
      </c>
      <c r="R599" s="92">
        <f t="shared" si="114"/>
        <v>1.1039000000000001</v>
      </c>
      <c r="S599" s="121"/>
      <c r="T599" s="93">
        <f t="shared" si="115"/>
        <v>-2.0000000000397478E-4</v>
      </c>
      <c r="U599" s="122"/>
      <c r="V599" s="94">
        <f t="shared" ca="1" si="93"/>
        <v>127.4644447916653</v>
      </c>
      <c r="W599" s="89"/>
    </row>
    <row r="600" spans="1:23" ht="18">
      <c r="A600" s="260"/>
      <c r="B600" s="260" t="s">
        <v>51</v>
      </c>
      <c r="C600" s="301" t="s">
        <v>1170</v>
      </c>
      <c r="D600" s="131">
        <v>231401300743</v>
      </c>
      <c r="E600" s="303">
        <v>100</v>
      </c>
      <c r="F600" s="263">
        <v>45065</v>
      </c>
      <c r="G600" s="306">
        <v>31.55</v>
      </c>
      <c r="H600" s="303">
        <v>1552260</v>
      </c>
      <c r="I600" s="106">
        <f t="shared" si="111"/>
        <v>49200</v>
      </c>
      <c r="J600" s="122"/>
      <c r="K600" s="157" t="s">
        <v>1351</v>
      </c>
      <c r="L600" s="166">
        <f t="shared" si="110"/>
        <v>100</v>
      </c>
      <c r="M600" s="119" t="s">
        <v>1352</v>
      </c>
      <c r="N600" s="115">
        <f>13.019+16.007</f>
        <v>29.026000000000003</v>
      </c>
      <c r="O600" s="122"/>
      <c r="P600" s="92">
        <f t="shared" si="112"/>
        <v>29.026000000000003</v>
      </c>
      <c r="Q600" s="113">
        <f t="shared" si="113"/>
        <v>1.4197500000000001</v>
      </c>
      <c r="R600" s="92">
        <f t="shared" si="114"/>
        <v>1.1042500000000002</v>
      </c>
      <c r="S600" s="121"/>
      <c r="T600" s="93">
        <f t="shared" si="115"/>
        <v>-2.886579864025407E-15</v>
      </c>
      <c r="U600" s="122"/>
      <c r="V600" s="94">
        <f t="shared" ca="1" si="93"/>
        <v>127.4644447916653</v>
      </c>
      <c r="W600" s="89"/>
    </row>
    <row r="601" spans="1:23" ht="18">
      <c r="A601" s="260"/>
      <c r="B601" s="260" t="s">
        <v>51</v>
      </c>
      <c r="C601" s="302" t="s">
        <v>55</v>
      </c>
      <c r="D601" s="131">
        <v>231401300737</v>
      </c>
      <c r="E601" s="303">
        <v>101</v>
      </c>
      <c r="F601" s="263">
        <v>45065</v>
      </c>
      <c r="G601" s="306">
        <v>31.54</v>
      </c>
      <c r="H601" s="303">
        <v>1545460</v>
      </c>
      <c r="I601" s="106">
        <f t="shared" si="111"/>
        <v>49000</v>
      </c>
      <c r="J601" s="122"/>
      <c r="K601" s="157" t="s">
        <v>1354</v>
      </c>
      <c r="L601" s="166">
        <f t="shared" si="110"/>
        <v>101</v>
      </c>
      <c r="M601" s="119" t="s">
        <v>1355</v>
      </c>
      <c r="N601" s="115">
        <f>8.94+20.077</f>
        <v>29.017000000000003</v>
      </c>
      <c r="O601" s="122"/>
      <c r="P601" s="92">
        <f t="shared" si="112"/>
        <v>29.0168</v>
      </c>
      <c r="Q601" s="113">
        <f t="shared" si="113"/>
        <v>1.4193</v>
      </c>
      <c r="R601" s="92">
        <f t="shared" si="114"/>
        <v>1.1039000000000001</v>
      </c>
      <c r="S601" s="121"/>
      <c r="T601" s="93">
        <f t="shared" si="115"/>
        <v>-2.0000000000397478E-4</v>
      </c>
      <c r="U601" s="122"/>
      <c r="V601" s="94">
        <f t="shared" ca="1" si="93"/>
        <v>127.4644447916653</v>
      </c>
      <c r="W601" s="89"/>
    </row>
    <row r="602" spans="1:23" ht="18">
      <c r="A602" s="260"/>
      <c r="B602" s="260" t="s">
        <v>51</v>
      </c>
      <c r="C602" s="301" t="s">
        <v>1170</v>
      </c>
      <c r="D602" s="131">
        <v>231401300743</v>
      </c>
      <c r="E602" s="303">
        <v>102</v>
      </c>
      <c r="F602" s="263">
        <v>45065</v>
      </c>
      <c r="G602" s="306">
        <v>31.55</v>
      </c>
      <c r="H602" s="303">
        <v>1552260</v>
      </c>
      <c r="I602" s="106">
        <f t="shared" si="111"/>
        <v>49200</v>
      </c>
      <c r="J602" s="122"/>
      <c r="K602" s="157" t="s">
        <v>1356</v>
      </c>
      <c r="L602" s="166">
        <f t="shared" si="110"/>
        <v>102</v>
      </c>
      <c r="M602" s="119" t="s">
        <v>1355</v>
      </c>
      <c r="N602" s="115">
        <f>4.933+24.093</f>
        <v>29.026</v>
      </c>
      <c r="O602" s="122"/>
      <c r="P602" s="92">
        <f t="shared" si="112"/>
        <v>29.026000000000003</v>
      </c>
      <c r="Q602" s="113">
        <f t="shared" si="113"/>
        <v>1.4197500000000001</v>
      </c>
      <c r="R602" s="92">
        <f t="shared" si="114"/>
        <v>1.1042500000000002</v>
      </c>
      <c r="S602" s="121"/>
      <c r="T602" s="93">
        <f t="shared" si="115"/>
        <v>0</v>
      </c>
      <c r="U602" s="122"/>
      <c r="V602" s="94">
        <f t="shared" ca="1" si="93"/>
        <v>127.4644447916653</v>
      </c>
      <c r="W602" s="89"/>
    </row>
    <row r="603" spans="1:23" ht="18">
      <c r="A603" s="260"/>
      <c r="B603" s="260"/>
      <c r="C603" s="301"/>
      <c r="D603" s="131"/>
      <c r="E603" s="303"/>
      <c r="F603" s="263"/>
      <c r="G603" s="306"/>
      <c r="H603" s="303"/>
      <c r="I603" s="106"/>
      <c r="J603" s="122"/>
      <c r="K603" s="157"/>
      <c r="L603" s="115"/>
      <c r="M603" s="119"/>
      <c r="N603" s="115"/>
      <c r="O603" s="122"/>
      <c r="P603" s="92"/>
      <c r="Q603" s="113"/>
      <c r="R603" s="92"/>
      <c r="S603" s="121"/>
      <c r="T603" s="93"/>
      <c r="U603" s="122"/>
      <c r="V603" s="94"/>
      <c r="W603" s="89"/>
    </row>
    <row r="604" spans="1:23" ht="18">
      <c r="A604" s="260"/>
      <c r="B604" s="260" t="s">
        <v>51</v>
      </c>
      <c r="C604" s="301" t="s">
        <v>1170</v>
      </c>
      <c r="D604" s="131">
        <v>231401300723</v>
      </c>
      <c r="E604" s="303">
        <v>103</v>
      </c>
      <c r="F604" s="263">
        <v>45066</v>
      </c>
      <c r="G604" s="304">
        <v>31.46</v>
      </c>
      <c r="H604" s="305">
        <v>1547832</v>
      </c>
      <c r="I604" s="106">
        <f t="shared" si="111"/>
        <v>49200</v>
      </c>
      <c r="J604" s="122"/>
      <c r="K604" s="157" t="s">
        <v>1357</v>
      </c>
      <c r="L604" s="166">
        <f t="shared" si="110"/>
        <v>103</v>
      </c>
      <c r="M604" s="119" t="s">
        <v>1355</v>
      </c>
      <c r="N604" s="115">
        <f>8.237+20.706</f>
        <v>28.942999999999998</v>
      </c>
      <c r="O604" s="122"/>
      <c r="P604" s="92">
        <f t="shared" si="112"/>
        <v>28.943200000000001</v>
      </c>
      <c r="Q604" s="113">
        <f t="shared" si="113"/>
        <v>1.4157</v>
      </c>
      <c r="R604" s="92">
        <f t="shared" si="114"/>
        <v>1.1011000000000002</v>
      </c>
      <c r="S604" s="121"/>
      <c r="T604" s="93">
        <f t="shared" si="115"/>
        <v>2.0000000000286455E-4</v>
      </c>
      <c r="U604" s="122"/>
      <c r="V604" s="94">
        <f t="shared" ca="1" si="93"/>
        <v>128.4644447916653</v>
      </c>
      <c r="W604" s="89"/>
    </row>
    <row r="605" spans="1:23" ht="18">
      <c r="A605" s="260"/>
      <c r="B605" s="260" t="s">
        <v>51</v>
      </c>
      <c r="C605" s="301" t="s">
        <v>1170</v>
      </c>
      <c r="D605" s="131">
        <v>231401300723</v>
      </c>
      <c r="E605" s="303">
        <v>104</v>
      </c>
      <c r="F605" s="263">
        <v>45066</v>
      </c>
      <c r="G605" s="304">
        <v>31.46</v>
      </c>
      <c r="H605" s="305">
        <v>1547832</v>
      </c>
      <c r="I605" s="106">
        <f t="shared" si="111"/>
        <v>49200</v>
      </c>
      <c r="J605" s="122"/>
      <c r="K605" s="157" t="s">
        <v>1358</v>
      </c>
      <c r="L605" s="166">
        <f t="shared" si="110"/>
        <v>104</v>
      </c>
      <c r="M605" s="119" t="s">
        <v>1359</v>
      </c>
      <c r="N605" s="115">
        <f>11.832+17.111</f>
        <v>28.943000000000001</v>
      </c>
      <c r="O605" s="122"/>
      <c r="P605" s="92">
        <f t="shared" si="112"/>
        <v>28.943200000000001</v>
      </c>
      <c r="Q605" s="113">
        <f t="shared" si="113"/>
        <v>1.4157</v>
      </c>
      <c r="R605" s="92">
        <f t="shared" si="114"/>
        <v>1.1011000000000002</v>
      </c>
      <c r="S605" s="121"/>
      <c r="T605" s="93">
        <f t="shared" si="115"/>
        <v>1.9999999999931184E-4</v>
      </c>
      <c r="U605" s="122"/>
      <c r="V605" s="94">
        <f t="shared" ca="1" si="93"/>
        <v>128.4644447916653</v>
      </c>
      <c r="W605" s="89"/>
    </row>
    <row r="606" spans="1:23" ht="18">
      <c r="A606" s="260"/>
      <c r="B606" s="260" t="s">
        <v>51</v>
      </c>
      <c r="C606" s="301" t="s">
        <v>1170</v>
      </c>
      <c r="D606" s="131">
        <v>231401300765</v>
      </c>
      <c r="E606" s="303">
        <v>105</v>
      </c>
      <c r="F606" s="263">
        <v>45066</v>
      </c>
      <c r="G606" s="306">
        <v>31.57</v>
      </c>
      <c r="H606" s="305">
        <v>1553244</v>
      </c>
      <c r="I606" s="106">
        <f t="shared" si="111"/>
        <v>49200</v>
      </c>
      <c r="J606" s="122"/>
      <c r="K606" s="157" t="s">
        <v>1360</v>
      </c>
      <c r="L606" s="166">
        <f t="shared" si="110"/>
        <v>105</v>
      </c>
      <c r="M606" s="119" t="s">
        <v>1361</v>
      </c>
      <c r="N606" s="115">
        <f>8.24+20.804</f>
        <v>29.043999999999997</v>
      </c>
      <c r="O606" s="122"/>
      <c r="P606" s="92">
        <f t="shared" si="112"/>
        <v>29.044400000000003</v>
      </c>
      <c r="Q606" s="113">
        <f t="shared" si="113"/>
        <v>1.42065</v>
      </c>
      <c r="R606" s="92">
        <f t="shared" si="114"/>
        <v>1.1049500000000001</v>
      </c>
      <c r="S606" s="121"/>
      <c r="T606" s="93">
        <f t="shared" si="115"/>
        <v>4.0000000000328662E-4</v>
      </c>
      <c r="U606" s="122"/>
      <c r="V606" s="94">
        <f t="shared" ca="1" si="93"/>
        <v>128.4644447916653</v>
      </c>
      <c r="W606" s="89"/>
    </row>
    <row r="607" spans="1:23" ht="18">
      <c r="A607" s="260"/>
      <c r="B607" s="260" t="s">
        <v>51</v>
      </c>
      <c r="C607" s="301" t="s">
        <v>1170</v>
      </c>
      <c r="D607" s="131">
        <v>231401300765</v>
      </c>
      <c r="E607" s="303">
        <v>106</v>
      </c>
      <c r="F607" s="263">
        <v>45066</v>
      </c>
      <c r="G607" s="306">
        <v>31.57</v>
      </c>
      <c r="H607" s="305">
        <v>1553244</v>
      </c>
      <c r="I607" s="106">
        <f t="shared" si="111"/>
        <v>49200</v>
      </c>
      <c r="J607" s="122"/>
      <c r="K607" s="157" t="s">
        <v>1362</v>
      </c>
      <c r="L607" s="166">
        <f t="shared" si="110"/>
        <v>106</v>
      </c>
      <c r="M607" s="119" t="s">
        <v>1361</v>
      </c>
      <c r="N607" s="115">
        <f>24.836+4.208</f>
        <v>29.043999999999997</v>
      </c>
      <c r="O607" s="122"/>
      <c r="P607" s="92">
        <f t="shared" si="112"/>
        <v>29.044400000000003</v>
      </c>
      <c r="Q607" s="113">
        <f t="shared" si="113"/>
        <v>1.42065</v>
      </c>
      <c r="R607" s="92">
        <f t="shared" si="114"/>
        <v>1.1049500000000001</v>
      </c>
      <c r="S607" s="121"/>
      <c r="T607" s="93">
        <f t="shared" si="115"/>
        <v>4.0000000000328662E-4</v>
      </c>
      <c r="U607" s="122"/>
      <c r="V607" s="94">
        <f t="shared" ca="1" si="93"/>
        <v>128.4644447916653</v>
      </c>
      <c r="W607" s="89"/>
    </row>
    <row r="608" spans="1:23" ht="18">
      <c r="A608" s="260"/>
      <c r="B608" s="260" t="s">
        <v>51</v>
      </c>
      <c r="C608" s="301" t="s">
        <v>1170</v>
      </c>
      <c r="D608" s="131">
        <v>231401300767</v>
      </c>
      <c r="E608" s="303">
        <v>107</v>
      </c>
      <c r="F608" s="263">
        <v>45066</v>
      </c>
      <c r="G608" s="306">
        <v>31.51</v>
      </c>
      <c r="H608" s="305">
        <v>1550292</v>
      </c>
      <c r="I608" s="106">
        <f t="shared" si="111"/>
        <v>49200</v>
      </c>
      <c r="J608" s="122"/>
      <c r="K608" s="157" t="s">
        <v>1363</v>
      </c>
      <c r="L608" s="166">
        <f t="shared" si="110"/>
        <v>107</v>
      </c>
      <c r="M608" s="119" t="s">
        <v>1364</v>
      </c>
      <c r="N608" s="115">
        <f>6.382+22.607</f>
        <v>28.988999999999997</v>
      </c>
      <c r="O608" s="122"/>
      <c r="P608" s="92">
        <f t="shared" si="112"/>
        <v>28.989200000000004</v>
      </c>
      <c r="Q608" s="113">
        <f t="shared" si="113"/>
        <v>1.41795</v>
      </c>
      <c r="R608" s="92">
        <f t="shared" si="114"/>
        <v>1.1028500000000001</v>
      </c>
      <c r="S608" s="121"/>
      <c r="T608" s="93">
        <f t="shared" si="115"/>
        <v>2.0000000000419682E-4</v>
      </c>
      <c r="U608" s="122"/>
      <c r="V608" s="94">
        <f t="shared" ca="1" si="93"/>
        <v>128.4644447916653</v>
      </c>
      <c r="W608" s="89"/>
    </row>
    <row r="609" spans="1:23" ht="18">
      <c r="A609" s="260"/>
      <c r="B609" s="260" t="s">
        <v>51</v>
      </c>
      <c r="C609" s="301" t="s">
        <v>1170</v>
      </c>
      <c r="D609" s="131">
        <v>231401300767</v>
      </c>
      <c r="E609" s="303">
        <v>108</v>
      </c>
      <c r="F609" s="263">
        <v>45066</v>
      </c>
      <c r="G609" s="306">
        <v>31.51</v>
      </c>
      <c r="H609" s="305">
        <v>1550292</v>
      </c>
      <c r="I609" s="106">
        <f t="shared" si="111"/>
        <v>49200</v>
      </c>
      <c r="J609" s="122"/>
      <c r="K609" s="157" t="s">
        <v>1366</v>
      </c>
      <c r="L609" s="166">
        <f t="shared" si="110"/>
        <v>108</v>
      </c>
      <c r="M609" s="119" t="s">
        <v>1367</v>
      </c>
      <c r="N609" s="115">
        <f>2.485+25.073+1.431</f>
        <v>28.989000000000001</v>
      </c>
      <c r="O609" s="122"/>
      <c r="P609" s="92">
        <f t="shared" si="112"/>
        <v>28.989200000000004</v>
      </c>
      <c r="Q609" s="113">
        <f t="shared" si="113"/>
        <v>1.41795</v>
      </c>
      <c r="R609" s="92">
        <f t="shared" si="114"/>
        <v>1.1028500000000001</v>
      </c>
      <c r="S609" s="121"/>
      <c r="T609" s="93">
        <f t="shared" si="115"/>
        <v>2.0000000000064411E-4</v>
      </c>
      <c r="U609" s="122"/>
      <c r="V609" s="94">
        <f t="shared" ca="1" si="93"/>
        <v>128.4644447916653</v>
      </c>
      <c r="W609" s="89"/>
    </row>
    <row r="610" spans="1:23" ht="18">
      <c r="A610" s="260"/>
      <c r="B610" s="260" t="s">
        <v>51</v>
      </c>
      <c r="C610" s="301" t="s">
        <v>1170</v>
      </c>
      <c r="D610" s="131">
        <v>231401300742</v>
      </c>
      <c r="E610" s="303">
        <v>109</v>
      </c>
      <c r="F610" s="263">
        <v>45066</v>
      </c>
      <c r="G610" s="304">
        <v>31.52</v>
      </c>
      <c r="H610" s="305">
        <v>1550784</v>
      </c>
      <c r="I610" s="106">
        <f t="shared" si="111"/>
        <v>49200</v>
      </c>
      <c r="J610" s="122"/>
      <c r="K610" s="157">
        <v>400</v>
      </c>
      <c r="L610" s="166">
        <f t="shared" si="110"/>
        <v>109</v>
      </c>
      <c r="M610" s="119" t="s">
        <v>1365</v>
      </c>
      <c r="N610" s="115">
        <v>28.998000000000001</v>
      </c>
      <c r="O610" s="122"/>
      <c r="P610" s="92">
        <f t="shared" si="112"/>
        <v>28.9984</v>
      </c>
      <c r="Q610" s="113">
        <f t="shared" si="113"/>
        <v>1.4183999999999999</v>
      </c>
      <c r="R610" s="92">
        <f t="shared" si="114"/>
        <v>1.1032000000000002</v>
      </c>
      <c r="S610" s="121"/>
      <c r="T610" s="93">
        <f t="shared" si="115"/>
        <v>3.9999999999840163E-4</v>
      </c>
      <c r="U610" s="122"/>
      <c r="V610" s="94">
        <f t="shared" ca="1" si="93"/>
        <v>128.4644447916653</v>
      </c>
      <c r="W610" s="89"/>
    </row>
    <row r="611" spans="1:23" ht="18">
      <c r="A611" s="260"/>
      <c r="B611" s="260" t="s">
        <v>51</v>
      </c>
      <c r="C611" s="301" t="s">
        <v>1170</v>
      </c>
      <c r="D611" s="131">
        <v>231401300742</v>
      </c>
      <c r="E611" s="303">
        <v>110</v>
      </c>
      <c r="F611" s="263">
        <v>45066</v>
      </c>
      <c r="G611" s="304">
        <v>31.52</v>
      </c>
      <c r="H611" s="305">
        <v>1550784</v>
      </c>
      <c r="I611" s="106">
        <f t="shared" si="111"/>
        <v>49200</v>
      </c>
      <c r="J611" s="122"/>
      <c r="K611" s="157" t="s">
        <v>1368</v>
      </c>
      <c r="L611" s="166">
        <f t="shared" si="110"/>
        <v>110</v>
      </c>
      <c r="M611" s="119" t="s">
        <v>1369</v>
      </c>
      <c r="N611" s="115">
        <f>0.649+24.741+3.608</f>
        <v>28.998000000000001</v>
      </c>
      <c r="O611" s="122"/>
      <c r="P611" s="92">
        <f t="shared" si="112"/>
        <v>28.9984</v>
      </c>
      <c r="Q611" s="113">
        <f t="shared" si="113"/>
        <v>1.4183999999999999</v>
      </c>
      <c r="R611" s="92">
        <f t="shared" si="114"/>
        <v>1.1032000000000002</v>
      </c>
      <c r="S611" s="121"/>
      <c r="T611" s="93">
        <f t="shared" si="115"/>
        <v>3.9999999999840163E-4</v>
      </c>
      <c r="U611" s="122"/>
      <c r="V611" s="94">
        <f t="shared" ca="1" si="93"/>
        <v>128.4644447916653</v>
      </c>
      <c r="W611" s="89"/>
    </row>
    <row r="612" spans="1:23" ht="18">
      <c r="A612" s="260"/>
      <c r="B612" s="260" t="s">
        <v>51</v>
      </c>
      <c r="C612" s="301" t="s">
        <v>1170</v>
      </c>
      <c r="D612" s="131">
        <v>231401300747</v>
      </c>
      <c r="E612" s="303">
        <v>111</v>
      </c>
      <c r="F612" s="263">
        <v>45066</v>
      </c>
      <c r="G612" s="306">
        <v>31.56</v>
      </c>
      <c r="H612" s="305">
        <v>1552752</v>
      </c>
      <c r="I612" s="106">
        <f t="shared" si="111"/>
        <v>49200</v>
      </c>
      <c r="J612" s="122"/>
      <c r="K612" s="157" t="s">
        <v>1370</v>
      </c>
      <c r="L612" s="166">
        <f t="shared" si="110"/>
        <v>111</v>
      </c>
      <c r="M612" s="119" t="s">
        <v>1371</v>
      </c>
      <c r="N612" s="115">
        <f>21.108+7.927</f>
        <v>29.035</v>
      </c>
      <c r="O612" s="122"/>
      <c r="P612" s="92">
        <f t="shared" si="112"/>
        <v>29.0352</v>
      </c>
      <c r="Q612" s="113">
        <f t="shared" si="113"/>
        <v>1.4201999999999999</v>
      </c>
      <c r="R612" s="92">
        <f t="shared" si="114"/>
        <v>1.1046</v>
      </c>
      <c r="S612" s="121"/>
      <c r="T612" s="93">
        <f t="shared" si="115"/>
        <v>1.9999999999864571E-4</v>
      </c>
      <c r="U612" s="122"/>
      <c r="V612" s="94">
        <f t="shared" ca="1" si="93"/>
        <v>128.4644447916653</v>
      </c>
      <c r="W612" s="89"/>
    </row>
    <row r="613" spans="1:23" ht="18">
      <c r="A613" s="260"/>
      <c r="B613" s="260" t="s">
        <v>51</v>
      </c>
      <c r="C613" s="301" t="s">
        <v>1170</v>
      </c>
      <c r="D613" s="131">
        <v>231401300747</v>
      </c>
      <c r="E613" s="303">
        <v>112</v>
      </c>
      <c r="F613" s="263">
        <v>45066</v>
      </c>
      <c r="G613" s="306">
        <v>31.56</v>
      </c>
      <c r="H613" s="305">
        <v>1552752</v>
      </c>
      <c r="I613" s="106">
        <f t="shared" si="111"/>
        <v>49200</v>
      </c>
      <c r="J613" s="122"/>
      <c r="K613" s="157" t="s">
        <v>1372</v>
      </c>
      <c r="L613" s="166">
        <f t="shared" si="110"/>
        <v>112</v>
      </c>
      <c r="M613" s="119" t="s">
        <v>1371</v>
      </c>
      <c r="N613" s="115">
        <f>16.64+12.395</f>
        <v>29.035</v>
      </c>
      <c r="O613" s="122"/>
      <c r="P613" s="92">
        <f t="shared" si="112"/>
        <v>29.0352</v>
      </c>
      <c r="Q613" s="113">
        <f t="shared" si="113"/>
        <v>1.4201999999999999</v>
      </c>
      <c r="R613" s="92">
        <f t="shared" si="114"/>
        <v>1.1046</v>
      </c>
      <c r="S613" s="121"/>
      <c r="T613" s="93">
        <f t="shared" si="115"/>
        <v>1.9999999999864571E-4</v>
      </c>
      <c r="U613" s="122"/>
      <c r="V613" s="94">
        <f t="shared" ca="1" si="93"/>
        <v>128.4644447916653</v>
      </c>
      <c r="W613" s="89"/>
    </row>
    <row r="614" spans="1:23" ht="18">
      <c r="A614" s="260"/>
      <c r="B614" s="260" t="s">
        <v>51</v>
      </c>
      <c r="C614" s="302" t="s">
        <v>94</v>
      </c>
      <c r="D614" s="131">
        <v>231401300731</v>
      </c>
      <c r="E614" s="303">
        <v>113</v>
      </c>
      <c r="F614" s="263">
        <v>45066</v>
      </c>
      <c r="G614" s="306">
        <v>31.97</v>
      </c>
      <c r="H614" s="305">
        <v>1502590</v>
      </c>
      <c r="I614" s="106">
        <f t="shared" si="111"/>
        <v>47000</v>
      </c>
      <c r="J614" s="122"/>
      <c r="K614" s="157" t="s">
        <v>1373</v>
      </c>
      <c r="L614" s="166">
        <f t="shared" si="110"/>
        <v>113</v>
      </c>
      <c r="M614" s="119" t="s">
        <v>1375</v>
      </c>
      <c r="N614" s="115">
        <f>19.706+9.706</f>
        <v>29.411999999999999</v>
      </c>
      <c r="O614" s="122"/>
      <c r="P614" s="92">
        <f t="shared" si="112"/>
        <v>29.412400000000002</v>
      </c>
      <c r="Q614" s="113">
        <f t="shared" si="113"/>
        <v>1.43865</v>
      </c>
      <c r="R614" s="92">
        <f t="shared" si="114"/>
        <v>1.1189500000000001</v>
      </c>
      <c r="S614" s="121"/>
      <c r="T614" s="93">
        <f t="shared" si="115"/>
        <v>3.999999999997339E-4</v>
      </c>
      <c r="U614" s="122"/>
      <c r="V614" s="94">
        <f t="shared" ca="1" si="93"/>
        <v>128.4644447916653</v>
      </c>
      <c r="W614" s="89"/>
    </row>
    <row r="615" spans="1:23" ht="18">
      <c r="A615" s="260"/>
      <c r="B615" s="260" t="s">
        <v>51</v>
      </c>
      <c r="C615" s="302" t="s">
        <v>94</v>
      </c>
      <c r="D615" s="131">
        <v>231401300731</v>
      </c>
      <c r="E615" s="303">
        <v>114</v>
      </c>
      <c r="F615" s="263">
        <v>45066</v>
      </c>
      <c r="G615" s="306">
        <v>31.97</v>
      </c>
      <c r="H615" s="305">
        <v>1502590</v>
      </c>
      <c r="I615" s="106">
        <f t="shared" si="111"/>
        <v>47000</v>
      </c>
      <c r="J615" s="122"/>
      <c r="K615" s="157" t="s">
        <v>1374</v>
      </c>
      <c r="L615" s="166">
        <f t="shared" si="110"/>
        <v>114</v>
      </c>
      <c r="M615" s="119" t="s">
        <v>1376</v>
      </c>
      <c r="N615" s="115">
        <f>23.121+6.291</f>
        <v>29.411999999999999</v>
      </c>
      <c r="O615" s="122"/>
      <c r="P615" s="92">
        <f t="shared" si="112"/>
        <v>29.412400000000002</v>
      </c>
      <c r="Q615" s="113">
        <f t="shared" si="113"/>
        <v>1.43865</v>
      </c>
      <c r="R615" s="92">
        <f t="shared" si="114"/>
        <v>1.1189500000000001</v>
      </c>
      <c r="S615" s="121"/>
      <c r="T615" s="93">
        <f t="shared" si="115"/>
        <v>3.999999999997339E-4</v>
      </c>
      <c r="U615" s="122"/>
      <c r="V615" s="94">
        <f t="shared" ca="1" si="93"/>
        <v>128.4644447916653</v>
      </c>
      <c r="W615" s="89"/>
    </row>
    <row r="616" spans="1:23" ht="18">
      <c r="A616" s="260"/>
      <c r="B616" s="260" t="s">
        <v>51</v>
      </c>
      <c r="C616" s="301" t="s">
        <v>1170</v>
      </c>
      <c r="D616" s="131">
        <v>231401300750</v>
      </c>
      <c r="E616" s="303">
        <v>115</v>
      </c>
      <c r="F616" s="263">
        <v>45066</v>
      </c>
      <c r="G616" s="306">
        <v>31.56</v>
      </c>
      <c r="H616" s="305">
        <v>1552752</v>
      </c>
      <c r="I616" s="106">
        <f>H616/G616</f>
        <v>49200</v>
      </c>
      <c r="J616" s="122"/>
      <c r="K616" s="157" t="s">
        <v>1445</v>
      </c>
      <c r="L616" s="166">
        <f t="shared" si="110"/>
        <v>115</v>
      </c>
      <c r="M616" s="119" t="s">
        <v>1446</v>
      </c>
      <c r="N616" s="115">
        <f>18.46+10.575</f>
        <v>29.035</v>
      </c>
      <c r="O616" s="122"/>
      <c r="P616" s="92">
        <f t="shared" si="105"/>
        <v>29.0352</v>
      </c>
      <c r="Q616" s="113">
        <f t="shared" si="106"/>
        <v>1.4201999999999999</v>
      </c>
      <c r="R616" s="92">
        <f t="shared" si="107"/>
        <v>1.1046</v>
      </c>
      <c r="S616" s="121"/>
      <c r="T616" s="93">
        <f t="shared" si="108"/>
        <v>1.9999999999864571E-4</v>
      </c>
      <c r="U616" s="122"/>
      <c r="V616" s="94">
        <f t="shared" ca="1" si="93"/>
        <v>128.4644447916653</v>
      </c>
      <c r="W616" s="89"/>
    </row>
    <row r="617" spans="1:23" ht="18">
      <c r="A617" s="260"/>
      <c r="B617" s="260" t="s">
        <v>51</v>
      </c>
      <c r="C617" s="301" t="s">
        <v>1170</v>
      </c>
      <c r="D617" s="131">
        <v>231401300750</v>
      </c>
      <c r="E617" s="303">
        <v>116</v>
      </c>
      <c r="F617" s="263">
        <v>45066</v>
      </c>
      <c r="G617" s="306">
        <v>31.56</v>
      </c>
      <c r="H617" s="305">
        <v>1552752</v>
      </c>
      <c r="I617" s="106">
        <f t="shared" ref="I617:I680" si="116">H617/G617</f>
        <v>49200</v>
      </c>
      <c r="J617" s="122"/>
      <c r="K617" s="157" t="s">
        <v>1447</v>
      </c>
      <c r="L617" s="166">
        <f t="shared" si="110"/>
        <v>116</v>
      </c>
      <c r="M617" s="119" t="s">
        <v>1448</v>
      </c>
      <c r="N617" s="115">
        <f>20.15+8.885</f>
        <v>29.034999999999997</v>
      </c>
      <c r="O617" s="122"/>
      <c r="P617" s="92">
        <f t="shared" si="105"/>
        <v>29.0352</v>
      </c>
      <c r="Q617" s="113">
        <f t="shared" si="106"/>
        <v>1.4201999999999999</v>
      </c>
      <c r="R617" s="92">
        <f t="shared" si="107"/>
        <v>1.1046</v>
      </c>
      <c r="S617" s="121"/>
      <c r="T617" s="93">
        <f t="shared" si="108"/>
        <v>2.0000000000219842E-4</v>
      </c>
      <c r="U617" s="122"/>
      <c r="V617" s="94">
        <f t="shared" ca="1" si="93"/>
        <v>128.4644447916653</v>
      </c>
      <c r="W617" s="89"/>
    </row>
    <row r="618" spans="1:23" ht="18">
      <c r="A618" s="260"/>
      <c r="B618" s="260" t="s">
        <v>51</v>
      </c>
      <c r="C618" s="301" t="s">
        <v>1170</v>
      </c>
      <c r="D618" s="131">
        <v>231401300749</v>
      </c>
      <c r="E618" s="303">
        <v>117</v>
      </c>
      <c r="F618" s="263">
        <v>45066</v>
      </c>
      <c r="G618" s="306">
        <v>31.61</v>
      </c>
      <c r="H618" s="305">
        <v>1555212</v>
      </c>
      <c r="I618" s="106">
        <f t="shared" si="116"/>
        <v>49200</v>
      </c>
      <c r="J618" s="122"/>
      <c r="K618" s="157" t="s">
        <v>1449</v>
      </c>
      <c r="L618" s="166">
        <f t="shared" si="110"/>
        <v>117</v>
      </c>
      <c r="M618" s="119" t="s">
        <v>1450</v>
      </c>
      <c r="N618" s="115">
        <f>16.036+13.045</f>
        <v>29.081000000000003</v>
      </c>
      <c r="O618" s="122"/>
      <c r="P618" s="92">
        <f t="shared" si="105"/>
        <v>29.081199999999999</v>
      </c>
      <c r="Q618" s="113">
        <f t="shared" si="106"/>
        <v>1.42245</v>
      </c>
      <c r="R618" s="92">
        <f t="shared" si="107"/>
        <v>1.1063500000000002</v>
      </c>
      <c r="S618" s="121"/>
      <c r="T618" s="93">
        <f t="shared" si="108"/>
        <v>1.9999999999620321E-4</v>
      </c>
      <c r="U618" s="122"/>
      <c r="V618" s="94">
        <f t="shared" ca="1" si="93"/>
        <v>128.4644447916653</v>
      </c>
      <c r="W618" s="89"/>
    </row>
    <row r="619" spans="1:23" ht="18">
      <c r="A619" s="260"/>
      <c r="B619" s="260" t="s">
        <v>51</v>
      </c>
      <c r="C619" s="301" t="s">
        <v>1170</v>
      </c>
      <c r="D619" s="131">
        <v>231401300749</v>
      </c>
      <c r="E619" s="303">
        <v>118</v>
      </c>
      <c r="F619" s="263">
        <v>45066</v>
      </c>
      <c r="G619" s="306">
        <v>31.61</v>
      </c>
      <c r="H619" s="305">
        <v>1555212</v>
      </c>
      <c r="I619" s="106">
        <f t="shared" si="116"/>
        <v>49200</v>
      </c>
      <c r="J619" s="122"/>
      <c r="K619" s="157" t="s">
        <v>1451</v>
      </c>
      <c r="L619" s="166">
        <f t="shared" si="110"/>
        <v>118</v>
      </c>
      <c r="M619" s="119" t="s">
        <v>1450</v>
      </c>
      <c r="N619" s="115">
        <f>18.395+10.686</f>
        <v>29.081</v>
      </c>
      <c r="O619" s="122"/>
      <c r="P619" s="92">
        <f t="shared" si="105"/>
        <v>29.081199999999999</v>
      </c>
      <c r="Q619" s="113">
        <f t="shared" si="106"/>
        <v>1.42245</v>
      </c>
      <c r="R619" s="92">
        <f t="shared" si="107"/>
        <v>1.1063500000000002</v>
      </c>
      <c r="S619" s="121"/>
      <c r="T619" s="93">
        <f>G619-N619-Q619-R619</f>
        <v>1.9999999999975593E-4</v>
      </c>
      <c r="U619" s="122"/>
      <c r="V619" s="94">
        <f t="shared" ca="1" si="93"/>
        <v>128.4644447916653</v>
      </c>
      <c r="W619" s="89"/>
    </row>
    <row r="620" spans="1:23" ht="18">
      <c r="A620" s="260"/>
      <c r="B620" s="260" t="s">
        <v>51</v>
      </c>
      <c r="C620" s="302" t="s">
        <v>94</v>
      </c>
      <c r="D620" s="131">
        <v>231401300736</v>
      </c>
      <c r="E620" s="303">
        <v>119</v>
      </c>
      <c r="F620" s="263">
        <v>45066</v>
      </c>
      <c r="G620" s="306">
        <v>31.89</v>
      </c>
      <c r="H620" s="305">
        <v>1498830</v>
      </c>
      <c r="I620" s="106">
        <f t="shared" si="116"/>
        <v>47000</v>
      </c>
      <c r="J620" s="122"/>
      <c r="K620" s="157" t="s">
        <v>1452</v>
      </c>
      <c r="L620" s="166">
        <f t="shared" si="110"/>
        <v>119</v>
      </c>
      <c r="M620" s="119" t="s">
        <v>1450</v>
      </c>
      <c r="N620" s="115">
        <f>14.066+15.273</f>
        <v>29.338999999999999</v>
      </c>
      <c r="O620" s="122"/>
      <c r="P620" s="92">
        <f t="shared" si="105"/>
        <v>29.338800000000003</v>
      </c>
      <c r="Q620" s="113">
        <f t="shared" si="106"/>
        <v>1.4350499999999999</v>
      </c>
      <c r="R620" s="92">
        <f t="shared" si="107"/>
        <v>1.1161500000000002</v>
      </c>
      <c r="S620" s="121"/>
      <c r="T620" s="93">
        <f t="shared" si="108"/>
        <v>-1.9999999999820162E-4</v>
      </c>
      <c r="U620" s="122"/>
      <c r="V620" s="94">
        <f t="shared" ca="1" si="93"/>
        <v>128.4644447916653</v>
      </c>
      <c r="W620" s="89"/>
    </row>
    <row r="621" spans="1:23" ht="18">
      <c r="A621" s="260"/>
      <c r="B621" s="260" t="s">
        <v>51</v>
      </c>
      <c r="C621" s="302" t="s">
        <v>94</v>
      </c>
      <c r="D621" s="131">
        <v>231401300736</v>
      </c>
      <c r="E621" s="303">
        <v>120</v>
      </c>
      <c r="F621" s="263">
        <v>45066</v>
      </c>
      <c r="G621" s="306">
        <v>31.89</v>
      </c>
      <c r="H621" s="305">
        <v>1498830</v>
      </c>
      <c r="I621" s="106">
        <f t="shared" si="116"/>
        <v>47000</v>
      </c>
      <c r="J621" s="122"/>
      <c r="K621" s="157" t="s">
        <v>1455</v>
      </c>
      <c r="L621" s="166">
        <f t="shared" si="110"/>
        <v>120</v>
      </c>
      <c r="M621" s="119" t="s">
        <v>1456</v>
      </c>
      <c r="N621" s="115">
        <f>17.549+11.79</f>
        <v>29.338999999999999</v>
      </c>
      <c r="O621" s="122"/>
      <c r="P621" s="92">
        <f t="shared" si="105"/>
        <v>29.338800000000003</v>
      </c>
      <c r="Q621" s="113">
        <f t="shared" si="106"/>
        <v>1.4350499999999999</v>
      </c>
      <c r="R621" s="92">
        <f t="shared" si="107"/>
        <v>1.1161500000000002</v>
      </c>
      <c r="S621" s="121"/>
      <c r="T621" s="93">
        <f t="shared" si="108"/>
        <v>-1.9999999999820162E-4</v>
      </c>
      <c r="U621" s="122"/>
      <c r="V621" s="94">
        <f t="shared" ca="1" si="93"/>
        <v>128.4644447916653</v>
      </c>
      <c r="W621" s="89"/>
    </row>
    <row r="622" spans="1:23" ht="18">
      <c r="A622" s="260"/>
      <c r="B622" s="260" t="s">
        <v>51</v>
      </c>
      <c r="C622" s="302" t="s">
        <v>55</v>
      </c>
      <c r="D622" s="131">
        <v>231401300740</v>
      </c>
      <c r="E622" s="303">
        <v>121</v>
      </c>
      <c r="F622" s="263">
        <v>45066</v>
      </c>
      <c r="G622" s="304">
        <v>31.59</v>
      </c>
      <c r="H622" s="305">
        <v>1547910</v>
      </c>
      <c r="I622" s="106">
        <f t="shared" si="116"/>
        <v>49000</v>
      </c>
      <c r="J622" s="122"/>
      <c r="K622" s="157" t="s">
        <v>1457</v>
      </c>
      <c r="L622" s="166">
        <f t="shared" si="110"/>
        <v>121</v>
      </c>
      <c r="M622" s="119" t="s">
        <v>1458</v>
      </c>
      <c r="N622" s="115">
        <f>12.917+16.146</f>
        <v>29.063000000000002</v>
      </c>
      <c r="O622" s="122"/>
      <c r="P622" s="92">
        <f t="shared" si="105"/>
        <v>29.062800000000003</v>
      </c>
      <c r="Q622" s="113">
        <f t="shared" si="106"/>
        <v>1.4215499999999999</v>
      </c>
      <c r="R622" s="92">
        <f t="shared" si="107"/>
        <v>1.10565</v>
      </c>
      <c r="S622" s="121"/>
      <c r="T622" s="93">
        <f t="shared" si="108"/>
        <v>-2.0000000000242046E-4</v>
      </c>
      <c r="U622" s="122"/>
      <c r="V622" s="94">
        <f t="shared" ca="1" si="93"/>
        <v>128.4644447916653</v>
      </c>
      <c r="W622" s="89"/>
    </row>
    <row r="623" spans="1:23" ht="18">
      <c r="A623" s="260"/>
      <c r="B623" s="260" t="s">
        <v>51</v>
      </c>
      <c r="C623" s="302" t="s">
        <v>55</v>
      </c>
      <c r="D623" s="131">
        <v>231401300740</v>
      </c>
      <c r="E623" s="303">
        <v>122</v>
      </c>
      <c r="F623" s="263">
        <v>45066</v>
      </c>
      <c r="G623" s="304">
        <v>31.59</v>
      </c>
      <c r="H623" s="305">
        <v>1547910</v>
      </c>
      <c r="I623" s="106">
        <f t="shared" si="116"/>
        <v>49000</v>
      </c>
      <c r="J623" s="122"/>
      <c r="K623" s="157" t="s">
        <v>1459</v>
      </c>
      <c r="L623" s="166">
        <f t="shared" si="110"/>
        <v>122</v>
      </c>
      <c r="M623" s="119" t="s">
        <v>1458</v>
      </c>
      <c r="N623" s="115">
        <f>15.281+13.782</f>
        <v>29.063000000000002</v>
      </c>
      <c r="O623" s="122"/>
      <c r="P623" s="92">
        <f t="shared" si="105"/>
        <v>29.062800000000003</v>
      </c>
      <c r="Q623" s="113">
        <f t="shared" si="106"/>
        <v>1.4215499999999999</v>
      </c>
      <c r="R623" s="92">
        <f t="shared" si="107"/>
        <v>1.10565</v>
      </c>
      <c r="S623" s="121"/>
      <c r="T623" s="93">
        <f t="shared" si="108"/>
        <v>-2.0000000000242046E-4</v>
      </c>
      <c r="U623" s="122"/>
      <c r="V623" s="94">
        <f t="shared" ca="1" si="93"/>
        <v>128.4644447916653</v>
      </c>
      <c r="W623" s="89"/>
    </row>
    <row r="624" spans="1:23" ht="18.75">
      <c r="A624" s="260"/>
      <c r="B624" s="260"/>
      <c r="C624" s="264"/>
      <c r="D624" s="131"/>
      <c r="E624" s="269"/>
      <c r="F624" s="263"/>
      <c r="G624" s="268"/>
      <c r="H624" s="90"/>
      <c r="I624" s="106"/>
      <c r="J624" s="122"/>
      <c r="K624" s="157"/>
      <c r="L624" s="115"/>
      <c r="M624" s="119"/>
      <c r="N624" s="115"/>
      <c r="O624" s="122"/>
      <c r="P624" s="92">
        <f t="shared" si="105"/>
        <v>0</v>
      </c>
      <c r="Q624" s="113">
        <f t="shared" si="106"/>
        <v>0</v>
      </c>
      <c r="R624" s="92">
        <f t="shared" si="107"/>
        <v>0</v>
      </c>
      <c r="S624" s="121"/>
      <c r="T624" s="93">
        <f t="shared" si="108"/>
        <v>0</v>
      </c>
      <c r="U624" s="122"/>
      <c r="V624" s="94"/>
      <c r="W624" s="89"/>
    </row>
    <row r="625" spans="1:23" ht="18">
      <c r="A625" s="260"/>
      <c r="B625" s="260" t="s">
        <v>1194</v>
      </c>
      <c r="C625" s="302" t="s">
        <v>52</v>
      </c>
      <c r="D625" s="131" t="s">
        <v>1195</v>
      </c>
      <c r="E625" s="303">
        <v>123</v>
      </c>
      <c r="F625" s="263">
        <v>45076</v>
      </c>
      <c r="G625" s="310">
        <v>31.75</v>
      </c>
      <c r="H625" s="150">
        <v>1556003.365</v>
      </c>
      <c r="I625" s="106">
        <f t="shared" si="116"/>
        <v>49007.98</v>
      </c>
      <c r="J625" s="122"/>
      <c r="K625" s="157" t="s">
        <v>1460</v>
      </c>
      <c r="L625" s="166">
        <f t="shared" si="110"/>
        <v>123</v>
      </c>
      <c r="M625" s="119" t="s">
        <v>1461</v>
      </c>
      <c r="N625" s="115">
        <f>20.439+8.771</f>
        <v>29.21</v>
      </c>
      <c r="O625" s="122"/>
      <c r="P625" s="92">
        <f t="shared" ref="P625:P793" si="117">G625*0.92</f>
        <v>29.21</v>
      </c>
      <c r="Q625" s="113">
        <f t="shared" ref="Q625:Q793" si="118">G625*4.5%</f>
        <v>1.42875</v>
      </c>
      <c r="R625" s="92">
        <f t="shared" ref="R625:R793" si="119">G625*3.5%</f>
        <v>1.1112500000000001</v>
      </c>
      <c r="S625" s="121"/>
      <c r="T625" s="93">
        <f t="shared" ref="T625:T793" si="120">G625-N625-Q625-R625</f>
        <v>0</v>
      </c>
      <c r="U625" s="122"/>
      <c r="V625" s="94">
        <f t="shared" ca="1" si="93"/>
        <v>138.4644447916653</v>
      </c>
      <c r="W625" s="89"/>
    </row>
    <row r="626" spans="1:23" ht="18">
      <c r="A626" s="260"/>
      <c r="B626" s="260" t="s">
        <v>1194</v>
      </c>
      <c r="C626" s="302" t="s">
        <v>52</v>
      </c>
      <c r="D626" s="131" t="s">
        <v>1195</v>
      </c>
      <c r="E626" s="303">
        <v>124</v>
      </c>
      <c r="F626" s="263">
        <v>45076</v>
      </c>
      <c r="G626" s="309">
        <v>31.75</v>
      </c>
      <c r="H626" s="150">
        <v>1556003.365</v>
      </c>
      <c r="I626" s="106">
        <f t="shared" si="116"/>
        <v>49007.98</v>
      </c>
      <c r="J626" s="122"/>
      <c r="K626" s="158">
        <v>431432</v>
      </c>
      <c r="L626" s="166">
        <f t="shared" si="110"/>
        <v>124</v>
      </c>
      <c r="M626" s="119" t="s">
        <v>1462</v>
      </c>
      <c r="N626" s="115">
        <f>23.035+6.175</f>
        <v>29.21</v>
      </c>
      <c r="O626" s="122">
        <v>0</v>
      </c>
      <c r="P626" s="92">
        <f t="shared" si="117"/>
        <v>29.21</v>
      </c>
      <c r="Q626" s="113">
        <f t="shared" si="118"/>
        <v>1.42875</v>
      </c>
      <c r="R626" s="92">
        <f t="shared" si="119"/>
        <v>1.1112500000000001</v>
      </c>
      <c r="S626" s="121"/>
      <c r="T626" s="93">
        <f t="shared" si="120"/>
        <v>0</v>
      </c>
      <c r="U626" s="122"/>
      <c r="V626" s="94">
        <f t="shared" ca="1" si="93"/>
        <v>138.4644447916653</v>
      </c>
      <c r="W626" s="89"/>
    </row>
    <row r="627" spans="1:23" ht="18">
      <c r="A627" s="260"/>
      <c r="B627" s="260" t="s">
        <v>1194</v>
      </c>
      <c r="C627" s="302" t="s">
        <v>52</v>
      </c>
      <c r="D627" s="131" t="s">
        <v>1196</v>
      </c>
      <c r="E627" s="303">
        <v>125</v>
      </c>
      <c r="F627" s="263">
        <v>45077</v>
      </c>
      <c r="G627" s="310">
        <v>32.450000000000003</v>
      </c>
      <c r="H627" s="150">
        <v>1588553.406</v>
      </c>
      <c r="I627" s="106">
        <f t="shared" si="116"/>
        <v>48953.88</v>
      </c>
      <c r="J627" s="122"/>
      <c r="K627" s="157" t="s">
        <v>1463</v>
      </c>
      <c r="L627" s="166">
        <f t="shared" si="110"/>
        <v>125</v>
      </c>
      <c r="M627" s="119" t="s">
        <v>1464</v>
      </c>
      <c r="N627" s="115">
        <f>26.145+3.709</f>
        <v>29.853999999999999</v>
      </c>
      <c r="O627" s="122"/>
      <c r="P627" s="92">
        <f t="shared" si="117"/>
        <v>29.854000000000003</v>
      </c>
      <c r="Q627" s="113">
        <f t="shared" si="118"/>
        <v>1.46025</v>
      </c>
      <c r="R627" s="92">
        <f t="shared" si="119"/>
        <v>1.1357500000000003</v>
      </c>
      <c r="S627" s="121"/>
      <c r="T627" s="93">
        <f t="shared" si="120"/>
        <v>3.3306690738754696E-15</v>
      </c>
      <c r="U627" s="122"/>
      <c r="V627" s="94">
        <f t="shared" ca="1" si="93"/>
        <v>139.4644447916653</v>
      </c>
      <c r="W627" s="89"/>
    </row>
    <row r="628" spans="1:23" ht="18">
      <c r="A628" s="260"/>
      <c r="B628" s="260" t="s">
        <v>1194</v>
      </c>
      <c r="C628" s="302" t="s">
        <v>52</v>
      </c>
      <c r="D628" s="131" t="s">
        <v>1196</v>
      </c>
      <c r="E628" s="303">
        <v>126</v>
      </c>
      <c r="F628" s="263">
        <v>45077</v>
      </c>
      <c r="G628" s="309">
        <v>32.450000000000003</v>
      </c>
      <c r="H628" s="150">
        <v>1588553.406</v>
      </c>
      <c r="I628" s="106">
        <f t="shared" si="116"/>
        <v>48953.88</v>
      </c>
      <c r="J628" s="122"/>
      <c r="K628" s="157" t="s">
        <v>615</v>
      </c>
      <c r="L628" s="166">
        <f t="shared" si="110"/>
        <v>126</v>
      </c>
      <c r="M628" s="119" t="s">
        <v>1466</v>
      </c>
      <c r="N628" s="115">
        <f>20.551+9.303</f>
        <v>29.853999999999999</v>
      </c>
      <c r="O628" s="122"/>
      <c r="P628" s="92">
        <f t="shared" si="117"/>
        <v>29.854000000000003</v>
      </c>
      <c r="Q628" s="113">
        <f t="shared" si="118"/>
        <v>1.46025</v>
      </c>
      <c r="R628" s="92">
        <f t="shared" si="119"/>
        <v>1.1357500000000003</v>
      </c>
      <c r="S628" s="121"/>
      <c r="T628" s="93">
        <f t="shared" si="120"/>
        <v>3.3306690738754696E-15</v>
      </c>
      <c r="U628" s="122"/>
      <c r="V628" s="94">
        <f t="shared" ca="1" si="93"/>
        <v>139.4644447916653</v>
      </c>
      <c r="W628" s="89"/>
    </row>
    <row r="629" spans="1:23" ht="18">
      <c r="A629" s="260"/>
      <c r="B629" s="260" t="s">
        <v>1194</v>
      </c>
      <c r="C629" s="302" t="s">
        <v>52</v>
      </c>
      <c r="D629" s="131" t="s">
        <v>1197</v>
      </c>
      <c r="E629" s="303">
        <v>127</v>
      </c>
      <c r="F629" s="263">
        <v>45077</v>
      </c>
      <c r="G629" s="310">
        <v>32.1</v>
      </c>
      <c r="H629" s="150">
        <v>1572278.223</v>
      </c>
      <c r="I629" s="106">
        <f t="shared" si="116"/>
        <v>48980.63</v>
      </c>
      <c r="J629" s="122"/>
      <c r="K629" s="157" t="s">
        <v>1465</v>
      </c>
      <c r="L629" s="166">
        <f t="shared" si="110"/>
        <v>127</v>
      </c>
      <c r="M629" s="119" t="s">
        <v>1466</v>
      </c>
      <c r="N629" s="115">
        <f>22.258+7.274</f>
        <v>29.532</v>
      </c>
      <c r="O629" s="122"/>
      <c r="P629" s="92">
        <f t="shared" si="117"/>
        <v>29.532000000000004</v>
      </c>
      <c r="Q629" s="113">
        <f t="shared" si="118"/>
        <v>1.4445000000000001</v>
      </c>
      <c r="R629" s="92">
        <f t="shared" si="119"/>
        <v>1.1235000000000002</v>
      </c>
      <c r="S629" s="121"/>
      <c r="T629" s="93">
        <f>G629-N629-Q629-R629</f>
        <v>0</v>
      </c>
      <c r="U629" s="122"/>
      <c r="V629" s="94">
        <f t="shared" ca="1" si="93"/>
        <v>139.4644447916653</v>
      </c>
      <c r="W629" s="89"/>
    </row>
    <row r="630" spans="1:23" ht="18">
      <c r="A630" s="260"/>
      <c r="B630" s="260" t="s">
        <v>1194</v>
      </c>
      <c r="C630" s="302" t="s">
        <v>52</v>
      </c>
      <c r="D630" s="131" t="s">
        <v>1197</v>
      </c>
      <c r="E630" s="303">
        <v>128</v>
      </c>
      <c r="F630" s="263">
        <v>45077</v>
      </c>
      <c r="G630" s="309">
        <v>32.1</v>
      </c>
      <c r="H630" s="150">
        <v>1572278.223</v>
      </c>
      <c r="I630" s="106">
        <f t="shared" si="116"/>
        <v>48980.63</v>
      </c>
      <c r="J630" s="122"/>
      <c r="K630" s="157" t="s">
        <v>1467</v>
      </c>
      <c r="L630" s="166">
        <f t="shared" si="110"/>
        <v>128</v>
      </c>
      <c r="M630" s="119" t="s">
        <v>1468</v>
      </c>
      <c r="N630" s="115">
        <f>23.925+5.607</f>
        <v>29.532</v>
      </c>
      <c r="O630" s="122"/>
      <c r="P630" s="92">
        <f t="shared" si="117"/>
        <v>29.532000000000004</v>
      </c>
      <c r="Q630" s="113">
        <f t="shared" si="118"/>
        <v>1.4445000000000001</v>
      </c>
      <c r="R630" s="92">
        <f t="shared" si="119"/>
        <v>1.1235000000000002</v>
      </c>
      <c r="S630" s="121"/>
      <c r="T630" s="93">
        <f t="shared" si="120"/>
        <v>0</v>
      </c>
      <c r="U630" s="122"/>
      <c r="V630" s="94">
        <f t="shared" ca="1" si="93"/>
        <v>139.4644447916653</v>
      </c>
      <c r="W630" s="89"/>
    </row>
    <row r="631" spans="1:23" ht="18">
      <c r="A631" s="260"/>
      <c r="B631" s="260" t="s">
        <v>1194</v>
      </c>
      <c r="C631" s="302" t="s">
        <v>52</v>
      </c>
      <c r="D631" s="131" t="s">
        <v>1198</v>
      </c>
      <c r="E631" s="303">
        <v>129</v>
      </c>
      <c r="F631" s="263">
        <v>45077</v>
      </c>
      <c r="G631" s="310">
        <v>31.03</v>
      </c>
      <c r="H631" s="150">
        <v>1519868.9489</v>
      </c>
      <c r="I631" s="106">
        <f t="shared" si="116"/>
        <v>48980.63</v>
      </c>
      <c r="J631" s="122"/>
      <c r="K631" s="157" t="s">
        <v>1469</v>
      </c>
      <c r="L631" s="166">
        <f t="shared" si="110"/>
        <v>129</v>
      </c>
      <c r="M631" s="119" t="s">
        <v>1470</v>
      </c>
      <c r="N631" s="115">
        <f>26.026+2.522</f>
        <v>28.547999999999998</v>
      </c>
      <c r="O631" s="122"/>
      <c r="P631" s="92">
        <f t="shared" si="117"/>
        <v>28.547600000000003</v>
      </c>
      <c r="Q631" s="113">
        <f t="shared" si="118"/>
        <v>1.39635</v>
      </c>
      <c r="R631" s="92">
        <f t="shared" si="119"/>
        <v>1.0860500000000002</v>
      </c>
      <c r="S631" s="121"/>
      <c r="T631" s="93">
        <f t="shared" si="120"/>
        <v>-3.9999999999729141E-4</v>
      </c>
      <c r="U631" s="122"/>
      <c r="V631" s="94">
        <f t="shared" ca="1" si="93"/>
        <v>139.4644447916653</v>
      </c>
      <c r="W631" s="89"/>
    </row>
    <row r="632" spans="1:23" ht="18">
      <c r="A632" s="260"/>
      <c r="B632" s="260" t="s">
        <v>1194</v>
      </c>
      <c r="C632" s="302" t="s">
        <v>52</v>
      </c>
      <c r="D632" s="131" t="s">
        <v>1198</v>
      </c>
      <c r="E632" s="303">
        <v>130</v>
      </c>
      <c r="F632" s="263">
        <v>45077</v>
      </c>
      <c r="G632" s="309">
        <v>33.17</v>
      </c>
      <c r="H632" s="150">
        <v>1624687.4971</v>
      </c>
      <c r="I632" s="106">
        <f t="shared" si="116"/>
        <v>48980.63</v>
      </c>
      <c r="J632" s="122"/>
      <c r="K632" s="157" t="s">
        <v>1471</v>
      </c>
      <c r="L632" s="166">
        <f t="shared" ref="L632:L639" si="121">E632</f>
        <v>130</v>
      </c>
      <c r="M632" s="119" t="s">
        <v>1472</v>
      </c>
      <c r="N632" s="115">
        <f>29.397+1.119</f>
        <v>30.515999999999998</v>
      </c>
      <c r="O632" s="122"/>
      <c r="P632" s="92">
        <f t="shared" si="117"/>
        <v>30.516400000000004</v>
      </c>
      <c r="Q632" s="113">
        <f t="shared" si="118"/>
        <v>1.49265</v>
      </c>
      <c r="R632" s="92">
        <f t="shared" si="119"/>
        <v>1.1609500000000001</v>
      </c>
      <c r="S632" s="121"/>
      <c r="T632" s="93">
        <f t="shared" si="120"/>
        <v>4.0000000000328662E-4</v>
      </c>
      <c r="U632" s="122"/>
      <c r="V632" s="94">
        <f t="shared" ca="1" si="93"/>
        <v>139.4644447916653</v>
      </c>
      <c r="W632" s="89"/>
    </row>
    <row r="633" spans="1:23" ht="18">
      <c r="A633" s="260"/>
      <c r="B633" s="260" t="s">
        <v>1194</v>
      </c>
      <c r="C633" s="302" t="s">
        <v>52</v>
      </c>
      <c r="D633" s="131" t="s">
        <v>1199</v>
      </c>
      <c r="E633" s="303">
        <v>131</v>
      </c>
      <c r="F633" s="263">
        <v>45077</v>
      </c>
      <c r="G633" s="310">
        <v>32.756666666666668</v>
      </c>
      <c r="H633" s="150">
        <v>1605467.4537</v>
      </c>
      <c r="I633" s="106">
        <f t="shared" si="116"/>
        <v>49011.93</v>
      </c>
      <c r="J633" s="122"/>
      <c r="K633" s="157" t="s">
        <v>1473</v>
      </c>
      <c r="L633" s="166">
        <f t="shared" si="121"/>
        <v>131</v>
      </c>
      <c r="M633" s="119" t="s">
        <v>1474</v>
      </c>
      <c r="N633" s="115">
        <f>23.746+6.39</f>
        <v>30.135999999999999</v>
      </c>
      <c r="O633" s="122"/>
      <c r="P633" s="92">
        <f t="shared" si="117"/>
        <v>30.136133333333337</v>
      </c>
      <c r="Q633" s="113">
        <f t="shared" si="118"/>
        <v>1.4740500000000001</v>
      </c>
      <c r="R633" s="92">
        <f t="shared" si="119"/>
        <v>1.1464833333333335</v>
      </c>
      <c r="S633" s="121"/>
      <c r="T633" s="93">
        <f t="shared" si="120"/>
        <v>1.3333333333487296E-4</v>
      </c>
      <c r="U633" s="122"/>
      <c r="V633" s="94">
        <f t="shared" ca="1" si="93"/>
        <v>139.4644447916653</v>
      </c>
      <c r="W633" s="89"/>
    </row>
    <row r="634" spans="1:23" ht="18">
      <c r="A634" s="260"/>
      <c r="B634" s="260" t="s">
        <v>1194</v>
      </c>
      <c r="C634" s="302" t="s">
        <v>52</v>
      </c>
      <c r="D634" s="131" t="s">
        <v>1200</v>
      </c>
      <c r="E634" s="303">
        <v>132</v>
      </c>
      <c r="F634" s="263">
        <v>45077</v>
      </c>
      <c r="G634" s="310">
        <v>30.706666666666667</v>
      </c>
      <c r="H634" s="150">
        <v>1503094.7110666668</v>
      </c>
      <c r="I634" s="106">
        <f t="shared" si="116"/>
        <v>48950.11</v>
      </c>
      <c r="J634" s="122"/>
      <c r="K634" s="157" t="s">
        <v>1475</v>
      </c>
      <c r="L634" s="166">
        <f t="shared" si="121"/>
        <v>132</v>
      </c>
      <c r="M634" s="119" t="s">
        <v>1474</v>
      </c>
      <c r="N634" s="115">
        <f>25.338+2.912</f>
        <v>28.25</v>
      </c>
      <c r="O634" s="122"/>
      <c r="P634" s="92">
        <f t="shared" si="117"/>
        <v>28.250133333333334</v>
      </c>
      <c r="Q634" s="113">
        <f t="shared" si="118"/>
        <v>1.3817999999999999</v>
      </c>
      <c r="R634" s="92">
        <f t="shared" si="119"/>
        <v>1.0747333333333335</v>
      </c>
      <c r="S634" s="121"/>
      <c r="T634" s="93">
        <f t="shared" si="120"/>
        <v>1.3333333333354069E-4</v>
      </c>
      <c r="U634" s="122"/>
      <c r="V634" s="94">
        <f t="shared" ca="1" si="93"/>
        <v>139.4644447916653</v>
      </c>
      <c r="W634" s="89"/>
    </row>
    <row r="635" spans="1:23" ht="18">
      <c r="A635" s="260"/>
      <c r="B635" s="260" t="s">
        <v>1194</v>
      </c>
      <c r="C635" s="302" t="s">
        <v>52</v>
      </c>
      <c r="D635" s="131" t="s">
        <v>1200</v>
      </c>
      <c r="E635" s="303">
        <v>133</v>
      </c>
      <c r="F635" s="263">
        <v>45077</v>
      </c>
      <c r="G635" s="309">
        <v>35.093333333333334</v>
      </c>
      <c r="H635" s="150">
        <v>1717822.5269333334</v>
      </c>
      <c r="I635" s="106">
        <f t="shared" si="116"/>
        <v>48950.11</v>
      </c>
      <c r="J635" s="122"/>
      <c r="K635" s="157" t="s">
        <v>1476</v>
      </c>
      <c r="L635" s="166">
        <f t="shared" si="121"/>
        <v>133</v>
      </c>
      <c r="M635" s="119" t="s">
        <v>1477</v>
      </c>
      <c r="N635" s="115">
        <f>28.603+3.683</f>
        <v>32.286000000000001</v>
      </c>
      <c r="O635" s="122"/>
      <c r="P635" s="92">
        <f t="shared" si="117"/>
        <v>32.285866666666671</v>
      </c>
      <c r="Q635" s="113">
        <f t="shared" si="118"/>
        <v>1.5791999999999999</v>
      </c>
      <c r="R635" s="92">
        <f t="shared" si="119"/>
        <v>1.2282666666666668</v>
      </c>
      <c r="S635" s="121"/>
      <c r="T635" s="93">
        <f t="shared" si="120"/>
        <v>-1.3333333333442887E-4</v>
      </c>
      <c r="U635" s="122"/>
      <c r="V635" s="94">
        <f t="shared" ca="1" si="93"/>
        <v>139.4644447916653</v>
      </c>
      <c r="W635" s="89"/>
    </row>
    <row r="636" spans="1:23" ht="18">
      <c r="A636" s="260"/>
      <c r="B636" s="260" t="s">
        <v>1194</v>
      </c>
      <c r="C636" s="302" t="s">
        <v>52</v>
      </c>
      <c r="D636" s="131" t="s">
        <v>1199</v>
      </c>
      <c r="E636" s="303">
        <v>134</v>
      </c>
      <c r="F636" s="263">
        <v>45077</v>
      </c>
      <c r="G636" s="309">
        <v>30.643333333333331</v>
      </c>
      <c r="H636" s="150">
        <v>1501888.9082999998</v>
      </c>
      <c r="I636" s="106">
        <f t="shared" si="116"/>
        <v>49011.93</v>
      </c>
      <c r="J636" s="122"/>
      <c r="K636" s="158">
        <v>451452</v>
      </c>
      <c r="L636" s="166">
        <f t="shared" si="121"/>
        <v>134</v>
      </c>
      <c r="M636" s="119" t="s">
        <v>1478</v>
      </c>
      <c r="N636" s="115">
        <f>20.921+7.271</f>
        <v>28.192</v>
      </c>
      <c r="O636" s="122"/>
      <c r="P636" s="92">
        <f t="shared" si="117"/>
        <v>28.191866666666666</v>
      </c>
      <c r="Q636" s="113">
        <f t="shared" si="118"/>
        <v>1.3789499999999999</v>
      </c>
      <c r="R636" s="92">
        <f t="shared" si="119"/>
        <v>1.0725166666666668</v>
      </c>
      <c r="S636" s="121"/>
      <c r="T636" s="93">
        <f t="shared" si="120"/>
        <v>-1.3333333333598318E-4</v>
      </c>
      <c r="U636" s="122"/>
      <c r="V636" s="94">
        <f t="shared" ca="1" si="93"/>
        <v>139.4644447916653</v>
      </c>
      <c r="W636" s="89"/>
    </row>
    <row r="637" spans="1:23" ht="18">
      <c r="A637" s="260"/>
      <c r="B637" s="260" t="s">
        <v>1194</v>
      </c>
      <c r="C637" s="302" t="s">
        <v>52</v>
      </c>
      <c r="D637" s="131" t="s">
        <v>1201</v>
      </c>
      <c r="E637" s="303">
        <v>135</v>
      </c>
      <c r="F637" s="263">
        <v>45077</v>
      </c>
      <c r="G637" s="310">
        <v>31.7</v>
      </c>
      <c r="H637" s="150">
        <v>1553678.1809999999</v>
      </c>
      <c r="I637" s="106">
        <f t="shared" si="116"/>
        <v>49011.93</v>
      </c>
      <c r="J637" s="122"/>
      <c r="K637" s="157" t="s">
        <v>1479</v>
      </c>
      <c r="L637" s="166">
        <f t="shared" si="121"/>
        <v>135</v>
      </c>
      <c r="M637" s="119" t="s">
        <v>1478</v>
      </c>
      <c r="N637" s="115">
        <f>24.688+4.476</f>
        <v>29.163999999999998</v>
      </c>
      <c r="O637" s="122"/>
      <c r="P637" s="92">
        <f t="shared" si="117"/>
        <v>29.164000000000001</v>
      </c>
      <c r="Q637" s="113">
        <f t="shared" si="118"/>
        <v>1.4264999999999999</v>
      </c>
      <c r="R637" s="92">
        <f t="shared" si="119"/>
        <v>1.1095000000000002</v>
      </c>
      <c r="S637" s="121"/>
      <c r="T637" s="93">
        <f t="shared" si="120"/>
        <v>0</v>
      </c>
      <c r="U637" s="122"/>
      <c r="V637" s="94">
        <f t="shared" ca="1" si="93"/>
        <v>139.4644447916653</v>
      </c>
      <c r="W637" s="89"/>
    </row>
    <row r="638" spans="1:23" ht="18">
      <c r="A638" s="260"/>
      <c r="B638" s="260" t="s">
        <v>1194</v>
      </c>
      <c r="C638" s="302" t="s">
        <v>52</v>
      </c>
      <c r="D638" s="131" t="s">
        <v>1201</v>
      </c>
      <c r="E638" s="303">
        <v>136</v>
      </c>
      <c r="F638" s="263">
        <v>45077</v>
      </c>
      <c r="G638" s="309">
        <v>31.7</v>
      </c>
      <c r="H638" s="150">
        <v>1553678.1809999999</v>
      </c>
      <c r="I638" s="106">
        <f t="shared" si="116"/>
        <v>49011.93</v>
      </c>
      <c r="J638" s="122"/>
      <c r="K638" s="157" t="s">
        <v>1480</v>
      </c>
      <c r="L638" s="166">
        <f t="shared" si="121"/>
        <v>136</v>
      </c>
      <c r="M638" s="119" t="s">
        <v>1481</v>
      </c>
      <c r="N638" s="115">
        <f>27.447+0.069+1.648</f>
        <v>29.163999999999998</v>
      </c>
      <c r="O638" s="122"/>
      <c r="P638" s="92">
        <f t="shared" si="117"/>
        <v>29.164000000000001</v>
      </c>
      <c r="Q638" s="113">
        <f t="shared" si="118"/>
        <v>1.4264999999999999</v>
      </c>
      <c r="R638" s="92">
        <f t="shared" si="119"/>
        <v>1.1095000000000002</v>
      </c>
      <c r="S638" s="121"/>
      <c r="T638" s="93">
        <f>G638-N638-Q638-R638</f>
        <v>0</v>
      </c>
      <c r="U638" s="122"/>
      <c r="V638" s="94">
        <f t="shared" ca="1" si="93"/>
        <v>139.4644447916653</v>
      </c>
      <c r="W638" s="89"/>
    </row>
    <row r="639" spans="1:23" ht="18">
      <c r="A639" s="260"/>
      <c r="B639" s="260" t="s">
        <v>1194</v>
      </c>
      <c r="C639" s="302" t="s">
        <v>52</v>
      </c>
      <c r="D639" s="131" t="s">
        <v>1202</v>
      </c>
      <c r="E639" s="303">
        <v>137</v>
      </c>
      <c r="F639" s="263">
        <v>45077</v>
      </c>
      <c r="G639" s="310">
        <v>31.550000000000004</v>
      </c>
      <c r="H639" s="150">
        <v>1546703.4140000001</v>
      </c>
      <c r="I639" s="106">
        <f t="shared" si="116"/>
        <v>49023.88</v>
      </c>
      <c r="J639" s="122"/>
      <c r="K639" s="157">
        <v>458</v>
      </c>
      <c r="L639" s="166">
        <f t="shared" si="121"/>
        <v>137</v>
      </c>
      <c r="M639" s="119" t="s">
        <v>1482</v>
      </c>
      <c r="N639" s="115">
        <v>29.026</v>
      </c>
      <c r="O639" s="122"/>
      <c r="P639" s="92">
        <f t="shared" si="117"/>
        <v>29.026000000000007</v>
      </c>
      <c r="Q639" s="113">
        <f t="shared" si="118"/>
        <v>1.4197500000000001</v>
      </c>
      <c r="R639" s="92">
        <f t="shared" si="119"/>
        <v>1.1042500000000002</v>
      </c>
      <c r="S639" s="121"/>
      <c r="T639" s="93">
        <f t="shared" si="120"/>
        <v>4.2188474935755949E-15</v>
      </c>
      <c r="U639" s="122"/>
      <c r="V639" s="94">
        <f t="shared" ca="1" si="93"/>
        <v>139.4644447916653</v>
      </c>
      <c r="W639" s="89"/>
    </row>
    <row r="640" spans="1:23" ht="18">
      <c r="A640" s="260"/>
      <c r="B640" s="260" t="s">
        <v>1194</v>
      </c>
      <c r="C640" s="302" t="s">
        <v>52</v>
      </c>
      <c r="D640" s="131" t="s">
        <v>1202</v>
      </c>
      <c r="E640" s="303">
        <v>138</v>
      </c>
      <c r="F640" s="263">
        <v>45077</v>
      </c>
      <c r="G640" s="309">
        <v>31.550000000000004</v>
      </c>
      <c r="H640" s="150">
        <v>1546703.4140000001</v>
      </c>
      <c r="I640" s="106">
        <f t="shared" si="116"/>
        <v>49023.88</v>
      </c>
      <c r="J640" s="122"/>
      <c r="K640" s="158" t="s">
        <v>1483</v>
      </c>
      <c r="L640" s="166">
        <f>E640</f>
        <v>138</v>
      </c>
      <c r="M640" s="119" t="s">
        <v>1484</v>
      </c>
      <c r="N640" s="115">
        <f>1.71+27.227+0.089</f>
        <v>29.026</v>
      </c>
      <c r="O640" s="122"/>
      <c r="P640" s="92">
        <f t="shared" si="117"/>
        <v>29.026000000000007</v>
      </c>
      <c r="Q640" s="113">
        <f t="shared" si="118"/>
        <v>1.4197500000000001</v>
      </c>
      <c r="R640" s="92">
        <f t="shared" si="119"/>
        <v>1.1042500000000002</v>
      </c>
      <c r="S640" s="121"/>
      <c r="T640" s="93">
        <f t="shared" si="120"/>
        <v>4.2188474935755949E-15</v>
      </c>
      <c r="U640" s="122"/>
      <c r="V640" s="94">
        <f t="shared" ca="1" si="93"/>
        <v>139.4644447916653</v>
      </c>
      <c r="W640" s="89"/>
    </row>
    <row r="641" spans="1:23" s="312" customFormat="1" ht="18">
      <c r="A641" s="260"/>
      <c r="B641" s="260"/>
      <c r="C641" s="302"/>
      <c r="D641" s="131"/>
      <c r="E641" s="303"/>
      <c r="F641" s="263"/>
      <c r="G641" s="309"/>
      <c r="H641" s="150"/>
      <c r="I641" s="106"/>
      <c r="J641" s="122"/>
      <c r="K641" s="157"/>
      <c r="L641" s="115"/>
      <c r="M641" s="119"/>
      <c r="N641" s="115"/>
      <c r="O641" s="122"/>
      <c r="P641" s="92"/>
      <c r="Q641" s="113"/>
      <c r="R641" s="92"/>
      <c r="S641" s="121"/>
      <c r="T641" s="93"/>
      <c r="U641" s="122"/>
      <c r="V641" s="94"/>
      <c r="W641" s="89"/>
    </row>
    <row r="642" spans="1:23" ht="18">
      <c r="A642" s="260"/>
      <c r="B642" s="260" t="s">
        <v>1377</v>
      </c>
      <c r="C642" s="175" t="s">
        <v>1378</v>
      </c>
      <c r="D642" s="131" t="s">
        <v>1380</v>
      </c>
      <c r="E642" s="313">
        <v>139</v>
      </c>
      <c r="F642" s="263">
        <v>45100</v>
      </c>
      <c r="G642" s="252">
        <v>25.126999999999999</v>
      </c>
      <c r="H642" s="150">
        <v>1320423.8499999999</v>
      </c>
      <c r="I642" s="106">
        <f t="shared" si="116"/>
        <v>52550</v>
      </c>
      <c r="J642" s="122"/>
      <c r="K642" s="157" t="s">
        <v>1485</v>
      </c>
      <c r="L642" s="166">
        <f t="shared" ref="L642:L705" si="122">E642</f>
        <v>139</v>
      </c>
      <c r="M642" s="119" t="s">
        <v>1486</v>
      </c>
      <c r="N642" s="115">
        <f>4.378+18.739</f>
        <v>23.117000000000001</v>
      </c>
      <c r="O642" s="122"/>
      <c r="P642" s="92">
        <f t="shared" si="117"/>
        <v>23.11684</v>
      </c>
      <c r="Q642" s="113">
        <f t="shared" si="118"/>
        <v>1.1307149999999999</v>
      </c>
      <c r="R642" s="92">
        <f t="shared" si="119"/>
        <v>0.87944500000000003</v>
      </c>
      <c r="S642" s="121"/>
      <c r="T642" s="93">
        <f t="shared" si="120"/>
        <v>-1.6000000000193637E-4</v>
      </c>
      <c r="U642" s="122"/>
      <c r="V642" s="94">
        <f t="shared" ca="1" si="93"/>
        <v>162.4644447916653</v>
      </c>
      <c r="W642" s="89"/>
    </row>
    <row r="643" spans="1:23" ht="18">
      <c r="A643" s="260"/>
      <c r="B643" s="260" t="s">
        <v>1377</v>
      </c>
      <c r="C643" s="175" t="s">
        <v>1378</v>
      </c>
      <c r="D643" s="131" t="s">
        <v>1381</v>
      </c>
      <c r="E643" s="313">
        <v>140</v>
      </c>
      <c r="F643" s="263">
        <v>45100</v>
      </c>
      <c r="G643" s="252">
        <v>14.472</v>
      </c>
      <c r="H643" s="150">
        <v>760503.6</v>
      </c>
      <c r="I643" s="106">
        <f t="shared" si="116"/>
        <v>52550</v>
      </c>
      <c r="J643" s="122"/>
      <c r="K643" s="157" t="s">
        <v>1489</v>
      </c>
      <c r="L643" s="166">
        <f t="shared" si="122"/>
        <v>140</v>
      </c>
      <c r="M643" s="119" t="s">
        <v>1488</v>
      </c>
      <c r="N643" s="115">
        <f>1.737+11.577</f>
        <v>13.314</v>
      </c>
      <c r="O643" s="122"/>
      <c r="P643" s="92">
        <f t="shared" si="117"/>
        <v>13.31424</v>
      </c>
      <c r="Q643" s="113">
        <f t="shared" si="118"/>
        <v>0.65123999999999993</v>
      </c>
      <c r="R643" s="92">
        <f t="shared" si="119"/>
        <v>0.50652000000000008</v>
      </c>
      <c r="S643" s="121"/>
      <c r="T643" s="93">
        <f t="shared" si="120"/>
        <v>2.3999999999946287E-4</v>
      </c>
      <c r="U643" s="122"/>
      <c r="V643" s="94">
        <f t="shared" ca="1" si="93"/>
        <v>162.4644447916653</v>
      </c>
      <c r="W643" s="89"/>
    </row>
    <row r="644" spans="1:23" ht="18">
      <c r="A644" s="260"/>
      <c r="B644" s="260" t="s">
        <v>1377</v>
      </c>
      <c r="C644" s="175" t="s">
        <v>1378</v>
      </c>
      <c r="D644" s="131" t="s">
        <v>1382</v>
      </c>
      <c r="E644" s="313">
        <v>141</v>
      </c>
      <c r="F644" s="263">
        <v>45100</v>
      </c>
      <c r="G644" s="252">
        <v>14.472</v>
      </c>
      <c r="H644" s="150">
        <v>760503.6</v>
      </c>
      <c r="I644" s="106">
        <f t="shared" si="116"/>
        <v>52550</v>
      </c>
      <c r="J644" s="122"/>
      <c r="K644" s="157">
        <v>466</v>
      </c>
      <c r="L644" s="166">
        <f t="shared" si="122"/>
        <v>141</v>
      </c>
      <c r="M644" s="119" t="s">
        <v>1487</v>
      </c>
      <c r="N644" s="115">
        <v>13.314</v>
      </c>
      <c r="O644" s="122"/>
      <c r="P644" s="92">
        <f t="shared" ref="P644:P791" si="123">G644*0.92</f>
        <v>13.31424</v>
      </c>
      <c r="Q644" s="113">
        <f t="shared" ref="Q644:Q791" si="124">G644*4.5%</f>
        <v>0.65123999999999993</v>
      </c>
      <c r="R644" s="92">
        <f t="shared" ref="R644:R791" si="125">G644*3.5%</f>
        <v>0.50652000000000008</v>
      </c>
      <c r="S644" s="121"/>
      <c r="T644" s="93">
        <f t="shared" ref="T644:T792" si="126">G644-N644-Q644-R644</f>
        <v>2.3999999999946287E-4</v>
      </c>
      <c r="U644" s="122"/>
      <c r="V644" s="94">
        <f t="shared" ca="1" si="93"/>
        <v>162.4644447916653</v>
      </c>
      <c r="W644" s="89"/>
    </row>
    <row r="645" spans="1:23" ht="18">
      <c r="A645" s="260"/>
      <c r="B645" s="260" t="s">
        <v>1377</v>
      </c>
      <c r="C645" s="175" t="s">
        <v>1378</v>
      </c>
      <c r="D645" s="131" t="s">
        <v>1383</v>
      </c>
      <c r="E645" s="313">
        <v>142</v>
      </c>
      <c r="F645" s="263">
        <v>45100</v>
      </c>
      <c r="G645" s="252">
        <v>25.100999999999999</v>
      </c>
      <c r="H645" s="150">
        <v>1319057.55</v>
      </c>
      <c r="I645" s="106">
        <f t="shared" si="116"/>
        <v>52550.000000000007</v>
      </c>
      <c r="J645" s="122"/>
      <c r="K645" s="157" t="s">
        <v>1490</v>
      </c>
      <c r="L645" s="166">
        <f t="shared" si="122"/>
        <v>142</v>
      </c>
      <c r="M645" s="119" t="s">
        <v>1491</v>
      </c>
      <c r="N645" s="115">
        <f>7.257+15.836</f>
        <v>23.093</v>
      </c>
      <c r="O645" s="122"/>
      <c r="P645" s="92">
        <f t="shared" si="123"/>
        <v>23.092919999999999</v>
      </c>
      <c r="Q645" s="113">
        <f t="shared" si="124"/>
        <v>1.129545</v>
      </c>
      <c r="R645" s="92">
        <f t="shared" si="125"/>
        <v>0.87853500000000007</v>
      </c>
      <c r="S645" s="121"/>
      <c r="T645" s="93">
        <f t="shared" si="126"/>
        <v>-8.0000000000968186E-5</v>
      </c>
      <c r="U645" s="122"/>
      <c r="V645" s="94">
        <f t="shared" ca="1" si="93"/>
        <v>162.4644447916653</v>
      </c>
      <c r="W645" s="89"/>
    </row>
    <row r="646" spans="1:23" ht="18">
      <c r="A646" s="260"/>
      <c r="B646" s="260" t="s">
        <v>1377</v>
      </c>
      <c r="C646" s="175" t="s">
        <v>1378</v>
      </c>
      <c r="D646" s="131" t="s">
        <v>1384</v>
      </c>
      <c r="E646" s="313">
        <v>143</v>
      </c>
      <c r="F646" s="263">
        <v>45100</v>
      </c>
      <c r="G646" s="252">
        <v>14.472</v>
      </c>
      <c r="H646" s="150">
        <v>760503.6</v>
      </c>
      <c r="I646" s="106">
        <f t="shared" si="116"/>
        <v>52550</v>
      </c>
      <c r="J646" s="122"/>
      <c r="K646" s="157">
        <v>469</v>
      </c>
      <c r="L646" s="166">
        <f t="shared" si="122"/>
        <v>143</v>
      </c>
      <c r="M646" s="119" t="s">
        <v>1492</v>
      </c>
      <c r="N646" s="115">
        <v>13.314</v>
      </c>
      <c r="O646" s="122"/>
      <c r="P646" s="92">
        <f t="shared" si="123"/>
        <v>13.31424</v>
      </c>
      <c r="Q646" s="113">
        <f t="shared" si="124"/>
        <v>0.65123999999999993</v>
      </c>
      <c r="R646" s="92">
        <f t="shared" si="125"/>
        <v>0.50652000000000008</v>
      </c>
      <c r="S646" s="121"/>
      <c r="T646" s="93">
        <f t="shared" si="126"/>
        <v>2.3999999999946287E-4</v>
      </c>
      <c r="U646" s="122"/>
      <c r="V646" s="94">
        <f t="shared" ca="1" si="93"/>
        <v>162.4644447916653</v>
      </c>
      <c r="W646" s="89"/>
    </row>
    <row r="647" spans="1:23" ht="18">
      <c r="A647" s="260"/>
      <c r="B647" s="260" t="s">
        <v>1377</v>
      </c>
      <c r="C647" s="175" t="s">
        <v>1378</v>
      </c>
      <c r="D647" s="131" t="s">
        <v>1385</v>
      </c>
      <c r="E647" s="313">
        <v>144</v>
      </c>
      <c r="F647" s="263">
        <v>45100</v>
      </c>
      <c r="G647" s="252">
        <v>25.146000000000001</v>
      </c>
      <c r="H647" s="150">
        <v>1321422.3</v>
      </c>
      <c r="I647" s="106">
        <f t="shared" si="116"/>
        <v>52550</v>
      </c>
      <c r="J647" s="122"/>
      <c r="K647" s="157" t="s">
        <v>1493</v>
      </c>
      <c r="L647" s="166">
        <f t="shared" si="122"/>
        <v>144</v>
      </c>
      <c r="M647" s="119" t="s">
        <v>1494</v>
      </c>
      <c r="N647" s="115">
        <f>3.292+19.842</f>
        <v>23.134</v>
      </c>
      <c r="O647" s="122"/>
      <c r="P647" s="92">
        <f t="shared" si="123"/>
        <v>23.134320000000002</v>
      </c>
      <c r="Q647" s="113">
        <f t="shared" si="124"/>
        <v>1.13157</v>
      </c>
      <c r="R647" s="92">
        <f t="shared" si="125"/>
        <v>0.88011000000000006</v>
      </c>
      <c r="S647" s="121"/>
      <c r="T647" s="93">
        <f t="shared" si="126"/>
        <v>3.2000000000043105E-4</v>
      </c>
      <c r="U647" s="122"/>
      <c r="V647" s="94">
        <f t="shared" ca="1" si="93"/>
        <v>162.4644447916653</v>
      </c>
      <c r="W647" s="89"/>
    </row>
    <row r="648" spans="1:23" ht="18">
      <c r="A648" s="260"/>
      <c r="B648" s="260" t="s">
        <v>1377</v>
      </c>
      <c r="C648" s="175" t="s">
        <v>1378</v>
      </c>
      <c r="D648" s="131" t="s">
        <v>1386</v>
      </c>
      <c r="E648" s="313">
        <v>145</v>
      </c>
      <c r="F648" s="263">
        <v>45100</v>
      </c>
      <c r="G648" s="252">
        <v>39.57</v>
      </c>
      <c r="H648" s="150">
        <v>2079403.5</v>
      </c>
      <c r="I648" s="106">
        <f t="shared" si="116"/>
        <v>52550</v>
      </c>
      <c r="J648" s="122"/>
      <c r="K648" s="314" t="s">
        <v>1509</v>
      </c>
      <c r="L648" s="315">
        <f t="shared" si="122"/>
        <v>145</v>
      </c>
      <c r="M648" s="316" t="s">
        <v>1510</v>
      </c>
      <c r="N648" s="116">
        <f>32.265+4.139</f>
        <v>36.404000000000003</v>
      </c>
      <c r="O648" s="122"/>
      <c r="P648" s="92">
        <f t="shared" ref="P648:P649" si="127">G648*0.92</f>
        <v>36.404400000000003</v>
      </c>
      <c r="Q648" s="113">
        <f t="shared" ref="Q648:Q649" si="128">G648*4.5%</f>
        <v>1.7806499999999998</v>
      </c>
      <c r="R648" s="92">
        <f t="shared" ref="R648:R649" si="129">G648*3.5%</f>
        <v>1.3849500000000001</v>
      </c>
      <c r="S648" s="121"/>
      <c r="T648" s="93">
        <f t="shared" ref="T648:T649" si="130">G648-N648-Q648-R648</f>
        <v>3.9999999999684732E-4</v>
      </c>
      <c r="U648" s="122"/>
      <c r="V648" s="94">
        <f t="shared" ca="1" si="93"/>
        <v>162.4644447916653</v>
      </c>
      <c r="W648" s="89"/>
    </row>
    <row r="649" spans="1:23" ht="18">
      <c r="A649" s="260"/>
      <c r="B649" s="260" t="s">
        <v>1377</v>
      </c>
      <c r="C649" s="175" t="s">
        <v>1378</v>
      </c>
      <c r="D649" s="131" t="s">
        <v>1387</v>
      </c>
      <c r="E649" s="313">
        <v>146</v>
      </c>
      <c r="F649" s="263">
        <v>45100</v>
      </c>
      <c r="G649" s="252">
        <v>26.84</v>
      </c>
      <c r="H649" s="150">
        <v>1410442</v>
      </c>
      <c r="I649" s="106">
        <f t="shared" si="116"/>
        <v>52550</v>
      </c>
      <c r="J649" s="122"/>
      <c r="K649" s="314">
        <v>494</v>
      </c>
      <c r="L649" s="315">
        <f t="shared" si="122"/>
        <v>146</v>
      </c>
      <c r="M649" s="316" t="s">
        <v>1508</v>
      </c>
      <c r="N649" s="116">
        <v>24.693000000000001</v>
      </c>
      <c r="O649" s="122"/>
      <c r="P649" s="92">
        <f t="shared" si="127"/>
        <v>24.692800000000002</v>
      </c>
      <c r="Q649" s="113">
        <f t="shared" si="128"/>
        <v>1.2078</v>
      </c>
      <c r="R649" s="92">
        <f t="shared" si="129"/>
        <v>0.93940000000000012</v>
      </c>
      <c r="S649" s="121"/>
      <c r="T649" s="93">
        <f t="shared" si="130"/>
        <v>-2.0000000000164331E-4</v>
      </c>
      <c r="U649" s="122"/>
      <c r="V649" s="94">
        <f t="shared" ca="1" si="93"/>
        <v>162.4644447916653</v>
      </c>
      <c r="W649" s="89"/>
    </row>
    <row r="650" spans="1:23" ht="18">
      <c r="A650" s="260"/>
      <c r="B650" s="260" t="s">
        <v>1377</v>
      </c>
      <c r="C650" s="175" t="s">
        <v>1378</v>
      </c>
      <c r="D650" s="131" t="s">
        <v>1388</v>
      </c>
      <c r="E650" s="313">
        <v>147</v>
      </c>
      <c r="F650" s="263">
        <v>45100</v>
      </c>
      <c r="G650" s="252">
        <v>12.663</v>
      </c>
      <c r="H650" s="150">
        <v>665440.65</v>
      </c>
      <c r="I650" s="106">
        <f t="shared" si="116"/>
        <v>52550</v>
      </c>
      <c r="J650" s="122"/>
      <c r="K650" s="157" t="s">
        <v>1496</v>
      </c>
      <c r="L650" s="166">
        <f t="shared" si="122"/>
        <v>147</v>
      </c>
      <c r="M650" s="119" t="s">
        <v>1495</v>
      </c>
      <c r="N650" s="115">
        <f>5.311+6.339</f>
        <v>11.65</v>
      </c>
      <c r="O650" s="122"/>
      <c r="P650" s="92">
        <f t="shared" si="123"/>
        <v>11.64996</v>
      </c>
      <c r="Q650" s="113">
        <f t="shared" si="124"/>
        <v>0.56983499999999998</v>
      </c>
      <c r="R650" s="92">
        <f t="shared" si="125"/>
        <v>0.44320500000000007</v>
      </c>
      <c r="S650" s="121"/>
      <c r="T650" s="93">
        <f t="shared" si="126"/>
        <v>-4.0000000000151026E-5</v>
      </c>
      <c r="U650" s="122"/>
      <c r="V650" s="94">
        <f t="shared" ca="1" si="93"/>
        <v>162.4644447916653</v>
      </c>
      <c r="W650" s="89"/>
    </row>
    <row r="651" spans="1:23" ht="18">
      <c r="A651" s="260"/>
      <c r="B651" s="260" t="s">
        <v>1377</v>
      </c>
      <c r="C651" s="175" t="s">
        <v>1378</v>
      </c>
      <c r="D651" s="131" t="s">
        <v>1389</v>
      </c>
      <c r="E651" s="313">
        <v>148</v>
      </c>
      <c r="F651" s="263">
        <v>45100</v>
      </c>
      <c r="G651" s="252">
        <v>17.841999999999999</v>
      </c>
      <c r="H651" s="150">
        <v>937597.1</v>
      </c>
      <c r="I651" s="106">
        <f t="shared" si="116"/>
        <v>52550</v>
      </c>
      <c r="J651" s="122"/>
      <c r="K651" s="157">
        <v>474</v>
      </c>
      <c r="L651" s="166">
        <f t="shared" si="122"/>
        <v>148</v>
      </c>
      <c r="M651" s="119" t="s">
        <v>1495</v>
      </c>
      <c r="N651" s="115">
        <v>16.414999999999999</v>
      </c>
      <c r="O651" s="122"/>
      <c r="P651" s="92">
        <f t="shared" si="123"/>
        <v>16.414639999999999</v>
      </c>
      <c r="Q651" s="113">
        <f t="shared" si="124"/>
        <v>0.80288999999999988</v>
      </c>
      <c r="R651" s="92">
        <f t="shared" si="125"/>
        <v>0.62446999999999997</v>
      </c>
      <c r="S651" s="121"/>
      <c r="T651" s="93">
        <f t="shared" si="126"/>
        <v>-3.6000000000024901E-4</v>
      </c>
      <c r="U651" s="122"/>
      <c r="V651" s="94">
        <f t="shared" ca="1" si="93"/>
        <v>162.4644447916653</v>
      </c>
      <c r="W651" s="89"/>
    </row>
    <row r="652" spans="1:23" ht="18">
      <c r="A652" s="260"/>
      <c r="B652" s="260" t="s">
        <v>1377</v>
      </c>
      <c r="C652" s="175" t="s">
        <v>1378</v>
      </c>
      <c r="D652" s="131" t="s">
        <v>1390</v>
      </c>
      <c r="E652" s="313">
        <v>149</v>
      </c>
      <c r="F652" s="263">
        <v>45100</v>
      </c>
      <c r="G652" s="252">
        <v>1.8089999999999999</v>
      </c>
      <c r="H652" s="150">
        <v>95062.95</v>
      </c>
      <c r="I652" s="106">
        <f t="shared" si="116"/>
        <v>52550</v>
      </c>
      <c r="J652" s="122"/>
      <c r="K652" s="157">
        <v>475</v>
      </c>
      <c r="L652" s="166">
        <f t="shared" si="122"/>
        <v>149</v>
      </c>
      <c r="M652" s="119" t="s">
        <v>1495</v>
      </c>
      <c r="N652" s="115">
        <v>1.6639999999999999</v>
      </c>
      <c r="O652" s="122"/>
      <c r="P652" s="92">
        <f t="shared" si="123"/>
        <v>1.66428</v>
      </c>
      <c r="Q652" s="113">
        <f t="shared" si="124"/>
        <v>8.1404999999999991E-2</v>
      </c>
      <c r="R652" s="92">
        <f t="shared" si="125"/>
        <v>6.331500000000001E-2</v>
      </c>
      <c r="S652" s="121"/>
      <c r="T652" s="93">
        <f t="shared" si="126"/>
        <v>2.8000000000001635E-4</v>
      </c>
      <c r="U652" s="122"/>
      <c r="V652" s="94">
        <f t="shared" ca="1" si="93"/>
        <v>162.4644447916653</v>
      </c>
      <c r="W652" s="89"/>
    </row>
    <row r="653" spans="1:23" ht="18">
      <c r="A653" s="260"/>
      <c r="B653" s="260" t="s">
        <v>1377</v>
      </c>
      <c r="C653" s="175" t="s">
        <v>1378</v>
      </c>
      <c r="D653" s="131" t="s">
        <v>1391</v>
      </c>
      <c r="E653" s="313">
        <v>150</v>
      </c>
      <c r="F653" s="263">
        <v>45100</v>
      </c>
      <c r="G653" s="252">
        <v>7.2359999999999998</v>
      </c>
      <c r="H653" s="150">
        <v>380251.8</v>
      </c>
      <c r="I653" s="106">
        <f t="shared" si="116"/>
        <v>52550</v>
      </c>
      <c r="J653" s="122"/>
      <c r="K653" s="157">
        <v>476</v>
      </c>
      <c r="L653" s="166">
        <f t="shared" si="122"/>
        <v>150</v>
      </c>
      <c r="M653" s="119" t="s">
        <v>1495</v>
      </c>
      <c r="N653" s="115">
        <v>6.657</v>
      </c>
      <c r="O653" s="122"/>
      <c r="P653" s="92">
        <f t="shared" si="123"/>
        <v>6.6571199999999999</v>
      </c>
      <c r="Q653" s="113">
        <f t="shared" si="124"/>
        <v>0.32561999999999997</v>
      </c>
      <c r="R653" s="92">
        <f t="shared" si="125"/>
        <v>0.25326000000000004</v>
      </c>
      <c r="S653" s="121"/>
      <c r="T653" s="93">
        <f t="shared" si="126"/>
        <v>1.1999999999973143E-4</v>
      </c>
      <c r="U653" s="122"/>
      <c r="V653" s="94">
        <f t="shared" ca="1" si="93"/>
        <v>162.4644447916653</v>
      </c>
      <c r="W653" s="89"/>
    </row>
    <row r="654" spans="1:23" ht="18">
      <c r="A654" s="260"/>
      <c r="B654" s="260" t="s">
        <v>1377</v>
      </c>
      <c r="C654" s="175" t="s">
        <v>1378</v>
      </c>
      <c r="D654" s="131" t="s">
        <v>1392</v>
      </c>
      <c r="E654" s="313">
        <v>151</v>
      </c>
      <c r="F654" s="263">
        <v>45100</v>
      </c>
      <c r="G654" s="252">
        <v>25.001000000000001</v>
      </c>
      <c r="H654" s="150">
        <v>1313802.55</v>
      </c>
      <c r="I654" s="106">
        <f t="shared" si="116"/>
        <v>52550</v>
      </c>
      <c r="J654" s="122"/>
      <c r="K654" s="158" t="s">
        <v>1498</v>
      </c>
      <c r="L654" s="166">
        <f t="shared" si="122"/>
        <v>151</v>
      </c>
      <c r="M654" s="119" t="s">
        <v>1497</v>
      </c>
      <c r="N654" s="115">
        <f>1.764+21.237</f>
        <v>23.000999999999998</v>
      </c>
      <c r="O654" s="122"/>
      <c r="P654" s="92">
        <f t="shared" si="123"/>
        <v>23.000920000000001</v>
      </c>
      <c r="Q654" s="113">
        <f t="shared" si="124"/>
        <v>1.1250450000000001</v>
      </c>
      <c r="R654" s="92">
        <f t="shared" si="125"/>
        <v>0.87503500000000012</v>
      </c>
      <c r="S654" s="121"/>
      <c r="T654" s="93">
        <f t="shared" si="126"/>
        <v>-7.9999999996638316E-5</v>
      </c>
      <c r="U654" s="122"/>
      <c r="V654" s="94">
        <f t="shared" ca="1" si="93"/>
        <v>162.4644447916653</v>
      </c>
      <c r="W654" s="89"/>
    </row>
    <row r="655" spans="1:23" ht="18">
      <c r="A655" s="260"/>
      <c r="B655" s="260" t="s">
        <v>1377</v>
      </c>
      <c r="C655" s="175" t="s">
        <v>1378</v>
      </c>
      <c r="D655" s="131" t="s">
        <v>1393</v>
      </c>
      <c r="E655" s="313">
        <v>152</v>
      </c>
      <c r="F655" s="263">
        <v>45100</v>
      </c>
      <c r="G655" s="252">
        <v>14.472</v>
      </c>
      <c r="H655" s="150">
        <v>760503.6</v>
      </c>
      <c r="I655" s="106">
        <f t="shared" si="116"/>
        <v>52550</v>
      </c>
      <c r="J655" s="122"/>
      <c r="K655" s="158" t="s">
        <v>1499</v>
      </c>
      <c r="L655" s="166">
        <f t="shared" si="122"/>
        <v>152</v>
      </c>
      <c r="M655" s="119" t="s">
        <v>1500</v>
      </c>
      <c r="N655" s="115">
        <f>10.071+3.243</f>
        <v>13.314</v>
      </c>
      <c r="O655" s="122"/>
      <c r="P655" s="92">
        <f t="shared" si="123"/>
        <v>13.31424</v>
      </c>
      <c r="Q655" s="113">
        <f t="shared" si="124"/>
        <v>0.65123999999999993</v>
      </c>
      <c r="R655" s="92">
        <f t="shared" si="125"/>
        <v>0.50652000000000008</v>
      </c>
      <c r="S655" s="121"/>
      <c r="T655" s="93">
        <f t="shared" si="126"/>
        <v>2.3999999999946287E-4</v>
      </c>
      <c r="U655" s="122"/>
      <c r="V655" s="94">
        <f t="shared" ca="1" si="93"/>
        <v>162.4644447916653</v>
      </c>
      <c r="W655" s="89"/>
    </row>
    <row r="656" spans="1:23" ht="18">
      <c r="A656" s="260"/>
      <c r="B656" s="260" t="s">
        <v>1377</v>
      </c>
      <c r="C656" s="175" t="s">
        <v>1378</v>
      </c>
      <c r="D656" s="131" t="s">
        <v>1394</v>
      </c>
      <c r="E656" s="313">
        <v>153</v>
      </c>
      <c r="F656" s="263">
        <v>45100</v>
      </c>
      <c r="G656" s="252">
        <v>32.380000000000003</v>
      </c>
      <c r="H656" s="150">
        <v>1701569.0000000002</v>
      </c>
      <c r="I656" s="106">
        <f t="shared" si="116"/>
        <v>52550</v>
      </c>
      <c r="J656" s="122"/>
      <c r="K656" s="157" t="s">
        <v>1502</v>
      </c>
      <c r="L656" s="166">
        <f t="shared" si="122"/>
        <v>153</v>
      </c>
      <c r="M656" s="119" t="s">
        <v>1501</v>
      </c>
      <c r="N656" s="115">
        <f>21.388+8.402</f>
        <v>29.79</v>
      </c>
      <c r="O656" s="122"/>
      <c r="P656" s="92">
        <f t="shared" si="123"/>
        <v>29.789600000000004</v>
      </c>
      <c r="Q656" s="113">
        <f t="shared" si="124"/>
        <v>1.4571000000000001</v>
      </c>
      <c r="R656" s="92">
        <f t="shared" si="125"/>
        <v>1.1333000000000002</v>
      </c>
      <c r="S656" s="121"/>
      <c r="T656" s="93">
        <f t="shared" si="126"/>
        <v>-3.9999999999684732E-4</v>
      </c>
      <c r="U656" s="122"/>
      <c r="V656" s="94">
        <f t="shared" ca="1" si="93"/>
        <v>162.4644447916653</v>
      </c>
      <c r="W656" s="89"/>
    </row>
    <row r="657" spans="1:23" ht="18">
      <c r="A657" s="260"/>
      <c r="B657" s="260" t="s">
        <v>1377</v>
      </c>
      <c r="C657" s="175" t="s">
        <v>1378</v>
      </c>
      <c r="D657" s="131" t="s">
        <v>1395</v>
      </c>
      <c r="E657" s="313">
        <v>154</v>
      </c>
      <c r="F657" s="263">
        <v>45100</v>
      </c>
      <c r="G657" s="252">
        <v>8.77</v>
      </c>
      <c r="H657" s="150">
        <v>460863.5</v>
      </c>
      <c r="I657" s="106">
        <f t="shared" si="116"/>
        <v>52550</v>
      </c>
      <c r="J657" s="122"/>
      <c r="K657" s="157">
        <v>484</v>
      </c>
      <c r="L657" s="166">
        <f t="shared" si="122"/>
        <v>154</v>
      </c>
      <c r="M657" s="119" t="s">
        <v>1503</v>
      </c>
      <c r="N657" s="115">
        <v>8.0679999999999996</v>
      </c>
      <c r="O657" s="122"/>
      <c r="P657" s="92">
        <f t="shared" si="123"/>
        <v>8.0684000000000005</v>
      </c>
      <c r="Q657" s="113">
        <f t="shared" si="124"/>
        <v>0.39464999999999995</v>
      </c>
      <c r="R657" s="92">
        <f t="shared" si="125"/>
        <v>0.30695</v>
      </c>
      <c r="S657" s="121"/>
      <c r="T657" s="93">
        <f t="shared" si="126"/>
        <v>4.0000000000001146E-4</v>
      </c>
      <c r="U657" s="122"/>
      <c r="V657" s="94">
        <f t="shared" ca="1" si="93"/>
        <v>162.4644447916653</v>
      </c>
      <c r="W657" s="89"/>
    </row>
    <row r="658" spans="1:23" ht="18">
      <c r="A658" s="260"/>
      <c r="B658" s="260" t="s">
        <v>1377</v>
      </c>
      <c r="C658" s="175" t="s">
        <v>1378</v>
      </c>
      <c r="D658" s="131" t="s">
        <v>1396</v>
      </c>
      <c r="E658" s="313">
        <v>155</v>
      </c>
      <c r="F658" s="263">
        <v>45100</v>
      </c>
      <c r="G658" s="252">
        <v>32.020000000000003</v>
      </c>
      <c r="H658" s="150">
        <v>1682651.0000000002</v>
      </c>
      <c r="I658" s="106">
        <f t="shared" si="116"/>
        <v>52550</v>
      </c>
      <c r="J658" s="122"/>
      <c r="K658" s="157" t="s">
        <v>1504</v>
      </c>
      <c r="L658" s="166">
        <f t="shared" si="122"/>
        <v>155</v>
      </c>
      <c r="M658" s="119" t="s">
        <v>1505</v>
      </c>
      <c r="N658" s="115">
        <f>23.398+6.06</f>
        <v>29.457999999999998</v>
      </c>
      <c r="O658" s="122"/>
      <c r="P658" s="92">
        <f t="shared" si="123"/>
        <v>29.458400000000005</v>
      </c>
      <c r="Q658" s="113">
        <f t="shared" si="124"/>
        <v>1.4409000000000001</v>
      </c>
      <c r="R658" s="92">
        <f t="shared" si="125"/>
        <v>1.1207000000000003</v>
      </c>
      <c r="S658" s="121"/>
      <c r="T658" s="93">
        <f t="shared" si="126"/>
        <v>4.0000000000439684E-4</v>
      </c>
      <c r="U658" s="122"/>
      <c r="V658" s="94">
        <f t="shared" ca="1" si="93"/>
        <v>162.4644447916653</v>
      </c>
      <c r="W658" s="89"/>
    </row>
    <row r="659" spans="1:23" ht="18">
      <c r="A659" s="260"/>
      <c r="B659" s="260" t="s">
        <v>1377</v>
      </c>
      <c r="C659" s="175" t="s">
        <v>1378</v>
      </c>
      <c r="D659" s="131" t="s">
        <v>1397</v>
      </c>
      <c r="E659" s="313">
        <v>156</v>
      </c>
      <c r="F659" s="263">
        <v>45100</v>
      </c>
      <c r="G659" s="252">
        <v>1.8089999999999999</v>
      </c>
      <c r="H659" s="150">
        <v>95062.95</v>
      </c>
      <c r="I659" s="106">
        <f t="shared" si="116"/>
        <v>52550</v>
      </c>
      <c r="J659" s="122"/>
      <c r="K659" s="157">
        <v>486</v>
      </c>
      <c r="L659" s="166">
        <f t="shared" si="122"/>
        <v>156</v>
      </c>
      <c r="M659" s="119" t="s">
        <v>1503</v>
      </c>
      <c r="N659" s="115">
        <v>1.6639999999999999</v>
      </c>
      <c r="O659" s="122"/>
      <c r="P659" s="92">
        <f t="shared" si="123"/>
        <v>1.66428</v>
      </c>
      <c r="Q659" s="113">
        <f t="shared" si="124"/>
        <v>8.1404999999999991E-2</v>
      </c>
      <c r="R659" s="92">
        <f t="shared" si="125"/>
        <v>6.331500000000001E-2</v>
      </c>
      <c r="S659" s="121"/>
      <c r="T659" s="93">
        <f>G659-N659-Q659-R659</f>
        <v>2.8000000000001635E-4</v>
      </c>
      <c r="U659" s="122"/>
      <c r="V659" s="94">
        <f t="shared" ca="1" si="93"/>
        <v>162.4644447916653</v>
      </c>
      <c r="W659" s="89"/>
    </row>
    <row r="660" spans="1:23" ht="18">
      <c r="A660" s="260"/>
      <c r="B660" s="260" t="s">
        <v>1377</v>
      </c>
      <c r="C660" s="175" t="s">
        <v>1378</v>
      </c>
      <c r="D660" s="131" t="s">
        <v>1398</v>
      </c>
      <c r="E660" s="313">
        <v>157</v>
      </c>
      <c r="F660" s="263">
        <v>45100</v>
      </c>
      <c r="G660" s="252">
        <v>1.8089999999999999</v>
      </c>
      <c r="H660" s="150">
        <v>95062.95</v>
      </c>
      <c r="I660" s="106">
        <f t="shared" si="116"/>
        <v>52550</v>
      </c>
      <c r="J660" s="122"/>
      <c r="K660" s="157">
        <v>487</v>
      </c>
      <c r="L660" s="166">
        <f t="shared" si="122"/>
        <v>157</v>
      </c>
      <c r="M660" s="119" t="s">
        <v>1503</v>
      </c>
      <c r="N660" s="115">
        <v>1.6639999999999999</v>
      </c>
      <c r="O660" s="122"/>
      <c r="P660" s="92">
        <f t="shared" si="123"/>
        <v>1.66428</v>
      </c>
      <c r="Q660" s="113">
        <f t="shared" si="124"/>
        <v>8.1404999999999991E-2</v>
      </c>
      <c r="R660" s="92">
        <f t="shared" si="125"/>
        <v>6.331500000000001E-2</v>
      </c>
      <c r="S660" s="121"/>
      <c r="T660" s="93">
        <f>G660-N660-Q660-R660</f>
        <v>2.8000000000001635E-4</v>
      </c>
      <c r="U660" s="122"/>
      <c r="V660" s="94">
        <f t="shared" ca="1" si="93"/>
        <v>162.4644447916653</v>
      </c>
      <c r="W660" s="89"/>
    </row>
    <row r="661" spans="1:23" ht="18">
      <c r="A661" s="260"/>
      <c r="B661" s="260" t="s">
        <v>1377</v>
      </c>
      <c r="C661" s="175" t="s">
        <v>1378</v>
      </c>
      <c r="D661" s="131" t="s">
        <v>1399</v>
      </c>
      <c r="E661" s="313">
        <v>158</v>
      </c>
      <c r="F661" s="263">
        <v>45100</v>
      </c>
      <c r="G661" s="252">
        <v>28.943999999999999</v>
      </c>
      <c r="H661" s="150">
        <v>1521007.2</v>
      </c>
      <c r="I661" s="106">
        <f t="shared" si="116"/>
        <v>52550</v>
      </c>
      <c r="J661" s="122"/>
      <c r="K661" s="158" t="s">
        <v>1506</v>
      </c>
      <c r="L661" s="166">
        <f t="shared" si="122"/>
        <v>158</v>
      </c>
      <c r="M661" s="119" t="s">
        <v>1507</v>
      </c>
      <c r="N661" s="115">
        <f>8.938+17.69</f>
        <v>26.628</v>
      </c>
      <c r="O661" s="122"/>
      <c r="P661" s="92">
        <f t="shared" si="123"/>
        <v>26.62848</v>
      </c>
      <c r="Q661" s="113">
        <f t="shared" si="124"/>
        <v>1.3024799999999999</v>
      </c>
      <c r="R661" s="92">
        <f t="shared" si="125"/>
        <v>1.0130400000000002</v>
      </c>
      <c r="S661" s="121"/>
      <c r="T661" s="93">
        <f>G661-N661-Q661-R661</f>
        <v>4.7999999999892573E-4</v>
      </c>
      <c r="U661" s="122"/>
      <c r="V661" s="94">
        <f t="shared" ca="1" si="93"/>
        <v>162.4644447916653</v>
      </c>
      <c r="W661" s="89"/>
    </row>
    <row r="662" spans="1:23" ht="18">
      <c r="A662" s="260"/>
      <c r="B662" s="260" t="s">
        <v>1377</v>
      </c>
      <c r="C662" s="175" t="s">
        <v>1378</v>
      </c>
      <c r="D662" s="131" t="s">
        <v>1400</v>
      </c>
      <c r="E662" s="313">
        <v>159</v>
      </c>
      <c r="F662" s="263">
        <v>45100</v>
      </c>
      <c r="G662" s="252">
        <v>7.0279999999999996</v>
      </c>
      <c r="H662" s="150">
        <v>369321.39999999997</v>
      </c>
      <c r="I662" s="106">
        <f t="shared" si="116"/>
        <v>52550</v>
      </c>
      <c r="J662" s="122"/>
      <c r="K662" s="157">
        <v>488</v>
      </c>
      <c r="L662" s="166">
        <f t="shared" si="122"/>
        <v>159</v>
      </c>
      <c r="M662" s="119" t="s">
        <v>1503</v>
      </c>
      <c r="N662" s="115">
        <v>6.4660000000000002</v>
      </c>
      <c r="O662" s="122"/>
      <c r="P662" s="92">
        <f t="shared" si="123"/>
        <v>6.4657599999999995</v>
      </c>
      <c r="Q662" s="113">
        <f t="shared" si="124"/>
        <v>0.31625999999999999</v>
      </c>
      <c r="R662" s="92">
        <f t="shared" si="125"/>
        <v>0.24598</v>
      </c>
      <c r="S662" s="121"/>
      <c r="T662" s="93">
        <f>G662-N662-Q662-R662</f>
        <v>-2.4000000000060084E-4</v>
      </c>
      <c r="U662" s="122"/>
      <c r="V662" s="94">
        <f t="shared" ca="1" si="93"/>
        <v>162.4644447916653</v>
      </c>
      <c r="W662" s="89"/>
    </row>
    <row r="663" spans="1:23" ht="18">
      <c r="A663" s="260"/>
      <c r="B663" s="260" t="s">
        <v>1377</v>
      </c>
      <c r="C663" s="175" t="s">
        <v>1378</v>
      </c>
      <c r="D663" s="131" t="s">
        <v>1401</v>
      </c>
      <c r="E663" s="313">
        <v>160</v>
      </c>
      <c r="F663" s="263">
        <v>45100</v>
      </c>
      <c r="G663" s="252">
        <v>26.93</v>
      </c>
      <c r="H663" s="150">
        <v>1415171.5</v>
      </c>
      <c r="I663" s="106">
        <f t="shared" si="116"/>
        <v>52550</v>
      </c>
      <c r="J663" s="122"/>
      <c r="K663" s="157" t="s">
        <v>1511</v>
      </c>
      <c r="L663" s="166">
        <f t="shared" si="122"/>
        <v>160</v>
      </c>
      <c r="M663" s="119" t="s">
        <v>1512</v>
      </c>
      <c r="N663" s="115">
        <f>15.404+3.417+5.955</f>
        <v>24.775999999999996</v>
      </c>
      <c r="O663" s="122"/>
      <c r="P663" s="92">
        <f t="shared" si="123"/>
        <v>24.775600000000001</v>
      </c>
      <c r="Q663" s="113">
        <f t="shared" si="124"/>
        <v>1.2118499999999999</v>
      </c>
      <c r="R663" s="92">
        <f t="shared" si="125"/>
        <v>0.94255000000000011</v>
      </c>
      <c r="S663" s="121"/>
      <c r="T663" s="93">
        <f>G663-N663-Q663-R663</f>
        <v>-3.9999999999651425E-4</v>
      </c>
      <c r="U663" s="122"/>
      <c r="V663" s="94">
        <f t="shared" ca="1" si="93"/>
        <v>162.4644447916653</v>
      </c>
      <c r="W663" s="89"/>
    </row>
    <row r="664" spans="1:23" ht="18">
      <c r="A664" s="260"/>
      <c r="B664" s="260" t="s">
        <v>1377</v>
      </c>
      <c r="C664" s="175" t="s">
        <v>1378</v>
      </c>
      <c r="D664" s="131" t="s">
        <v>1402</v>
      </c>
      <c r="E664" s="313">
        <v>161</v>
      </c>
      <c r="F664" s="263">
        <v>45100</v>
      </c>
      <c r="G664" s="252">
        <v>27.863</v>
      </c>
      <c r="H664" s="150">
        <v>1464200.65</v>
      </c>
      <c r="I664" s="106">
        <f t="shared" si="116"/>
        <v>52550</v>
      </c>
      <c r="J664" s="122"/>
      <c r="K664" s="157" t="s">
        <v>1513</v>
      </c>
      <c r="L664" s="166">
        <f t="shared" si="122"/>
        <v>161</v>
      </c>
      <c r="M664" s="119" t="s">
        <v>1514</v>
      </c>
      <c r="N664" s="115">
        <f>18.807+6.827</f>
        <v>25.634</v>
      </c>
      <c r="O664" s="122"/>
      <c r="P664" s="92">
        <f t="shared" si="123"/>
        <v>25.633960000000002</v>
      </c>
      <c r="Q664" s="113">
        <f t="shared" si="124"/>
        <v>1.253835</v>
      </c>
      <c r="R664" s="92">
        <f t="shared" si="125"/>
        <v>0.9752050000000001</v>
      </c>
      <c r="S664" s="121"/>
      <c r="T664" s="93">
        <f t="shared" si="126"/>
        <v>-4.0000000000928182E-5</v>
      </c>
      <c r="U664" s="122"/>
      <c r="V664" s="94">
        <f t="shared" ca="1" si="93"/>
        <v>162.4644447916653</v>
      </c>
      <c r="W664" s="89"/>
    </row>
    <row r="665" spans="1:23" ht="18">
      <c r="A665" s="260"/>
      <c r="B665" s="260" t="s">
        <v>1377</v>
      </c>
      <c r="C665" s="175" t="s">
        <v>1378</v>
      </c>
      <c r="D665" s="131" t="s">
        <v>1403</v>
      </c>
      <c r="E665" s="313">
        <v>162</v>
      </c>
      <c r="F665" s="263">
        <v>45100</v>
      </c>
      <c r="G665" s="252">
        <v>30.53</v>
      </c>
      <c r="H665" s="150">
        <v>1604351.5</v>
      </c>
      <c r="I665" s="106">
        <f t="shared" si="116"/>
        <v>52550</v>
      </c>
      <c r="J665" s="122"/>
      <c r="K665" s="157" t="s">
        <v>1515</v>
      </c>
      <c r="L665" s="166">
        <f t="shared" si="122"/>
        <v>162</v>
      </c>
      <c r="M665" s="119" t="s">
        <v>1514</v>
      </c>
      <c r="N665" s="115">
        <f>17.325+10.763</f>
        <v>28.088000000000001</v>
      </c>
      <c r="O665" s="122"/>
      <c r="P665" s="92">
        <f t="shared" si="123"/>
        <v>28.087600000000002</v>
      </c>
      <c r="Q665" s="113">
        <f t="shared" si="124"/>
        <v>1.37385</v>
      </c>
      <c r="R665" s="92">
        <f t="shared" si="125"/>
        <v>1.0685500000000001</v>
      </c>
      <c r="S665" s="121"/>
      <c r="T665" s="93">
        <f t="shared" si="126"/>
        <v>-3.9999999999995595E-4</v>
      </c>
      <c r="U665" s="122"/>
      <c r="V665" s="94">
        <f t="shared" ca="1" si="93"/>
        <v>162.4644447916653</v>
      </c>
      <c r="W665" s="89"/>
    </row>
    <row r="666" spans="1:23" ht="18">
      <c r="A666" s="260"/>
      <c r="B666" s="260" t="s">
        <v>1377</v>
      </c>
      <c r="C666" s="175" t="s">
        <v>1378</v>
      </c>
      <c r="D666" s="131" t="s">
        <v>1404</v>
      </c>
      <c r="E666" s="313">
        <v>163</v>
      </c>
      <c r="F666" s="263">
        <v>45100</v>
      </c>
      <c r="G666" s="252">
        <v>37.814</v>
      </c>
      <c r="H666" s="150">
        <v>1987125.7</v>
      </c>
      <c r="I666" s="106">
        <f t="shared" si="116"/>
        <v>52550</v>
      </c>
      <c r="J666" s="122"/>
      <c r="K666" s="157" t="s">
        <v>646</v>
      </c>
      <c r="L666" s="166">
        <f t="shared" si="122"/>
        <v>163</v>
      </c>
      <c r="M666" s="119" t="s">
        <v>1514</v>
      </c>
      <c r="N666" s="115">
        <f>21.251+13.538</f>
        <v>34.789000000000001</v>
      </c>
      <c r="O666" s="122"/>
      <c r="P666" s="92">
        <f t="shared" si="123"/>
        <v>34.788879999999999</v>
      </c>
      <c r="Q666" s="113">
        <f t="shared" si="124"/>
        <v>1.70163</v>
      </c>
      <c r="R666" s="92">
        <f t="shared" si="125"/>
        <v>1.3234900000000001</v>
      </c>
      <c r="S666" s="121"/>
      <c r="T666" s="93">
        <f t="shared" si="126"/>
        <v>-1.2000000000145228E-4</v>
      </c>
      <c r="U666" s="122"/>
      <c r="V666" s="94">
        <f t="shared" ca="1" si="93"/>
        <v>162.4644447916653</v>
      </c>
      <c r="W666" s="89"/>
    </row>
    <row r="667" spans="1:23" ht="18">
      <c r="A667" s="260"/>
      <c r="B667" s="260" t="s">
        <v>1377</v>
      </c>
      <c r="C667" s="175" t="s">
        <v>1378</v>
      </c>
      <c r="D667" s="131" t="s">
        <v>1405</v>
      </c>
      <c r="E667" s="313">
        <v>164</v>
      </c>
      <c r="F667" s="263">
        <v>45100</v>
      </c>
      <c r="G667" s="252">
        <v>28.719000000000001</v>
      </c>
      <c r="H667" s="150">
        <v>1509183.45</v>
      </c>
      <c r="I667" s="106">
        <f t="shared" si="116"/>
        <v>52549.999999999993</v>
      </c>
      <c r="J667" s="122"/>
      <c r="K667" s="157" t="s">
        <v>1516</v>
      </c>
      <c r="L667" s="166">
        <f t="shared" si="122"/>
        <v>164</v>
      </c>
      <c r="M667" s="119" t="s">
        <v>1517</v>
      </c>
      <c r="N667" s="115">
        <f>18.242+8.179</f>
        <v>26.420999999999999</v>
      </c>
      <c r="O667" s="122"/>
      <c r="P667" s="92">
        <f t="shared" si="123"/>
        <v>26.421480000000003</v>
      </c>
      <c r="Q667" s="113">
        <f t="shared" si="124"/>
        <v>1.2923549999999999</v>
      </c>
      <c r="R667" s="92">
        <f t="shared" si="125"/>
        <v>1.0051650000000001</v>
      </c>
      <c r="S667" s="121"/>
      <c r="T667" s="93">
        <f t="shared" si="126"/>
        <v>4.8000000000181231E-4</v>
      </c>
      <c r="U667" s="122"/>
      <c r="V667" s="94">
        <f t="shared" ca="1" si="93"/>
        <v>162.4644447916653</v>
      </c>
      <c r="W667" s="89"/>
    </row>
    <row r="668" spans="1:23" ht="18">
      <c r="A668" s="260"/>
      <c r="B668" s="260" t="s">
        <v>1377</v>
      </c>
      <c r="C668" s="175" t="s">
        <v>1379</v>
      </c>
      <c r="D668" s="131" t="s">
        <v>1406</v>
      </c>
      <c r="E668" s="313">
        <v>165</v>
      </c>
      <c r="F668" s="263">
        <v>45100</v>
      </c>
      <c r="G668" s="252">
        <v>32.06</v>
      </c>
      <c r="H668" s="150">
        <v>1684753.0000000002</v>
      </c>
      <c r="I668" s="106">
        <f t="shared" si="116"/>
        <v>52550</v>
      </c>
      <c r="J668" s="122"/>
      <c r="K668" s="157" t="s">
        <v>1518</v>
      </c>
      <c r="L668" s="166">
        <f t="shared" si="122"/>
        <v>165</v>
      </c>
      <c r="M668" s="119" t="s">
        <v>1517</v>
      </c>
      <c r="N668" s="115">
        <f>24.979+4.516</f>
        <v>29.494999999999997</v>
      </c>
      <c r="O668" s="122"/>
      <c r="P668" s="92">
        <f t="shared" si="123"/>
        <v>29.495200000000004</v>
      </c>
      <c r="Q668" s="113">
        <f t="shared" si="124"/>
        <v>1.4427000000000001</v>
      </c>
      <c r="R668" s="92">
        <f t="shared" si="125"/>
        <v>1.1221000000000001</v>
      </c>
      <c r="S668" s="121"/>
      <c r="T668" s="93">
        <f t="shared" si="126"/>
        <v>2.0000000000464091E-4</v>
      </c>
      <c r="U668" s="122"/>
      <c r="V668" s="94">
        <f t="shared" ca="1" si="93"/>
        <v>162.4644447916653</v>
      </c>
      <c r="W668" s="89"/>
    </row>
    <row r="669" spans="1:23" ht="18">
      <c r="A669" s="260"/>
      <c r="B669" s="260" t="s">
        <v>1377</v>
      </c>
      <c r="C669" s="175" t="s">
        <v>1379</v>
      </c>
      <c r="D669" s="131" t="s">
        <v>1407</v>
      </c>
      <c r="E669" s="313">
        <v>166</v>
      </c>
      <c r="F669" s="263">
        <v>45100</v>
      </c>
      <c r="G669" s="252">
        <v>34.363999999999997</v>
      </c>
      <c r="H669" s="150">
        <v>1805828.2</v>
      </c>
      <c r="I669" s="106">
        <f t="shared" si="116"/>
        <v>52550</v>
      </c>
      <c r="J669" s="122"/>
      <c r="K669" s="157" t="s">
        <v>654</v>
      </c>
      <c r="L669" s="166">
        <f t="shared" si="122"/>
        <v>166</v>
      </c>
      <c r="M669" s="119" t="s">
        <v>1520</v>
      </c>
      <c r="N669" s="115">
        <f>19.658+11.957</f>
        <v>31.615000000000002</v>
      </c>
      <c r="O669" s="122"/>
      <c r="P669" s="92">
        <f t="shared" si="123"/>
        <v>31.614879999999999</v>
      </c>
      <c r="Q669" s="113">
        <f t="shared" si="124"/>
        <v>1.5463799999999999</v>
      </c>
      <c r="R669" s="92">
        <f t="shared" si="125"/>
        <v>1.2027399999999999</v>
      </c>
      <c r="S669" s="121"/>
      <c r="T669" s="93">
        <f t="shared" si="126"/>
        <v>-1.200000000045609E-4</v>
      </c>
      <c r="U669" s="122"/>
      <c r="V669" s="94">
        <f t="shared" ca="1" si="93"/>
        <v>162.4644447916653</v>
      </c>
      <c r="W669" s="89"/>
    </row>
    <row r="670" spans="1:23" ht="18">
      <c r="A670" s="260"/>
      <c r="B670" s="260" t="s">
        <v>1377</v>
      </c>
      <c r="C670" s="175" t="s">
        <v>1379</v>
      </c>
      <c r="D670" s="131" t="s">
        <v>1408</v>
      </c>
      <c r="E670" s="313">
        <v>167</v>
      </c>
      <c r="F670" s="263">
        <v>45100</v>
      </c>
      <c r="G670" s="252">
        <v>9.16</v>
      </c>
      <c r="H670" s="150">
        <v>481358</v>
      </c>
      <c r="I670" s="106">
        <f t="shared" si="116"/>
        <v>52550</v>
      </c>
      <c r="J670" s="122"/>
      <c r="K670" s="157">
        <v>509</v>
      </c>
      <c r="L670" s="166">
        <f t="shared" si="122"/>
        <v>167</v>
      </c>
      <c r="M670" s="119" t="s">
        <v>1519</v>
      </c>
      <c r="N670" s="115">
        <v>8.4269999999999996</v>
      </c>
      <c r="O670" s="122"/>
      <c r="P670" s="92">
        <f t="shared" si="123"/>
        <v>8.4272000000000009</v>
      </c>
      <c r="Q670" s="113">
        <f t="shared" si="124"/>
        <v>0.41220000000000001</v>
      </c>
      <c r="R670" s="92">
        <f t="shared" si="125"/>
        <v>0.32060000000000005</v>
      </c>
      <c r="S670" s="121"/>
      <c r="T670" s="93">
        <f t="shared" si="126"/>
        <v>2.0000000000047757E-4</v>
      </c>
      <c r="U670" s="122"/>
      <c r="V670" s="94">
        <f t="shared" ca="1" si="93"/>
        <v>162.4644447916653</v>
      </c>
      <c r="W670" s="89"/>
    </row>
    <row r="671" spans="1:23" ht="18">
      <c r="A671" s="260"/>
      <c r="B671" s="260" t="s">
        <v>1377</v>
      </c>
      <c r="C671" s="175" t="s">
        <v>1379</v>
      </c>
      <c r="D671" s="131" t="s">
        <v>1409</v>
      </c>
      <c r="E671" s="313">
        <v>168</v>
      </c>
      <c r="F671" s="263">
        <v>45100</v>
      </c>
      <c r="G671" s="252">
        <v>32.06</v>
      </c>
      <c r="H671" s="150">
        <v>1684753.0000000002</v>
      </c>
      <c r="I671" s="106">
        <f t="shared" si="116"/>
        <v>52550</v>
      </c>
      <c r="J671" s="122"/>
      <c r="K671" s="157" t="s">
        <v>1521</v>
      </c>
      <c r="L671" s="166">
        <f t="shared" si="122"/>
        <v>168</v>
      </c>
      <c r="M671" s="119" t="s">
        <v>1522</v>
      </c>
      <c r="N671" s="115">
        <f>11.077+18.418</f>
        <v>29.494999999999997</v>
      </c>
      <c r="O671" s="122"/>
      <c r="P671" s="92">
        <f t="shared" si="123"/>
        <v>29.495200000000004</v>
      </c>
      <c r="Q671" s="113">
        <f t="shared" si="124"/>
        <v>1.4427000000000001</v>
      </c>
      <c r="R671" s="92">
        <f t="shared" si="125"/>
        <v>1.1221000000000001</v>
      </c>
      <c r="S671" s="121"/>
      <c r="T671" s="93">
        <f t="shared" si="126"/>
        <v>2.0000000000464091E-4</v>
      </c>
      <c r="U671" s="122"/>
      <c r="V671" s="94">
        <f t="shared" ca="1" si="93"/>
        <v>162.4644447916653</v>
      </c>
      <c r="W671" s="89"/>
    </row>
    <row r="672" spans="1:23" ht="18">
      <c r="A672" s="260"/>
      <c r="B672" s="260" t="s">
        <v>1377</v>
      </c>
      <c r="C672" s="175" t="s">
        <v>1379</v>
      </c>
      <c r="D672" s="131" t="s">
        <v>1410</v>
      </c>
      <c r="E672" s="313">
        <v>169</v>
      </c>
      <c r="F672" s="263">
        <v>45100</v>
      </c>
      <c r="G672" s="252">
        <v>18.14</v>
      </c>
      <c r="H672" s="150">
        <v>953257</v>
      </c>
      <c r="I672" s="106">
        <f t="shared" si="116"/>
        <v>52550</v>
      </c>
      <c r="J672" s="122"/>
      <c r="K672" s="157" t="s">
        <v>1572</v>
      </c>
      <c r="L672" s="166">
        <f t="shared" si="122"/>
        <v>169</v>
      </c>
      <c r="M672" s="119" t="s">
        <v>1573</v>
      </c>
      <c r="N672" s="115">
        <f>13.803+2.886</f>
        <v>16.689</v>
      </c>
      <c r="O672" s="122"/>
      <c r="P672" s="92">
        <f t="shared" si="123"/>
        <v>16.688800000000001</v>
      </c>
      <c r="Q672" s="113">
        <f t="shared" si="124"/>
        <v>0.81630000000000003</v>
      </c>
      <c r="R672" s="92">
        <f t="shared" si="125"/>
        <v>0.63490000000000013</v>
      </c>
      <c r="S672" s="121"/>
      <c r="T672" s="93">
        <f t="shared" si="126"/>
        <v>-1.9999999999964491E-4</v>
      </c>
      <c r="U672" s="122"/>
      <c r="V672" s="94">
        <f t="shared" ca="1" si="93"/>
        <v>162.4644447916653</v>
      </c>
      <c r="W672" s="89"/>
    </row>
    <row r="673" spans="1:23" ht="18">
      <c r="A673" s="260"/>
      <c r="B673" s="260" t="s">
        <v>1377</v>
      </c>
      <c r="C673" s="175" t="s">
        <v>1379</v>
      </c>
      <c r="D673" s="131" t="s">
        <v>1411</v>
      </c>
      <c r="E673" s="313">
        <v>170</v>
      </c>
      <c r="F673" s="263">
        <v>45100</v>
      </c>
      <c r="G673" s="252">
        <v>22.9</v>
      </c>
      <c r="H673" s="150">
        <v>1203395</v>
      </c>
      <c r="I673" s="106">
        <f t="shared" si="116"/>
        <v>52550</v>
      </c>
      <c r="J673" s="122"/>
      <c r="K673" s="157">
        <v>514</v>
      </c>
      <c r="L673" s="166">
        <f t="shared" si="122"/>
        <v>170</v>
      </c>
      <c r="M673" s="119" t="s">
        <v>1574</v>
      </c>
      <c r="N673" s="115">
        <v>21.068000000000001</v>
      </c>
      <c r="O673" s="122"/>
      <c r="P673" s="92">
        <f t="shared" si="123"/>
        <v>21.067999999999998</v>
      </c>
      <c r="Q673" s="113">
        <f t="shared" si="124"/>
        <v>1.0305</v>
      </c>
      <c r="R673" s="92">
        <f t="shared" si="125"/>
        <v>0.80149999999999999</v>
      </c>
      <c r="S673" s="121"/>
      <c r="T673" s="93">
        <f t="shared" si="126"/>
        <v>-2.7755575615628914E-15</v>
      </c>
      <c r="U673" s="122"/>
      <c r="V673" s="94">
        <f t="shared" ca="1" si="93"/>
        <v>162.4644447916653</v>
      </c>
      <c r="W673" s="89"/>
    </row>
    <row r="674" spans="1:23" ht="18">
      <c r="A674" s="260"/>
      <c r="B674" s="260" t="s">
        <v>1377</v>
      </c>
      <c r="C674" s="175" t="s">
        <v>1379</v>
      </c>
      <c r="D674" s="131" t="s">
        <v>1412</v>
      </c>
      <c r="E674" s="313">
        <v>171</v>
      </c>
      <c r="F674" s="263">
        <v>45100</v>
      </c>
      <c r="G674" s="252">
        <v>9.16</v>
      </c>
      <c r="H674" s="150">
        <v>481358</v>
      </c>
      <c r="I674" s="106">
        <f t="shared" si="116"/>
        <v>52550</v>
      </c>
      <c r="J674" s="122"/>
      <c r="K674" s="157" t="s">
        <v>1575</v>
      </c>
      <c r="L674" s="166">
        <f t="shared" si="122"/>
        <v>171</v>
      </c>
      <c r="M674" s="119" t="s">
        <v>1576</v>
      </c>
      <c r="N674" s="115">
        <f>0.797+7.63</f>
        <v>8.4269999999999996</v>
      </c>
      <c r="O674" s="122"/>
      <c r="P674" s="92">
        <f t="shared" si="123"/>
        <v>8.4272000000000009</v>
      </c>
      <c r="Q674" s="113">
        <f t="shared" si="124"/>
        <v>0.41220000000000001</v>
      </c>
      <c r="R674" s="92">
        <f t="shared" si="125"/>
        <v>0.32060000000000005</v>
      </c>
      <c r="S674" s="121"/>
      <c r="T674" s="93">
        <f t="shared" si="126"/>
        <v>2.0000000000047757E-4</v>
      </c>
      <c r="U674" s="122"/>
      <c r="V674" s="94">
        <f t="shared" ca="1" si="93"/>
        <v>162.4644447916653</v>
      </c>
      <c r="W674" s="89"/>
    </row>
    <row r="675" spans="1:23" ht="18">
      <c r="A675" s="260"/>
      <c r="B675" s="260" t="s">
        <v>1377</v>
      </c>
      <c r="C675" s="175" t="s">
        <v>1379</v>
      </c>
      <c r="D675" s="131" t="s">
        <v>1413</v>
      </c>
      <c r="E675" s="313">
        <v>172</v>
      </c>
      <c r="F675" s="263">
        <v>45100</v>
      </c>
      <c r="G675" s="252">
        <v>18.334</v>
      </c>
      <c r="H675" s="150">
        <v>963451.7</v>
      </c>
      <c r="I675" s="106">
        <f t="shared" si="116"/>
        <v>52550</v>
      </c>
      <c r="J675" s="122"/>
      <c r="K675" s="157">
        <v>517</v>
      </c>
      <c r="L675" s="166">
        <f t="shared" si="122"/>
        <v>172</v>
      </c>
      <c r="M675" s="119" t="s">
        <v>1574</v>
      </c>
      <c r="N675" s="115">
        <v>16.867000000000001</v>
      </c>
      <c r="O675" s="122"/>
      <c r="P675" s="92">
        <f t="shared" si="123"/>
        <v>16.867280000000001</v>
      </c>
      <c r="Q675" s="113">
        <f t="shared" si="124"/>
        <v>0.82502999999999993</v>
      </c>
      <c r="R675" s="92">
        <f t="shared" si="125"/>
        <v>0.64169000000000009</v>
      </c>
      <c r="S675" s="121"/>
      <c r="T675" s="93">
        <f t="shared" si="126"/>
        <v>2.7999999999872571E-4</v>
      </c>
      <c r="U675" s="122"/>
      <c r="V675" s="94">
        <f t="shared" ca="1" si="93"/>
        <v>162.4644447916653</v>
      </c>
      <c r="W675" s="89"/>
    </row>
    <row r="676" spans="1:23" ht="18">
      <c r="A676" s="260"/>
      <c r="B676" s="260" t="s">
        <v>1377</v>
      </c>
      <c r="C676" s="175" t="s">
        <v>1379</v>
      </c>
      <c r="D676" s="131" t="s">
        <v>1414</v>
      </c>
      <c r="E676" s="313">
        <v>173</v>
      </c>
      <c r="F676" s="263">
        <v>45100</v>
      </c>
      <c r="G676" s="252">
        <v>13.74</v>
      </c>
      <c r="H676" s="150">
        <v>722037</v>
      </c>
      <c r="I676" s="106">
        <f t="shared" si="116"/>
        <v>52550</v>
      </c>
      <c r="J676" s="122"/>
      <c r="K676" s="157" t="s">
        <v>1577</v>
      </c>
      <c r="L676" s="166">
        <f t="shared" si="122"/>
        <v>173</v>
      </c>
      <c r="M676" s="119" t="s">
        <v>1578</v>
      </c>
      <c r="N676" s="115">
        <f>7.137+5.504</f>
        <v>12.640999999999998</v>
      </c>
      <c r="O676" s="122"/>
      <c r="P676" s="92">
        <f t="shared" si="123"/>
        <v>12.6408</v>
      </c>
      <c r="Q676" s="113">
        <f t="shared" si="124"/>
        <v>0.61829999999999996</v>
      </c>
      <c r="R676" s="92">
        <f t="shared" si="125"/>
        <v>0.48090000000000005</v>
      </c>
      <c r="S676" s="121"/>
      <c r="T676" s="93">
        <f t="shared" si="126"/>
        <v>-1.9999999999803508E-4</v>
      </c>
      <c r="U676" s="122"/>
      <c r="V676" s="94">
        <f t="shared" ca="1" si="93"/>
        <v>162.4644447916653</v>
      </c>
      <c r="W676" s="89"/>
    </row>
    <row r="677" spans="1:23" ht="18">
      <c r="A677" s="260"/>
      <c r="B677" s="260" t="s">
        <v>1377</v>
      </c>
      <c r="C677" s="175" t="s">
        <v>1379</v>
      </c>
      <c r="D677" s="131" t="s">
        <v>1415</v>
      </c>
      <c r="E677" s="313">
        <v>174</v>
      </c>
      <c r="F677" s="263">
        <v>45100</v>
      </c>
      <c r="G677" s="252">
        <v>40.83</v>
      </c>
      <c r="H677" s="150">
        <v>2145616.5</v>
      </c>
      <c r="I677" s="106">
        <f t="shared" si="116"/>
        <v>52550</v>
      </c>
      <c r="J677" s="122"/>
      <c r="K677" s="157" t="s">
        <v>1579</v>
      </c>
      <c r="L677" s="166">
        <f t="shared" si="122"/>
        <v>174</v>
      </c>
      <c r="M677" s="119" t="s">
        <v>1578</v>
      </c>
      <c r="N677" s="115">
        <f>31.239+6.325</f>
        <v>37.564</v>
      </c>
      <c r="O677" s="122"/>
      <c r="P677" s="92">
        <f t="shared" ref="P677:P701" si="131">G677*0.92</f>
        <v>37.563600000000001</v>
      </c>
      <c r="Q677" s="113">
        <f t="shared" ref="Q677:Q701" si="132">G677*4.5%</f>
        <v>1.8373499999999998</v>
      </c>
      <c r="R677" s="92">
        <f t="shared" ref="R677:R701" si="133">G677*3.5%</f>
        <v>1.4290500000000002</v>
      </c>
      <c r="S677" s="121"/>
      <c r="T677" s="93">
        <f t="shared" ref="T677:T702" si="134">G677-N677-Q677-R677</f>
        <v>-4.000000000017323E-4</v>
      </c>
      <c r="U677" s="122"/>
      <c r="V677" s="94">
        <f t="shared" ca="1" si="93"/>
        <v>162.4644447916653</v>
      </c>
      <c r="W677" s="89"/>
    </row>
    <row r="678" spans="1:23" ht="18">
      <c r="A678" s="260"/>
      <c r="B678" s="260" t="s">
        <v>1377</v>
      </c>
      <c r="C678" s="175" t="s">
        <v>1379</v>
      </c>
      <c r="D678" s="131" t="s">
        <v>1416</v>
      </c>
      <c r="E678" s="313">
        <v>175</v>
      </c>
      <c r="F678" s="263">
        <v>45100</v>
      </c>
      <c r="G678" s="252">
        <v>2.29</v>
      </c>
      <c r="H678" s="150">
        <v>120339.5</v>
      </c>
      <c r="I678" s="106">
        <f t="shared" si="116"/>
        <v>52550</v>
      </c>
      <c r="J678" s="122"/>
      <c r="K678" s="157">
        <v>522</v>
      </c>
      <c r="L678" s="166">
        <f t="shared" si="122"/>
        <v>175</v>
      </c>
      <c r="M678" s="119" t="s">
        <v>1580</v>
      </c>
      <c r="N678" s="115">
        <v>2.1070000000000002</v>
      </c>
      <c r="O678" s="122"/>
      <c r="P678" s="92">
        <f t="shared" si="131"/>
        <v>2.1068000000000002</v>
      </c>
      <c r="Q678" s="113">
        <f t="shared" si="132"/>
        <v>0.10305</v>
      </c>
      <c r="R678" s="92">
        <f t="shared" si="133"/>
        <v>8.0150000000000013E-2</v>
      </c>
      <c r="S678" s="121"/>
      <c r="T678" s="93">
        <f t="shared" si="134"/>
        <v>-2.0000000000018614E-4</v>
      </c>
      <c r="U678" s="122"/>
      <c r="V678" s="94">
        <f t="shared" ca="1" si="93"/>
        <v>162.4644447916653</v>
      </c>
      <c r="W678" s="89"/>
    </row>
    <row r="679" spans="1:23" ht="18">
      <c r="A679" s="260"/>
      <c r="B679" s="260" t="s">
        <v>1377</v>
      </c>
      <c r="C679" s="175" t="s">
        <v>1379</v>
      </c>
      <c r="D679" s="131" t="s">
        <v>1417</v>
      </c>
      <c r="E679" s="313">
        <v>176</v>
      </c>
      <c r="F679" s="263">
        <v>45100</v>
      </c>
      <c r="G679" s="252">
        <v>11.45</v>
      </c>
      <c r="H679" s="150">
        <v>601697.5</v>
      </c>
      <c r="I679" s="106">
        <f t="shared" si="116"/>
        <v>52550</v>
      </c>
      <c r="J679" s="122"/>
      <c r="K679" s="157">
        <v>523</v>
      </c>
      <c r="L679" s="166">
        <f t="shared" si="122"/>
        <v>176</v>
      </c>
      <c r="M679" s="119" t="s">
        <v>1580</v>
      </c>
      <c r="N679" s="115">
        <v>10.534000000000001</v>
      </c>
      <c r="O679" s="122"/>
      <c r="P679" s="92">
        <f t="shared" si="131"/>
        <v>10.533999999999999</v>
      </c>
      <c r="Q679" s="113">
        <f t="shared" si="132"/>
        <v>0.51524999999999999</v>
      </c>
      <c r="R679" s="92">
        <f t="shared" si="133"/>
        <v>0.40075</v>
      </c>
      <c r="S679" s="121"/>
      <c r="T679" s="93">
        <f t="shared" si="134"/>
        <v>-1.3877787807814457E-15</v>
      </c>
      <c r="U679" s="122"/>
      <c r="V679" s="94">
        <f t="shared" ca="1" si="93"/>
        <v>162.4644447916653</v>
      </c>
      <c r="W679" s="89"/>
    </row>
    <row r="680" spans="1:23" ht="18">
      <c r="A680" s="260"/>
      <c r="B680" s="260" t="s">
        <v>1377</v>
      </c>
      <c r="C680" s="175" t="s">
        <v>1379</v>
      </c>
      <c r="D680" s="131" t="s">
        <v>1418</v>
      </c>
      <c r="E680" s="313">
        <v>177</v>
      </c>
      <c r="F680" s="263">
        <v>45100</v>
      </c>
      <c r="G680" s="252">
        <v>13.74</v>
      </c>
      <c r="H680" s="150">
        <v>722037</v>
      </c>
      <c r="I680" s="106">
        <f t="shared" si="116"/>
        <v>52550</v>
      </c>
      <c r="J680" s="122"/>
      <c r="K680" s="157" t="s">
        <v>1581</v>
      </c>
      <c r="L680" s="166">
        <f t="shared" si="122"/>
        <v>177</v>
      </c>
      <c r="M680" s="119" t="s">
        <v>1582</v>
      </c>
      <c r="N680" s="115">
        <f>6.399+6.242</f>
        <v>12.641</v>
      </c>
      <c r="O680" s="122"/>
      <c r="P680" s="92">
        <f t="shared" si="131"/>
        <v>12.6408</v>
      </c>
      <c r="Q680" s="113">
        <f t="shared" si="132"/>
        <v>0.61829999999999996</v>
      </c>
      <c r="R680" s="92">
        <f t="shared" si="133"/>
        <v>0.48090000000000005</v>
      </c>
      <c r="S680" s="121"/>
      <c r="T680" s="93">
        <f t="shared" si="134"/>
        <v>-1.9999999999981144E-4</v>
      </c>
      <c r="U680" s="122"/>
      <c r="V680" s="94">
        <f t="shared" ca="1" si="93"/>
        <v>162.4644447916653</v>
      </c>
      <c r="W680" s="89"/>
    </row>
    <row r="681" spans="1:23" ht="18">
      <c r="A681" s="260"/>
      <c r="B681" s="260" t="s">
        <v>1377</v>
      </c>
      <c r="C681" s="175" t="s">
        <v>1379</v>
      </c>
      <c r="D681" s="131" t="s">
        <v>1419</v>
      </c>
      <c r="E681" s="313">
        <v>178</v>
      </c>
      <c r="F681" s="263">
        <v>45100</v>
      </c>
      <c r="G681" s="252">
        <v>26.97</v>
      </c>
      <c r="H681" s="150">
        <v>1417273.5</v>
      </c>
      <c r="I681" s="106">
        <f t="shared" ref="I681:I1260" si="135">H681/G681</f>
        <v>52550</v>
      </c>
      <c r="J681" s="122"/>
      <c r="K681" s="157">
        <v>526</v>
      </c>
      <c r="L681" s="166">
        <f t="shared" si="122"/>
        <v>178</v>
      </c>
      <c r="M681" s="119" t="s">
        <v>1580</v>
      </c>
      <c r="N681" s="115">
        <v>24.812000000000001</v>
      </c>
      <c r="O681" s="122"/>
      <c r="P681" s="92">
        <f t="shared" si="131"/>
        <v>24.8124</v>
      </c>
      <c r="Q681" s="113">
        <f t="shared" si="132"/>
        <v>1.2136499999999999</v>
      </c>
      <c r="R681" s="92">
        <f t="shared" si="133"/>
        <v>0.94395000000000007</v>
      </c>
      <c r="S681" s="121"/>
      <c r="T681" s="93">
        <f t="shared" si="134"/>
        <v>3.999999999977355E-4</v>
      </c>
      <c r="U681" s="122"/>
      <c r="V681" s="94">
        <f t="shared" ca="1" si="93"/>
        <v>162.4644447916653</v>
      </c>
      <c r="W681" s="89"/>
    </row>
    <row r="682" spans="1:23" ht="18">
      <c r="A682" s="260"/>
      <c r="B682" s="260" t="s">
        <v>1377</v>
      </c>
      <c r="C682" s="175" t="s">
        <v>1379</v>
      </c>
      <c r="D682" s="131" t="s">
        <v>1420</v>
      </c>
      <c r="E682" s="313">
        <v>179</v>
      </c>
      <c r="F682" s="263">
        <v>45100</v>
      </c>
      <c r="G682" s="252">
        <v>13.385999999999999</v>
      </c>
      <c r="H682" s="150">
        <v>703434.29999999993</v>
      </c>
      <c r="I682" s="106">
        <f t="shared" si="135"/>
        <v>52550</v>
      </c>
      <c r="J682" s="122"/>
      <c r="K682" s="157" t="s">
        <v>1583</v>
      </c>
      <c r="L682" s="166">
        <f t="shared" si="122"/>
        <v>179</v>
      </c>
      <c r="M682" s="119" t="s">
        <v>1582</v>
      </c>
      <c r="N682" s="115">
        <f>0.256+12.059</f>
        <v>12.315</v>
      </c>
      <c r="O682" s="122"/>
      <c r="P682" s="92">
        <f t="shared" si="131"/>
        <v>12.31512</v>
      </c>
      <c r="Q682" s="113">
        <f t="shared" si="132"/>
        <v>0.60236999999999996</v>
      </c>
      <c r="R682" s="92">
        <f t="shared" si="133"/>
        <v>0.46851000000000004</v>
      </c>
      <c r="S682" s="121"/>
      <c r="T682" s="93">
        <f t="shared" si="134"/>
        <v>1.1999999999973143E-4</v>
      </c>
      <c r="U682" s="122"/>
      <c r="V682" s="94">
        <f t="shared" ca="1" si="93"/>
        <v>162.4644447916653</v>
      </c>
      <c r="W682" s="89"/>
    </row>
    <row r="683" spans="1:23" ht="18">
      <c r="A683" s="260"/>
      <c r="B683" s="260" t="s">
        <v>1377</v>
      </c>
      <c r="C683" s="175" t="s">
        <v>1379</v>
      </c>
      <c r="D683" s="131" t="s">
        <v>1421</v>
      </c>
      <c r="E683" s="313">
        <v>180</v>
      </c>
      <c r="F683" s="263">
        <v>45100</v>
      </c>
      <c r="G683" s="252">
        <v>13.74</v>
      </c>
      <c r="H683" s="150">
        <v>722037</v>
      </c>
      <c r="I683" s="106">
        <f t="shared" si="135"/>
        <v>52550</v>
      </c>
      <c r="J683" s="122"/>
      <c r="K683" s="157">
        <v>529</v>
      </c>
      <c r="L683" s="166">
        <f t="shared" si="122"/>
        <v>180</v>
      </c>
      <c r="M683" s="119" t="s">
        <v>1580</v>
      </c>
      <c r="N683" s="115">
        <v>12.641</v>
      </c>
      <c r="O683" s="122"/>
      <c r="P683" s="92">
        <f t="shared" si="131"/>
        <v>12.6408</v>
      </c>
      <c r="Q683" s="113">
        <f t="shared" si="132"/>
        <v>0.61829999999999996</v>
      </c>
      <c r="R683" s="92">
        <f t="shared" si="133"/>
        <v>0.48090000000000005</v>
      </c>
      <c r="S683" s="121"/>
      <c r="T683" s="93">
        <f t="shared" si="134"/>
        <v>-1.9999999999981144E-4</v>
      </c>
      <c r="U683" s="122"/>
      <c r="V683" s="94">
        <f t="shared" ca="1" si="93"/>
        <v>162.4644447916653</v>
      </c>
      <c r="W683" s="89"/>
    </row>
    <row r="684" spans="1:23" ht="18">
      <c r="A684" s="260"/>
      <c r="B684" s="260" t="s">
        <v>1377</v>
      </c>
      <c r="C684" s="175" t="s">
        <v>1379</v>
      </c>
      <c r="D684" s="131" t="s">
        <v>1422</v>
      </c>
      <c r="E684" s="313">
        <v>181</v>
      </c>
      <c r="F684" s="263">
        <v>45100</v>
      </c>
      <c r="G684" s="252">
        <v>11.45</v>
      </c>
      <c r="H684" s="150">
        <v>601697.5</v>
      </c>
      <c r="I684" s="106">
        <f t="shared" si="135"/>
        <v>52550</v>
      </c>
      <c r="J684" s="122"/>
      <c r="K684" s="157" t="s">
        <v>1584</v>
      </c>
      <c r="L684" s="166">
        <f t="shared" si="122"/>
        <v>181</v>
      </c>
      <c r="M684" s="119" t="s">
        <v>1585</v>
      </c>
      <c r="N684" s="115">
        <f>7.169+3.365</f>
        <v>10.533999999999999</v>
      </c>
      <c r="O684" s="122"/>
      <c r="P684" s="92">
        <f t="shared" si="131"/>
        <v>10.533999999999999</v>
      </c>
      <c r="Q684" s="113">
        <f t="shared" si="132"/>
        <v>0.51524999999999999</v>
      </c>
      <c r="R684" s="92">
        <f t="shared" si="133"/>
        <v>0.40075</v>
      </c>
      <c r="S684" s="121"/>
      <c r="T684" s="93">
        <f t="shared" si="134"/>
        <v>0</v>
      </c>
      <c r="U684" s="122"/>
      <c r="V684" s="94">
        <f t="shared" ca="1" si="93"/>
        <v>162.4644447916653</v>
      </c>
      <c r="W684" s="89"/>
    </row>
    <row r="685" spans="1:23" ht="18">
      <c r="A685" s="260"/>
      <c r="B685" s="260" t="s">
        <v>1377</v>
      </c>
      <c r="C685" s="175" t="s">
        <v>1379</v>
      </c>
      <c r="D685" s="131" t="s">
        <v>1423</v>
      </c>
      <c r="E685" s="313">
        <v>182</v>
      </c>
      <c r="F685" s="263">
        <v>45100</v>
      </c>
      <c r="G685" s="252">
        <v>2.29</v>
      </c>
      <c r="H685" s="150">
        <v>120339.5</v>
      </c>
      <c r="I685" s="106">
        <f t="shared" si="135"/>
        <v>52550</v>
      </c>
      <c r="J685" s="122"/>
      <c r="K685" s="157">
        <v>532</v>
      </c>
      <c r="L685" s="166">
        <f t="shared" si="122"/>
        <v>182</v>
      </c>
      <c r="M685" s="119" t="s">
        <v>1586</v>
      </c>
      <c r="N685" s="115">
        <v>2.1070000000000002</v>
      </c>
      <c r="O685" s="122"/>
      <c r="P685" s="92">
        <f t="shared" si="131"/>
        <v>2.1068000000000002</v>
      </c>
      <c r="Q685" s="113">
        <f t="shared" si="132"/>
        <v>0.10305</v>
      </c>
      <c r="R685" s="92">
        <f t="shared" si="133"/>
        <v>8.0150000000000013E-2</v>
      </c>
      <c r="S685" s="121"/>
      <c r="T685" s="93">
        <f t="shared" si="134"/>
        <v>-2.0000000000018614E-4</v>
      </c>
      <c r="U685" s="122"/>
      <c r="V685" s="94">
        <f t="shared" ca="1" si="93"/>
        <v>162.4644447916653</v>
      </c>
      <c r="W685" s="89"/>
    </row>
    <row r="686" spans="1:23" ht="18">
      <c r="A686" s="260"/>
      <c r="B686" s="260" t="s">
        <v>1377</v>
      </c>
      <c r="C686" s="175" t="s">
        <v>1379</v>
      </c>
      <c r="D686" s="131" t="s">
        <v>1424</v>
      </c>
      <c r="E686" s="313">
        <v>183</v>
      </c>
      <c r="F686" s="263">
        <v>45100</v>
      </c>
      <c r="G686" s="252">
        <v>13.74</v>
      </c>
      <c r="H686" s="150">
        <v>722037</v>
      </c>
      <c r="I686" s="106">
        <f t="shared" si="135"/>
        <v>52550</v>
      </c>
      <c r="J686" s="122"/>
      <c r="K686" s="157">
        <v>533</v>
      </c>
      <c r="L686" s="166">
        <f t="shared" si="122"/>
        <v>183</v>
      </c>
      <c r="M686" s="119" t="s">
        <v>1586</v>
      </c>
      <c r="N686" s="115">
        <v>12.641</v>
      </c>
      <c r="O686" s="122"/>
      <c r="P686" s="92">
        <f t="shared" si="131"/>
        <v>12.6408</v>
      </c>
      <c r="Q686" s="113">
        <f t="shared" si="132"/>
        <v>0.61829999999999996</v>
      </c>
      <c r="R686" s="92">
        <f t="shared" si="133"/>
        <v>0.48090000000000005</v>
      </c>
      <c r="S686" s="121"/>
      <c r="T686" s="93">
        <f t="shared" si="134"/>
        <v>-1.9999999999981144E-4</v>
      </c>
      <c r="U686" s="122"/>
      <c r="V686" s="94">
        <f t="shared" ca="1" si="93"/>
        <v>162.4644447916653</v>
      </c>
      <c r="W686" s="89"/>
    </row>
    <row r="687" spans="1:23" ht="18">
      <c r="A687" s="260"/>
      <c r="B687" s="260" t="s">
        <v>1377</v>
      </c>
      <c r="C687" s="175" t="s">
        <v>1379</v>
      </c>
      <c r="D687" s="131" t="s">
        <v>1425</v>
      </c>
      <c r="E687" s="313">
        <v>184</v>
      </c>
      <c r="F687" s="263">
        <v>45100</v>
      </c>
      <c r="G687" s="252">
        <v>27.03</v>
      </c>
      <c r="H687" s="150">
        <v>1420426.5</v>
      </c>
      <c r="I687" s="106">
        <f t="shared" si="135"/>
        <v>52550</v>
      </c>
      <c r="J687" s="122"/>
      <c r="K687" s="158">
        <v>534535</v>
      </c>
      <c r="L687" s="166">
        <f t="shared" si="122"/>
        <v>184</v>
      </c>
      <c r="M687" s="119" t="s">
        <v>1587</v>
      </c>
      <c r="N687" s="115">
        <f>13.872+10.996</f>
        <v>24.868000000000002</v>
      </c>
      <c r="O687" s="122"/>
      <c r="P687" s="92">
        <f t="shared" si="131"/>
        <v>24.867600000000003</v>
      </c>
      <c r="Q687" s="113">
        <f t="shared" si="132"/>
        <v>1.21635</v>
      </c>
      <c r="R687" s="92">
        <f t="shared" si="133"/>
        <v>0.94605000000000017</v>
      </c>
      <c r="S687" s="121"/>
      <c r="T687" s="93">
        <f t="shared" si="134"/>
        <v>-4.0000000000117719E-4</v>
      </c>
      <c r="U687" s="122"/>
      <c r="V687" s="94">
        <f t="shared" ca="1" si="93"/>
        <v>162.4644447916653</v>
      </c>
      <c r="W687" s="89"/>
    </row>
    <row r="688" spans="1:23" ht="18">
      <c r="A688" s="260"/>
      <c r="B688" s="260" t="s">
        <v>1377</v>
      </c>
      <c r="C688" s="175" t="s">
        <v>1379</v>
      </c>
      <c r="D688" s="131" t="s">
        <v>1426</v>
      </c>
      <c r="E688" s="313">
        <v>185</v>
      </c>
      <c r="F688" s="263">
        <v>45100</v>
      </c>
      <c r="G688" s="252">
        <v>6.87</v>
      </c>
      <c r="H688" s="150">
        <v>361018.5</v>
      </c>
      <c r="I688" s="106">
        <f t="shared" si="135"/>
        <v>52550</v>
      </c>
      <c r="J688" s="122"/>
      <c r="K688" s="157">
        <v>536</v>
      </c>
      <c r="L688" s="166">
        <f t="shared" si="122"/>
        <v>185</v>
      </c>
      <c r="M688" s="119" t="s">
        <v>1586</v>
      </c>
      <c r="N688" s="115">
        <v>6.32</v>
      </c>
      <c r="O688" s="122"/>
      <c r="P688" s="92">
        <f t="shared" si="131"/>
        <v>6.3204000000000002</v>
      </c>
      <c r="Q688" s="113">
        <f t="shared" si="132"/>
        <v>0.30914999999999998</v>
      </c>
      <c r="R688" s="92">
        <f t="shared" si="133"/>
        <v>0.24045000000000002</v>
      </c>
      <c r="S688" s="121"/>
      <c r="T688" s="93">
        <f t="shared" si="134"/>
        <v>3.9999999999981717E-4</v>
      </c>
      <c r="U688" s="122"/>
      <c r="V688" s="94">
        <f t="shared" ca="1" si="93"/>
        <v>162.4644447916653</v>
      </c>
      <c r="W688" s="89"/>
    </row>
    <row r="689" spans="1:23" ht="18">
      <c r="A689" s="260"/>
      <c r="B689" s="260" t="s">
        <v>1377</v>
      </c>
      <c r="C689" s="175" t="s">
        <v>1379</v>
      </c>
      <c r="D689" s="131" t="s">
        <v>1427</v>
      </c>
      <c r="E689" s="313">
        <v>186</v>
      </c>
      <c r="F689" s="263">
        <v>45100</v>
      </c>
      <c r="G689" s="252">
        <v>20.25</v>
      </c>
      <c r="H689" s="150">
        <v>1064137.5</v>
      </c>
      <c r="I689" s="106">
        <f t="shared" si="135"/>
        <v>52550</v>
      </c>
      <c r="J689" s="122"/>
      <c r="K689" s="157" t="s">
        <v>1588</v>
      </c>
      <c r="L689" s="166">
        <f t="shared" si="122"/>
        <v>186</v>
      </c>
      <c r="M689" s="119" t="s">
        <v>1590</v>
      </c>
      <c r="N689" s="115">
        <f>14.614+4.016</f>
        <v>18.630000000000003</v>
      </c>
      <c r="O689" s="122"/>
      <c r="P689" s="92">
        <f t="shared" si="131"/>
        <v>18.630000000000003</v>
      </c>
      <c r="Q689" s="113">
        <f t="shared" si="132"/>
        <v>0.91125</v>
      </c>
      <c r="R689" s="92">
        <f t="shared" si="133"/>
        <v>0.7087500000000001</v>
      </c>
      <c r="S689" s="121"/>
      <c r="T689" s="93">
        <f t="shared" si="134"/>
        <v>-2.6645352591003757E-15</v>
      </c>
      <c r="U689" s="122"/>
      <c r="V689" s="94">
        <f t="shared" ca="1" si="93"/>
        <v>162.4644447916653</v>
      </c>
      <c r="W689" s="89"/>
    </row>
    <row r="690" spans="1:23" ht="18">
      <c r="A690" s="260"/>
      <c r="B690" s="260" t="s">
        <v>1377</v>
      </c>
      <c r="C690" s="175" t="s">
        <v>1379</v>
      </c>
      <c r="D690" s="131" t="s">
        <v>1428</v>
      </c>
      <c r="E690" s="313">
        <v>187</v>
      </c>
      <c r="F690" s="263">
        <v>45100</v>
      </c>
      <c r="G690" s="252">
        <v>13.74</v>
      </c>
      <c r="H690" s="150">
        <v>722037</v>
      </c>
      <c r="I690" s="106">
        <f t="shared" si="135"/>
        <v>52550</v>
      </c>
      <c r="J690" s="122"/>
      <c r="K690" s="157">
        <v>539</v>
      </c>
      <c r="L690" s="166">
        <f t="shared" si="122"/>
        <v>187</v>
      </c>
      <c r="M690" s="119" t="s">
        <v>1589</v>
      </c>
      <c r="N690" s="115">
        <v>12.641</v>
      </c>
      <c r="O690" s="122"/>
      <c r="P690" s="92">
        <f t="shared" si="131"/>
        <v>12.6408</v>
      </c>
      <c r="Q690" s="113">
        <f t="shared" si="132"/>
        <v>0.61829999999999996</v>
      </c>
      <c r="R690" s="92">
        <f t="shared" si="133"/>
        <v>0.48090000000000005</v>
      </c>
      <c r="S690" s="121"/>
      <c r="T690" s="93">
        <f t="shared" si="134"/>
        <v>-1.9999999999981144E-4</v>
      </c>
      <c r="U690" s="122"/>
      <c r="V690" s="94">
        <f t="shared" ca="1" si="93"/>
        <v>162.4644447916653</v>
      </c>
      <c r="W690" s="89"/>
    </row>
    <row r="691" spans="1:23" ht="18">
      <c r="A691" s="260"/>
      <c r="B691" s="260" t="s">
        <v>1377</v>
      </c>
      <c r="C691" s="175" t="s">
        <v>1379</v>
      </c>
      <c r="D691" s="131" t="s">
        <v>1429</v>
      </c>
      <c r="E691" s="313">
        <v>188</v>
      </c>
      <c r="F691" s="263">
        <v>45100</v>
      </c>
      <c r="G691" s="252">
        <v>13.754</v>
      </c>
      <c r="H691" s="150">
        <v>722772.7</v>
      </c>
      <c r="I691" s="106">
        <f t="shared" si="135"/>
        <v>52550</v>
      </c>
      <c r="J691" s="122"/>
      <c r="K691" s="157">
        <v>540</v>
      </c>
      <c r="L691" s="166">
        <f t="shared" si="122"/>
        <v>188</v>
      </c>
      <c r="M691" s="119" t="s">
        <v>1589</v>
      </c>
      <c r="N691" s="115">
        <v>12.654</v>
      </c>
      <c r="O691" s="122"/>
      <c r="P691" s="92">
        <f t="shared" si="131"/>
        <v>12.65368</v>
      </c>
      <c r="Q691" s="113">
        <f t="shared" si="132"/>
        <v>0.61892999999999998</v>
      </c>
      <c r="R691" s="92">
        <f t="shared" si="133"/>
        <v>0.48139000000000004</v>
      </c>
      <c r="S691" s="121"/>
      <c r="T691" s="93">
        <f t="shared" si="134"/>
        <v>-3.2000000000037554E-4</v>
      </c>
      <c r="U691" s="122"/>
      <c r="V691" s="94">
        <f t="shared" ca="1" si="93"/>
        <v>162.4644447916653</v>
      </c>
      <c r="W691" s="89"/>
    </row>
    <row r="692" spans="1:23" ht="18">
      <c r="A692" s="260"/>
      <c r="B692" s="260" t="s">
        <v>1377</v>
      </c>
      <c r="C692" s="175" t="s">
        <v>1379</v>
      </c>
      <c r="D692" s="131" t="s">
        <v>1430</v>
      </c>
      <c r="E692" s="313">
        <v>189</v>
      </c>
      <c r="F692" s="263">
        <v>45100</v>
      </c>
      <c r="G692" s="252">
        <v>13.28</v>
      </c>
      <c r="H692" s="150">
        <v>697864</v>
      </c>
      <c r="I692" s="106">
        <f t="shared" si="135"/>
        <v>52550</v>
      </c>
      <c r="J692" s="122"/>
      <c r="K692" s="158">
        <v>541542</v>
      </c>
      <c r="L692" s="166">
        <f t="shared" si="122"/>
        <v>189</v>
      </c>
      <c r="M692" s="119" t="s">
        <v>1591</v>
      </c>
      <c r="N692" s="115">
        <f>3.312+8.906</f>
        <v>12.218</v>
      </c>
      <c r="O692" s="122"/>
      <c r="P692" s="92">
        <f t="shared" si="131"/>
        <v>12.217599999999999</v>
      </c>
      <c r="Q692" s="113">
        <f t="shared" si="132"/>
        <v>0.59759999999999991</v>
      </c>
      <c r="R692" s="92">
        <f t="shared" si="133"/>
        <v>0.46480000000000005</v>
      </c>
      <c r="S692" s="121"/>
      <c r="T692" s="93">
        <f t="shared" si="134"/>
        <v>-4.0000000000056657E-4</v>
      </c>
      <c r="U692" s="122"/>
      <c r="V692" s="94">
        <f t="shared" ca="1" si="93"/>
        <v>162.4644447916653</v>
      </c>
      <c r="W692" s="89"/>
    </row>
    <row r="693" spans="1:23" ht="18">
      <c r="A693" s="260"/>
      <c r="B693" s="260" t="s">
        <v>1377</v>
      </c>
      <c r="C693" s="175" t="s">
        <v>1379</v>
      </c>
      <c r="D693" s="131" t="s">
        <v>1431</v>
      </c>
      <c r="E693" s="313">
        <v>190</v>
      </c>
      <c r="F693" s="263">
        <v>45100</v>
      </c>
      <c r="G693" s="252">
        <v>13.726000000000001</v>
      </c>
      <c r="H693" s="150">
        <v>721301.3</v>
      </c>
      <c r="I693" s="106">
        <f t="shared" si="135"/>
        <v>52550</v>
      </c>
      <c r="J693" s="122"/>
      <c r="K693" s="157">
        <v>543</v>
      </c>
      <c r="L693" s="166">
        <f t="shared" si="122"/>
        <v>190</v>
      </c>
      <c r="M693" s="119" t="s">
        <v>1589</v>
      </c>
      <c r="N693" s="115">
        <v>12.628</v>
      </c>
      <c r="O693" s="122"/>
      <c r="P693" s="92">
        <f t="shared" si="131"/>
        <v>12.627920000000001</v>
      </c>
      <c r="Q693" s="113">
        <f t="shared" si="132"/>
        <v>0.61767000000000005</v>
      </c>
      <c r="R693" s="92">
        <f t="shared" si="133"/>
        <v>0.48041000000000006</v>
      </c>
      <c r="S693" s="121"/>
      <c r="T693" s="93">
        <f t="shared" si="134"/>
        <v>-7.9999999999358362E-5</v>
      </c>
      <c r="U693" s="122"/>
      <c r="V693" s="94">
        <f t="shared" ca="1" si="93"/>
        <v>162.4644447916653</v>
      </c>
      <c r="W693" s="89"/>
    </row>
    <row r="694" spans="1:23" ht="18">
      <c r="A694" s="260"/>
      <c r="B694" s="260" t="s">
        <v>1377</v>
      </c>
      <c r="C694" s="175" t="s">
        <v>1379</v>
      </c>
      <c r="D694" s="131" t="s">
        <v>1432</v>
      </c>
      <c r="E694" s="313">
        <v>191</v>
      </c>
      <c r="F694" s="263">
        <v>45100</v>
      </c>
      <c r="G694" s="252">
        <v>40.597000000000001</v>
      </c>
      <c r="H694" s="150">
        <v>2133372.35</v>
      </c>
      <c r="I694" s="106">
        <f t="shared" si="135"/>
        <v>52550</v>
      </c>
      <c r="J694" s="122"/>
      <c r="K694" s="157" t="s">
        <v>1596</v>
      </c>
      <c r="L694" s="166">
        <f t="shared" si="122"/>
        <v>191</v>
      </c>
      <c r="M694" s="119" t="s">
        <v>1595</v>
      </c>
      <c r="N694" s="115">
        <f>3.344+31.412+2.593</f>
        <v>37.349000000000004</v>
      </c>
      <c r="O694" s="122"/>
      <c r="P694" s="92">
        <f t="shared" si="131"/>
        <v>37.349240000000002</v>
      </c>
      <c r="Q694" s="113">
        <f t="shared" si="132"/>
        <v>1.826865</v>
      </c>
      <c r="R694" s="92">
        <f t="shared" si="133"/>
        <v>1.4208950000000002</v>
      </c>
      <c r="S694" s="121"/>
      <c r="T694" s="93">
        <f t="shared" si="134"/>
        <v>2.3999999999735344E-4</v>
      </c>
      <c r="U694" s="122"/>
      <c r="V694" s="94">
        <f t="shared" ca="1" si="93"/>
        <v>162.4644447916653</v>
      </c>
      <c r="W694" s="89"/>
    </row>
    <row r="695" spans="1:23" s="312" customFormat="1" ht="18">
      <c r="A695" s="260"/>
      <c r="B695" s="260" t="s">
        <v>505</v>
      </c>
      <c r="C695" s="175" t="s">
        <v>55</v>
      </c>
      <c r="D695" s="131" t="s">
        <v>1157</v>
      </c>
      <c r="E695" s="313">
        <v>192</v>
      </c>
      <c r="F695" s="263">
        <v>45108</v>
      </c>
      <c r="G695" s="252">
        <v>2.125</v>
      </c>
      <c r="H695" s="150">
        <v>121720</v>
      </c>
      <c r="I695" s="296">
        <f t="shared" ref="I695" si="136">H695/G695</f>
        <v>57280</v>
      </c>
      <c r="J695" s="133"/>
      <c r="K695" s="230">
        <v>558</v>
      </c>
      <c r="L695" s="240">
        <f t="shared" si="122"/>
        <v>192</v>
      </c>
      <c r="M695" s="231" t="s">
        <v>1592</v>
      </c>
      <c r="N695" s="133">
        <v>1.9550000000000001</v>
      </c>
      <c r="O695" s="122"/>
      <c r="P695" s="92">
        <f t="shared" ref="P695" si="137">G695*0.92</f>
        <v>1.9550000000000001</v>
      </c>
      <c r="Q695" s="113">
        <f t="shared" ref="Q695" si="138">G695*4.5%</f>
        <v>9.5625000000000002E-2</v>
      </c>
      <c r="R695" s="92">
        <f t="shared" ref="R695" si="139">G695*3.5%</f>
        <v>7.4375000000000011E-2</v>
      </c>
      <c r="S695" s="121"/>
      <c r="T695" s="93">
        <f t="shared" ref="T695" si="140">G695-N695-Q695-R695</f>
        <v>0</v>
      </c>
      <c r="U695" s="122"/>
      <c r="V695" s="94">
        <f t="shared" ref="V695" ca="1" si="141">360-($V$3-F695)</f>
        <v>170.4644447916653</v>
      </c>
      <c r="W695" s="89"/>
    </row>
    <row r="696" spans="1:23" ht="18">
      <c r="A696" s="260"/>
      <c r="B696" s="260" t="s">
        <v>1377</v>
      </c>
      <c r="C696" s="175" t="s">
        <v>1379</v>
      </c>
      <c r="D696" s="131" t="s">
        <v>1433</v>
      </c>
      <c r="E696" s="313">
        <v>193</v>
      </c>
      <c r="F696" s="263">
        <v>45108</v>
      </c>
      <c r="G696" s="252">
        <v>4.58</v>
      </c>
      <c r="H696" s="150">
        <v>240679</v>
      </c>
      <c r="I696" s="106">
        <f t="shared" si="135"/>
        <v>52550</v>
      </c>
      <c r="J696" s="122"/>
      <c r="K696" s="157">
        <v>549</v>
      </c>
      <c r="L696" s="166">
        <f t="shared" si="122"/>
        <v>193</v>
      </c>
      <c r="M696" s="119" t="s">
        <v>1592</v>
      </c>
      <c r="N696" s="115">
        <v>4.218</v>
      </c>
      <c r="O696" s="122"/>
      <c r="P696" s="92">
        <v>4.218</v>
      </c>
      <c r="Q696" s="113">
        <v>0.20399999999999999</v>
      </c>
      <c r="R696" s="92">
        <v>0.158</v>
      </c>
      <c r="S696" s="121"/>
      <c r="T696" s="93">
        <f t="shared" si="134"/>
        <v>0</v>
      </c>
      <c r="U696" s="122"/>
      <c r="V696" s="94">
        <f t="shared" ca="1" si="93"/>
        <v>170.4644447916653</v>
      </c>
      <c r="W696" s="89"/>
    </row>
    <row r="697" spans="1:23" ht="18">
      <c r="A697" s="260"/>
      <c r="B697" s="260" t="s">
        <v>1377</v>
      </c>
      <c r="C697" s="175" t="s">
        <v>1379</v>
      </c>
      <c r="D697" s="131" t="s">
        <v>1434</v>
      </c>
      <c r="E697" s="313">
        <v>194</v>
      </c>
      <c r="F697" s="263">
        <v>45108</v>
      </c>
      <c r="G697" s="252">
        <v>6.6280000000000001</v>
      </c>
      <c r="H697" s="150">
        <v>348301.4</v>
      </c>
      <c r="I697" s="106">
        <f t="shared" si="135"/>
        <v>52550</v>
      </c>
      <c r="J697" s="122"/>
      <c r="K697" s="157">
        <v>550</v>
      </c>
      <c r="L697" s="166">
        <f t="shared" si="122"/>
        <v>194</v>
      </c>
      <c r="M697" s="119" t="s">
        <v>1592</v>
      </c>
      <c r="N697" s="115">
        <v>6.1020000000000003</v>
      </c>
      <c r="O697" s="122"/>
      <c r="P697" s="92">
        <v>6.1020000000000003</v>
      </c>
      <c r="Q697" s="113">
        <v>0.29599999999999999</v>
      </c>
      <c r="R697" s="92">
        <v>0.23</v>
      </c>
      <c r="S697" s="121"/>
      <c r="T697" s="93">
        <f t="shared" si="134"/>
        <v>0</v>
      </c>
      <c r="U697" s="122"/>
      <c r="V697" s="94">
        <f t="shared" ca="1" si="93"/>
        <v>170.4644447916653</v>
      </c>
      <c r="W697" s="89"/>
    </row>
    <row r="698" spans="1:23" ht="18">
      <c r="A698" s="260"/>
      <c r="B698" s="260" t="s">
        <v>1377</v>
      </c>
      <c r="C698" s="175" t="s">
        <v>1379</v>
      </c>
      <c r="D698" s="131" t="s">
        <v>1435</v>
      </c>
      <c r="E698" s="313">
        <v>195</v>
      </c>
      <c r="F698" s="263">
        <v>45108</v>
      </c>
      <c r="G698" s="252">
        <v>2.29</v>
      </c>
      <c r="H698" s="150">
        <v>120339.5</v>
      </c>
      <c r="I698" s="106">
        <f t="shared" si="135"/>
        <v>52550</v>
      </c>
      <c r="J698" s="122"/>
      <c r="K698" s="157">
        <v>559</v>
      </c>
      <c r="L698" s="166">
        <f t="shared" si="122"/>
        <v>195</v>
      </c>
      <c r="M698" s="119" t="s">
        <v>1592</v>
      </c>
      <c r="N698" s="115">
        <v>2.1070000000000002</v>
      </c>
      <c r="O698" s="122"/>
      <c r="P698" s="92">
        <f t="shared" si="131"/>
        <v>2.1068000000000002</v>
      </c>
      <c r="Q698" s="113">
        <f t="shared" si="132"/>
        <v>0.10305</v>
      </c>
      <c r="R698" s="92">
        <f t="shared" si="133"/>
        <v>8.0150000000000013E-2</v>
      </c>
      <c r="S698" s="121"/>
      <c r="T698" s="93">
        <f t="shared" si="134"/>
        <v>-2.0000000000018614E-4</v>
      </c>
      <c r="U698" s="122"/>
      <c r="V698" s="94">
        <f t="shared" ca="1" si="93"/>
        <v>170.4644447916653</v>
      </c>
      <c r="W698" s="89"/>
    </row>
    <row r="699" spans="1:23" ht="18">
      <c r="A699" s="260"/>
      <c r="B699" s="260" t="s">
        <v>1377</v>
      </c>
      <c r="C699" s="175" t="s">
        <v>1379</v>
      </c>
      <c r="D699" s="131" t="s">
        <v>1436</v>
      </c>
      <c r="E699" s="313">
        <v>196</v>
      </c>
      <c r="F699" s="263">
        <v>45108</v>
      </c>
      <c r="G699" s="252">
        <v>2.3039999999999998</v>
      </c>
      <c r="H699" s="150">
        <v>121075.2</v>
      </c>
      <c r="I699" s="106">
        <f t="shared" si="135"/>
        <v>52550</v>
      </c>
      <c r="J699" s="122"/>
      <c r="K699" s="157">
        <v>560</v>
      </c>
      <c r="L699" s="166">
        <f t="shared" si="122"/>
        <v>196</v>
      </c>
      <c r="M699" s="119" t="s">
        <v>1592</v>
      </c>
      <c r="N699" s="115">
        <v>2.12</v>
      </c>
      <c r="O699" s="122"/>
      <c r="P699" s="92">
        <f t="shared" si="131"/>
        <v>2.1196799999999998</v>
      </c>
      <c r="Q699" s="113">
        <f t="shared" si="132"/>
        <v>0.10367999999999999</v>
      </c>
      <c r="R699" s="92">
        <f t="shared" si="133"/>
        <v>8.0640000000000003E-2</v>
      </c>
      <c r="S699" s="121"/>
      <c r="T699" s="93">
        <f t="shared" si="134"/>
        <v>-3.200000000002784E-4</v>
      </c>
      <c r="U699" s="122"/>
      <c r="V699" s="94">
        <f t="shared" ca="1" si="93"/>
        <v>170.4644447916653</v>
      </c>
      <c r="W699" s="89"/>
    </row>
    <row r="700" spans="1:23" ht="18">
      <c r="A700" s="260"/>
      <c r="B700" s="260" t="s">
        <v>1377</v>
      </c>
      <c r="C700" s="175" t="s">
        <v>1379</v>
      </c>
      <c r="D700" s="131" t="s">
        <v>1437</v>
      </c>
      <c r="E700" s="313">
        <v>197</v>
      </c>
      <c r="F700" s="263">
        <v>45108</v>
      </c>
      <c r="G700" s="252">
        <v>2.33</v>
      </c>
      <c r="H700" s="150">
        <v>122441.5</v>
      </c>
      <c r="I700" s="106">
        <f t="shared" si="135"/>
        <v>52550</v>
      </c>
      <c r="J700" s="122"/>
      <c r="K700" s="157">
        <v>562</v>
      </c>
      <c r="L700" s="166">
        <f t="shared" si="122"/>
        <v>197</v>
      </c>
      <c r="M700" s="119" t="s">
        <v>1597</v>
      </c>
      <c r="N700" s="115">
        <v>2.1440000000000001</v>
      </c>
      <c r="O700" s="122"/>
      <c r="P700" s="92">
        <f t="shared" si="131"/>
        <v>2.1436000000000002</v>
      </c>
      <c r="Q700" s="113">
        <f t="shared" si="132"/>
        <v>0.10485</v>
      </c>
      <c r="R700" s="92">
        <f t="shared" si="133"/>
        <v>8.1550000000000011E-2</v>
      </c>
      <c r="S700" s="121"/>
      <c r="T700" s="93">
        <f t="shared" si="134"/>
        <v>-4.0000000000006697E-4</v>
      </c>
      <c r="U700" s="122"/>
      <c r="V700" s="94">
        <f t="shared" ca="1" si="93"/>
        <v>170.4644447916653</v>
      </c>
      <c r="W700" s="89"/>
    </row>
    <row r="701" spans="1:23" ht="18">
      <c r="A701" s="260"/>
      <c r="B701" s="260" t="s">
        <v>1377</v>
      </c>
      <c r="C701" s="175" t="s">
        <v>1379</v>
      </c>
      <c r="D701" s="131" t="s">
        <v>1438</v>
      </c>
      <c r="E701" s="313">
        <v>198</v>
      </c>
      <c r="F701" s="263">
        <v>45108</v>
      </c>
      <c r="G701" s="252">
        <v>4.58</v>
      </c>
      <c r="H701" s="150">
        <v>240679</v>
      </c>
      <c r="I701" s="106">
        <f t="shared" si="135"/>
        <v>52550</v>
      </c>
      <c r="J701" s="122"/>
      <c r="K701" s="157">
        <v>563</v>
      </c>
      <c r="L701" s="166">
        <f t="shared" si="122"/>
        <v>198</v>
      </c>
      <c r="M701" s="119" t="s">
        <v>1597</v>
      </c>
      <c r="N701" s="115">
        <v>4.2140000000000004</v>
      </c>
      <c r="O701" s="122"/>
      <c r="P701" s="92">
        <f t="shared" si="131"/>
        <v>4.2136000000000005</v>
      </c>
      <c r="Q701" s="113">
        <f t="shared" si="132"/>
        <v>0.20610000000000001</v>
      </c>
      <c r="R701" s="92">
        <f t="shared" si="133"/>
        <v>0.16030000000000003</v>
      </c>
      <c r="S701" s="121"/>
      <c r="T701" s="93">
        <f t="shared" si="134"/>
        <v>-4.0000000000037228E-4</v>
      </c>
      <c r="U701" s="122"/>
      <c r="V701" s="94">
        <f t="shared" ca="1" si="93"/>
        <v>170.4644447916653</v>
      </c>
      <c r="W701" s="89"/>
    </row>
    <row r="702" spans="1:23" ht="18">
      <c r="A702" s="260"/>
      <c r="B702" s="260" t="s">
        <v>1377</v>
      </c>
      <c r="C702" s="175" t="s">
        <v>1379</v>
      </c>
      <c r="D702" s="131" t="s">
        <v>1439</v>
      </c>
      <c r="E702" s="313">
        <v>199</v>
      </c>
      <c r="F702" s="263">
        <v>45108</v>
      </c>
      <c r="G702" s="252">
        <v>6.78</v>
      </c>
      <c r="H702" s="150">
        <v>356289</v>
      </c>
      <c r="I702" s="106">
        <f t="shared" si="135"/>
        <v>52550</v>
      </c>
      <c r="J702" s="122"/>
      <c r="K702" s="157">
        <v>551</v>
      </c>
      <c r="L702" s="166">
        <f t="shared" si="122"/>
        <v>199</v>
      </c>
      <c r="M702" s="119" t="s">
        <v>1592</v>
      </c>
      <c r="N702" s="115">
        <v>6.242</v>
      </c>
      <c r="O702" s="122"/>
      <c r="P702" s="92">
        <v>6.242</v>
      </c>
      <c r="Q702" s="113">
        <v>0.30299999999999999</v>
      </c>
      <c r="R702" s="92">
        <v>0.23499999999999999</v>
      </c>
      <c r="S702" s="121"/>
      <c r="T702" s="93">
        <f t="shared" si="134"/>
        <v>2.7755575615628914E-16</v>
      </c>
      <c r="U702" s="122"/>
      <c r="V702" s="94">
        <f t="shared" ca="1" si="93"/>
        <v>170.4644447916653</v>
      </c>
      <c r="W702" s="89"/>
    </row>
    <row r="703" spans="1:23" ht="18">
      <c r="A703" s="260"/>
      <c r="B703" s="260" t="s">
        <v>1377</v>
      </c>
      <c r="C703" s="175" t="s">
        <v>1379</v>
      </c>
      <c r="D703" s="131" t="s">
        <v>1440</v>
      </c>
      <c r="E703" s="313">
        <v>200</v>
      </c>
      <c r="F703" s="263">
        <v>45108</v>
      </c>
      <c r="G703" s="252">
        <v>6.7649999999999997</v>
      </c>
      <c r="H703" s="150">
        <v>355500.75</v>
      </c>
      <c r="I703" s="106">
        <f t="shared" si="135"/>
        <v>52550</v>
      </c>
      <c r="J703" s="122"/>
      <c r="K703" s="157">
        <v>545</v>
      </c>
      <c r="L703" s="166">
        <f t="shared" si="122"/>
        <v>200</v>
      </c>
      <c r="M703" s="119" t="s">
        <v>1589</v>
      </c>
      <c r="N703" s="115">
        <v>6.2110000000000003</v>
      </c>
      <c r="O703" s="122"/>
      <c r="P703" s="92">
        <f>G703*0.92-0.013</f>
        <v>6.2107999999999999</v>
      </c>
      <c r="Q703" s="113">
        <f>G703*4.5%+0.0065</f>
        <v>0.31092500000000001</v>
      </c>
      <c r="R703" s="92">
        <f>G703*3.5%+0.0065</f>
        <v>0.24327500000000002</v>
      </c>
      <c r="S703" s="121"/>
      <c r="T703" s="93">
        <f t="shared" si="126"/>
        <v>-2.0000000000064411E-4</v>
      </c>
      <c r="U703" s="122"/>
      <c r="V703" s="94">
        <f t="shared" ca="1" si="93"/>
        <v>170.4644447916653</v>
      </c>
      <c r="W703" s="89"/>
    </row>
    <row r="704" spans="1:23" ht="18">
      <c r="A704" s="260"/>
      <c r="B704" s="260" t="s">
        <v>1377</v>
      </c>
      <c r="C704" s="175" t="s">
        <v>1379</v>
      </c>
      <c r="D704" s="131" t="s">
        <v>1441</v>
      </c>
      <c r="E704" s="313">
        <v>201</v>
      </c>
      <c r="F704" s="263">
        <v>45108</v>
      </c>
      <c r="G704" s="252">
        <v>4.58</v>
      </c>
      <c r="H704" s="150">
        <v>240679</v>
      </c>
      <c r="I704" s="106">
        <f t="shared" si="135"/>
        <v>52550</v>
      </c>
      <c r="J704" s="122"/>
      <c r="K704" s="157">
        <v>564</v>
      </c>
      <c r="L704" s="166">
        <f t="shared" si="122"/>
        <v>201</v>
      </c>
      <c r="M704" s="119" t="s">
        <v>1597</v>
      </c>
      <c r="N704" s="115">
        <v>4.2140000000000004</v>
      </c>
      <c r="O704" s="122"/>
      <c r="P704" s="92">
        <f t="shared" si="123"/>
        <v>4.2136000000000005</v>
      </c>
      <c r="Q704" s="113">
        <f t="shared" si="124"/>
        <v>0.20610000000000001</v>
      </c>
      <c r="R704" s="92">
        <f t="shared" si="125"/>
        <v>0.16030000000000003</v>
      </c>
      <c r="S704" s="121"/>
      <c r="T704" s="93">
        <f t="shared" si="126"/>
        <v>-4.0000000000037228E-4</v>
      </c>
      <c r="U704" s="122"/>
      <c r="V704" s="94">
        <f t="shared" ca="1" si="93"/>
        <v>170.4644447916653</v>
      </c>
      <c r="W704" s="89"/>
    </row>
    <row r="705" spans="1:23" ht="18">
      <c r="A705" s="260"/>
      <c r="B705" s="260" t="s">
        <v>1377</v>
      </c>
      <c r="C705" s="175" t="s">
        <v>1379</v>
      </c>
      <c r="D705" s="131" t="s">
        <v>1442</v>
      </c>
      <c r="E705" s="313">
        <v>202</v>
      </c>
      <c r="F705" s="263">
        <v>45108</v>
      </c>
      <c r="G705" s="252">
        <v>2.29</v>
      </c>
      <c r="H705" s="150">
        <v>120339.5</v>
      </c>
      <c r="I705" s="106">
        <f t="shared" si="135"/>
        <v>52550</v>
      </c>
      <c r="J705" s="122"/>
      <c r="K705" s="157">
        <v>565</v>
      </c>
      <c r="L705" s="166">
        <f t="shared" si="122"/>
        <v>202</v>
      </c>
      <c r="M705" s="119" t="s">
        <v>1597</v>
      </c>
      <c r="N705" s="115">
        <v>2.1070000000000002</v>
      </c>
      <c r="O705" s="122"/>
      <c r="P705" s="92">
        <f t="shared" si="123"/>
        <v>2.1068000000000002</v>
      </c>
      <c r="Q705" s="113">
        <f t="shared" si="124"/>
        <v>0.10305</v>
      </c>
      <c r="R705" s="92">
        <f t="shared" si="125"/>
        <v>8.0150000000000013E-2</v>
      </c>
      <c r="S705" s="121"/>
      <c r="T705" s="93">
        <f t="shared" si="126"/>
        <v>-2.0000000000018614E-4</v>
      </c>
      <c r="U705" s="122"/>
      <c r="V705" s="94">
        <f t="shared" ca="1" si="93"/>
        <v>170.4644447916653</v>
      </c>
      <c r="W705" s="89"/>
    </row>
    <row r="706" spans="1:23" ht="18">
      <c r="A706" s="260"/>
      <c r="B706" s="260" t="s">
        <v>1377</v>
      </c>
      <c r="C706" s="175" t="s">
        <v>1379</v>
      </c>
      <c r="D706" s="131" t="s">
        <v>1443</v>
      </c>
      <c r="E706" s="313">
        <v>203</v>
      </c>
      <c r="F706" s="263">
        <v>45108</v>
      </c>
      <c r="G706" s="252">
        <v>2.3039999999999998</v>
      </c>
      <c r="H706" s="150">
        <v>121075.2</v>
      </c>
      <c r="I706" s="106">
        <f t="shared" si="135"/>
        <v>52550</v>
      </c>
      <c r="J706" s="122"/>
      <c r="K706" s="157">
        <v>566</v>
      </c>
      <c r="L706" s="166">
        <f t="shared" ref="L706:L769" si="142">E706</f>
        <v>203</v>
      </c>
      <c r="M706" s="119" t="s">
        <v>1597</v>
      </c>
      <c r="N706" s="115">
        <v>2.12</v>
      </c>
      <c r="O706" s="122"/>
      <c r="P706" s="92">
        <f t="shared" si="123"/>
        <v>2.1196799999999998</v>
      </c>
      <c r="Q706" s="113">
        <f t="shared" si="124"/>
        <v>0.10367999999999999</v>
      </c>
      <c r="R706" s="92">
        <f t="shared" si="125"/>
        <v>8.0640000000000003E-2</v>
      </c>
      <c r="S706" s="121"/>
      <c r="T706" s="93">
        <f t="shared" si="126"/>
        <v>-3.200000000002784E-4</v>
      </c>
      <c r="U706" s="122"/>
      <c r="V706" s="94">
        <f t="shared" ca="1" si="93"/>
        <v>170.4644447916653</v>
      </c>
      <c r="W706" s="89"/>
    </row>
    <row r="707" spans="1:23" ht="18">
      <c r="A707" s="260"/>
      <c r="B707" s="260" t="s">
        <v>1377</v>
      </c>
      <c r="C707" s="175" t="s">
        <v>1379</v>
      </c>
      <c r="D707" s="131" t="s">
        <v>1444</v>
      </c>
      <c r="E707" s="313">
        <v>204</v>
      </c>
      <c r="F707" s="263">
        <v>45108</v>
      </c>
      <c r="G707" s="252">
        <v>8.9600000000000009</v>
      </c>
      <c r="H707" s="150">
        <v>470848.00000000006</v>
      </c>
      <c r="I707" s="106">
        <f t="shared" si="135"/>
        <v>52550</v>
      </c>
      <c r="J707" s="122"/>
      <c r="K707" s="157">
        <v>552</v>
      </c>
      <c r="L707" s="166">
        <f t="shared" si="142"/>
        <v>204</v>
      </c>
      <c r="M707" s="119" t="s">
        <v>1592</v>
      </c>
      <c r="N707" s="115">
        <v>8.2530000000000001</v>
      </c>
      <c r="O707" s="122"/>
      <c r="P707" s="92">
        <v>8.2530000000000001</v>
      </c>
      <c r="Q707" s="113">
        <v>0.39800000000000002</v>
      </c>
      <c r="R707" s="92">
        <v>0.309</v>
      </c>
      <c r="S707" s="121"/>
      <c r="T707" s="93">
        <f t="shared" si="126"/>
        <v>7.2164496600635175E-16</v>
      </c>
      <c r="U707" s="122"/>
      <c r="V707" s="94">
        <f t="shared" ca="1" si="93"/>
        <v>170.4644447916653</v>
      </c>
      <c r="W707" s="89"/>
    </row>
    <row r="708" spans="1:23" ht="18">
      <c r="A708" s="260"/>
      <c r="B708" s="260" t="s">
        <v>505</v>
      </c>
      <c r="C708" s="175" t="s">
        <v>94</v>
      </c>
      <c r="D708" s="131" t="s">
        <v>1523</v>
      </c>
      <c r="E708" s="317">
        <v>205</v>
      </c>
      <c r="F708" s="263">
        <v>45127</v>
      </c>
      <c r="G708" s="252">
        <v>27.74</v>
      </c>
      <c r="H708" s="150">
        <v>1371465.5999999999</v>
      </c>
      <c r="I708" s="106">
        <f t="shared" si="135"/>
        <v>49440</v>
      </c>
      <c r="J708" s="122"/>
      <c r="K708" s="157">
        <v>546</v>
      </c>
      <c r="L708" s="166">
        <f t="shared" si="142"/>
        <v>205</v>
      </c>
      <c r="M708" s="119" t="s">
        <v>1589</v>
      </c>
      <c r="N708" s="115">
        <v>25.507999999999999</v>
      </c>
      <c r="O708" s="122"/>
      <c r="P708" s="92">
        <f>G708*0.92-0.013</f>
        <v>25.5078</v>
      </c>
      <c r="Q708" s="113">
        <f>G708*4.5%+0.0065</f>
        <v>1.2547999999999999</v>
      </c>
      <c r="R708" s="92">
        <f>G708*3.5%+0.0065</f>
        <v>0.97739999999999994</v>
      </c>
      <c r="S708" s="121"/>
      <c r="T708" s="93">
        <f t="shared" si="126"/>
        <v>-2.0000000000053308E-4</v>
      </c>
      <c r="U708" s="122"/>
      <c r="V708" s="94">
        <f t="shared" ref="V708:V1262" ca="1" si="143">360-($V$3-F708)</f>
        <v>189.4644447916653</v>
      </c>
      <c r="W708" s="89"/>
    </row>
    <row r="709" spans="1:23" s="312" customFormat="1" ht="18">
      <c r="A709" s="260"/>
      <c r="B709" s="260" t="s">
        <v>505</v>
      </c>
      <c r="C709" s="175" t="s">
        <v>94</v>
      </c>
      <c r="D709" s="131" t="s">
        <v>1524</v>
      </c>
      <c r="E709" s="317">
        <v>206</v>
      </c>
      <c r="F709" s="263">
        <v>45127</v>
      </c>
      <c r="G709" s="252">
        <v>27.74</v>
      </c>
      <c r="H709" s="150">
        <v>1371465.5999999999</v>
      </c>
      <c r="I709" s="106">
        <f t="shared" ref="I709:I769" si="144">H709/G709</f>
        <v>49440</v>
      </c>
      <c r="J709" s="122"/>
      <c r="K709" s="157" t="s">
        <v>1598</v>
      </c>
      <c r="L709" s="166">
        <f t="shared" si="142"/>
        <v>206</v>
      </c>
      <c r="M709" s="119" t="s">
        <v>1599</v>
      </c>
      <c r="N709" s="115">
        <f>25.215+0.306</f>
        <v>25.521000000000001</v>
      </c>
      <c r="O709" s="122"/>
      <c r="P709" s="92">
        <f t="shared" ref="P709:P769" si="145">G709*0.92</f>
        <v>25.520800000000001</v>
      </c>
      <c r="Q709" s="113">
        <f t="shared" ref="Q709:Q769" si="146">G709*4.5%</f>
        <v>1.2483</v>
      </c>
      <c r="R709" s="92">
        <f t="shared" ref="R709:R769" si="147">G709*3.5%</f>
        <v>0.97089999999999999</v>
      </c>
      <c r="S709" s="121"/>
      <c r="T709" s="93">
        <f t="shared" ref="T709:T769" si="148">G709-N709-Q709-R709</f>
        <v>-2.0000000000230944E-4</v>
      </c>
      <c r="U709" s="122"/>
      <c r="V709" s="94">
        <f t="shared" ref="V709:V769" ca="1" si="149">360-($V$3-F709)</f>
        <v>189.4644447916653</v>
      </c>
      <c r="W709" s="89"/>
    </row>
    <row r="710" spans="1:23" s="312" customFormat="1" ht="18">
      <c r="A710" s="260"/>
      <c r="B710" s="260" t="s">
        <v>505</v>
      </c>
      <c r="C710" s="175" t="s">
        <v>94</v>
      </c>
      <c r="D710" s="131" t="s">
        <v>1525</v>
      </c>
      <c r="E710" s="317">
        <v>207</v>
      </c>
      <c r="F710" s="263">
        <v>45127</v>
      </c>
      <c r="G710" s="252">
        <v>27.8</v>
      </c>
      <c r="H710" s="150">
        <v>1374432</v>
      </c>
      <c r="I710" s="106">
        <f t="shared" si="144"/>
        <v>49440</v>
      </c>
      <c r="J710" s="122"/>
      <c r="K710" s="157">
        <v>553</v>
      </c>
      <c r="L710" s="166">
        <f t="shared" si="142"/>
        <v>207</v>
      </c>
      <c r="M710" s="119" t="s">
        <v>1592</v>
      </c>
      <c r="N710" s="115">
        <v>25.576000000000001</v>
      </c>
      <c r="O710" s="122"/>
      <c r="P710" s="92">
        <f t="shared" si="145"/>
        <v>25.576000000000001</v>
      </c>
      <c r="Q710" s="113">
        <f t="shared" si="146"/>
        <v>1.2509999999999999</v>
      </c>
      <c r="R710" s="92">
        <f t="shared" si="147"/>
        <v>0.97300000000000009</v>
      </c>
      <c r="S710" s="121"/>
      <c r="T710" s="93">
        <f t="shared" si="148"/>
        <v>0</v>
      </c>
      <c r="U710" s="122"/>
      <c r="V710" s="94">
        <f t="shared" ca="1" si="149"/>
        <v>189.4644447916653</v>
      </c>
      <c r="W710" s="89"/>
    </row>
    <row r="711" spans="1:23" s="312" customFormat="1" ht="18">
      <c r="A711" s="260"/>
      <c r="B711" s="260" t="s">
        <v>505</v>
      </c>
      <c r="C711" s="175" t="s">
        <v>94</v>
      </c>
      <c r="D711" s="131" t="s">
        <v>1526</v>
      </c>
      <c r="E711" s="317">
        <v>208</v>
      </c>
      <c r="F711" s="263">
        <v>45127</v>
      </c>
      <c r="G711" s="252">
        <v>32</v>
      </c>
      <c r="H711" s="150">
        <v>1582080</v>
      </c>
      <c r="I711" s="106">
        <f t="shared" si="144"/>
        <v>49440</v>
      </c>
      <c r="J711" s="122"/>
      <c r="K711" s="157" t="s">
        <v>1593</v>
      </c>
      <c r="L711" s="166">
        <f t="shared" si="142"/>
        <v>208</v>
      </c>
      <c r="M711" s="119" t="s">
        <v>1594</v>
      </c>
      <c r="N711" s="115">
        <f>7.304+22.136</f>
        <v>29.439999999999998</v>
      </c>
      <c r="O711" s="122"/>
      <c r="P711" s="92">
        <f t="shared" si="145"/>
        <v>29.44</v>
      </c>
      <c r="Q711" s="113">
        <f t="shared" si="146"/>
        <v>1.44</v>
      </c>
      <c r="R711" s="92">
        <f t="shared" si="147"/>
        <v>1.1200000000000001</v>
      </c>
      <c r="S711" s="121"/>
      <c r="T711" s="93">
        <f t="shared" si="148"/>
        <v>2.2204460492503131E-15</v>
      </c>
      <c r="U711" s="122"/>
      <c r="V711" s="94">
        <f t="shared" ca="1" si="149"/>
        <v>189.4644447916653</v>
      </c>
      <c r="W711" s="89"/>
    </row>
    <row r="712" spans="1:23" s="312" customFormat="1" ht="18">
      <c r="A712" s="260"/>
      <c r="B712" s="260" t="s">
        <v>505</v>
      </c>
      <c r="C712" s="175" t="s">
        <v>94</v>
      </c>
      <c r="D712" s="131" t="s">
        <v>1527</v>
      </c>
      <c r="E712" s="317">
        <v>209</v>
      </c>
      <c r="F712" s="263">
        <v>45127</v>
      </c>
      <c r="G712" s="252">
        <v>21.276</v>
      </c>
      <c r="H712" s="150">
        <v>1051885.44</v>
      </c>
      <c r="I712" s="106">
        <f t="shared" si="144"/>
        <v>49440</v>
      </c>
      <c r="J712" s="122"/>
      <c r="K712" s="157" t="s">
        <v>1600</v>
      </c>
      <c r="L712" s="166">
        <f t="shared" si="142"/>
        <v>209</v>
      </c>
      <c r="M712" s="119" t="s">
        <v>1601</v>
      </c>
      <c r="N712" s="115">
        <f>10.079+9.495</f>
        <v>19.573999999999998</v>
      </c>
      <c r="O712" s="122"/>
      <c r="P712" s="92">
        <f t="shared" si="145"/>
        <v>19.573920000000001</v>
      </c>
      <c r="Q712" s="113">
        <f t="shared" si="146"/>
        <v>0.95741999999999994</v>
      </c>
      <c r="R712" s="92">
        <f t="shared" si="147"/>
        <v>0.7446600000000001</v>
      </c>
      <c r="S712" s="121"/>
      <c r="T712" s="93">
        <f t="shared" si="148"/>
        <v>-7.999999999830365E-5</v>
      </c>
      <c r="U712" s="122"/>
      <c r="V712" s="94">
        <f t="shared" ca="1" si="149"/>
        <v>189.4644447916653</v>
      </c>
      <c r="W712" s="89"/>
    </row>
    <row r="713" spans="1:23" s="312" customFormat="1" ht="18">
      <c r="A713" s="260"/>
      <c r="B713" s="260" t="s">
        <v>505</v>
      </c>
      <c r="C713" s="175" t="s">
        <v>94</v>
      </c>
      <c r="D713" s="131" t="s">
        <v>1528</v>
      </c>
      <c r="E713" s="317">
        <v>210</v>
      </c>
      <c r="F713" s="263">
        <v>45127</v>
      </c>
      <c r="G713" s="252">
        <v>31.86</v>
      </c>
      <c r="H713" s="150">
        <v>1575158.4</v>
      </c>
      <c r="I713" s="106">
        <f t="shared" si="144"/>
        <v>49440</v>
      </c>
      <c r="J713" s="122"/>
      <c r="K713" s="157" t="s">
        <v>1602</v>
      </c>
      <c r="L713" s="166">
        <f t="shared" si="142"/>
        <v>210</v>
      </c>
      <c r="M713" s="119" t="s">
        <v>1601</v>
      </c>
      <c r="N713" s="115">
        <f>22.491+6.82</f>
        <v>29.311</v>
      </c>
      <c r="O713" s="122"/>
      <c r="P713" s="92">
        <f t="shared" si="145"/>
        <v>29.311199999999999</v>
      </c>
      <c r="Q713" s="113">
        <f t="shared" si="146"/>
        <v>1.4337</v>
      </c>
      <c r="R713" s="92">
        <f t="shared" si="147"/>
        <v>1.1151</v>
      </c>
      <c r="S713" s="121"/>
      <c r="T713" s="93">
        <f t="shared" si="148"/>
        <v>1.9999999999953388E-4</v>
      </c>
      <c r="U713" s="122"/>
      <c r="V713" s="94">
        <f t="shared" ca="1" si="149"/>
        <v>189.4644447916653</v>
      </c>
      <c r="W713" s="89"/>
    </row>
    <row r="714" spans="1:23" s="312" customFormat="1" ht="18">
      <c r="A714" s="260"/>
      <c r="B714" s="260" t="s">
        <v>505</v>
      </c>
      <c r="C714" s="175" t="s">
        <v>94</v>
      </c>
      <c r="D714" s="131" t="s">
        <v>1529</v>
      </c>
      <c r="E714" s="317">
        <v>211</v>
      </c>
      <c r="F714" s="263">
        <v>45127</v>
      </c>
      <c r="G714" s="252">
        <v>14.91</v>
      </c>
      <c r="H714" s="150">
        <v>737150.4</v>
      </c>
      <c r="I714" s="106">
        <f t="shared" si="144"/>
        <v>49440</v>
      </c>
      <c r="J714" s="122"/>
      <c r="K714" s="157" t="s">
        <v>719</v>
      </c>
      <c r="L714" s="166">
        <f t="shared" si="142"/>
        <v>211</v>
      </c>
      <c r="M714" s="119" t="s">
        <v>1603</v>
      </c>
      <c r="N714" s="115">
        <f>10.056+3.661</f>
        <v>13.716999999999999</v>
      </c>
      <c r="O714" s="122"/>
      <c r="P714" s="92">
        <f t="shared" si="145"/>
        <v>13.7172</v>
      </c>
      <c r="Q714" s="113">
        <f t="shared" si="146"/>
        <v>0.67094999999999994</v>
      </c>
      <c r="R714" s="92">
        <f t="shared" si="147"/>
        <v>0.52185000000000004</v>
      </c>
      <c r="S714" s="121"/>
      <c r="T714" s="93">
        <f t="shared" si="148"/>
        <v>2.0000000000142126E-4</v>
      </c>
      <c r="U714" s="122"/>
      <c r="V714" s="94">
        <f t="shared" ca="1" si="149"/>
        <v>189.4644447916653</v>
      </c>
      <c r="W714" s="89"/>
    </row>
    <row r="715" spans="1:23" s="312" customFormat="1" ht="18">
      <c r="A715" s="260"/>
      <c r="B715" s="260" t="s">
        <v>505</v>
      </c>
      <c r="C715" s="175" t="s">
        <v>94</v>
      </c>
      <c r="D715" s="131" t="s">
        <v>1530</v>
      </c>
      <c r="E715" s="317">
        <v>212</v>
      </c>
      <c r="F715" s="263">
        <v>45127</v>
      </c>
      <c r="G715" s="252">
        <v>26.09</v>
      </c>
      <c r="H715" s="150">
        <v>1289889.6000000001</v>
      </c>
      <c r="I715" s="106">
        <f t="shared" si="144"/>
        <v>49440.000000000007</v>
      </c>
      <c r="J715" s="122"/>
      <c r="K715" s="157" t="s">
        <v>1604</v>
      </c>
      <c r="L715" s="166">
        <f t="shared" si="142"/>
        <v>212</v>
      </c>
      <c r="M715" s="119" t="s">
        <v>1597</v>
      </c>
      <c r="N715" s="115">
        <f>12.455+11.548</f>
        <v>24.003</v>
      </c>
      <c r="O715" s="122"/>
      <c r="P715" s="92">
        <f t="shared" si="145"/>
        <v>24.002800000000001</v>
      </c>
      <c r="Q715" s="113">
        <f t="shared" si="146"/>
        <v>1.17405</v>
      </c>
      <c r="R715" s="92">
        <f t="shared" si="147"/>
        <v>0.91315000000000013</v>
      </c>
      <c r="S715" s="121"/>
      <c r="T715" s="93">
        <f t="shared" si="148"/>
        <v>-2.0000000000042206E-4</v>
      </c>
      <c r="U715" s="122"/>
      <c r="V715" s="94">
        <f t="shared" ca="1" si="149"/>
        <v>189.4644447916653</v>
      </c>
      <c r="W715" s="89"/>
    </row>
    <row r="716" spans="1:23" s="312" customFormat="1" ht="18">
      <c r="A716" s="260"/>
      <c r="B716" s="260" t="s">
        <v>505</v>
      </c>
      <c r="C716" s="175" t="s">
        <v>94</v>
      </c>
      <c r="D716" s="131" t="s">
        <v>1531</v>
      </c>
      <c r="E716" s="317">
        <v>213</v>
      </c>
      <c r="F716" s="263">
        <v>45127</v>
      </c>
      <c r="G716" s="252">
        <v>12.752000000000001</v>
      </c>
      <c r="H716" s="150">
        <v>630458.88</v>
      </c>
      <c r="I716" s="106">
        <f t="shared" si="144"/>
        <v>49440</v>
      </c>
      <c r="J716" s="122"/>
      <c r="K716" s="157">
        <v>575</v>
      </c>
      <c r="L716" s="166">
        <f t="shared" si="142"/>
        <v>213</v>
      </c>
      <c r="M716" s="119" t="s">
        <v>1597</v>
      </c>
      <c r="N716" s="115">
        <v>11.731999999999999</v>
      </c>
      <c r="O716" s="122"/>
      <c r="P716" s="92">
        <f t="shared" si="145"/>
        <v>11.731840000000002</v>
      </c>
      <c r="Q716" s="113">
        <f t="shared" si="146"/>
        <v>0.57384000000000002</v>
      </c>
      <c r="R716" s="92">
        <f t="shared" si="147"/>
        <v>0.44632000000000005</v>
      </c>
      <c r="S716" s="121"/>
      <c r="T716" s="93">
        <f t="shared" si="148"/>
        <v>-1.5999999999871672E-4</v>
      </c>
      <c r="U716" s="122"/>
      <c r="V716" s="94">
        <f t="shared" ca="1" si="149"/>
        <v>189.4644447916653</v>
      </c>
      <c r="W716" s="89"/>
    </row>
    <row r="717" spans="1:23" s="312" customFormat="1" ht="18">
      <c r="A717" s="260"/>
      <c r="B717" s="260" t="s">
        <v>505</v>
      </c>
      <c r="C717" s="175" t="s">
        <v>55</v>
      </c>
      <c r="D717" s="131" t="s">
        <v>1532</v>
      </c>
      <c r="E717" s="317">
        <v>214</v>
      </c>
      <c r="F717" s="263">
        <v>45127</v>
      </c>
      <c r="G717" s="252">
        <v>31.74</v>
      </c>
      <c r="H717" s="150">
        <v>1635879.5999999999</v>
      </c>
      <c r="I717" s="106">
        <f t="shared" si="144"/>
        <v>51540</v>
      </c>
      <c r="J717" s="122"/>
      <c r="K717" s="157" t="s">
        <v>1605</v>
      </c>
      <c r="L717" s="166">
        <f t="shared" si="142"/>
        <v>214</v>
      </c>
      <c r="M717" s="119" t="s">
        <v>1606</v>
      </c>
      <c r="N717" s="115">
        <f>13.206+15.995</f>
        <v>29.201000000000001</v>
      </c>
      <c r="O717" s="122"/>
      <c r="P717" s="92">
        <f t="shared" si="145"/>
        <v>29.200800000000001</v>
      </c>
      <c r="Q717" s="113">
        <f t="shared" si="146"/>
        <v>1.4282999999999999</v>
      </c>
      <c r="R717" s="92">
        <f t="shared" si="147"/>
        <v>1.1109</v>
      </c>
      <c r="S717" s="121"/>
      <c r="T717" s="93">
        <f t="shared" si="148"/>
        <v>-2.0000000000197637E-4</v>
      </c>
      <c r="U717" s="122"/>
      <c r="V717" s="94">
        <f t="shared" ca="1" si="149"/>
        <v>189.4644447916653</v>
      </c>
      <c r="W717" s="89"/>
    </row>
    <row r="718" spans="1:23" s="312" customFormat="1" ht="18">
      <c r="A718" s="260"/>
      <c r="B718" s="260" t="s">
        <v>505</v>
      </c>
      <c r="C718" s="175" t="s">
        <v>55</v>
      </c>
      <c r="D718" s="131" t="s">
        <v>1533</v>
      </c>
      <c r="E718" s="317">
        <v>215</v>
      </c>
      <c r="F718" s="263">
        <v>45127</v>
      </c>
      <c r="G718" s="252">
        <v>31.7</v>
      </c>
      <c r="H718" s="150">
        <v>1633818</v>
      </c>
      <c r="I718" s="106">
        <f t="shared" si="144"/>
        <v>51540</v>
      </c>
      <c r="J718" s="122"/>
      <c r="K718" s="157" t="s">
        <v>723</v>
      </c>
      <c r="L718" s="166">
        <f t="shared" si="142"/>
        <v>215</v>
      </c>
      <c r="M718" s="119" t="s">
        <v>1606</v>
      </c>
      <c r="N718" s="115">
        <f>19.893+9.271</f>
        <v>29.164000000000001</v>
      </c>
      <c r="O718" s="122"/>
      <c r="P718" s="92">
        <f t="shared" si="145"/>
        <v>29.164000000000001</v>
      </c>
      <c r="Q718" s="113">
        <f t="shared" si="146"/>
        <v>1.4264999999999999</v>
      </c>
      <c r="R718" s="92">
        <f t="shared" si="147"/>
        <v>1.1095000000000002</v>
      </c>
      <c r="S718" s="121"/>
      <c r="T718" s="93">
        <f t="shared" si="148"/>
        <v>-2.2204460492503131E-15</v>
      </c>
      <c r="U718" s="122"/>
      <c r="V718" s="94">
        <f t="shared" ca="1" si="149"/>
        <v>189.4644447916653</v>
      </c>
      <c r="W718" s="89"/>
    </row>
    <row r="719" spans="1:23" s="312" customFormat="1" ht="18">
      <c r="A719" s="260"/>
      <c r="B719" s="260" t="s">
        <v>505</v>
      </c>
      <c r="C719" s="175" t="s">
        <v>55</v>
      </c>
      <c r="D719" s="131" t="s">
        <v>1534</v>
      </c>
      <c r="E719" s="317">
        <v>216</v>
      </c>
      <c r="F719" s="263">
        <v>45127</v>
      </c>
      <c r="G719" s="252">
        <v>29.484000000000002</v>
      </c>
      <c r="H719" s="150">
        <v>1519605.36</v>
      </c>
      <c r="I719" s="106">
        <f t="shared" si="144"/>
        <v>51540</v>
      </c>
      <c r="J719" s="122"/>
      <c r="K719" s="157" t="s">
        <v>1607</v>
      </c>
      <c r="L719" s="166">
        <f t="shared" si="142"/>
        <v>216</v>
      </c>
      <c r="M719" s="119" t="s">
        <v>1608</v>
      </c>
      <c r="N719" s="115">
        <f>6.641+20.484</f>
        <v>27.125</v>
      </c>
      <c r="O719" s="122"/>
      <c r="P719" s="92">
        <f t="shared" si="145"/>
        <v>27.125280000000004</v>
      </c>
      <c r="Q719" s="113">
        <f t="shared" si="146"/>
        <v>1.3267800000000001</v>
      </c>
      <c r="R719" s="92">
        <f t="shared" si="147"/>
        <v>1.0319400000000001</v>
      </c>
      <c r="S719" s="121"/>
      <c r="T719" s="93">
        <f t="shared" si="148"/>
        <v>2.8000000000161229E-4</v>
      </c>
      <c r="U719" s="122"/>
      <c r="V719" s="94">
        <f t="shared" ca="1" si="149"/>
        <v>189.4644447916653</v>
      </c>
      <c r="W719" s="89"/>
    </row>
    <row r="720" spans="1:23" s="312" customFormat="1" ht="18">
      <c r="A720" s="260"/>
      <c r="B720" s="260" t="s">
        <v>505</v>
      </c>
      <c r="C720" s="175" t="s">
        <v>55</v>
      </c>
      <c r="D720" s="131" t="s">
        <v>1535</v>
      </c>
      <c r="E720" s="317">
        <v>217</v>
      </c>
      <c r="F720" s="263">
        <v>45127</v>
      </c>
      <c r="G720" s="252">
        <v>11.055999999999999</v>
      </c>
      <c r="H720" s="150">
        <v>569826.24</v>
      </c>
      <c r="I720" s="106">
        <f t="shared" si="144"/>
        <v>51540</v>
      </c>
      <c r="J720" s="122"/>
      <c r="K720" s="157" t="s">
        <v>1626</v>
      </c>
      <c r="L720" s="166">
        <f t="shared" si="142"/>
        <v>217</v>
      </c>
      <c r="M720" s="119" t="s">
        <v>1627</v>
      </c>
      <c r="N720" s="115">
        <f>4.218+5.954</f>
        <v>10.172000000000001</v>
      </c>
      <c r="O720" s="122"/>
      <c r="P720" s="92">
        <f t="shared" si="145"/>
        <v>10.171519999999999</v>
      </c>
      <c r="Q720" s="113">
        <f t="shared" si="146"/>
        <v>0.49751999999999996</v>
      </c>
      <c r="R720" s="92">
        <f t="shared" si="147"/>
        <v>0.38696000000000003</v>
      </c>
      <c r="S720" s="121"/>
      <c r="T720" s="93">
        <f t="shared" si="148"/>
        <v>-4.8000000000142373E-4</v>
      </c>
      <c r="U720" s="122"/>
      <c r="V720" s="94">
        <f t="shared" ca="1" si="149"/>
        <v>189.4644447916653</v>
      </c>
      <c r="W720" s="89"/>
    </row>
    <row r="721" spans="1:23" s="312" customFormat="1" ht="18">
      <c r="A721" s="260"/>
      <c r="B721" s="260" t="s">
        <v>505</v>
      </c>
      <c r="C721" s="175" t="s">
        <v>55</v>
      </c>
      <c r="D721" s="131" t="s">
        <v>1536</v>
      </c>
      <c r="E721" s="317">
        <v>218</v>
      </c>
      <c r="F721" s="263">
        <v>45127</v>
      </c>
      <c r="G721" s="252">
        <v>31.7</v>
      </c>
      <c r="H721" s="150">
        <v>1633818</v>
      </c>
      <c r="I721" s="106">
        <f t="shared" si="144"/>
        <v>51540</v>
      </c>
      <c r="J721" s="122"/>
      <c r="K721" s="157" t="s">
        <v>1628</v>
      </c>
      <c r="L721" s="166">
        <f t="shared" si="142"/>
        <v>218</v>
      </c>
      <c r="M721" s="119" t="s">
        <v>1627</v>
      </c>
      <c r="N721" s="115">
        <f>25.297+3.867</f>
        <v>29.164000000000001</v>
      </c>
      <c r="O721" s="122"/>
      <c r="P721" s="92">
        <f t="shared" si="145"/>
        <v>29.164000000000001</v>
      </c>
      <c r="Q721" s="113">
        <f t="shared" si="146"/>
        <v>1.4264999999999999</v>
      </c>
      <c r="R721" s="92">
        <f t="shared" si="147"/>
        <v>1.1095000000000002</v>
      </c>
      <c r="S721" s="121"/>
      <c r="T721" s="93">
        <f t="shared" si="148"/>
        <v>-2.2204460492503131E-15</v>
      </c>
      <c r="U721" s="122"/>
      <c r="V721" s="94">
        <f t="shared" ca="1" si="149"/>
        <v>189.4644447916653</v>
      </c>
      <c r="W721" s="89"/>
    </row>
    <row r="722" spans="1:23" s="312" customFormat="1" ht="18">
      <c r="A722" s="260"/>
      <c r="B722" s="260" t="s">
        <v>505</v>
      </c>
      <c r="C722" s="175" t="s">
        <v>55</v>
      </c>
      <c r="D722" s="131" t="s">
        <v>1537</v>
      </c>
      <c r="E722" s="317">
        <v>219</v>
      </c>
      <c r="F722" s="263">
        <v>45127</v>
      </c>
      <c r="G722" s="252">
        <v>31.66</v>
      </c>
      <c r="H722" s="150">
        <v>1631756.4</v>
      </c>
      <c r="I722" s="106">
        <f t="shared" si="144"/>
        <v>51540</v>
      </c>
      <c r="J722" s="122"/>
      <c r="K722" s="157">
        <v>583</v>
      </c>
      <c r="L722" s="166">
        <f t="shared" si="142"/>
        <v>219</v>
      </c>
      <c r="M722" s="119" t="s">
        <v>1609</v>
      </c>
      <c r="N722" s="115">
        <v>31.66</v>
      </c>
      <c r="O722" s="122"/>
      <c r="P722" s="92"/>
      <c r="Q722" s="113"/>
      <c r="R722" s="92"/>
      <c r="S722" s="121"/>
      <c r="T722" s="232">
        <f t="shared" si="148"/>
        <v>0</v>
      </c>
      <c r="U722" s="122"/>
      <c r="V722" s="94">
        <f t="shared" ca="1" si="149"/>
        <v>189.4644447916653</v>
      </c>
      <c r="W722" s="89"/>
    </row>
    <row r="723" spans="1:23" s="312" customFormat="1" ht="18">
      <c r="A723" s="260"/>
      <c r="B723" s="260" t="s">
        <v>505</v>
      </c>
      <c r="C723" s="175" t="s">
        <v>55</v>
      </c>
      <c r="D723" s="131" t="s">
        <v>1538</v>
      </c>
      <c r="E723" s="317">
        <v>220</v>
      </c>
      <c r="F723" s="263">
        <v>45127</v>
      </c>
      <c r="G723" s="252">
        <v>6.3840000000000003</v>
      </c>
      <c r="H723" s="150">
        <v>329031.36000000004</v>
      </c>
      <c r="I723" s="106">
        <f t="shared" si="144"/>
        <v>51540.000000000007</v>
      </c>
      <c r="J723" s="122"/>
      <c r="K723" s="157" t="s">
        <v>1610</v>
      </c>
      <c r="L723" s="166">
        <f t="shared" si="142"/>
        <v>220</v>
      </c>
      <c r="M723" s="119" t="s">
        <v>1609</v>
      </c>
      <c r="N723" s="115">
        <f>0.13+6.254</f>
        <v>6.3839999999999995</v>
      </c>
      <c r="O723" s="122"/>
      <c r="P723" s="92"/>
      <c r="Q723" s="113"/>
      <c r="R723" s="92"/>
      <c r="S723" s="121"/>
      <c r="T723" s="232">
        <f t="shared" si="148"/>
        <v>8.8817841970012523E-16</v>
      </c>
      <c r="U723" s="122"/>
      <c r="V723" s="94">
        <f t="shared" ca="1" si="149"/>
        <v>189.4644447916653</v>
      </c>
      <c r="W723" s="89"/>
    </row>
    <row r="724" spans="1:23" s="312" customFormat="1" ht="18">
      <c r="A724" s="260"/>
      <c r="B724" s="260" t="s">
        <v>505</v>
      </c>
      <c r="C724" s="175" t="s">
        <v>55</v>
      </c>
      <c r="D724" s="131" t="s">
        <v>1539</v>
      </c>
      <c r="E724" s="317">
        <v>221</v>
      </c>
      <c r="F724" s="263">
        <v>45127</v>
      </c>
      <c r="G724" s="252">
        <v>31.62</v>
      </c>
      <c r="H724" s="150">
        <v>1629694.8</v>
      </c>
      <c r="I724" s="106">
        <f t="shared" si="144"/>
        <v>51540</v>
      </c>
      <c r="J724" s="122"/>
      <c r="K724" s="157" t="s">
        <v>1611</v>
      </c>
      <c r="L724" s="166">
        <f t="shared" si="142"/>
        <v>221</v>
      </c>
      <c r="M724" s="119" t="s">
        <v>1609</v>
      </c>
      <c r="N724" s="115">
        <f>25.686+5.934</f>
        <v>31.62</v>
      </c>
      <c r="O724" s="122"/>
      <c r="P724" s="92"/>
      <c r="Q724" s="113"/>
      <c r="R724" s="92"/>
      <c r="S724" s="121"/>
      <c r="T724" s="232">
        <f>G724-N724-Q724-R724</f>
        <v>0</v>
      </c>
      <c r="U724" s="122"/>
      <c r="V724" s="94">
        <f t="shared" ca="1" si="149"/>
        <v>189.4644447916653</v>
      </c>
      <c r="W724" s="89"/>
    </row>
    <row r="725" spans="1:23" s="312" customFormat="1" ht="18">
      <c r="A725" s="260"/>
      <c r="B725" s="260" t="s">
        <v>505</v>
      </c>
      <c r="C725" s="175" t="s">
        <v>55</v>
      </c>
      <c r="D725" s="131" t="s">
        <v>1540</v>
      </c>
      <c r="E725" s="317">
        <v>222</v>
      </c>
      <c r="F725" s="263">
        <v>45127</v>
      </c>
      <c r="G725" s="252">
        <v>40.159999999999997</v>
      </c>
      <c r="H725" s="150">
        <v>2069846.4</v>
      </c>
      <c r="I725" s="106">
        <f t="shared" si="144"/>
        <v>51540</v>
      </c>
      <c r="J725" s="122"/>
      <c r="K725" s="158">
        <v>588589</v>
      </c>
      <c r="L725" s="166">
        <f t="shared" si="142"/>
        <v>222</v>
      </c>
      <c r="M725" s="119" t="s">
        <v>1609</v>
      </c>
      <c r="N725" s="115">
        <f>33.836+6.324</f>
        <v>40.159999999999997</v>
      </c>
      <c r="O725" s="122"/>
      <c r="P725" s="92"/>
      <c r="Q725" s="113"/>
      <c r="R725" s="92"/>
      <c r="S725" s="121"/>
      <c r="T725" s="232">
        <f t="shared" si="148"/>
        <v>0</v>
      </c>
      <c r="U725" s="122"/>
      <c r="V725" s="94">
        <f t="shared" ca="1" si="149"/>
        <v>189.4644447916653</v>
      </c>
      <c r="W725" s="89"/>
    </row>
    <row r="726" spans="1:23" s="312" customFormat="1" ht="18">
      <c r="A726" s="260"/>
      <c r="B726" s="260" t="s">
        <v>505</v>
      </c>
      <c r="C726" s="175" t="s">
        <v>55</v>
      </c>
      <c r="D726" s="131" t="s">
        <v>1541</v>
      </c>
      <c r="E726" s="317">
        <v>223</v>
      </c>
      <c r="F726" s="263">
        <v>45127</v>
      </c>
      <c r="G726" s="252">
        <v>16.7</v>
      </c>
      <c r="H726" s="150">
        <v>860718</v>
      </c>
      <c r="I726" s="106">
        <f t="shared" si="144"/>
        <v>51540</v>
      </c>
      <c r="J726" s="122"/>
      <c r="K726" s="157">
        <v>590</v>
      </c>
      <c r="L726" s="166">
        <f t="shared" si="142"/>
        <v>223</v>
      </c>
      <c r="M726" s="119" t="s">
        <v>1609</v>
      </c>
      <c r="N726" s="115">
        <v>16.7</v>
      </c>
      <c r="O726" s="122"/>
      <c r="P726" s="92"/>
      <c r="Q726" s="113"/>
      <c r="R726" s="92"/>
      <c r="S726" s="121"/>
      <c r="T726" s="232">
        <f t="shared" si="148"/>
        <v>0</v>
      </c>
      <c r="U726" s="122"/>
      <c r="V726" s="94">
        <f t="shared" ca="1" si="149"/>
        <v>189.4644447916653</v>
      </c>
      <c r="W726" s="89"/>
    </row>
    <row r="727" spans="1:23" s="312" customFormat="1" ht="18">
      <c r="A727" s="260"/>
      <c r="B727" s="260" t="s">
        <v>505</v>
      </c>
      <c r="C727" s="175" t="s">
        <v>55</v>
      </c>
      <c r="D727" s="131" t="s">
        <v>1542</v>
      </c>
      <c r="E727" s="317">
        <v>224</v>
      </c>
      <c r="F727" s="263">
        <v>45127</v>
      </c>
      <c r="G727" s="252">
        <v>23.24</v>
      </c>
      <c r="H727" s="150">
        <v>1197789.5999999999</v>
      </c>
      <c r="I727" s="106">
        <f t="shared" si="144"/>
        <v>51540</v>
      </c>
      <c r="J727" s="122"/>
      <c r="K727" s="157" t="s">
        <v>1612</v>
      </c>
      <c r="L727" s="166">
        <f t="shared" si="142"/>
        <v>224</v>
      </c>
      <c r="M727" s="119" t="s">
        <v>1609</v>
      </c>
      <c r="N727" s="115">
        <f>8.806+14.434</f>
        <v>23.24</v>
      </c>
      <c r="O727" s="122"/>
      <c r="P727" s="92"/>
      <c r="Q727" s="113"/>
      <c r="R727" s="92"/>
      <c r="S727" s="121"/>
      <c r="T727" s="232">
        <f t="shared" si="148"/>
        <v>0</v>
      </c>
      <c r="U727" s="122"/>
      <c r="V727" s="94">
        <f t="shared" ca="1" si="149"/>
        <v>189.4644447916653</v>
      </c>
      <c r="W727" s="89"/>
    </row>
    <row r="728" spans="1:23" s="312" customFormat="1" ht="18">
      <c r="A728" s="260"/>
      <c r="B728" s="260" t="s">
        <v>505</v>
      </c>
      <c r="C728" s="175" t="s">
        <v>55</v>
      </c>
      <c r="D728" s="131" t="s">
        <v>1543</v>
      </c>
      <c r="E728" s="317">
        <v>225</v>
      </c>
      <c r="F728" s="263">
        <v>45127</v>
      </c>
      <c r="G728" s="252">
        <v>27.48</v>
      </c>
      <c r="H728" s="150">
        <v>1416319.2</v>
      </c>
      <c r="I728" s="106">
        <f t="shared" si="144"/>
        <v>51540</v>
      </c>
      <c r="J728" s="122"/>
      <c r="K728" s="157" t="s">
        <v>1613</v>
      </c>
      <c r="L728" s="166">
        <f t="shared" si="142"/>
        <v>225</v>
      </c>
      <c r="M728" s="119" t="s">
        <v>1609</v>
      </c>
      <c r="N728" s="115">
        <f>17.396+10.084</f>
        <v>27.48</v>
      </c>
      <c r="O728" s="122"/>
      <c r="P728" s="92"/>
      <c r="Q728" s="113"/>
      <c r="R728" s="92"/>
      <c r="S728" s="121"/>
      <c r="T728" s="232">
        <f t="shared" si="148"/>
        <v>0</v>
      </c>
      <c r="U728" s="122"/>
      <c r="V728" s="94">
        <f t="shared" ca="1" si="149"/>
        <v>189.4644447916653</v>
      </c>
      <c r="W728" s="89"/>
    </row>
    <row r="729" spans="1:23" s="312" customFormat="1" ht="18">
      <c r="A729" s="260"/>
      <c r="B729" s="260" t="s">
        <v>505</v>
      </c>
      <c r="C729" s="175" t="s">
        <v>55</v>
      </c>
      <c r="D729" s="131" t="s">
        <v>1544</v>
      </c>
      <c r="E729" s="317">
        <v>226</v>
      </c>
      <c r="F729" s="263">
        <v>45127</v>
      </c>
      <c r="G729" s="252">
        <f>6.342+25.898</f>
        <v>32.24</v>
      </c>
      <c r="H729" s="150">
        <v>1661649.6</v>
      </c>
      <c r="I729" s="106">
        <f t="shared" si="144"/>
        <v>51540</v>
      </c>
      <c r="J729" s="122"/>
      <c r="K729" s="157" t="s">
        <v>1614</v>
      </c>
      <c r="L729" s="166">
        <f t="shared" si="142"/>
        <v>226</v>
      </c>
      <c r="M729" s="119" t="s">
        <v>1609</v>
      </c>
      <c r="N729" s="115">
        <f>21.716+10.524</f>
        <v>32.24</v>
      </c>
      <c r="O729" s="122"/>
      <c r="P729" s="92"/>
      <c r="Q729" s="113"/>
      <c r="R729" s="92"/>
      <c r="S729" s="121"/>
      <c r="T729" s="232">
        <f t="shared" si="148"/>
        <v>0</v>
      </c>
      <c r="U729" s="122"/>
      <c r="V729" s="94">
        <f t="shared" ca="1" si="149"/>
        <v>189.4644447916653</v>
      </c>
      <c r="W729" s="89"/>
    </row>
    <row r="730" spans="1:23" s="312" customFormat="1" ht="18">
      <c r="A730" s="260"/>
      <c r="B730" s="260" t="s">
        <v>505</v>
      </c>
      <c r="C730" s="175" t="s">
        <v>55</v>
      </c>
      <c r="D730" s="131" t="s">
        <v>1545</v>
      </c>
      <c r="E730" s="317">
        <v>227</v>
      </c>
      <c r="F730" s="263">
        <v>45127</v>
      </c>
      <c r="G730" s="252">
        <v>27.44</v>
      </c>
      <c r="H730" s="150">
        <v>1414257.6</v>
      </c>
      <c r="I730" s="106">
        <f t="shared" si="144"/>
        <v>51540</v>
      </c>
      <c r="J730" s="122"/>
      <c r="K730" s="157" t="s">
        <v>1632</v>
      </c>
      <c r="L730" s="166">
        <f t="shared" si="142"/>
        <v>227</v>
      </c>
      <c r="M730" s="119" t="s">
        <v>1633</v>
      </c>
      <c r="N730" s="115">
        <f>21.256+6.184</f>
        <v>27.44</v>
      </c>
      <c r="O730" s="122"/>
      <c r="P730" s="92"/>
      <c r="Q730" s="113"/>
      <c r="R730" s="92"/>
      <c r="S730" s="121"/>
      <c r="T730" s="232">
        <f t="shared" si="148"/>
        <v>0</v>
      </c>
      <c r="U730" s="122"/>
      <c r="V730" s="94">
        <f t="shared" ca="1" si="149"/>
        <v>189.4644447916653</v>
      </c>
      <c r="W730" s="89"/>
    </row>
    <row r="731" spans="1:23" s="312" customFormat="1" ht="18">
      <c r="A731" s="260"/>
      <c r="B731" s="260" t="s">
        <v>505</v>
      </c>
      <c r="C731" s="175" t="s">
        <v>55</v>
      </c>
      <c r="D731" s="131" t="s">
        <v>1546</v>
      </c>
      <c r="E731" s="317">
        <v>228</v>
      </c>
      <c r="F731" s="263">
        <v>45127</v>
      </c>
      <c r="G731" s="252">
        <v>19.128</v>
      </c>
      <c r="H731" s="150">
        <v>985857.12</v>
      </c>
      <c r="I731" s="106">
        <f t="shared" si="144"/>
        <v>51540</v>
      </c>
      <c r="J731" s="122"/>
      <c r="K731" s="157">
        <v>606</v>
      </c>
      <c r="L731" s="166">
        <f t="shared" si="142"/>
        <v>228</v>
      </c>
      <c r="M731" s="119" t="s">
        <v>1631</v>
      </c>
      <c r="N731" s="115">
        <v>19.128</v>
      </c>
      <c r="O731" s="122"/>
      <c r="P731" s="92"/>
      <c r="Q731" s="113"/>
      <c r="R731" s="92"/>
      <c r="S731" s="121"/>
      <c r="T731" s="232">
        <f t="shared" si="148"/>
        <v>0</v>
      </c>
      <c r="U731" s="122"/>
      <c r="V731" s="94">
        <f t="shared" ca="1" si="149"/>
        <v>189.4644447916653</v>
      </c>
      <c r="W731" s="89"/>
    </row>
    <row r="732" spans="1:23" s="312" customFormat="1" ht="18">
      <c r="A732" s="260"/>
      <c r="B732" s="260" t="s">
        <v>505</v>
      </c>
      <c r="C732" s="175" t="s">
        <v>55</v>
      </c>
      <c r="D732" s="131" t="s">
        <v>1547</v>
      </c>
      <c r="E732" s="317">
        <v>229</v>
      </c>
      <c r="F732" s="263">
        <v>45127</v>
      </c>
      <c r="G732" s="252">
        <v>40.340000000000003</v>
      </c>
      <c r="H732" s="150">
        <v>2079123.6</v>
      </c>
      <c r="I732" s="106">
        <f t="shared" si="144"/>
        <v>51540</v>
      </c>
      <c r="J732" s="122"/>
      <c r="K732" s="157" t="s">
        <v>1629</v>
      </c>
      <c r="L732" s="166">
        <f>E732</f>
        <v>229</v>
      </c>
      <c r="M732" s="119" t="s">
        <v>1627</v>
      </c>
      <c r="N732" s="115">
        <f>31.484+5.629</f>
        <v>37.113</v>
      </c>
      <c r="O732" s="122"/>
      <c r="P732" s="92">
        <f t="shared" si="145"/>
        <v>37.112800000000007</v>
      </c>
      <c r="Q732" s="113">
        <f t="shared" si="146"/>
        <v>1.8153000000000001</v>
      </c>
      <c r="R732" s="92">
        <f t="shared" si="147"/>
        <v>1.4119000000000002</v>
      </c>
      <c r="S732" s="121"/>
      <c r="T732" s="93">
        <f t="shared" si="148"/>
        <v>-1.9999999999642526E-4</v>
      </c>
      <c r="U732" s="122"/>
      <c r="V732" s="94">
        <f t="shared" ca="1" si="149"/>
        <v>189.4644447916653</v>
      </c>
      <c r="W732" s="89"/>
    </row>
    <row r="733" spans="1:23" s="312" customFormat="1" ht="18">
      <c r="A733" s="260"/>
      <c r="B733" s="260" t="s">
        <v>505</v>
      </c>
      <c r="C733" s="175" t="s">
        <v>506</v>
      </c>
      <c r="D733" s="131" t="s">
        <v>1548</v>
      </c>
      <c r="E733" s="317">
        <v>230</v>
      </c>
      <c r="F733" s="263">
        <v>45127</v>
      </c>
      <c r="G733" s="252">
        <v>27.86</v>
      </c>
      <c r="H733" s="150">
        <v>1435904.4</v>
      </c>
      <c r="I733" s="106">
        <f t="shared" si="144"/>
        <v>51540</v>
      </c>
      <c r="J733" s="122"/>
      <c r="K733" s="157" t="s">
        <v>1634</v>
      </c>
      <c r="L733" s="166">
        <f t="shared" si="142"/>
        <v>230</v>
      </c>
      <c r="M733" s="119" t="s">
        <v>1635</v>
      </c>
      <c r="N733" s="115">
        <f>4.412+21.219</f>
        <v>25.631</v>
      </c>
      <c r="O733" s="122"/>
      <c r="P733" s="92">
        <f t="shared" si="145"/>
        <v>25.6312</v>
      </c>
      <c r="Q733" s="113">
        <f t="shared" si="146"/>
        <v>1.2537</v>
      </c>
      <c r="R733" s="92">
        <f t="shared" si="147"/>
        <v>0.97510000000000008</v>
      </c>
      <c r="S733" s="121"/>
      <c r="T733" s="93">
        <f t="shared" si="148"/>
        <v>1.9999999999908979E-4</v>
      </c>
      <c r="U733" s="122"/>
      <c r="V733" s="94">
        <f t="shared" ca="1" si="149"/>
        <v>189.4644447916653</v>
      </c>
      <c r="W733" s="89"/>
    </row>
    <row r="734" spans="1:23" s="312" customFormat="1" ht="18">
      <c r="A734" s="260"/>
      <c r="B734" s="260" t="s">
        <v>505</v>
      </c>
      <c r="C734" s="175" t="s">
        <v>506</v>
      </c>
      <c r="D734" s="131" t="s">
        <v>1549</v>
      </c>
      <c r="E734" s="317">
        <v>231</v>
      </c>
      <c r="F734" s="263">
        <v>45127</v>
      </c>
      <c r="G734" s="252">
        <v>40.86</v>
      </c>
      <c r="H734" s="150">
        <v>2105924.4</v>
      </c>
      <c r="I734" s="106">
        <f t="shared" si="144"/>
        <v>51540</v>
      </c>
      <c r="J734" s="122"/>
      <c r="K734" s="157" t="s">
        <v>1630</v>
      </c>
      <c r="L734" s="166">
        <f t="shared" si="142"/>
        <v>231</v>
      </c>
      <c r="M734" s="119" t="s">
        <v>1627</v>
      </c>
      <c r="N734" s="115">
        <f>32.277+5.314</f>
        <v>37.591000000000001</v>
      </c>
      <c r="O734" s="122"/>
      <c r="P734" s="92">
        <f t="shared" si="145"/>
        <v>37.591200000000001</v>
      </c>
      <c r="Q734" s="113">
        <f t="shared" si="146"/>
        <v>1.8387</v>
      </c>
      <c r="R734" s="92">
        <f t="shared" si="147"/>
        <v>1.4301000000000001</v>
      </c>
      <c r="S734" s="121"/>
      <c r="T734" s="93">
        <f t="shared" si="148"/>
        <v>1.9999999999820162E-4</v>
      </c>
      <c r="U734" s="122"/>
      <c r="V734" s="94">
        <f t="shared" ca="1" si="149"/>
        <v>189.4644447916653</v>
      </c>
      <c r="W734" s="89"/>
    </row>
    <row r="735" spans="1:23" s="312" customFormat="1" ht="18">
      <c r="A735" s="260"/>
      <c r="B735" s="260" t="s">
        <v>505</v>
      </c>
      <c r="C735" s="175" t="s">
        <v>506</v>
      </c>
      <c r="D735" s="131" t="s">
        <v>1550</v>
      </c>
      <c r="E735" s="317">
        <v>232</v>
      </c>
      <c r="F735" s="263">
        <v>45127</v>
      </c>
      <c r="G735" s="252">
        <v>40.9</v>
      </c>
      <c r="H735" s="150">
        <v>2107986</v>
      </c>
      <c r="I735" s="106">
        <f t="shared" si="144"/>
        <v>51540</v>
      </c>
      <c r="J735" s="122"/>
      <c r="K735" s="157" t="s">
        <v>1638</v>
      </c>
      <c r="L735" s="166">
        <f t="shared" si="142"/>
        <v>232</v>
      </c>
      <c r="M735" s="119" t="s">
        <v>1639</v>
      </c>
      <c r="N735" s="115">
        <f>10.508+25.208+1.912</f>
        <v>37.627999999999993</v>
      </c>
      <c r="O735" s="122"/>
      <c r="P735" s="92">
        <f t="shared" si="145"/>
        <v>37.628</v>
      </c>
      <c r="Q735" s="113">
        <f t="shared" si="146"/>
        <v>1.8404999999999998</v>
      </c>
      <c r="R735" s="92">
        <f t="shared" si="147"/>
        <v>1.4315</v>
      </c>
      <c r="S735" s="121"/>
      <c r="T735" s="93">
        <f t="shared" ref="T735:T744" si="150">G735-N735-Q735-R735</f>
        <v>5.773159728050814E-15</v>
      </c>
      <c r="U735" s="122"/>
      <c r="V735" s="94">
        <f t="shared" ca="1" si="149"/>
        <v>189.4644447916653</v>
      </c>
      <c r="W735" s="89"/>
    </row>
    <row r="736" spans="1:23" s="312" customFormat="1" ht="18">
      <c r="A736" s="260"/>
      <c r="B736" s="260" t="s">
        <v>505</v>
      </c>
      <c r="C736" s="175" t="s">
        <v>506</v>
      </c>
      <c r="D736" s="131" t="s">
        <v>1551</v>
      </c>
      <c r="E736" s="317">
        <v>233</v>
      </c>
      <c r="F736" s="263">
        <v>45127</v>
      </c>
      <c r="G736" s="252">
        <v>40.96</v>
      </c>
      <c r="H736" s="150">
        <v>2111078.3999999999</v>
      </c>
      <c r="I736" s="106">
        <f t="shared" si="144"/>
        <v>51540</v>
      </c>
      <c r="J736" s="122"/>
      <c r="K736" s="157" t="s">
        <v>1640</v>
      </c>
      <c r="L736" s="166">
        <f t="shared" si="142"/>
        <v>233</v>
      </c>
      <c r="M736" s="119" t="s">
        <v>1641</v>
      </c>
      <c r="N736" s="115">
        <f>32.787+4.896</f>
        <v>37.683</v>
      </c>
      <c r="O736" s="122"/>
      <c r="P736" s="92">
        <f t="shared" si="145"/>
        <v>37.683199999999999</v>
      </c>
      <c r="Q736" s="113">
        <f t="shared" si="146"/>
        <v>1.8431999999999999</v>
      </c>
      <c r="R736" s="92">
        <f t="shared" si="147"/>
        <v>1.4336000000000002</v>
      </c>
      <c r="S736" s="121"/>
      <c r="T736" s="93">
        <f t="shared" si="150"/>
        <v>2.0000000000086615E-4</v>
      </c>
      <c r="U736" s="122"/>
      <c r="V736" s="94">
        <f t="shared" ca="1" si="149"/>
        <v>189.4644447916653</v>
      </c>
      <c r="W736" s="89"/>
    </row>
    <row r="737" spans="1:23" s="312" customFormat="1" ht="18">
      <c r="A737" s="260"/>
      <c r="B737" s="260" t="s">
        <v>505</v>
      </c>
      <c r="C737" s="175" t="s">
        <v>506</v>
      </c>
      <c r="D737" s="131" t="s">
        <v>1552</v>
      </c>
      <c r="E737" s="317">
        <v>234</v>
      </c>
      <c r="F737" s="263">
        <v>45127</v>
      </c>
      <c r="G737" s="252">
        <v>33.44</v>
      </c>
      <c r="H737" s="150">
        <v>1723497.5999999999</v>
      </c>
      <c r="I737" s="106">
        <f t="shared" si="144"/>
        <v>51540</v>
      </c>
      <c r="J737" s="122"/>
      <c r="K737" s="157">
        <v>614</v>
      </c>
      <c r="L737" s="166">
        <f t="shared" si="142"/>
        <v>234</v>
      </c>
      <c r="M737" s="119" t="s">
        <v>1631</v>
      </c>
      <c r="N737" s="115">
        <v>30.751999999999999</v>
      </c>
      <c r="O737" s="122"/>
      <c r="P737" s="92">
        <v>30.751999999999999</v>
      </c>
      <c r="Q737" s="113">
        <v>1.5109999999999999</v>
      </c>
      <c r="R737" s="92">
        <v>1.177</v>
      </c>
      <c r="S737" s="121"/>
      <c r="T737" s="93">
        <f t="shared" si="150"/>
        <v>0</v>
      </c>
      <c r="U737" s="122"/>
      <c r="V737" s="94">
        <f t="shared" ca="1" si="149"/>
        <v>189.4644447916653</v>
      </c>
      <c r="W737" s="89"/>
    </row>
    <row r="738" spans="1:23" s="312" customFormat="1" ht="18">
      <c r="A738" s="260"/>
      <c r="B738" s="260" t="s">
        <v>505</v>
      </c>
      <c r="C738" s="175" t="s">
        <v>506</v>
      </c>
      <c r="D738" s="131" t="s">
        <v>1553</v>
      </c>
      <c r="E738" s="317">
        <v>235</v>
      </c>
      <c r="F738" s="263">
        <v>45127</v>
      </c>
      <c r="G738" s="252">
        <v>39.119999999999997</v>
      </c>
      <c r="H738" s="150">
        <v>2016244.7999999998</v>
      </c>
      <c r="I738" s="106">
        <f t="shared" si="144"/>
        <v>51540</v>
      </c>
      <c r="J738" s="122"/>
      <c r="K738" s="157" t="s">
        <v>1642</v>
      </c>
      <c r="L738" s="166">
        <f t="shared" si="142"/>
        <v>235</v>
      </c>
      <c r="M738" s="119" t="s">
        <v>1643</v>
      </c>
      <c r="N738" s="115">
        <f>20.059+15.931</f>
        <v>35.99</v>
      </c>
      <c r="O738" s="122"/>
      <c r="P738" s="92">
        <f t="shared" ref="P738" si="151">G738*0.92</f>
        <v>35.990400000000001</v>
      </c>
      <c r="Q738" s="113">
        <f t="shared" ref="Q738" si="152">G738*4.5%</f>
        <v>1.7603999999999997</v>
      </c>
      <c r="R738" s="92">
        <f t="shared" ref="R738" si="153">G738*3.5%</f>
        <v>1.3692</v>
      </c>
      <c r="S738" s="121"/>
      <c r="T738" s="93">
        <f t="shared" si="150"/>
        <v>3.999999999957371E-4</v>
      </c>
      <c r="U738" s="122"/>
      <c r="V738" s="94">
        <f t="shared" ca="1" si="149"/>
        <v>189.4644447916653</v>
      </c>
      <c r="W738" s="89"/>
    </row>
    <row r="739" spans="1:23" s="312" customFormat="1" ht="18">
      <c r="A739" s="260"/>
      <c r="B739" s="260" t="s">
        <v>505</v>
      </c>
      <c r="C739" s="175" t="s">
        <v>506</v>
      </c>
      <c r="D739" s="131" t="s">
        <v>1554</v>
      </c>
      <c r="E739" s="317">
        <v>236</v>
      </c>
      <c r="F739" s="263">
        <v>45127</v>
      </c>
      <c r="G739" s="252">
        <v>26</v>
      </c>
      <c r="H739" s="150">
        <v>1340040</v>
      </c>
      <c r="I739" s="106">
        <f t="shared" si="144"/>
        <v>51540</v>
      </c>
      <c r="J739" s="122"/>
      <c r="K739" s="157" t="s">
        <v>1636</v>
      </c>
      <c r="L739" s="166">
        <f t="shared" si="142"/>
        <v>236</v>
      </c>
      <c r="M739" s="119" t="s">
        <v>1637</v>
      </c>
      <c r="N739" s="135">
        <f>14.408+11.592</f>
        <v>26</v>
      </c>
      <c r="O739" s="122"/>
      <c r="P739" s="92"/>
      <c r="Q739" s="113"/>
      <c r="R739" s="92"/>
      <c r="S739" s="121"/>
      <c r="T739" s="232">
        <f t="shared" si="150"/>
        <v>0</v>
      </c>
      <c r="U739" s="122"/>
      <c r="V739" s="94">
        <f t="shared" ca="1" si="149"/>
        <v>189.4644447916653</v>
      </c>
      <c r="W739" s="89"/>
    </row>
    <row r="740" spans="1:23" s="312" customFormat="1" ht="18">
      <c r="A740" s="260"/>
      <c r="B740" s="260" t="s">
        <v>505</v>
      </c>
      <c r="C740" s="175" t="s">
        <v>506</v>
      </c>
      <c r="D740" s="131" t="s">
        <v>1555</v>
      </c>
      <c r="E740" s="317">
        <v>237</v>
      </c>
      <c r="F740" s="263">
        <v>45127</v>
      </c>
      <c r="G740" s="252">
        <v>40.92</v>
      </c>
      <c r="H740" s="150">
        <v>2109016.8000000003</v>
      </c>
      <c r="I740" s="106">
        <f t="shared" si="144"/>
        <v>51540.000000000007</v>
      </c>
      <c r="J740" s="122"/>
      <c r="K740" s="157" t="s">
        <v>1679</v>
      </c>
      <c r="L740" s="166">
        <f t="shared" si="142"/>
        <v>237</v>
      </c>
      <c r="M740" s="119" t="s">
        <v>1680</v>
      </c>
      <c r="N740" s="135">
        <f>20.208+19.055</f>
        <v>39.262999999999998</v>
      </c>
      <c r="O740" s="122"/>
      <c r="P740" s="92">
        <f>19.055+20.208</f>
        <v>39.262999999999998</v>
      </c>
      <c r="Q740" s="113">
        <v>0.93200000000000005</v>
      </c>
      <c r="R740" s="92">
        <v>0.72499999999999998</v>
      </c>
      <c r="S740" s="121"/>
      <c r="T740" s="232">
        <f t="shared" si="150"/>
        <v>3.5527136788005009E-15</v>
      </c>
      <c r="U740" s="122"/>
      <c r="V740" s="94">
        <f t="shared" ca="1" si="149"/>
        <v>189.4644447916653</v>
      </c>
      <c r="W740" s="89"/>
    </row>
    <row r="741" spans="1:23" s="312" customFormat="1" ht="18">
      <c r="A741" s="260"/>
      <c r="B741" s="260" t="s">
        <v>505</v>
      </c>
      <c r="C741" s="175" t="s">
        <v>506</v>
      </c>
      <c r="D741" s="131" t="s">
        <v>1556</v>
      </c>
      <c r="E741" s="317">
        <v>238</v>
      </c>
      <c r="F741" s="263">
        <v>45127</v>
      </c>
      <c r="G741" s="252">
        <v>40.94</v>
      </c>
      <c r="H741" s="150">
        <v>2110047.6</v>
      </c>
      <c r="I741" s="106">
        <f t="shared" si="144"/>
        <v>51540.000000000007</v>
      </c>
      <c r="J741" s="122"/>
      <c r="K741" s="157" t="s">
        <v>1644</v>
      </c>
      <c r="L741" s="166">
        <f t="shared" si="142"/>
        <v>238</v>
      </c>
      <c r="M741" s="119" t="s">
        <v>1643</v>
      </c>
      <c r="N741" s="135">
        <f>33.168+4.497</f>
        <v>37.664999999999999</v>
      </c>
      <c r="O741" s="122"/>
      <c r="P741" s="92">
        <f t="shared" ref="P741:P743" si="154">G741*0.92</f>
        <v>37.6648</v>
      </c>
      <c r="Q741" s="113">
        <f t="shared" ref="Q741:Q743" si="155">G741*4.5%</f>
        <v>1.8422999999999998</v>
      </c>
      <c r="R741" s="92">
        <f t="shared" ref="R741:R743" si="156">G741*3.5%</f>
        <v>1.4329000000000001</v>
      </c>
      <c r="S741" s="121"/>
      <c r="T741" s="93">
        <f t="shared" si="150"/>
        <v>-2.0000000000131024E-4</v>
      </c>
      <c r="U741" s="122"/>
      <c r="V741" s="94">
        <f t="shared" ca="1" si="149"/>
        <v>189.4644447916653</v>
      </c>
      <c r="W741" s="89"/>
    </row>
    <row r="742" spans="1:23" s="312" customFormat="1" ht="18">
      <c r="A742" s="260"/>
      <c r="B742" s="260" t="s">
        <v>505</v>
      </c>
      <c r="C742" s="175" t="s">
        <v>506</v>
      </c>
      <c r="D742" s="131" t="s">
        <v>1557</v>
      </c>
      <c r="E742" s="317">
        <v>239</v>
      </c>
      <c r="F742" s="263">
        <v>45127</v>
      </c>
      <c r="G742" s="252">
        <v>40.9</v>
      </c>
      <c r="H742" s="150">
        <v>2107986</v>
      </c>
      <c r="I742" s="106">
        <f t="shared" si="144"/>
        <v>51540</v>
      </c>
      <c r="J742" s="122">
        <v>0</v>
      </c>
      <c r="K742" s="157" t="s">
        <v>1645</v>
      </c>
      <c r="L742" s="166">
        <f t="shared" si="142"/>
        <v>239</v>
      </c>
      <c r="M742" s="119" t="s">
        <v>1647</v>
      </c>
      <c r="N742" s="135">
        <f>30.052+4.649+2.927</f>
        <v>37.628</v>
      </c>
      <c r="O742" s="122"/>
      <c r="P742" s="92">
        <f t="shared" si="154"/>
        <v>37.628</v>
      </c>
      <c r="Q742" s="113">
        <f t="shared" si="155"/>
        <v>1.8404999999999998</v>
      </c>
      <c r="R742" s="92">
        <f t="shared" si="156"/>
        <v>1.4315</v>
      </c>
      <c r="S742" s="121"/>
      <c r="T742" s="93">
        <f t="shared" si="150"/>
        <v>0</v>
      </c>
      <c r="U742" s="122"/>
      <c r="V742" s="94">
        <f t="shared" ca="1" si="149"/>
        <v>189.4644447916653</v>
      </c>
      <c r="W742" s="89"/>
    </row>
    <row r="743" spans="1:23" s="312" customFormat="1" ht="18">
      <c r="A743" s="260"/>
      <c r="B743" s="260" t="s">
        <v>505</v>
      </c>
      <c r="C743" s="175" t="s">
        <v>506</v>
      </c>
      <c r="D743" s="131" t="s">
        <v>1558</v>
      </c>
      <c r="E743" s="317">
        <v>240</v>
      </c>
      <c r="F743" s="263">
        <v>45127</v>
      </c>
      <c r="G743" s="252">
        <v>40.840000000000003</v>
      </c>
      <c r="H743" s="150">
        <v>2104893.6</v>
      </c>
      <c r="I743" s="106">
        <f t="shared" si="144"/>
        <v>51540</v>
      </c>
      <c r="J743" s="122"/>
      <c r="K743" s="157" t="s">
        <v>1646</v>
      </c>
      <c r="L743" s="166">
        <f t="shared" si="142"/>
        <v>240</v>
      </c>
      <c r="M743" s="119" t="s">
        <v>1648</v>
      </c>
      <c r="N743" s="135">
        <f>25.324+12.249</f>
        <v>37.573</v>
      </c>
      <c r="O743" s="122"/>
      <c r="P743" s="92">
        <f t="shared" si="154"/>
        <v>37.572800000000008</v>
      </c>
      <c r="Q743" s="113">
        <f t="shared" si="155"/>
        <v>1.8378000000000001</v>
      </c>
      <c r="R743" s="92">
        <f t="shared" si="156"/>
        <v>1.4294000000000002</v>
      </c>
      <c r="S743" s="121"/>
      <c r="T743" s="93">
        <f t="shared" si="150"/>
        <v>-1.9999999999731344E-4</v>
      </c>
      <c r="U743" s="122"/>
      <c r="V743" s="94">
        <f t="shared" ca="1" si="149"/>
        <v>189.4644447916653</v>
      </c>
      <c r="W743" s="89"/>
    </row>
    <row r="744" spans="1:23" s="312" customFormat="1" ht="18">
      <c r="A744" s="260"/>
      <c r="B744" s="260" t="s">
        <v>505</v>
      </c>
      <c r="C744" s="175" t="s">
        <v>506</v>
      </c>
      <c r="D744" s="131" t="s">
        <v>1559</v>
      </c>
      <c r="E744" s="317">
        <v>241</v>
      </c>
      <c r="F744" s="263">
        <v>45127</v>
      </c>
      <c r="G744" s="252">
        <v>40.880000000000003</v>
      </c>
      <c r="H744" s="150">
        <v>2106955.2000000002</v>
      </c>
      <c r="I744" s="106">
        <f t="shared" si="144"/>
        <v>51540</v>
      </c>
      <c r="J744" s="122"/>
      <c r="K744" s="157" t="s">
        <v>756</v>
      </c>
      <c r="L744" s="166">
        <f t="shared" si="142"/>
        <v>241</v>
      </c>
      <c r="M744" s="119" t="s">
        <v>1649</v>
      </c>
      <c r="N744" s="135">
        <f>31.839+ 5.771</f>
        <v>37.61</v>
      </c>
      <c r="O744" s="122"/>
      <c r="P744" s="92">
        <f t="shared" si="145"/>
        <v>37.609600000000007</v>
      </c>
      <c r="Q744" s="113">
        <f t="shared" si="146"/>
        <v>1.8396000000000001</v>
      </c>
      <c r="R744" s="92">
        <f t="shared" si="147"/>
        <v>1.4308000000000003</v>
      </c>
      <c r="S744" s="121"/>
      <c r="T744" s="93">
        <f t="shared" si="150"/>
        <v>-3.9999999999729141E-4</v>
      </c>
      <c r="U744" s="122"/>
      <c r="V744" s="94">
        <f t="shared" ca="1" si="149"/>
        <v>189.4644447916653</v>
      </c>
      <c r="W744" s="89"/>
    </row>
    <row r="745" spans="1:23" s="312" customFormat="1" ht="18">
      <c r="A745" s="260"/>
      <c r="B745" s="260" t="s">
        <v>505</v>
      </c>
      <c r="C745" s="175" t="s">
        <v>506</v>
      </c>
      <c r="D745" s="131" t="s">
        <v>1560</v>
      </c>
      <c r="E745" s="317">
        <v>242</v>
      </c>
      <c r="F745" s="263">
        <v>45127</v>
      </c>
      <c r="G745" s="252">
        <v>26.08</v>
      </c>
      <c r="H745" s="150">
        <v>1344163.2</v>
      </c>
      <c r="I745" s="106">
        <f t="shared" si="144"/>
        <v>51540</v>
      </c>
      <c r="J745" s="122"/>
      <c r="K745" s="157" t="s">
        <v>1650</v>
      </c>
      <c r="L745" s="166">
        <f t="shared" si="142"/>
        <v>242</v>
      </c>
      <c r="M745" s="119" t="s">
        <v>1649</v>
      </c>
      <c r="N745" s="135">
        <f>12.046+11.948</f>
        <v>23.994</v>
      </c>
      <c r="O745" s="122"/>
      <c r="P745" s="92">
        <f t="shared" si="145"/>
        <v>23.993600000000001</v>
      </c>
      <c r="Q745" s="113">
        <f t="shared" si="146"/>
        <v>1.1736</v>
      </c>
      <c r="R745" s="92">
        <f t="shared" si="147"/>
        <v>0.91280000000000006</v>
      </c>
      <c r="S745" s="121"/>
      <c r="T745" s="93">
        <f t="shared" si="148"/>
        <v>-4.0000000000151026E-4</v>
      </c>
      <c r="U745" s="122"/>
      <c r="V745" s="94">
        <f t="shared" ca="1" si="149"/>
        <v>189.4644447916653</v>
      </c>
      <c r="W745" s="89"/>
    </row>
    <row r="746" spans="1:23" s="312" customFormat="1" ht="18">
      <c r="A746" s="260"/>
      <c r="B746" s="260" t="s">
        <v>505</v>
      </c>
      <c r="C746" s="175" t="s">
        <v>506</v>
      </c>
      <c r="D746" s="131" t="s">
        <v>1561</v>
      </c>
      <c r="E746" s="317">
        <v>243</v>
      </c>
      <c r="F746" s="263">
        <v>45127</v>
      </c>
      <c r="G746" s="252">
        <v>37.18</v>
      </c>
      <c r="H746" s="150">
        <v>1916257.2</v>
      </c>
      <c r="I746" s="106">
        <f t="shared" si="144"/>
        <v>51540</v>
      </c>
      <c r="J746" s="122"/>
      <c r="K746" s="157" t="s">
        <v>1651</v>
      </c>
      <c r="L746" s="166">
        <f t="shared" si="142"/>
        <v>243</v>
      </c>
      <c r="M746" s="119" t="s">
        <v>1649</v>
      </c>
      <c r="N746" s="135">
        <f>21.149+13.057</f>
        <v>34.206000000000003</v>
      </c>
      <c r="O746" s="122"/>
      <c r="P746" s="92">
        <f t="shared" si="145"/>
        <v>34.205600000000004</v>
      </c>
      <c r="Q746" s="113">
        <f t="shared" si="146"/>
        <v>1.6731</v>
      </c>
      <c r="R746" s="92">
        <f t="shared" si="147"/>
        <v>1.3013000000000001</v>
      </c>
      <c r="S746" s="121"/>
      <c r="T746" s="93">
        <f t="shared" si="148"/>
        <v>-4.0000000000350866E-4</v>
      </c>
      <c r="U746" s="122"/>
      <c r="V746" s="94">
        <f t="shared" ca="1" si="149"/>
        <v>189.4644447916653</v>
      </c>
      <c r="W746" s="89"/>
    </row>
    <row r="747" spans="1:23" s="312" customFormat="1" ht="18">
      <c r="A747" s="260"/>
      <c r="B747" s="260" t="s">
        <v>505</v>
      </c>
      <c r="C747" s="175" t="s">
        <v>506</v>
      </c>
      <c r="D747" s="131" t="s">
        <v>1562</v>
      </c>
      <c r="E747" s="317">
        <v>244</v>
      </c>
      <c r="F747" s="263">
        <v>45127</v>
      </c>
      <c r="G747" s="252">
        <v>40.92</v>
      </c>
      <c r="H747" s="150">
        <v>2109016.8000000003</v>
      </c>
      <c r="I747" s="106">
        <f t="shared" si="144"/>
        <v>51540.000000000007</v>
      </c>
      <c r="J747" s="122"/>
      <c r="K747" s="157" t="s">
        <v>1652</v>
      </c>
      <c r="L747" s="166">
        <f t="shared" si="142"/>
        <v>244</v>
      </c>
      <c r="M747" s="119" t="s">
        <v>1653</v>
      </c>
      <c r="N747" s="135">
        <f>12.223+25.494</f>
        <v>37.716999999999999</v>
      </c>
      <c r="O747" s="122"/>
      <c r="P747" s="92">
        <v>37.718000000000004</v>
      </c>
      <c r="Q747" s="113">
        <v>1.806</v>
      </c>
      <c r="R747" s="92">
        <v>1.397</v>
      </c>
      <c r="S747" s="121"/>
      <c r="T747" s="93">
        <f t="shared" si="148"/>
        <v>2.886579864025407E-15</v>
      </c>
      <c r="U747" s="122"/>
      <c r="V747" s="94">
        <f t="shared" ca="1" si="149"/>
        <v>189.4644447916653</v>
      </c>
      <c r="W747" s="89"/>
    </row>
    <row r="748" spans="1:23" s="312" customFormat="1" ht="18">
      <c r="A748" s="260"/>
      <c r="B748" s="260" t="s">
        <v>505</v>
      </c>
      <c r="C748" s="175" t="s">
        <v>506</v>
      </c>
      <c r="D748" s="131" t="s">
        <v>1563</v>
      </c>
      <c r="E748" s="317">
        <v>245</v>
      </c>
      <c r="F748" s="263">
        <v>45127</v>
      </c>
      <c r="G748" s="252">
        <v>40.92</v>
      </c>
      <c r="H748" s="150">
        <v>2109016.8000000003</v>
      </c>
      <c r="I748" s="106">
        <f t="shared" si="144"/>
        <v>51540.000000000007</v>
      </c>
      <c r="J748" s="122"/>
      <c r="K748" s="157" t="s">
        <v>1654</v>
      </c>
      <c r="L748" s="166">
        <f t="shared" si="142"/>
        <v>245</v>
      </c>
      <c r="M748" s="119" t="s">
        <v>1655</v>
      </c>
      <c r="N748" s="135">
        <f>30.645+7.001</f>
        <v>37.646000000000001</v>
      </c>
      <c r="O748" s="122"/>
      <c r="P748" s="92">
        <f t="shared" si="145"/>
        <v>37.6464</v>
      </c>
      <c r="Q748" s="113">
        <f t="shared" si="146"/>
        <v>1.8413999999999999</v>
      </c>
      <c r="R748" s="92">
        <f t="shared" si="147"/>
        <v>1.4322000000000001</v>
      </c>
      <c r="S748" s="121"/>
      <c r="T748" s="93">
        <f t="shared" si="148"/>
        <v>4.0000000000084412E-4</v>
      </c>
      <c r="U748" s="122"/>
      <c r="V748" s="94">
        <f t="shared" ca="1" si="149"/>
        <v>189.4644447916653</v>
      </c>
      <c r="W748" s="89"/>
    </row>
    <row r="749" spans="1:23" s="312" customFormat="1" ht="18">
      <c r="A749" s="260"/>
      <c r="B749" s="260" t="s">
        <v>505</v>
      </c>
      <c r="C749" s="175" t="s">
        <v>506</v>
      </c>
      <c r="D749" s="131" t="s">
        <v>1564</v>
      </c>
      <c r="E749" s="317">
        <v>246</v>
      </c>
      <c r="F749" s="263">
        <v>45127</v>
      </c>
      <c r="G749" s="252">
        <v>40.94</v>
      </c>
      <c r="H749" s="150">
        <v>2110047.6</v>
      </c>
      <c r="I749" s="106">
        <f t="shared" si="144"/>
        <v>51540.000000000007</v>
      </c>
      <c r="J749" s="122"/>
      <c r="K749" s="157" t="s">
        <v>1656</v>
      </c>
      <c r="L749" s="166">
        <f t="shared" si="142"/>
        <v>246</v>
      </c>
      <c r="M749" s="119" t="s">
        <v>1655</v>
      </c>
      <c r="N749" s="135">
        <f>32.328+5.337</f>
        <v>37.665000000000006</v>
      </c>
      <c r="O749" s="122"/>
      <c r="P749" s="92">
        <f t="shared" si="145"/>
        <v>37.6648</v>
      </c>
      <c r="Q749" s="113">
        <f t="shared" si="146"/>
        <v>1.8422999999999998</v>
      </c>
      <c r="R749" s="92">
        <f t="shared" si="147"/>
        <v>1.4329000000000001</v>
      </c>
      <c r="S749" s="121"/>
      <c r="T749" s="93">
        <f t="shared" si="148"/>
        <v>-2.0000000000841567E-4</v>
      </c>
      <c r="U749" s="122"/>
      <c r="V749" s="94">
        <f t="shared" ca="1" si="149"/>
        <v>189.4644447916653</v>
      </c>
      <c r="W749" s="89"/>
    </row>
    <row r="750" spans="1:23" s="312" customFormat="1" ht="18">
      <c r="A750" s="260"/>
      <c r="B750" s="260" t="s">
        <v>505</v>
      </c>
      <c r="C750" s="175" t="s">
        <v>506</v>
      </c>
      <c r="D750" s="131" t="s">
        <v>1565</v>
      </c>
      <c r="E750" s="317">
        <v>247</v>
      </c>
      <c r="F750" s="263">
        <v>45127</v>
      </c>
      <c r="G750" s="252">
        <v>40.92</v>
      </c>
      <c r="H750" s="150">
        <v>2109016.8000000003</v>
      </c>
      <c r="I750" s="106">
        <f t="shared" si="144"/>
        <v>51540.000000000007</v>
      </c>
      <c r="J750" s="122"/>
      <c r="K750" s="157" t="s">
        <v>1657</v>
      </c>
      <c r="L750" s="166">
        <f>E750</f>
        <v>247</v>
      </c>
      <c r="M750" s="119" t="s">
        <v>1655</v>
      </c>
      <c r="N750" s="135">
        <f>25.281+12.365</f>
        <v>37.646000000000001</v>
      </c>
      <c r="O750" s="122"/>
      <c r="P750" s="92">
        <f t="shared" si="145"/>
        <v>37.6464</v>
      </c>
      <c r="Q750" s="113">
        <f t="shared" si="146"/>
        <v>1.8413999999999999</v>
      </c>
      <c r="R750" s="92">
        <f t="shared" si="147"/>
        <v>1.4322000000000001</v>
      </c>
      <c r="S750" s="121"/>
      <c r="T750" s="93">
        <f t="shared" si="148"/>
        <v>4.0000000000084412E-4</v>
      </c>
      <c r="U750" s="122"/>
      <c r="V750" s="94">
        <f t="shared" ca="1" si="149"/>
        <v>189.4644447916653</v>
      </c>
      <c r="W750" s="89"/>
    </row>
    <row r="751" spans="1:23" s="312" customFormat="1" ht="18">
      <c r="A751" s="260"/>
      <c r="B751" s="260" t="s">
        <v>505</v>
      </c>
      <c r="C751" s="175" t="s">
        <v>506</v>
      </c>
      <c r="D751" s="131" t="s">
        <v>1566</v>
      </c>
      <c r="E751" s="317">
        <v>248</v>
      </c>
      <c r="F751" s="263">
        <v>45127</v>
      </c>
      <c r="G751" s="252">
        <v>40.92</v>
      </c>
      <c r="H751" s="150">
        <v>2109016.8000000003</v>
      </c>
      <c r="I751" s="106">
        <f t="shared" si="144"/>
        <v>51540.000000000007</v>
      </c>
      <c r="J751" s="122"/>
      <c r="K751" s="157" t="s">
        <v>1659</v>
      </c>
      <c r="L751" s="166">
        <f>E751</f>
        <v>248</v>
      </c>
      <c r="M751" s="119" t="s">
        <v>1660</v>
      </c>
      <c r="N751" s="135">
        <f>13.007+19.563+5.076</f>
        <v>37.646000000000001</v>
      </c>
      <c r="O751" s="122"/>
      <c r="P751" s="92">
        <f t="shared" si="145"/>
        <v>37.6464</v>
      </c>
      <c r="Q751" s="113">
        <f t="shared" si="146"/>
        <v>1.8413999999999999</v>
      </c>
      <c r="R751" s="92">
        <f t="shared" si="147"/>
        <v>1.4322000000000001</v>
      </c>
      <c r="S751" s="121"/>
      <c r="T751" s="93">
        <f t="shared" si="148"/>
        <v>4.0000000000084412E-4</v>
      </c>
      <c r="U751" s="122"/>
      <c r="V751" s="94">
        <f t="shared" ca="1" si="149"/>
        <v>189.4644447916653</v>
      </c>
      <c r="W751" s="89"/>
    </row>
    <row r="752" spans="1:23" s="312" customFormat="1" ht="18">
      <c r="A752" s="260"/>
      <c r="B752" s="260" t="s">
        <v>505</v>
      </c>
      <c r="C752" s="175" t="s">
        <v>506</v>
      </c>
      <c r="D752" s="131" t="s">
        <v>1567</v>
      </c>
      <c r="E752" s="317">
        <v>249</v>
      </c>
      <c r="F752" s="263">
        <v>45127</v>
      </c>
      <c r="G752" s="252">
        <v>29.78</v>
      </c>
      <c r="H752" s="150">
        <v>1534861.2</v>
      </c>
      <c r="I752" s="106">
        <f t="shared" si="144"/>
        <v>51540</v>
      </c>
      <c r="J752" s="122"/>
      <c r="K752" s="157" t="s">
        <v>1658</v>
      </c>
      <c r="L752" s="166">
        <f t="shared" si="142"/>
        <v>249</v>
      </c>
      <c r="M752" s="119" t="s">
        <v>1661</v>
      </c>
      <c r="N752" s="135">
        <f>25.128+2.27</f>
        <v>27.398</v>
      </c>
      <c r="O752" s="122"/>
      <c r="P752" s="92">
        <f t="shared" si="145"/>
        <v>27.397600000000001</v>
      </c>
      <c r="Q752" s="113">
        <f t="shared" si="146"/>
        <v>1.3401000000000001</v>
      </c>
      <c r="R752" s="92">
        <f t="shared" si="147"/>
        <v>1.0423000000000002</v>
      </c>
      <c r="S752" s="121"/>
      <c r="T752" s="93">
        <f t="shared" si="148"/>
        <v>-3.9999999999884572E-4</v>
      </c>
      <c r="U752" s="122"/>
      <c r="V752" s="94">
        <f t="shared" ca="1" si="149"/>
        <v>189.4644447916653</v>
      </c>
      <c r="W752" s="89"/>
    </row>
    <row r="753" spans="1:23" s="312" customFormat="1" ht="18">
      <c r="A753" s="260"/>
      <c r="B753" s="260" t="s">
        <v>505</v>
      </c>
      <c r="C753" s="175" t="s">
        <v>506</v>
      </c>
      <c r="D753" s="131" t="s">
        <v>1568</v>
      </c>
      <c r="E753" s="317">
        <v>250</v>
      </c>
      <c r="F753" s="263">
        <v>45127</v>
      </c>
      <c r="G753" s="252">
        <v>29.68</v>
      </c>
      <c r="H753" s="150">
        <v>1529707.2</v>
      </c>
      <c r="I753" s="106">
        <f t="shared" si="144"/>
        <v>51540</v>
      </c>
      <c r="J753" s="122"/>
      <c r="K753" s="157" t="s">
        <v>1665</v>
      </c>
      <c r="L753" s="166">
        <f t="shared" si="142"/>
        <v>250</v>
      </c>
      <c r="M753" s="119" t="s">
        <v>1669</v>
      </c>
      <c r="N753" s="135">
        <f>24.641+2.665</f>
        <v>27.305999999999997</v>
      </c>
      <c r="O753" s="122"/>
      <c r="P753" s="92">
        <f t="shared" si="145"/>
        <v>27.305600000000002</v>
      </c>
      <c r="Q753" s="113">
        <f t="shared" si="146"/>
        <v>1.3355999999999999</v>
      </c>
      <c r="R753" s="92">
        <f t="shared" si="147"/>
        <v>1.0388000000000002</v>
      </c>
      <c r="S753" s="121"/>
      <c r="T753" s="93">
        <f t="shared" si="148"/>
        <v>-3.999999999977355E-4</v>
      </c>
      <c r="U753" s="122"/>
      <c r="V753" s="94">
        <f t="shared" ca="1" si="149"/>
        <v>189.4644447916653</v>
      </c>
      <c r="W753" s="89"/>
    </row>
    <row r="754" spans="1:23" s="312" customFormat="1" ht="18">
      <c r="A754" s="260"/>
      <c r="B754" s="260" t="s">
        <v>505</v>
      </c>
      <c r="C754" s="175" t="s">
        <v>506</v>
      </c>
      <c r="D754" s="131" t="s">
        <v>1569</v>
      </c>
      <c r="E754" s="317">
        <v>251</v>
      </c>
      <c r="F754" s="263">
        <v>45127</v>
      </c>
      <c r="G754" s="252">
        <v>26</v>
      </c>
      <c r="H754" s="150">
        <v>1340040</v>
      </c>
      <c r="I754" s="106">
        <f t="shared" si="144"/>
        <v>51540</v>
      </c>
      <c r="J754" s="122"/>
      <c r="K754" s="157">
        <v>647</v>
      </c>
      <c r="L754" s="166">
        <f t="shared" si="142"/>
        <v>251</v>
      </c>
      <c r="M754" s="119" t="s">
        <v>1662</v>
      </c>
      <c r="N754" s="135">
        <v>23.92</v>
      </c>
      <c r="O754" s="122"/>
      <c r="P754" s="92">
        <f t="shared" si="145"/>
        <v>23.92</v>
      </c>
      <c r="Q754" s="113">
        <f t="shared" si="146"/>
        <v>1.17</v>
      </c>
      <c r="R754" s="92">
        <f t="shared" si="147"/>
        <v>0.91000000000000014</v>
      </c>
      <c r="S754" s="121"/>
      <c r="T754" s="93">
        <f t="shared" si="148"/>
        <v>-1.7763568394002505E-15</v>
      </c>
      <c r="U754" s="122"/>
      <c r="V754" s="94">
        <f t="shared" ca="1" si="149"/>
        <v>189.4644447916653</v>
      </c>
      <c r="W754" s="89"/>
    </row>
    <row r="755" spans="1:23" s="312" customFormat="1" ht="18">
      <c r="A755" s="260"/>
      <c r="B755" s="260" t="s">
        <v>505</v>
      </c>
      <c r="C755" s="175" t="s">
        <v>55</v>
      </c>
      <c r="D755" s="131" t="s">
        <v>1570</v>
      </c>
      <c r="E755" s="317">
        <v>252</v>
      </c>
      <c r="F755" s="263">
        <v>45127</v>
      </c>
      <c r="G755" s="252">
        <v>29.67</v>
      </c>
      <c r="H755" s="150">
        <v>1529191.8</v>
      </c>
      <c r="I755" s="106">
        <f t="shared" si="144"/>
        <v>51540</v>
      </c>
      <c r="J755" s="122"/>
      <c r="K755" s="157" t="s">
        <v>1666</v>
      </c>
      <c r="L755" s="166">
        <f t="shared" si="142"/>
        <v>252</v>
      </c>
      <c r="M755" s="119" t="s">
        <v>1669</v>
      </c>
      <c r="N755" s="135">
        <f>24.538+2.758</f>
        <v>27.295999999999999</v>
      </c>
      <c r="O755" s="122"/>
      <c r="P755" s="92">
        <f t="shared" si="145"/>
        <v>27.296400000000002</v>
      </c>
      <c r="Q755" s="113">
        <f t="shared" si="146"/>
        <v>1.3351500000000001</v>
      </c>
      <c r="R755" s="92">
        <f t="shared" si="147"/>
        <v>1.0384500000000001</v>
      </c>
      <c r="S755" s="121"/>
      <c r="T755" s="93">
        <f t="shared" si="148"/>
        <v>4.0000000000217639E-4</v>
      </c>
      <c r="U755" s="122"/>
      <c r="V755" s="94">
        <f t="shared" ca="1" si="149"/>
        <v>189.4644447916653</v>
      </c>
      <c r="W755" s="89"/>
    </row>
    <row r="756" spans="1:23" s="312" customFormat="1" ht="18">
      <c r="A756" s="260"/>
      <c r="B756" s="260" t="s">
        <v>505</v>
      </c>
      <c r="C756" s="175" t="s">
        <v>55</v>
      </c>
      <c r="D756" s="131" t="s">
        <v>1570</v>
      </c>
      <c r="E756" s="317">
        <v>253</v>
      </c>
      <c r="F756" s="263">
        <v>45127</v>
      </c>
      <c r="G756" s="252">
        <v>29.74</v>
      </c>
      <c r="H756" s="150">
        <v>1532799.5999999999</v>
      </c>
      <c r="I756" s="106">
        <f t="shared" si="144"/>
        <v>51540</v>
      </c>
      <c r="J756" s="122"/>
      <c r="K756" s="157" t="s">
        <v>1663</v>
      </c>
      <c r="L756" s="166">
        <f t="shared" si="142"/>
        <v>253</v>
      </c>
      <c r="M756" s="119" t="s">
        <v>1664</v>
      </c>
      <c r="N756" s="135">
        <f>7.701+19.66</f>
        <v>27.361000000000001</v>
      </c>
      <c r="O756" s="122"/>
      <c r="P756" s="92">
        <f t="shared" si="145"/>
        <v>27.360800000000001</v>
      </c>
      <c r="Q756" s="113">
        <f t="shared" si="146"/>
        <v>1.3382999999999998</v>
      </c>
      <c r="R756" s="92">
        <f t="shared" si="147"/>
        <v>1.0408999999999999</v>
      </c>
      <c r="S756" s="121"/>
      <c r="T756" s="93">
        <f t="shared" si="148"/>
        <v>-2.0000000000197637E-4</v>
      </c>
      <c r="U756" s="122"/>
      <c r="V756" s="94">
        <f t="shared" ca="1" si="149"/>
        <v>189.4644447916653</v>
      </c>
      <c r="W756" s="89"/>
    </row>
    <row r="757" spans="1:23" s="312" customFormat="1" ht="18">
      <c r="A757" s="260"/>
      <c r="B757" s="260" t="s">
        <v>505</v>
      </c>
      <c r="C757" s="175" t="s">
        <v>55</v>
      </c>
      <c r="D757" s="131" t="s">
        <v>1570</v>
      </c>
      <c r="E757" s="317">
        <v>254</v>
      </c>
      <c r="F757" s="263">
        <v>45127</v>
      </c>
      <c r="G757" s="252">
        <v>31.85</v>
      </c>
      <c r="H757" s="150">
        <v>1641549</v>
      </c>
      <c r="I757" s="106">
        <f t="shared" si="144"/>
        <v>51540</v>
      </c>
      <c r="J757" s="122"/>
      <c r="K757" s="157" t="s">
        <v>1667</v>
      </c>
      <c r="L757" s="166">
        <f t="shared" si="142"/>
        <v>254</v>
      </c>
      <c r="M757" s="119" t="s">
        <v>1669</v>
      </c>
      <c r="N757" s="135">
        <f>12.71+16.592</f>
        <v>29.302</v>
      </c>
      <c r="O757" s="122"/>
      <c r="P757" s="92">
        <f t="shared" si="145"/>
        <v>29.302000000000003</v>
      </c>
      <c r="Q757" s="113">
        <f t="shared" si="146"/>
        <v>1.4332499999999999</v>
      </c>
      <c r="R757" s="92">
        <f t="shared" si="147"/>
        <v>1.1147500000000001</v>
      </c>
      <c r="S757" s="121"/>
      <c r="T757" s="93">
        <f t="shared" si="148"/>
        <v>1.7763568394002505E-15</v>
      </c>
      <c r="U757" s="122"/>
      <c r="V757" s="94">
        <f t="shared" ca="1" si="149"/>
        <v>189.4644447916653</v>
      </c>
      <c r="W757" s="89"/>
    </row>
    <row r="758" spans="1:23" s="312" customFormat="1" ht="18">
      <c r="A758" s="260"/>
      <c r="B758" s="260" t="s">
        <v>505</v>
      </c>
      <c r="C758" s="175" t="s">
        <v>55</v>
      </c>
      <c r="D758" s="131" t="s">
        <v>1570</v>
      </c>
      <c r="E758" s="317">
        <v>255</v>
      </c>
      <c r="F758" s="263">
        <v>45127</v>
      </c>
      <c r="G758" s="252">
        <v>31.89</v>
      </c>
      <c r="H758" s="150">
        <v>1643610.6</v>
      </c>
      <c r="I758" s="106">
        <f t="shared" si="144"/>
        <v>51540</v>
      </c>
      <c r="J758" s="122"/>
      <c r="K758" s="157" t="s">
        <v>1668</v>
      </c>
      <c r="L758" s="166">
        <f t="shared" si="142"/>
        <v>255</v>
      </c>
      <c r="M758" s="119" t="s">
        <v>1669</v>
      </c>
      <c r="N758" s="135">
        <f>24.417+4.922</f>
        <v>29.339000000000002</v>
      </c>
      <c r="O758" s="122"/>
      <c r="P758" s="92">
        <f t="shared" si="145"/>
        <v>29.338800000000003</v>
      </c>
      <c r="Q758" s="113">
        <f t="shared" si="146"/>
        <v>1.4350499999999999</v>
      </c>
      <c r="R758" s="92">
        <f t="shared" si="147"/>
        <v>1.1161500000000002</v>
      </c>
      <c r="S758" s="121"/>
      <c r="T758" s="93">
        <f t="shared" si="148"/>
        <v>-2.0000000000175433E-4</v>
      </c>
      <c r="U758" s="122"/>
      <c r="V758" s="94">
        <f t="shared" ca="1" si="149"/>
        <v>189.4644447916653</v>
      </c>
      <c r="W758" s="89"/>
    </row>
    <row r="759" spans="1:23" s="312" customFormat="1" ht="18">
      <c r="A759" s="260"/>
      <c r="B759" s="260" t="s">
        <v>505</v>
      </c>
      <c r="C759" s="175" t="s">
        <v>55</v>
      </c>
      <c r="D759" s="131" t="s">
        <v>1570</v>
      </c>
      <c r="E759" s="317">
        <v>256</v>
      </c>
      <c r="F759" s="263">
        <v>45127</v>
      </c>
      <c r="G759" s="252">
        <v>42.54</v>
      </c>
      <c r="H759" s="150">
        <v>2192511.6</v>
      </c>
      <c r="I759" s="106">
        <f t="shared" si="144"/>
        <v>51540</v>
      </c>
      <c r="J759" s="122"/>
      <c r="K759" s="157" t="s">
        <v>1672</v>
      </c>
      <c r="L759" s="166">
        <f>E759</f>
        <v>256</v>
      </c>
      <c r="M759" s="119" t="s">
        <v>1671</v>
      </c>
      <c r="N759" s="135">
        <f>32.166+6.971</f>
        <v>39.137</v>
      </c>
      <c r="O759" s="122"/>
      <c r="P759" s="92">
        <f t="shared" si="145"/>
        <v>39.136800000000001</v>
      </c>
      <c r="Q759" s="113">
        <f t="shared" si="146"/>
        <v>1.9142999999999999</v>
      </c>
      <c r="R759" s="92">
        <f t="shared" si="147"/>
        <v>1.4889000000000001</v>
      </c>
      <c r="S759" s="121"/>
      <c r="T759" s="93">
        <f t="shared" si="148"/>
        <v>-2.0000000000131024E-4</v>
      </c>
      <c r="U759" s="122"/>
      <c r="V759" s="94">
        <f t="shared" ca="1" si="149"/>
        <v>189.4644447916653</v>
      </c>
      <c r="W759" s="89"/>
    </row>
    <row r="760" spans="1:23" s="312" customFormat="1" ht="18">
      <c r="A760" s="260"/>
      <c r="B760" s="260" t="s">
        <v>505</v>
      </c>
      <c r="C760" s="175" t="s">
        <v>55</v>
      </c>
      <c r="D760" s="131" t="s">
        <v>1570</v>
      </c>
      <c r="E760" s="317">
        <v>257</v>
      </c>
      <c r="F760" s="263">
        <v>45127</v>
      </c>
      <c r="G760" s="252">
        <v>33.950000000000003</v>
      </c>
      <c r="H760" s="150">
        <v>1749783.0000000002</v>
      </c>
      <c r="I760" s="106">
        <f t="shared" si="144"/>
        <v>51540</v>
      </c>
      <c r="J760" s="122"/>
      <c r="K760" s="157" t="s">
        <v>1670</v>
      </c>
      <c r="L760" s="166">
        <f t="shared" si="142"/>
        <v>257</v>
      </c>
      <c r="M760" s="119" t="s">
        <v>1671</v>
      </c>
      <c r="N760" s="135">
        <f>6.315+24.919</f>
        <v>31.234000000000002</v>
      </c>
      <c r="O760" s="122"/>
      <c r="P760" s="92">
        <f t="shared" si="145"/>
        <v>31.234000000000005</v>
      </c>
      <c r="Q760" s="113">
        <f t="shared" si="146"/>
        <v>1.5277500000000002</v>
      </c>
      <c r="R760" s="92">
        <f t="shared" si="147"/>
        <v>1.1882500000000003</v>
      </c>
      <c r="S760" s="121"/>
      <c r="T760" s="93">
        <f t="shared" si="148"/>
        <v>0</v>
      </c>
      <c r="U760" s="122"/>
      <c r="V760" s="94">
        <f t="shared" ca="1" si="149"/>
        <v>189.4644447916653</v>
      </c>
      <c r="W760" s="89"/>
    </row>
    <row r="761" spans="1:23" s="312" customFormat="1" ht="18">
      <c r="A761" s="260"/>
      <c r="B761" s="260" t="s">
        <v>505</v>
      </c>
      <c r="C761" s="175" t="s">
        <v>55</v>
      </c>
      <c r="D761" s="131" t="s">
        <v>1570</v>
      </c>
      <c r="E761" s="317">
        <v>258</v>
      </c>
      <c r="F761" s="263">
        <v>45127</v>
      </c>
      <c r="G761" s="252">
        <v>31.82</v>
      </c>
      <c r="H761" s="150">
        <v>1640002.8</v>
      </c>
      <c r="I761" s="106">
        <f t="shared" si="144"/>
        <v>51540</v>
      </c>
      <c r="J761" s="122"/>
      <c r="K761" s="157" t="s">
        <v>1673</v>
      </c>
      <c r="L761" s="166">
        <f t="shared" si="142"/>
        <v>258</v>
      </c>
      <c r="M761" s="119" t="s">
        <v>1674</v>
      </c>
      <c r="N761" s="135">
        <f>7.442+21.832</f>
        <v>29.274000000000001</v>
      </c>
      <c r="O761" s="122"/>
      <c r="P761" s="92">
        <f t="shared" si="145"/>
        <v>29.2744</v>
      </c>
      <c r="Q761" s="113">
        <f t="shared" si="146"/>
        <v>1.4319</v>
      </c>
      <c r="R761" s="92">
        <f t="shared" si="147"/>
        <v>1.1137000000000001</v>
      </c>
      <c r="S761" s="121"/>
      <c r="T761" s="93">
        <f t="shared" si="148"/>
        <v>3.9999999999928981E-4</v>
      </c>
      <c r="U761" s="122"/>
      <c r="V761" s="94">
        <f t="shared" ca="1" si="149"/>
        <v>189.4644447916653</v>
      </c>
      <c r="W761" s="89"/>
    </row>
    <row r="762" spans="1:23" s="312" customFormat="1" ht="18">
      <c r="A762" s="260"/>
      <c r="B762" s="260" t="s">
        <v>505</v>
      </c>
      <c r="C762" s="175" t="s">
        <v>55</v>
      </c>
      <c r="D762" s="131" t="s">
        <v>1570</v>
      </c>
      <c r="E762" s="317">
        <v>259</v>
      </c>
      <c r="F762" s="263">
        <v>45127</v>
      </c>
      <c r="G762" s="252">
        <v>42.38</v>
      </c>
      <c r="H762" s="150">
        <v>2184265.2000000002</v>
      </c>
      <c r="I762" s="106">
        <f t="shared" si="144"/>
        <v>51540</v>
      </c>
      <c r="J762" s="122"/>
      <c r="K762" s="157" t="s">
        <v>1675</v>
      </c>
      <c r="L762" s="166">
        <f t="shared" si="142"/>
        <v>259</v>
      </c>
      <c r="M762" s="119" t="s">
        <v>1676</v>
      </c>
      <c r="N762" s="135">
        <f>25.405+10.572+3.013</f>
        <v>38.99</v>
      </c>
      <c r="O762" s="122"/>
      <c r="P762" s="92">
        <f t="shared" si="145"/>
        <v>38.989600000000003</v>
      </c>
      <c r="Q762" s="113">
        <f t="shared" si="146"/>
        <v>1.9071</v>
      </c>
      <c r="R762" s="92">
        <f t="shared" si="147"/>
        <v>1.4833000000000003</v>
      </c>
      <c r="S762" s="121"/>
      <c r="T762" s="93">
        <f t="shared" si="148"/>
        <v>-3.999999999997339E-4</v>
      </c>
      <c r="U762" s="122"/>
      <c r="V762" s="94">
        <f t="shared" ca="1" si="149"/>
        <v>189.4644447916653</v>
      </c>
      <c r="W762" s="89"/>
    </row>
    <row r="763" spans="1:23" s="312" customFormat="1" ht="18">
      <c r="A763" s="260"/>
      <c r="B763" s="260" t="s">
        <v>505</v>
      </c>
      <c r="C763" s="175" t="s">
        <v>55</v>
      </c>
      <c r="D763" s="131" t="s">
        <v>1570</v>
      </c>
      <c r="E763" s="317">
        <v>260</v>
      </c>
      <c r="F763" s="263">
        <v>45127</v>
      </c>
      <c r="G763" s="252">
        <v>40.31</v>
      </c>
      <c r="H763" s="150">
        <v>2077577.4000000001</v>
      </c>
      <c r="I763" s="106">
        <f t="shared" si="144"/>
        <v>51540</v>
      </c>
      <c r="J763" s="122"/>
      <c r="K763" s="157" t="s">
        <v>1677</v>
      </c>
      <c r="L763" s="166">
        <f t="shared" si="142"/>
        <v>260</v>
      </c>
      <c r="M763" s="119" t="s">
        <v>1678</v>
      </c>
      <c r="N763" s="135">
        <f>32.472+4.613</f>
        <v>37.085000000000001</v>
      </c>
      <c r="O763" s="122"/>
      <c r="P763" s="92">
        <f t="shared" si="145"/>
        <v>37.0852</v>
      </c>
      <c r="Q763" s="113">
        <f t="shared" si="146"/>
        <v>1.81395</v>
      </c>
      <c r="R763" s="92">
        <f t="shared" si="147"/>
        <v>1.4108500000000002</v>
      </c>
      <c r="S763" s="121"/>
      <c r="T763" s="93">
        <f t="shared" si="148"/>
        <v>2.0000000000131024E-4</v>
      </c>
      <c r="U763" s="122"/>
      <c r="V763" s="94">
        <f t="shared" ca="1" si="149"/>
        <v>189.4644447916653</v>
      </c>
      <c r="W763" s="89"/>
    </row>
    <row r="764" spans="1:23" s="312" customFormat="1" ht="18">
      <c r="A764" s="260"/>
      <c r="B764" s="260" t="s">
        <v>505</v>
      </c>
      <c r="C764" s="175" t="s">
        <v>55</v>
      </c>
      <c r="D764" s="131" t="s">
        <v>1570</v>
      </c>
      <c r="E764" s="317">
        <v>261</v>
      </c>
      <c r="F764" s="263">
        <v>45127</v>
      </c>
      <c r="G764" s="252">
        <v>40.39</v>
      </c>
      <c r="H764" s="150">
        <v>2081700.6</v>
      </c>
      <c r="I764" s="106">
        <f t="shared" si="144"/>
        <v>51540</v>
      </c>
      <c r="J764" s="122"/>
      <c r="K764" s="157" t="s">
        <v>1681</v>
      </c>
      <c r="L764" s="166">
        <f t="shared" si="142"/>
        <v>261</v>
      </c>
      <c r="M764" s="119" t="s">
        <v>1682</v>
      </c>
      <c r="N764" s="135">
        <f>25.06+12.099</f>
        <v>37.158999999999999</v>
      </c>
      <c r="O764" s="122"/>
      <c r="P764" s="92">
        <f t="shared" si="145"/>
        <v>37.158799999999999</v>
      </c>
      <c r="Q764" s="113">
        <f t="shared" si="146"/>
        <v>1.81755</v>
      </c>
      <c r="R764" s="92">
        <f t="shared" si="147"/>
        <v>1.4136500000000001</v>
      </c>
      <c r="S764" s="121"/>
      <c r="T764" s="93">
        <f t="shared" si="148"/>
        <v>-1.9999999999842366E-4</v>
      </c>
      <c r="U764" s="122"/>
      <c r="V764" s="94">
        <f t="shared" ca="1" si="149"/>
        <v>189.4644447916653</v>
      </c>
      <c r="W764" s="89"/>
    </row>
    <row r="765" spans="1:23" s="312" customFormat="1" ht="18">
      <c r="A765" s="260"/>
      <c r="B765" s="260" t="s">
        <v>505</v>
      </c>
      <c r="C765" s="175" t="s">
        <v>55</v>
      </c>
      <c r="D765" s="131" t="s">
        <v>1570</v>
      </c>
      <c r="E765" s="317">
        <v>262</v>
      </c>
      <c r="F765" s="263">
        <v>45127</v>
      </c>
      <c r="G765" s="252">
        <v>31.76</v>
      </c>
      <c r="H765" s="150">
        <v>1636910.4000000001</v>
      </c>
      <c r="I765" s="106">
        <f t="shared" si="144"/>
        <v>51540</v>
      </c>
      <c r="J765" s="122"/>
      <c r="K765" s="157" t="s">
        <v>1683</v>
      </c>
      <c r="L765" s="166">
        <f t="shared" si="142"/>
        <v>262</v>
      </c>
      <c r="M765" s="119" t="s">
        <v>1684</v>
      </c>
      <c r="N765" s="135">
        <f>12.533+16.686</f>
        <v>29.219000000000001</v>
      </c>
      <c r="O765" s="122"/>
      <c r="P765" s="92">
        <f t="shared" si="145"/>
        <v>29.219200000000004</v>
      </c>
      <c r="Q765" s="113">
        <f t="shared" si="146"/>
        <v>1.4292</v>
      </c>
      <c r="R765" s="92">
        <f t="shared" si="147"/>
        <v>1.1116000000000001</v>
      </c>
      <c r="S765" s="121"/>
      <c r="T765" s="93">
        <f t="shared" si="148"/>
        <v>2.0000000000020002E-4</v>
      </c>
      <c r="U765" s="122"/>
      <c r="V765" s="94">
        <f t="shared" ca="1" si="149"/>
        <v>189.4644447916653</v>
      </c>
      <c r="W765" s="89"/>
    </row>
    <row r="766" spans="1:23" s="312" customFormat="1" ht="18">
      <c r="A766" s="260"/>
      <c r="B766" s="260" t="s">
        <v>505</v>
      </c>
      <c r="C766" s="175" t="s">
        <v>55</v>
      </c>
      <c r="D766" s="131" t="s">
        <v>1570</v>
      </c>
      <c r="E766" s="317">
        <v>263</v>
      </c>
      <c r="F766" s="263">
        <v>45127</v>
      </c>
      <c r="G766" s="252">
        <v>31.84</v>
      </c>
      <c r="H766" s="150">
        <v>1641033.6</v>
      </c>
      <c r="I766" s="106">
        <f t="shared" si="144"/>
        <v>51540</v>
      </c>
      <c r="J766" s="122"/>
      <c r="K766" s="157" t="s">
        <v>1686</v>
      </c>
      <c r="L766" s="166">
        <f t="shared" si="142"/>
        <v>263</v>
      </c>
      <c r="M766" s="119" t="s">
        <v>1687</v>
      </c>
      <c r="N766" s="135">
        <f>19.89+9.403</f>
        <v>29.292999999999999</v>
      </c>
      <c r="O766" s="122"/>
      <c r="P766" s="92">
        <f t="shared" si="145"/>
        <v>29.2928</v>
      </c>
      <c r="Q766" s="113">
        <f t="shared" si="146"/>
        <v>1.4327999999999999</v>
      </c>
      <c r="R766" s="92">
        <f t="shared" si="147"/>
        <v>1.1144000000000001</v>
      </c>
      <c r="S766" s="121"/>
      <c r="T766" s="93">
        <f t="shared" si="148"/>
        <v>-1.9999999999931184E-4</v>
      </c>
      <c r="U766" s="122"/>
      <c r="V766" s="94">
        <f t="shared" ca="1" si="149"/>
        <v>189.4644447916653</v>
      </c>
      <c r="W766" s="89"/>
    </row>
    <row r="767" spans="1:23" s="312" customFormat="1" ht="18">
      <c r="A767" s="260"/>
      <c r="B767" s="260" t="s">
        <v>505</v>
      </c>
      <c r="C767" s="175" t="s">
        <v>55</v>
      </c>
      <c r="D767" s="131" t="s">
        <v>1570</v>
      </c>
      <c r="E767" s="317">
        <v>264</v>
      </c>
      <c r="F767" s="263">
        <v>45127</v>
      </c>
      <c r="G767" s="252">
        <v>31.75</v>
      </c>
      <c r="H767" s="150">
        <v>1636395</v>
      </c>
      <c r="I767" s="106">
        <f t="shared" si="144"/>
        <v>51540</v>
      </c>
      <c r="J767" s="122"/>
      <c r="K767" s="157" t="s">
        <v>814</v>
      </c>
      <c r="L767" s="166">
        <f t="shared" si="142"/>
        <v>264</v>
      </c>
      <c r="M767" s="119" t="s">
        <v>1685</v>
      </c>
      <c r="N767" s="135">
        <f>15.648+13.562</f>
        <v>29.21</v>
      </c>
      <c r="O767" s="122"/>
      <c r="P767" s="92">
        <f t="shared" si="145"/>
        <v>29.21</v>
      </c>
      <c r="Q767" s="113">
        <f t="shared" si="146"/>
        <v>1.42875</v>
      </c>
      <c r="R767" s="92">
        <f t="shared" si="147"/>
        <v>1.1112500000000001</v>
      </c>
      <c r="S767" s="121"/>
      <c r="T767" s="93">
        <f t="shared" si="148"/>
        <v>0</v>
      </c>
      <c r="U767" s="122"/>
      <c r="V767" s="94">
        <f t="shared" ca="1" si="149"/>
        <v>189.4644447916653</v>
      </c>
      <c r="W767" s="89"/>
    </row>
    <row r="768" spans="1:23" s="312" customFormat="1" ht="18">
      <c r="A768" s="260"/>
      <c r="B768" s="260" t="s">
        <v>505</v>
      </c>
      <c r="C768" s="175" t="s">
        <v>55</v>
      </c>
      <c r="D768" s="131" t="s">
        <v>1570</v>
      </c>
      <c r="E768" s="317">
        <v>265</v>
      </c>
      <c r="F768" s="263">
        <v>45127</v>
      </c>
      <c r="G768" s="252">
        <v>31.82</v>
      </c>
      <c r="H768" s="150">
        <v>1640002.8</v>
      </c>
      <c r="I768" s="106">
        <f t="shared" si="144"/>
        <v>51540</v>
      </c>
      <c r="J768" s="122"/>
      <c r="K768" s="157" t="s">
        <v>815</v>
      </c>
      <c r="L768" s="166">
        <f t="shared" si="142"/>
        <v>265</v>
      </c>
      <c r="M768" s="119" t="s">
        <v>1688</v>
      </c>
      <c r="N768" s="135">
        <f>19.394+9.88</f>
        <v>29.274000000000001</v>
      </c>
      <c r="O768" s="122"/>
      <c r="P768" s="92">
        <f t="shared" si="145"/>
        <v>29.2744</v>
      </c>
      <c r="Q768" s="113">
        <f t="shared" si="146"/>
        <v>1.4319</v>
      </c>
      <c r="R768" s="92">
        <f t="shared" si="147"/>
        <v>1.1137000000000001</v>
      </c>
      <c r="S768" s="121"/>
      <c r="T768" s="93">
        <f t="shared" si="148"/>
        <v>3.9999999999928981E-4</v>
      </c>
      <c r="U768" s="122"/>
      <c r="V768" s="94">
        <f t="shared" ca="1" si="149"/>
        <v>189.4644447916653</v>
      </c>
      <c r="W768" s="89"/>
    </row>
    <row r="769" spans="1:23" s="312" customFormat="1" ht="18">
      <c r="A769" s="260"/>
      <c r="B769" s="260" t="s">
        <v>505</v>
      </c>
      <c r="C769" s="175" t="s">
        <v>55</v>
      </c>
      <c r="D769" s="131" t="s">
        <v>1570</v>
      </c>
      <c r="E769" s="317">
        <v>266</v>
      </c>
      <c r="F769" s="263">
        <v>45127</v>
      </c>
      <c r="G769" s="252">
        <v>33.93</v>
      </c>
      <c r="H769" s="150">
        <v>1748752.2</v>
      </c>
      <c r="I769" s="106">
        <f t="shared" si="144"/>
        <v>51540</v>
      </c>
      <c r="J769" s="122"/>
      <c r="K769" s="157" t="s">
        <v>1689</v>
      </c>
      <c r="L769" s="166">
        <f t="shared" si="142"/>
        <v>266</v>
      </c>
      <c r="M769" s="119" t="s">
        <v>1690</v>
      </c>
      <c r="N769" s="135">
        <f>13.306+17.91</f>
        <v>31.216000000000001</v>
      </c>
      <c r="O769" s="122"/>
      <c r="P769" s="92">
        <f t="shared" si="145"/>
        <v>31.215600000000002</v>
      </c>
      <c r="Q769" s="113">
        <f t="shared" si="146"/>
        <v>1.52685</v>
      </c>
      <c r="R769" s="92">
        <f t="shared" si="147"/>
        <v>1.1875500000000001</v>
      </c>
      <c r="S769" s="121"/>
      <c r="T769" s="93">
        <f t="shared" si="148"/>
        <v>-4.0000000000151026E-4</v>
      </c>
      <c r="U769" s="122"/>
      <c r="V769" s="94">
        <f t="shared" ca="1" si="149"/>
        <v>189.4644447916653</v>
      </c>
      <c r="W769" s="89"/>
    </row>
    <row r="770" spans="1:23" s="312" customFormat="1" ht="18">
      <c r="A770" s="260"/>
      <c r="B770" s="260" t="s">
        <v>505</v>
      </c>
      <c r="C770" s="175" t="s">
        <v>55</v>
      </c>
      <c r="D770" s="131" t="s">
        <v>1570</v>
      </c>
      <c r="E770" s="317">
        <v>267</v>
      </c>
      <c r="F770" s="263">
        <v>45127</v>
      </c>
      <c r="G770" s="252">
        <v>33.89</v>
      </c>
      <c r="H770" s="150">
        <v>1746690.6</v>
      </c>
      <c r="I770" s="106">
        <f t="shared" ref="I770:I785" si="157">H770/G770</f>
        <v>51540</v>
      </c>
      <c r="J770" s="122"/>
      <c r="K770" s="157" t="s">
        <v>1691</v>
      </c>
      <c r="L770" s="166">
        <f t="shared" ref="L770:L834" si="158">E770</f>
        <v>267</v>
      </c>
      <c r="M770" s="119" t="s">
        <v>1692</v>
      </c>
      <c r="N770" s="135">
        <f>13.925+17.254</f>
        <v>31.179000000000002</v>
      </c>
      <c r="O770" s="122"/>
      <c r="P770" s="92">
        <f t="shared" ref="P770:P785" si="159">G770*0.92</f>
        <v>31.178800000000003</v>
      </c>
      <c r="Q770" s="113">
        <f t="shared" ref="Q770:Q785" si="160">G770*4.5%</f>
        <v>1.52505</v>
      </c>
      <c r="R770" s="92">
        <f t="shared" ref="R770:R785" si="161">G770*3.5%</f>
        <v>1.18615</v>
      </c>
      <c r="S770" s="121"/>
      <c r="T770" s="93">
        <f t="shared" ref="T770:T785" si="162">G770-N770-Q770-R770</f>
        <v>-2.0000000000153229E-4</v>
      </c>
      <c r="U770" s="122"/>
      <c r="V770" s="94">
        <f t="shared" ref="V770:V785" ca="1" si="163">360-($V$3-F770)</f>
        <v>189.4644447916653</v>
      </c>
      <c r="W770" s="89"/>
    </row>
    <row r="771" spans="1:23" s="312" customFormat="1" ht="18">
      <c r="A771" s="260"/>
      <c r="B771" s="260" t="s">
        <v>505</v>
      </c>
      <c r="C771" s="175" t="s">
        <v>55</v>
      </c>
      <c r="D771" s="131" t="s">
        <v>1570</v>
      </c>
      <c r="E771" s="317">
        <v>268</v>
      </c>
      <c r="F771" s="263">
        <v>45127</v>
      </c>
      <c r="G771" s="252">
        <v>33.909999999999997</v>
      </c>
      <c r="H771" s="150">
        <v>1747721.4</v>
      </c>
      <c r="I771" s="106">
        <f t="shared" si="157"/>
        <v>51540</v>
      </c>
      <c r="J771" s="122"/>
      <c r="K771" s="157" t="s">
        <v>1693</v>
      </c>
      <c r="L771" s="166">
        <f t="shared" si="158"/>
        <v>268</v>
      </c>
      <c r="M771" s="119" t="s">
        <v>1694</v>
      </c>
      <c r="N771" s="135">
        <f>15.206+15.991</f>
        <v>31.196999999999999</v>
      </c>
      <c r="O771" s="122"/>
      <c r="P771" s="92">
        <f t="shared" si="159"/>
        <v>31.197199999999999</v>
      </c>
      <c r="Q771" s="113">
        <f t="shared" si="160"/>
        <v>1.5259499999999997</v>
      </c>
      <c r="R771" s="92">
        <f t="shared" si="161"/>
        <v>1.18685</v>
      </c>
      <c r="S771" s="121"/>
      <c r="T771" s="93">
        <f t="shared" si="162"/>
        <v>1.9999999999775753E-4</v>
      </c>
      <c r="U771" s="122"/>
      <c r="V771" s="94">
        <f t="shared" ca="1" si="163"/>
        <v>189.4644447916653</v>
      </c>
      <c r="W771" s="89"/>
    </row>
    <row r="772" spans="1:23" s="312" customFormat="1" ht="18">
      <c r="A772" s="260"/>
      <c r="B772" s="260" t="s">
        <v>505</v>
      </c>
      <c r="C772" s="175" t="s">
        <v>55</v>
      </c>
      <c r="D772" s="131" t="s">
        <v>1570</v>
      </c>
      <c r="E772" s="317">
        <v>269</v>
      </c>
      <c r="F772" s="263">
        <v>45127</v>
      </c>
      <c r="G772" s="252">
        <v>33.979999999999997</v>
      </c>
      <c r="H772" s="150">
        <v>1751329.2</v>
      </c>
      <c r="I772" s="106">
        <f t="shared" si="157"/>
        <v>51540</v>
      </c>
      <c r="J772" s="122"/>
      <c r="K772" s="157" t="s">
        <v>1695</v>
      </c>
      <c r="L772" s="166">
        <f t="shared" si="158"/>
        <v>269</v>
      </c>
      <c r="M772" s="119" t="s">
        <v>1696</v>
      </c>
      <c r="N772" s="135">
        <f>14.594+16.668</f>
        <v>31.262</v>
      </c>
      <c r="O772" s="122"/>
      <c r="P772" s="92">
        <f t="shared" si="159"/>
        <v>31.261599999999998</v>
      </c>
      <c r="Q772" s="113">
        <f t="shared" si="160"/>
        <v>1.5290999999999999</v>
      </c>
      <c r="R772" s="92">
        <f t="shared" si="161"/>
        <v>1.1893</v>
      </c>
      <c r="S772" s="121"/>
      <c r="T772" s="93">
        <f t="shared" si="162"/>
        <v>-4.0000000000350866E-4</v>
      </c>
      <c r="U772" s="122"/>
      <c r="V772" s="94">
        <f t="shared" ca="1" si="163"/>
        <v>189.4644447916653</v>
      </c>
      <c r="W772" s="89"/>
    </row>
    <row r="773" spans="1:23" s="312" customFormat="1" ht="18">
      <c r="A773" s="260"/>
      <c r="B773" s="260" t="s">
        <v>505</v>
      </c>
      <c r="C773" s="175" t="s">
        <v>55</v>
      </c>
      <c r="D773" s="131" t="s">
        <v>1570</v>
      </c>
      <c r="E773" s="317">
        <v>270</v>
      </c>
      <c r="F773" s="263">
        <v>45127</v>
      </c>
      <c r="G773" s="252">
        <v>31.79</v>
      </c>
      <c r="H773" s="150">
        <v>1638456.5999999999</v>
      </c>
      <c r="I773" s="106">
        <f t="shared" si="157"/>
        <v>51540</v>
      </c>
      <c r="J773" s="122"/>
      <c r="K773" s="157" t="s">
        <v>1697</v>
      </c>
      <c r="L773" s="166">
        <f t="shared" si="158"/>
        <v>270</v>
      </c>
      <c r="M773" s="119" t="s">
        <v>1696</v>
      </c>
      <c r="N773" s="135">
        <f>14.495+14.752</f>
        <v>29.247</v>
      </c>
      <c r="O773" s="122"/>
      <c r="P773" s="92">
        <f t="shared" si="159"/>
        <v>29.2468</v>
      </c>
      <c r="Q773" s="113">
        <f t="shared" si="160"/>
        <v>1.43055</v>
      </c>
      <c r="R773" s="92">
        <f t="shared" si="161"/>
        <v>1.1126500000000001</v>
      </c>
      <c r="S773" s="121"/>
      <c r="T773" s="93">
        <f t="shared" si="162"/>
        <v>-2.0000000000086615E-4</v>
      </c>
      <c r="U773" s="122"/>
      <c r="V773" s="94">
        <f t="shared" ca="1" si="163"/>
        <v>189.4644447916653</v>
      </c>
      <c r="W773" s="89"/>
    </row>
    <row r="774" spans="1:23" s="312" customFormat="1" ht="18">
      <c r="A774" s="260"/>
      <c r="B774" s="260" t="s">
        <v>505</v>
      </c>
      <c r="C774" s="175" t="s">
        <v>55</v>
      </c>
      <c r="D774" s="131" t="s">
        <v>1570</v>
      </c>
      <c r="E774" s="317">
        <v>271</v>
      </c>
      <c r="F774" s="263">
        <v>45127</v>
      </c>
      <c r="G774" s="252">
        <v>31.84</v>
      </c>
      <c r="H774" s="150">
        <v>1641033.6</v>
      </c>
      <c r="I774" s="106">
        <f t="shared" si="157"/>
        <v>51540</v>
      </c>
      <c r="J774" s="122"/>
      <c r="K774" s="157" t="s">
        <v>1699</v>
      </c>
      <c r="L774" s="166">
        <f t="shared" si="158"/>
        <v>271</v>
      </c>
      <c r="M774" s="119" t="s">
        <v>1696</v>
      </c>
      <c r="N774" s="135">
        <f>17.578+11.715</f>
        <v>29.292999999999999</v>
      </c>
      <c r="O774" s="122"/>
      <c r="P774" s="92">
        <f t="shared" si="159"/>
        <v>29.2928</v>
      </c>
      <c r="Q774" s="113">
        <f t="shared" si="160"/>
        <v>1.4327999999999999</v>
      </c>
      <c r="R774" s="92">
        <f t="shared" si="161"/>
        <v>1.1144000000000001</v>
      </c>
      <c r="S774" s="121"/>
      <c r="T774" s="93">
        <f t="shared" si="162"/>
        <v>-1.9999999999931184E-4</v>
      </c>
      <c r="U774" s="122"/>
      <c r="V774" s="94">
        <f t="shared" ca="1" si="163"/>
        <v>189.4644447916653</v>
      </c>
      <c r="W774" s="89"/>
    </row>
    <row r="775" spans="1:23" s="312" customFormat="1" ht="18">
      <c r="A775" s="260"/>
      <c r="B775" s="260" t="s">
        <v>505</v>
      </c>
      <c r="C775" s="175" t="s">
        <v>55</v>
      </c>
      <c r="D775" s="131" t="s">
        <v>1570</v>
      </c>
      <c r="E775" s="317">
        <v>272</v>
      </c>
      <c r="F775" s="263">
        <v>45127</v>
      </c>
      <c r="G775" s="252">
        <v>33.869999999999997</v>
      </c>
      <c r="H775" s="150">
        <v>1745659.7999999998</v>
      </c>
      <c r="I775" s="106">
        <f t="shared" si="157"/>
        <v>51540</v>
      </c>
      <c r="J775" s="122"/>
      <c r="K775" s="157" t="s">
        <v>1700</v>
      </c>
      <c r="L775" s="166">
        <f t="shared" si="158"/>
        <v>272</v>
      </c>
      <c r="M775" s="119" t="s">
        <v>1704</v>
      </c>
      <c r="N775" s="135">
        <f>31.76+1.941</f>
        <v>33.701000000000001</v>
      </c>
      <c r="O775" s="122"/>
      <c r="P775" s="92">
        <f>31.76+1.941</f>
        <v>33.701000000000001</v>
      </c>
      <c r="Q775" s="113">
        <v>9.5000000000000001E-2</v>
      </c>
      <c r="R775" s="92">
        <v>7.3999999999999996E-2</v>
      </c>
      <c r="S775" s="121"/>
      <c r="T775" s="93">
        <f t="shared" si="162"/>
        <v>-3.0669911055269949E-15</v>
      </c>
      <c r="U775" s="122"/>
      <c r="V775" s="94">
        <f t="shared" ca="1" si="163"/>
        <v>189.4644447916653</v>
      </c>
      <c r="W775" s="89"/>
    </row>
    <row r="776" spans="1:23" s="312" customFormat="1" ht="18">
      <c r="A776" s="260"/>
      <c r="B776" s="260" t="s">
        <v>505</v>
      </c>
      <c r="C776" s="175" t="s">
        <v>55</v>
      </c>
      <c r="D776" s="131" t="s">
        <v>1570</v>
      </c>
      <c r="E776" s="317">
        <v>273</v>
      </c>
      <c r="F776" s="263">
        <v>45127</v>
      </c>
      <c r="G776" s="252">
        <v>31.82</v>
      </c>
      <c r="H776" s="150">
        <v>1640002.8</v>
      </c>
      <c r="I776" s="106">
        <f t="shared" si="157"/>
        <v>51540</v>
      </c>
      <c r="J776" s="122"/>
      <c r="K776" s="157" t="s">
        <v>831</v>
      </c>
      <c r="L776" s="166">
        <f t="shared" si="158"/>
        <v>273</v>
      </c>
      <c r="M776" s="119" t="s">
        <v>1696</v>
      </c>
      <c r="N776" s="135">
        <f>20.154+9.12</f>
        <v>29.274000000000001</v>
      </c>
      <c r="O776" s="122"/>
      <c r="P776" s="92">
        <f t="shared" si="159"/>
        <v>29.2744</v>
      </c>
      <c r="Q776" s="113">
        <f t="shared" si="160"/>
        <v>1.4319</v>
      </c>
      <c r="R776" s="92">
        <f t="shared" si="161"/>
        <v>1.1137000000000001</v>
      </c>
      <c r="S776" s="121"/>
      <c r="T776" s="93">
        <f t="shared" si="162"/>
        <v>3.9999999999928981E-4</v>
      </c>
      <c r="U776" s="122"/>
      <c r="V776" s="94">
        <f t="shared" ca="1" si="163"/>
        <v>189.4644447916653</v>
      </c>
      <c r="W776" s="89"/>
    </row>
    <row r="777" spans="1:23" s="312" customFormat="1" ht="18">
      <c r="A777" s="260"/>
      <c r="B777" s="260" t="s">
        <v>505</v>
      </c>
      <c r="C777" s="175" t="s">
        <v>55</v>
      </c>
      <c r="D777" s="131" t="s">
        <v>1570</v>
      </c>
      <c r="E777" s="317">
        <v>274</v>
      </c>
      <c r="F777" s="263">
        <v>45127</v>
      </c>
      <c r="G777" s="252">
        <v>31.81</v>
      </c>
      <c r="H777" s="150">
        <v>1639487.4</v>
      </c>
      <c r="I777" s="106">
        <f t="shared" si="157"/>
        <v>51540</v>
      </c>
      <c r="J777" s="122"/>
      <c r="K777" s="157" t="s">
        <v>1701</v>
      </c>
      <c r="L777" s="166">
        <f t="shared" si="158"/>
        <v>274</v>
      </c>
      <c r="M777" s="119" t="s">
        <v>1702</v>
      </c>
      <c r="N777" s="135">
        <f>23.866+5.399</f>
        <v>29.265000000000001</v>
      </c>
      <c r="O777" s="122"/>
      <c r="P777" s="92">
        <f t="shared" si="159"/>
        <v>29.2652</v>
      </c>
      <c r="Q777" s="113">
        <f t="shared" si="160"/>
        <v>1.4314499999999999</v>
      </c>
      <c r="R777" s="92">
        <f t="shared" si="161"/>
        <v>1.1133500000000001</v>
      </c>
      <c r="S777" s="121"/>
      <c r="T777" s="93">
        <f t="shared" si="162"/>
        <v>1.9999999999820162E-4</v>
      </c>
      <c r="U777" s="122"/>
      <c r="V777" s="94">
        <f t="shared" ca="1" si="163"/>
        <v>189.4644447916653</v>
      </c>
      <c r="W777" s="89"/>
    </row>
    <row r="778" spans="1:23" s="312" customFormat="1" ht="18">
      <c r="A778" s="260"/>
      <c r="B778" s="260" t="s">
        <v>505</v>
      </c>
      <c r="C778" s="175" t="s">
        <v>55</v>
      </c>
      <c r="D778" s="131" t="s">
        <v>1570</v>
      </c>
      <c r="E778" s="317">
        <v>275</v>
      </c>
      <c r="F778" s="263">
        <v>45127</v>
      </c>
      <c r="G778" s="252">
        <v>31.88</v>
      </c>
      <c r="H778" s="150">
        <v>1643095.2</v>
      </c>
      <c r="I778" s="106">
        <f t="shared" si="157"/>
        <v>51540</v>
      </c>
      <c r="J778" s="122"/>
      <c r="K778" s="158">
        <v>697698</v>
      </c>
      <c r="L778" s="166">
        <f t="shared" si="158"/>
        <v>275</v>
      </c>
      <c r="M778" s="119" t="s">
        <v>1708</v>
      </c>
      <c r="N778" s="135">
        <f>25.279+4.051</f>
        <v>29.33</v>
      </c>
      <c r="O778" s="122"/>
      <c r="P778" s="92">
        <f t="shared" si="159"/>
        <v>29.329599999999999</v>
      </c>
      <c r="Q778" s="113">
        <f t="shared" si="160"/>
        <v>1.4345999999999999</v>
      </c>
      <c r="R778" s="92">
        <f t="shared" si="161"/>
        <v>1.1158000000000001</v>
      </c>
      <c r="S778" s="121"/>
      <c r="T778" s="93">
        <f t="shared" si="162"/>
        <v>-3.9999999999928981E-4</v>
      </c>
      <c r="U778" s="122"/>
      <c r="V778" s="94">
        <f t="shared" ca="1" si="163"/>
        <v>189.4644447916653</v>
      </c>
      <c r="W778" s="89"/>
    </row>
    <row r="779" spans="1:23" s="312" customFormat="1" ht="18">
      <c r="A779" s="260"/>
      <c r="B779" s="260" t="s">
        <v>505</v>
      </c>
      <c r="C779" s="175" t="s">
        <v>55</v>
      </c>
      <c r="D779" s="131" t="s">
        <v>1570</v>
      </c>
      <c r="E779" s="317">
        <v>276</v>
      </c>
      <c r="F779" s="263">
        <v>45127</v>
      </c>
      <c r="G779" s="252">
        <v>31.87</v>
      </c>
      <c r="H779" s="150">
        <v>1642579.8</v>
      </c>
      <c r="I779" s="106">
        <f t="shared" si="157"/>
        <v>51540</v>
      </c>
      <c r="J779" s="122"/>
      <c r="K779" s="157" t="s">
        <v>1709</v>
      </c>
      <c r="L779" s="166">
        <f t="shared" si="158"/>
        <v>276</v>
      </c>
      <c r="M779" s="119" t="s">
        <v>1710</v>
      </c>
      <c r="N779" s="135">
        <f>28.937+0.383</f>
        <v>29.32</v>
      </c>
      <c r="O779" s="122"/>
      <c r="P779" s="92">
        <f t="shared" si="159"/>
        <v>29.320400000000003</v>
      </c>
      <c r="Q779" s="113">
        <f t="shared" si="160"/>
        <v>1.43415</v>
      </c>
      <c r="R779" s="92">
        <f t="shared" si="161"/>
        <v>1.1154500000000001</v>
      </c>
      <c r="S779" s="121"/>
      <c r="T779" s="93">
        <f t="shared" si="162"/>
        <v>4.0000000000062208E-4</v>
      </c>
      <c r="U779" s="122"/>
      <c r="V779" s="94">
        <f t="shared" ca="1" si="163"/>
        <v>189.4644447916653</v>
      </c>
      <c r="W779" s="89"/>
    </row>
    <row r="780" spans="1:23" s="312" customFormat="1" ht="18">
      <c r="A780" s="260"/>
      <c r="B780" s="260" t="s">
        <v>505</v>
      </c>
      <c r="C780" s="175" t="s">
        <v>55</v>
      </c>
      <c r="D780" s="131" t="s">
        <v>1570</v>
      </c>
      <c r="E780" s="317">
        <v>277</v>
      </c>
      <c r="F780" s="263">
        <v>45127</v>
      </c>
      <c r="G780" s="252">
        <v>31.81</v>
      </c>
      <c r="H780" s="150">
        <v>1639487.4</v>
      </c>
      <c r="I780" s="106">
        <f t="shared" si="157"/>
        <v>51540</v>
      </c>
      <c r="J780" s="122"/>
      <c r="K780" s="157">
        <v>700</v>
      </c>
      <c r="L780" s="166">
        <f t="shared" si="158"/>
        <v>277</v>
      </c>
      <c r="M780" s="119" t="s">
        <v>1703</v>
      </c>
      <c r="N780" s="135">
        <v>29.265000000000001</v>
      </c>
      <c r="O780" s="122"/>
      <c r="P780" s="92">
        <f t="shared" si="159"/>
        <v>29.2652</v>
      </c>
      <c r="Q780" s="113">
        <f t="shared" si="160"/>
        <v>1.4314499999999999</v>
      </c>
      <c r="R780" s="92">
        <f t="shared" si="161"/>
        <v>1.1133500000000001</v>
      </c>
      <c r="S780" s="121"/>
      <c r="T780" s="93">
        <f t="shared" si="162"/>
        <v>1.9999999999820162E-4</v>
      </c>
      <c r="U780" s="122"/>
      <c r="V780" s="94">
        <f t="shared" ca="1" si="163"/>
        <v>189.4644447916653</v>
      </c>
      <c r="W780" s="89"/>
    </row>
    <row r="781" spans="1:23" s="312" customFormat="1" ht="18">
      <c r="A781" s="260"/>
      <c r="B781" s="260" t="s">
        <v>505</v>
      </c>
      <c r="C781" s="175" t="s">
        <v>55</v>
      </c>
      <c r="D781" s="131" t="s">
        <v>1570</v>
      </c>
      <c r="E781" s="317">
        <v>278</v>
      </c>
      <c r="F781" s="263">
        <v>45127</v>
      </c>
      <c r="G781" s="252">
        <v>31.7</v>
      </c>
      <c r="H781" s="150">
        <v>1633818</v>
      </c>
      <c r="I781" s="106">
        <f t="shared" si="157"/>
        <v>51540</v>
      </c>
      <c r="J781" s="122"/>
      <c r="K781" s="157" t="s">
        <v>1711</v>
      </c>
      <c r="L781" s="166">
        <f t="shared" si="158"/>
        <v>278</v>
      </c>
      <c r="M781" s="119" t="s">
        <v>1712</v>
      </c>
      <c r="N781" s="135">
        <f>1.156+28.008</f>
        <v>29.163999999999998</v>
      </c>
      <c r="O781" s="122"/>
      <c r="P781" s="92">
        <f t="shared" si="159"/>
        <v>29.164000000000001</v>
      </c>
      <c r="Q781" s="113">
        <f t="shared" si="160"/>
        <v>1.4264999999999999</v>
      </c>
      <c r="R781" s="92">
        <f t="shared" si="161"/>
        <v>1.1095000000000002</v>
      </c>
      <c r="S781" s="121"/>
      <c r="T781" s="93">
        <f t="shared" si="162"/>
        <v>0</v>
      </c>
      <c r="U781" s="122"/>
      <c r="V781" s="94">
        <f t="shared" ca="1" si="163"/>
        <v>189.4644447916653</v>
      </c>
      <c r="W781" s="89"/>
    </row>
    <row r="782" spans="1:23" s="312" customFormat="1" ht="18">
      <c r="A782" s="260"/>
      <c r="B782" s="260" t="s">
        <v>505</v>
      </c>
      <c r="C782" s="175" t="s">
        <v>55</v>
      </c>
      <c r="D782" s="131" t="s">
        <v>1570</v>
      </c>
      <c r="E782" s="317">
        <v>279</v>
      </c>
      <c r="F782" s="263">
        <v>45127</v>
      </c>
      <c r="G782" s="252">
        <v>31.81</v>
      </c>
      <c r="H782" s="150">
        <v>1639487.4</v>
      </c>
      <c r="I782" s="106">
        <f t="shared" si="157"/>
        <v>51540</v>
      </c>
      <c r="J782" s="122"/>
      <c r="K782" s="157" t="s">
        <v>1715</v>
      </c>
      <c r="L782" s="166">
        <f t="shared" si="158"/>
        <v>279</v>
      </c>
      <c r="M782" s="119" t="s">
        <v>1716</v>
      </c>
      <c r="N782" s="135">
        <f>4.704+24.561</f>
        <v>29.265000000000001</v>
      </c>
      <c r="O782" s="122"/>
      <c r="P782" s="92">
        <f t="shared" si="159"/>
        <v>29.2652</v>
      </c>
      <c r="Q782" s="113">
        <f t="shared" si="160"/>
        <v>1.4314499999999999</v>
      </c>
      <c r="R782" s="92">
        <f t="shared" si="161"/>
        <v>1.1133500000000001</v>
      </c>
      <c r="S782" s="121"/>
      <c r="T782" s="93">
        <f t="shared" si="162"/>
        <v>1.9999999999820162E-4</v>
      </c>
      <c r="U782" s="122"/>
      <c r="V782" s="94">
        <f t="shared" ca="1" si="163"/>
        <v>189.4644447916653</v>
      </c>
      <c r="W782" s="89"/>
    </row>
    <row r="783" spans="1:23" s="312" customFormat="1" ht="18">
      <c r="A783" s="260"/>
      <c r="B783" s="260" t="s">
        <v>505</v>
      </c>
      <c r="C783" s="175" t="s">
        <v>55</v>
      </c>
      <c r="D783" s="131" t="s">
        <v>1570</v>
      </c>
      <c r="E783" s="317">
        <v>280</v>
      </c>
      <c r="F783" s="263">
        <v>45127</v>
      </c>
      <c r="G783" s="252">
        <v>16.989999999999998</v>
      </c>
      <c r="H783" s="150">
        <v>875664.6</v>
      </c>
      <c r="I783" s="106">
        <f t="shared" si="157"/>
        <v>51540</v>
      </c>
      <c r="J783" s="122"/>
      <c r="K783" s="157" t="s">
        <v>1717</v>
      </c>
      <c r="L783" s="166">
        <f t="shared" si="158"/>
        <v>280</v>
      </c>
      <c r="M783" s="119" t="s">
        <v>1719</v>
      </c>
      <c r="N783" s="135">
        <f>7.853+7.778</f>
        <v>15.631</v>
      </c>
      <c r="O783" s="122"/>
      <c r="P783" s="92">
        <f t="shared" si="159"/>
        <v>15.630799999999999</v>
      </c>
      <c r="Q783" s="113">
        <f t="shared" si="160"/>
        <v>0.76454999999999995</v>
      </c>
      <c r="R783" s="92">
        <f t="shared" si="161"/>
        <v>0.59465000000000001</v>
      </c>
      <c r="S783" s="121"/>
      <c r="T783" s="93">
        <f t="shared" si="162"/>
        <v>-2.0000000000175433E-4</v>
      </c>
      <c r="U783" s="122"/>
      <c r="V783" s="94">
        <f t="shared" ca="1" si="163"/>
        <v>189.4644447916653</v>
      </c>
      <c r="W783" s="89"/>
    </row>
    <row r="784" spans="1:23" s="312" customFormat="1" ht="18">
      <c r="A784" s="260"/>
      <c r="B784" s="260" t="s">
        <v>505</v>
      </c>
      <c r="C784" s="175" t="s">
        <v>55</v>
      </c>
      <c r="D784" s="131" t="s">
        <v>1570</v>
      </c>
      <c r="E784" s="317">
        <v>281</v>
      </c>
      <c r="F784" s="263">
        <v>45127</v>
      </c>
      <c r="G784" s="252">
        <v>31.82</v>
      </c>
      <c r="H784" s="150">
        <v>1640002.8</v>
      </c>
      <c r="I784" s="106">
        <f t="shared" si="157"/>
        <v>51540</v>
      </c>
      <c r="J784" s="122"/>
      <c r="K784" s="157" t="s">
        <v>1718</v>
      </c>
      <c r="L784" s="166">
        <f t="shared" si="158"/>
        <v>281</v>
      </c>
      <c r="M784" s="119" t="s">
        <v>1720</v>
      </c>
      <c r="N784" s="135">
        <f>24.186+5.088</f>
        <v>29.274000000000001</v>
      </c>
      <c r="O784" s="122"/>
      <c r="P784" s="92">
        <f t="shared" si="159"/>
        <v>29.2744</v>
      </c>
      <c r="Q784" s="113">
        <f t="shared" si="160"/>
        <v>1.4319</v>
      </c>
      <c r="R784" s="92">
        <f t="shared" si="161"/>
        <v>1.1137000000000001</v>
      </c>
      <c r="S784" s="121"/>
      <c r="T784" s="93">
        <f t="shared" si="162"/>
        <v>3.9999999999928981E-4</v>
      </c>
      <c r="U784" s="122"/>
      <c r="V784" s="94">
        <f t="shared" ca="1" si="163"/>
        <v>189.4644447916653</v>
      </c>
      <c r="W784" s="89"/>
    </row>
    <row r="785" spans="1:23" s="312" customFormat="1" ht="18">
      <c r="A785" s="260"/>
      <c r="B785" s="260" t="s">
        <v>505</v>
      </c>
      <c r="C785" s="175" t="s">
        <v>55</v>
      </c>
      <c r="D785" s="131" t="s">
        <v>1570</v>
      </c>
      <c r="E785" s="317">
        <v>282</v>
      </c>
      <c r="F785" s="263">
        <v>45127</v>
      </c>
      <c r="G785" s="252">
        <v>28.88</v>
      </c>
      <c r="H785" s="150">
        <v>1488475.2</v>
      </c>
      <c r="I785" s="106">
        <f t="shared" si="157"/>
        <v>51540</v>
      </c>
      <c r="J785" s="122"/>
      <c r="K785" s="157">
        <v>713</v>
      </c>
      <c r="L785" s="166">
        <f t="shared" si="158"/>
        <v>282</v>
      </c>
      <c r="M785" s="119" t="s">
        <v>1721</v>
      </c>
      <c r="N785" s="135">
        <v>26.57</v>
      </c>
      <c r="O785" s="122"/>
      <c r="P785" s="92">
        <f t="shared" si="159"/>
        <v>26.569600000000001</v>
      </c>
      <c r="Q785" s="113">
        <f t="shared" si="160"/>
        <v>1.2995999999999999</v>
      </c>
      <c r="R785" s="92">
        <f t="shared" si="161"/>
        <v>1.0108000000000001</v>
      </c>
      <c r="S785" s="121"/>
      <c r="T785" s="93">
        <f t="shared" si="162"/>
        <v>-4.0000000000128821E-4</v>
      </c>
      <c r="U785" s="122"/>
      <c r="V785" s="94">
        <f t="shared" ca="1" si="163"/>
        <v>189.4644447916653</v>
      </c>
      <c r="W785" s="89"/>
    </row>
    <row r="786" spans="1:23" s="312" customFormat="1" ht="18">
      <c r="A786" s="260"/>
      <c r="B786" s="260"/>
      <c r="C786" s="175"/>
      <c r="D786" s="131"/>
      <c r="E786" s="317"/>
      <c r="F786" s="263"/>
      <c r="G786" s="252"/>
      <c r="H786" s="150"/>
      <c r="I786" s="106"/>
      <c r="J786" s="122"/>
      <c r="K786" s="157"/>
      <c r="L786" s="166"/>
      <c r="M786" s="119"/>
      <c r="N786" s="135"/>
      <c r="O786" s="122"/>
      <c r="P786" s="92"/>
      <c r="Q786" s="113"/>
      <c r="R786" s="92"/>
      <c r="S786" s="121"/>
      <c r="T786" s="93"/>
      <c r="U786" s="122"/>
      <c r="V786" s="94"/>
      <c r="W786" s="89"/>
    </row>
    <row r="787" spans="1:23" ht="18">
      <c r="A787" s="260"/>
      <c r="B787" s="260" t="s">
        <v>505</v>
      </c>
      <c r="C787" s="175" t="s">
        <v>94</v>
      </c>
      <c r="D787" s="131" t="s">
        <v>1571</v>
      </c>
      <c r="E787" s="317">
        <v>283</v>
      </c>
      <c r="F787" s="263">
        <v>45127</v>
      </c>
      <c r="G787" s="252">
        <v>32.200000000000003</v>
      </c>
      <c r="H787" s="150">
        <v>1591968.0000000002</v>
      </c>
      <c r="I787" s="106">
        <f t="shared" si="135"/>
        <v>49440</v>
      </c>
      <c r="J787" s="122"/>
      <c r="K787" s="157" t="s">
        <v>1722</v>
      </c>
      <c r="L787" s="166">
        <f t="shared" si="158"/>
        <v>283</v>
      </c>
      <c r="M787" s="119" t="s">
        <v>1723</v>
      </c>
      <c r="N787" s="135">
        <f>26.266+3.358</f>
        <v>29.623999999999999</v>
      </c>
      <c r="O787" s="122"/>
      <c r="P787" s="92">
        <f t="shared" si="123"/>
        <v>29.624000000000002</v>
      </c>
      <c r="Q787" s="113">
        <f t="shared" si="124"/>
        <v>1.4490000000000001</v>
      </c>
      <c r="R787" s="92">
        <f t="shared" si="125"/>
        <v>1.1270000000000002</v>
      </c>
      <c r="S787" s="121"/>
      <c r="T787" s="93">
        <f t="shared" si="126"/>
        <v>3.7747582837255322E-15</v>
      </c>
      <c r="U787" s="122"/>
      <c r="V787" s="94">
        <f t="shared" ca="1" si="143"/>
        <v>189.4644447916653</v>
      </c>
      <c r="W787" s="89"/>
    </row>
    <row r="788" spans="1:23" ht="18">
      <c r="A788" s="260"/>
      <c r="B788" s="260" t="s">
        <v>505</v>
      </c>
      <c r="C788" s="175" t="s">
        <v>94</v>
      </c>
      <c r="D788" s="131" t="s">
        <v>1571</v>
      </c>
      <c r="E788" s="317">
        <v>284</v>
      </c>
      <c r="F788" s="263">
        <v>45127</v>
      </c>
      <c r="G788" s="252">
        <v>32.11</v>
      </c>
      <c r="H788" s="150">
        <v>1587518.4</v>
      </c>
      <c r="I788" s="106">
        <f t="shared" si="135"/>
        <v>49440</v>
      </c>
      <c r="J788" s="122"/>
      <c r="K788" s="157" t="s">
        <v>849</v>
      </c>
      <c r="L788" s="166">
        <f t="shared" si="158"/>
        <v>284</v>
      </c>
      <c r="M788" s="119" t="s">
        <v>1724</v>
      </c>
      <c r="N788" s="135">
        <f>2.457+27.084</f>
        <v>29.541</v>
      </c>
      <c r="O788" s="122"/>
      <c r="P788" s="92">
        <f t="shared" si="123"/>
        <v>29.5412</v>
      </c>
      <c r="Q788" s="113">
        <f t="shared" si="124"/>
        <v>1.44495</v>
      </c>
      <c r="R788" s="92">
        <f t="shared" si="125"/>
        <v>1.12385</v>
      </c>
      <c r="S788" s="121"/>
      <c r="T788" s="93">
        <f t="shared" si="126"/>
        <v>1.9999999999908979E-4</v>
      </c>
      <c r="U788" s="122"/>
      <c r="V788" s="94">
        <f t="shared" ca="1" si="143"/>
        <v>189.4644447916653</v>
      </c>
      <c r="W788" s="89"/>
    </row>
    <row r="789" spans="1:23" ht="18">
      <c r="A789" s="260"/>
      <c r="B789" s="260" t="s">
        <v>505</v>
      </c>
      <c r="C789" s="175" t="s">
        <v>94</v>
      </c>
      <c r="D789" s="131" t="s">
        <v>1571</v>
      </c>
      <c r="E789" s="317">
        <v>285</v>
      </c>
      <c r="F789" s="263">
        <v>45127</v>
      </c>
      <c r="G789" s="252">
        <v>34.32</v>
      </c>
      <c r="H789" s="150">
        <v>1696780.8</v>
      </c>
      <c r="I789" s="106">
        <f t="shared" si="135"/>
        <v>49440</v>
      </c>
      <c r="J789" s="122"/>
      <c r="K789" s="157" t="s">
        <v>1725</v>
      </c>
      <c r="L789" s="166">
        <f t="shared" si="158"/>
        <v>285</v>
      </c>
      <c r="M789" s="119" t="s">
        <v>1724</v>
      </c>
      <c r="N789" s="135">
        <f>5.239+26.335</f>
        <v>31.574000000000002</v>
      </c>
      <c r="O789" s="122"/>
      <c r="P789" s="92">
        <f t="shared" si="123"/>
        <v>31.574400000000001</v>
      </c>
      <c r="Q789" s="113">
        <f t="shared" si="124"/>
        <v>1.5444</v>
      </c>
      <c r="R789" s="92">
        <f t="shared" si="125"/>
        <v>1.2012</v>
      </c>
      <c r="S789" s="121"/>
      <c r="T789" s="93">
        <f t="shared" si="126"/>
        <v>3.9999999999862368E-4</v>
      </c>
      <c r="U789" s="122"/>
      <c r="V789" s="94">
        <f t="shared" ca="1" si="143"/>
        <v>189.4644447916653</v>
      </c>
      <c r="W789" s="89"/>
    </row>
    <row r="790" spans="1:23" ht="18">
      <c r="A790" s="260"/>
      <c r="B790" s="260" t="s">
        <v>505</v>
      </c>
      <c r="C790" s="175" t="s">
        <v>94</v>
      </c>
      <c r="D790" s="131" t="s">
        <v>1571</v>
      </c>
      <c r="E790" s="317">
        <v>286</v>
      </c>
      <c r="F790" s="263">
        <v>45127</v>
      </c>
      <c r="G790" s="252">
        <v>14.92</v>
      </c>
      <c r="H790" s="150">
        <v>737644.8</v>
      </c>
      <c r="I790" s="106">
        <f t="shared" si="135"/>
        <v>49440</v>
      </c>
      <c r="J790" s="122"/>
      <c r="K790" s="157" t="s">
        <v>1749</v>
      </c>
      <c r="L790" s="166">
        <f t="shared" si="158"/>
        <v>286</v>
      </c>
      <c r="M790" s="119" t="s">
        <v>1750</v>
      </c>
      <c r="N790" s="135">
        <f>6.695+7.031</f>
        <v>13.725999999999999</v>
      </c>
      <c r="O790" s="122"/>
      <c r="P790" s="92">
        <f t="shared" si="123"/>
        <v>13.7264</v>
      </c>
      <c r="Q790" s="113">
        <f t="shared" si="124"/>
        <v>0.6714</v>
      </c>
      <c r="R790" s="92">
        <f t="shared" si="125"/>
        <v>0.5222</v>
      </c>
      <c r="S790" s="121"/>
      <c r="T790" s="93">
        <f t="shared" si="126"/>
        <v>4.0000000000084412E-4</v>
      </c>
      <c r="U790" s="122"/>
      <c r="V790" s="94">
        <f t="shared" ca="1" si="143"/>
        <v>189.4644447916653</v>
      </c>
      <c r="W790" s="89"/>
    </row>
    <row r="791" spans="1:23" ht="18">
      <c r="A791" s="260"/>
      <c r="B791" s="260" t="s">
        <v>505</v>
      </c>
      <c r="C791" s="175" t="s">
        <v>94</v>
      </c>
      <c r="D791" s="131" t="s">
        <v>1571</v>
      </c>
      <c r="E791" s="317">
        <v>287</v>
      </c>
      <c r="F791" s="263">
        <v>45127</v>
      </c>
      <c r="G791" s="252">
        <v>32.090000000000003</v>
      </c>
      <c r="H791" s="150">
        <v>1586529.6</v>
      </c>
      <c r="I791" s="106">
        <f t="shared" si="135"/>
        <v>49440</v>
      </c>
      <c r="J791" s="122"/>
      <c r="K791" s="157" t="s">
        <v>1756</v>
      </c>
      <c r="L791" s="166">
        <f t="shared" si="158"/>
        <v>287</v>
      </c>
      <c r="M791" s="119" t="s">
        <v>1755</v>
      </c>
      <c r="N791" s="135">
        <f>25.911+3.612</f>
        <v>29.523000000000003</v>
      </c>
      <c r="O791" s="122"/>
      <c r="P791" s="92">
        <f t="shared" si="123"/>
        <v>29.522800000000004</v>
      </c>
      <c r="Q791" s="113">
        <f t="shared" si="124"/>
        <v>1.4440500000000001</v>
      </c>
      <c r="R791" s="92">
        <f t="shared" si="125"/>
        <v>1.1231500000000003</v>
      </c>
      <c r="S791" s="121"/>
      <c r="T791" s="93">
        <f t="shared" si="126"/>
        <v>-2.0000000000020002E-4</v>
      </c>
      <c r="U791" s="122"/>
      <c r="V791" s="94">
        <f t="shared" ca="1" si="143"/>
        <v>189.4644447916653</v>
      </c>
      <c r="W791" s="89"/>
    </row>
    <row r="792" spans="1:23" ht="18">
      <c r="A792" s="260"/>
      <c r="B792" s="260" t="s">
        <v>505</v>
      </c>
      <c r="C792" s="175" t="s">
        <v>94</v>
      </c>
      <c r="D792" s="131" t="s">
        <v>1571</v>
      </c>
      <c r="E792" s="317">
        <v>288</v>
      </c>
      <c r="F792" s="263">
        <v>45127</v>
      </c>
      <c r="G792" s="252">
        <v>34.29</v>
      </c>
      <c r="H792" s="150">
        <v>1695297.5999999999</v>
      </c>
      <c r="I792" s="106">
        <f t="shared" si="135"/>
        <v>49440</v>
      </c>
      <c r="J792" s="122"/>
      <c r="K792" s="157" t="s">
        <v>1760</v>
      </c>
      <c r="L792" s="166">
        <f t="shared" si="158"/>
        <v>288</v>
      </c>
      <c r="M792" s="119" t="s">
        <v>1759</v>
      </c>
      <c r="N792" s="135">
        <f>31.81+2.281</f>
        <v>34.091000000000001</v>
      </c>
      <c r="O792" s="122"/>
      <c r="P792" s="92">
        <f>31.81+2.282</f>
        <v>34.091999999999999</v>
      </c>
      <c r="Q792" s="113">
        <v>0.112</v>
      </c>
      <c r="R792" s="92">
        <v>8.6999999999999994E-2</v>
      </c>
      <c r="S792" s="121"/>
      <c r="T792" s="93">
        <f t="shared" si="126"/>
        <v>-1.9290125052862095E-15</v>
      </c>
      <c r="U792" s="122"/>
      <c r="V792" s="94">
        <f t="shared" ca="1" si="143"/>
        <v>189.4644447916653</v>
      </c>
      <c r="W792" s="89"/>
    </row>
    <row r="793" spans="1:23" ht="18">
      <c r="A793" s="260"/>
      <c r="B793" s="260" t="s">
        <v>505</v>
      </c>
      <c r="C793" s="175" t="s">
        <v>94</v>
      </c>
      <c r="D793" s="131" t="s">
        <v>1571</v>
      </c>
      <c r="E793" s="317">
        <v>289</v>
      </c>
      <c r="F793" s="263">
        <v>45127</v>
      </c>
      <c r="G793" s="252">
        <v>34.25</v>
      </c>
      <c r="H793" s="150">
        <v>1693320</v>
      </c>
      <c r="I793" s="106">
        <f t="shared" si="135"/>
        <v>49440</v>
      </c>
      <c r="J793" s="122"/>
      <c r="K793" s="157" t="s">
        <v>1758</v>
      </c>
      <c r="L793" s="166">
        <f t="shared" si="158"/>
        <v>289</v>
      </c>
      <c r="M793" s="119" t="s">
        <v>1755</v>
      </c>
      <c r="N793" s="135">
        <f>28.515+2.995</f>
        <v>31.51</v>
      </c>
      <c r="O793" s="122"/>
      <c r="P793" s="92">
        <f t="shared" si="117"/>
        <v>31.51</v>
      </c>
      <c r="Q793" s="113">
        <f t="shared" si="118"/>
        <v>1.54125</v>
      </c>
      <c r="R793" s="92">
        <f t="shared" si="119"/>
        <v>1.1987500000000002</v>
      </c>
      <c r="S793" s="121"/>
      <c r="T793" s="93">
        <f t="shared" si="120"/>
        <v>-1.7763568394002505E-15</v>
      </c>
      <c r="U793" s="122"/>
      <c r="V793" s="94">
        <f t="shared" ca="1" si="143"/>
        <v>189.4644447916653</v>
      </c>
      <c r="W793" s="89"/>
    </row>
    <row r="794" spans="1:23" ht="18">
      <c r="A794" s="260"/>
      <c r="B794" s="260" t="s">
        <v>505</v>
      </c>
      <c r="C794" s="175" t="s">
        <v>94</v>
      </c>
      <c r="D794" s="131" t="s">
        <v>1571</v>
      </c>
      <c r="E794" s="317">
        <v>290</v>
      </c>
      <c r="F794" s="263">
        <v>45127</v>
      </c>
      <c r="G794" s="252">
        <v>33.68</v>
      </c>
      <c r="H794" s="150">
        <v>1665139.2</v>
      </c>
      <c r="I794" s="106">
        <f t="shared" si="135"/>
        <v>49440</v>
      </c>
      <c r="J794" s="122"/>
      <c r="K794" s="157" t="s">
        <v>1761</v>
      </c>
      <c r="L794" s="166">
        <f t="shared" si="158"/>
        <v>290</v>
      </c>
      <c r="M794" s="119" t="s">
        <v>1762</v>
      </c>
      <c r="N794" s="135">
        <f>30.269+0.717</f>
        <v>30.985999999999997</v>
      </c>
      <c r="O794" s="122"/>
      <c r="P794" s="92">
        <f t="shared" si="105"/>
        <v>30.985600000000002</v>
      </c>
      <c r="Q794" s="113">
        <f t="shared" si="106"/>
        <v>1.5155999999999998</v>
      </c>
      <c r="R794" s="92">
        <f t="shared" si="107"/>
        <v>1.1788000000000001</v>
      </c>
      <c r="S794" s="121"/>
      <c r="T794" s="93">
        <f t="shared" si="108"/>
        <v>-3.9999999999729141E-4</v>
      </c>
      <c r="U794" s="122"/>
      <c r="V794" s="94">
        <f t="shared" ca="1" si="143"/>
        <v>189.4644447916653</v>
      </c>
      <c r="W794" s="89"/>
    </row>
    <row r="795" spans="1:23" s="312" customFormat="1" ht="18">
      <c r="A795" s="260"/>
      <c r="B795" s="260"/>
      <c r="C795" s="175"/>
      <c r="D795" s="131"/>
      <c r="E795" s="317"/>
      <c r="F795" s="263"/>
      <c r="G795" s="252"/>
      <c r="H795" s="150"/>
      <c r="I795" s="106"/>
      <c r="J795" s="122"/>
      <c r="K795" s="157"/>
      <c r="L795" s="166"/>
      <c r="M795" s="119"/>
      <c r="N795" s="135"/>
      <c r="O795" s="122"/>
      <c r="P795" s="92"/>
      <c r="Q795" s="113"/>
      <c r="R795" s="92"/>
      <c r="S795" s="121"/>
      <c r="T795" s="93"/>
      <c r="U795" s="122"/>
      <c r="V795" s="94"/>
      <c r="W795" s="89"/>
    </row>
    <row r="796" spans="1:23" s="312" customFormat="1" ht="18">
      <c r="A796" s="260"/>
      <c r="B796" s="260" t="s">
        <v>1377</v>
      </c>
      <c r="C796" s="130" t="s">
        <v>1731</v>
      </c>
      <c r="D796" s="131" t="s">
        <v>1734</v>
      </c>
      <c r="E796" s="336">
        <v>301</v>
      </c>
      <c r="F796" s="263">
        <v>45160</v>
      </c>
      <c r="G796" s="338">
        <v>34.372999999999998</v>
      </c>
      <c r="H796" s="336">
        <v>1658497.2499999998</v>
      </c>
      <c r="I796" s="106">
        <f t="shared" ref="I796:I856" si="164">H796/G796</f>
        <v>48250</v>
      </c>
      <c r="J796" s="122"/>
      <c r="K796" s="157" t="s">
        <v>1763</v>
      </c>
      <c r="L796" s="166">
        <f t="shared" si="158"/>
        <v>301</v>
      </c>
      <c r="M796" s="119" t="s">
        <v>1764</v>
      </c>
      <c r="N796" s="135">
        <f>29.729+1.894</f>
        <v>31.622999999999998</v>
      </c>
      <c r="O796" s="122"/>
      <c r="P796" s="92">
        <f t="shared" ref="P796:P856" si="165">G796*0.92</f>
        <v>31.623159999999999</v>
      </c>
      <c r="Q796" s="113">
        <f t="shared" ref="Q796:Q856" si="166">G796*4.5%</f>
        <v>1.5467849999999999</v>
      </c>
      <c r="R796" s="92">
        <f t="shared" ref="R796:R856" si="167">G796*3.5%</f>
        <v>1.203055</v>
      </c>
      <c r="S796" s="121"/>
      <c r="T796" s="93">
        <f t="shared" ref="T796:T856" si="168">G796-N796-Q796-R796</f>
        <v>1.6000000000016001E-4</v>
      </c>
      <c r="U796" s="122"/>
      <c r="V796" s="94">
        <f t="shared" ref="V796:V856" ca="1" si="169">360-($V$3-F796)</f>
        <v>222.4644447916653</v>
      </c>
      <c r="W796" s="89"/>
    </row>
    <row r="797" spans="1:23" s="312" customFormat="1" ht="18">
      <c r="A797" s="260"/>
      <c r="B797" s="260" t="s">
        <v>1377</v>
      </c>
      <c r="C797" s="130" t="s">
        <v>1731</v>
      </c>
      <c r="D797" s="131" t="s">
        <v>1735</v>
      </c>
      <c r="E797" s="336">
        <v>302</v>
      </c>
      <c r="F797" s="263">
        <v>45160</v>
      </c>
      <c r="G797" s="338">
        <v>31.170999999999999</v>
      </c>
      <c r="H797" s="336">
        <v>1504000.75</v>
      </c>
      <c r="I797" s="106">
        <f t="shared" si="164"/>
        <v>48250</v>
      </c>
      <c r="J797" s="122"/>
      <c r="K797" s="157" t="s">
        <v>1790</v>
      </c>
      <c r="L797" s="166">
        <f t="shared" si="158"/>
        <v>302</v>
      </c>
      <c r="M797" s="119" t="s">
        <v>1764</v>
      </c>
      <c r="N797" s="135">
        <f>20.415+8.262</f>
        <v>28.677</v>
      </c>
      <c r="O797" s="122"/>
      <c r="P797" s="92">
        <f t="shared" si="165"/>
        <v>28.677320000000002</v>
      </c>
      <c r="Q797" s="113">
        <f t="shared" si="166"/>
        <v>1.402695</v>
      </c>
      <c r="R797" s="92">
        <f t="shared" si="167"/>
        <v>1.0909850000000001</v>
      </c>
      <c r="S797" s="121"/>
      <c r="T797" s="93">
        <f t="shared" si="168"/>
        <v>3.1999999999965389E-4</v>
      </c>
      <c r="U797" s="122"/>
      <c r="V797" s="94">
        <f t="shared" ca="1" si="169"/>
        <v>222.4644447916653</v>
      </c>
      <c r="W797" s="89"/>
    </row>
    <row r="798" spans="1:23" s="312" customFormat="1" ht="18">
      <c r="A798" s="260"/>
      <c r="B798" s="260" t="s">
        <v>1377</v>
      </c>
      <c r="C798" s="130" t="s">
        <v>1731</v>
      </c>
      <c r="D798" s="131" t="s">
        <v>1736</v>
      </c>
      <c r="E798" s="336">
        <v>303</v>
      </c>
      <c r="F798" s="263">
        <v>45160</v>
      </c>
      <c r="G798" s="338">
        <v>45.8</v>
      </c>
      <c r="H798" s="336">
        <v>2209850</v>
      </c>
      <c r="I798" s="106">
        <f t="shared" si="164"/>
        <v>48250</v>
      </c>
      <c r="J798" s="122"/>
      <c r="K798" s="157" t="s">
        <v>1791</v>
      </c>
      <c r="L798" s="166">
        <f t="shared" si="158"/>
        <v>303</v>
      </c>
      <c r="M798" s="119" t="s">
        <v>1764</v>
      </c>
      <c r="N798" s="135">
        <f>23.608+18.528</f>
        <v>42.135999999999996</v>
      </c>
      <c r="O798" s="122"/>
      <c r="P798" s="92">
        <f t="shared" si="165"/>
        <v>42.135999999999996</v>
      </c>
      <c r="Q798" s="113">
        <f t="shared" si="166"/>
        <v>2.0609999999999999</v>
      </c>
      <c r="R798" s="92">
        <f t="shared" si="167"/>
        <v>1.603</v>
      </c>
      <c r="S798" s="121"/>
      <c r="T798" s="93">
        <f t="shared" si="168"/>
        <v>0</v>
      </c>
      <c r="U798" s="122"/>
      <c r="V798" s="94">
        <f t="shared" ca="1" si="169"/>
        <v>222.4644447916653</v>
      </c>
      <c r="W798" s="89"/>
    </row>
    <row r="799" spans="1:23" s="312" customFormat="1" ht="18">
      <c r="A799" s="260"/>
      <c r="B799" s="260" t="s">
        <v>1377</v>
      </c>
      <c r="C799" s="130" t="s">
        <v>1731</v>
      </c>
      <c r="D799" s="131" t="s">
        <v>1736</v>
      </c>
      <c r="E799" s="337">
        <v>304</v>
      </c>
      <c r="F799" s="263">
        <v>45160</v>
      </c>
      <c r="G799" s="339">
        <v>38.606000000000002</v>
      </c>
      <c r="H799" s="337">
        <v>1858860.5</v>
      </c>
      <c r="I799" s="106">
        <f t="shared" si="164"/>
        <v>48149.523390146605</v>
      </c>
      <c r="J799" s="122"/>
      <c r="K799" s="157" t="s">
        <v>1793</v>
      </c>
      <c r="L799" s="166">
        <f t="shared" si="158"/>
        <v>304</v>
      </c>
      <c r="M799" s="119" t="s">
        <v>1794</v>
      </c>
      <c r="N799" s="135">
        <f>13.453+22.065</f>
        <v>35.518000000000001</v>
      </c>
      <c r="O799" s="122"/>
      <c r="P799" s="92">
        <f t="shared" si="165"/>
        <v>35.517520000000005</v>
      </c>
      <c r="Q799" s="113">
        <f t="shared" si="166"/>
        <v>1.7372700000000001</v>
      </c>
      <c r="R799" s="92">
        <f t="shared" si="167"/>
        <v>1.3512100000000002</v>
      </c>
      <c r="S799" s="121"/>
      <c r="T799" s="93">
        <f t="shared" si="168"/>
        <v>-4.7999999999936982E-4</v>
      </c>
      <c r="U799" s="122"/>
      <c r="V799" s="94">
        <f t="shared" ca="1" si="169"/>
        <v>222.4644447916653</v>
      </c>
      <c r="W799" s="89"/>
    </row>
    <row r="800" spans="1:23" s="312" customFormat="1" ht="18">
      <c r="A800" s="260"/>
      <c r="B800" s="260" t="s">
        <v>1377</v>
      </c>
      <c r="C800" s="130" t="s">
        <v>1731</v>
      </c>
      <c r="D800" s="131" t="s">
        <v>1737</v>
      </c>
      <c r="E800" s="337">
        <v>305</v>
      </c>
      <c r="F800" s="263">
        <v>45160</v>
      </c>
      <c r="G800" s="339">
        <v>45.8</v>
      </c>
      <c r="H800" s="337">
        <v>2201262.5</v>
      </c>
      <c r="I800" s="106">
        <f t="shared" si="164"/>
        <v>48062.5</v>
      </c>
      <c r="J800" s="122"/>
      <c r="K800" s="157" t="s">
        <v>1795</v>
      </c>
      <c r="L800" s="166">
        <f t="shared" si="158"/>
        <v>305</v>
      </c>
      <c r="M800" s="119" t="s">
        <v>1794</v>
      </c>
      <c r="N800" s="135">
        <f>32.887+9.249</f>
        <v>42.136000000000003</v>
      </c>
      <c r="O800" s="122"/>
      <c r="P800" s="92">
        <f t="shared" si="165"/>
        <v>42.135999999999996</v>
      </c>
      <c r="Q800" s="113">
        <f t="shared" si="166"/>
        <v>2.0609999999999999</v>
      </c>
      <c r="R800" s="92">
        <f t="shared" si="167"/>
        <v>1.603</v>
      </c>
      <c r="S800" s="121"/>
      <c r="T800" s="93">
        <f t="shared" si="168"/>
        <v>-5.5511151231257827E-15</v>
      </c>
      <c r="U800" s="122"/>
      <c r="V800" s="94">
        <f t="shared" ca="1" si="169"/>
        <v>222.4644447916653</v>
      </c>
      <c r="W800" s="89"/>
    </row>
    <row r="801" spans="1:23" s="312" customFormat="1" ht="18">
      <c r="A801" s="260"/>
      <c r="B801" s="260" t="s">
        <v>1377</v>
      </c>
      <c r="C801" s="175" t="s">
        <v>1379</v>
      </c>
      <c r="D801" s="131" t="s">
        <v>1738</v>
      </c>
      <c r="E801" s="336">
        <v>306</v>
      </c>
      <c r="F801" s="263">
        <v>45160</v>
      </c>
      <c r="G801" s="338">
        <v>34</v>
      </c>
      <c r="H801" s="336">
        <v>1615000</v>
      </c>
      <c r="I801" s="106">
        <f t="shared" si="164"/>
        <v>47500</v>
      </c>
      <c r="J801" s="122"/>
      <c r="K801" s="157" t="s">
        <v>1798</v>
      </c>
      <c r="L801" s="166">
        <f t="shared" si="158"/>
        <v>306</v>
      </c>
      <c r="M801" s="119" t="s">
        <v>1799</v>
      </c>
      <c r="N801" s="135">
        <f>1.052+30.228</f>
        <v>31.28</v>
      </c>
      <c r="O801" s="122"/>
      <c r="P801" s="92">
        <f t="shared" si="165"/>
        <v>31.28</v>
      </c>
      <c r="Q801" s="113">
        <f t="shared" si="166"/>
        <v>1.53</v>
      </c>
      <c r="R801" s="92">
        <f t="shared" si="167"/>
        <v>1.1900000000000002</v>
      </c>
      <c r="S801" s="121"/>
      <c r="T801" s="93">
        <f t="shared" si="168"/>
        <v>0</v>
      </c>
      <c r="U801" s="122"/>
      <c r="V801" s="94">
        <f t="shared" ca="1" si="169"/>
        <v>222.4644447916653</v>
      </c>
      <c r="W801" s="89"/>
    </row>
    <row r="802" spans="1:23" s="312" customFormat="1" ht="18">
      <c r="A802" s="260"/>
      <c r="B802" s="260" t="s">
        <v>1377</v>
      </c>
      <c r="C802" s="130" t="s">
        <v>1731</v>
      </c>
      <c r="D802" s="131" t="s">
        <v>1739</v>
      </c>
      <c r="E802" s="337">
        <v>307</v>
      </c>
      <c r="F802" s="263">
        <v>45160</v>
      </c>
      <c r="G802" s="339">
        <v>43.021000000000001</v>
      </c>
      <c r="H802" s="337">
        <v>2075763.25</v>
      </c>
      <c r="I802" s="106">
        <f t="shared" si="164"/>
        <v>48250</v>
      </c>
      <c r="J802" s="122"/>
      <c r="K802" s="157" t="s">
        <v>1796</v>
      </c>
      <c r="L802" s="166">
        <f t="shared" si="158"/>
        <v>307</v>
      </c>
      <c r="M802" s="119" t="s">
        <v>1797</v>
      </c>
      <c r="N802" s="135">
        <f>31.79+11.231</f>
        <v>43.021000000000001</v>
      </c>
      <c r="O802" s="122"/>
      <c r="P802" s="92"/>
      <c r="Q802" s="113"/>
      <c r="R802" s="92"/>
      <c r="S802" s="121"/>
      <c r="T802" s="93">
        <f t="shared" si="168"/>
        <v>0</v>
      </c>
      <c r="U802" s="122"/>
      <c r="V802" s="94">
        <f t="shared" ca="1" si="169"/>
        <v>222.4644447916653</v>
      </c>
      <c r="W802" s="89"/>
    </row>
    <row r="803" spans="1:23" s="312" customFormat="1" ht="18">
      <c r="A803" s="260"/>
      <c r="B803" s="260" t="s">
        <v>1377</v>
      </c>
      <c r="C803" s="130" t="s">
        <v>1732</v>
      </c>
      <c r="D803" s="131" t="s">
        <v>1740</v>
      </c>
      <c r="E803" s="336">
        <v>308</v>
      </c>
      <c r="F803" s="263">
        <v>45160</v>
      </c>
      <c r="G803" s="338">
        <v>43.426000000000002</v>
      </c>
      <c r="H803" s="336">
        <v>1997596</v>
      </c>
      <c r="I803" s="106">
        <f t="shared" si="164"/>
        <v>46000</v>
      </c>
      <c r="J803" s="122"/>
      <c r="K803" s="157" t="s">
        <v>888</v>
      </c>
      <c r="L803" s="166">
        <f t="shared" si="158"/>
        <v>308</v>
      </c>
      <c r="M803" s="119" t="s">
        <v>1797</v>
      </c>
      <c r="N803" s="135">
        <f>20.459+22.967</f>
        <v>43.426000000000002</v>
      </c>
      <c r="O803" s="122"/>
      <c r="P803" s="92"/>
      <c r="Q803" s="113"/>
      <c r="R803" s="92"/>
      <c r="S803" s="121"/>
      <c r="T803" s="93">
        <f t="shared" si="168"/>
        <v>0</v>
      </c>
      <c r="U803" s="122"/>
      <c r="V803" s="94">
        <f t="shared" ca="1" si="169"/>
        <v>222.4644447916653</v>
      </c>
      <c r="W803" s="89"/>
    </row>
    <row r="804" spans="1:23" s="312" customFormat="1" ht="18">
      <c r="A804" s="260"/>
      <c r="B804" s="260" t="s">
        <v>1377</v>
      </c>
      <c r="C804" s="130" t="s">
        <v>1732</v>
      </c>
      <c r="D804" s="131" t="s">
        <v>1740</v>
      </c>
      <c r="E804" s="337">
        <v>309</v>
      </c>
      <c r="F804" s="263">
        <v>45160</v>
      </c>
      <c r="G804" s="339">
        <v>43.420999999999999</v>
      </c>
      <c r="H804" s="337">
        <v>1997366</v>
      </c>
      <c r="I804" s="106">
        <f t="shared" ref="I804" si="170">H804/G804</f>
        <v>46000</v>
      </c>
      <c r="J804" s="122"/>
      <c r="K804" s="157" t="s">
        <v>1800</v>
      </c>
      <c r="L804" s="166">
        <f t="shared" ref="L804" si="171">E804</f>
        <v>309</v>
      </c>
      <c r="M804" s="119" t="s">
        <v>1801</v>
      </c>
      <c r="N804" s="135">
        <f>8.793+1.84+30.018</f>
        <v>40.650999999999996</v>
      </c>
      <c r="O804" s="122"/>
      <c r="P804" s="92">
        <f>31.858+8.793</f>
        <v>40.650999999999996</v>
      </c>
      <c r="Q804" s="113">
        <v>1.55826</v>
      </c>
      <c r="R804" s="92">
        <v>1.2119800000000001</v>
      </c>
      <c r="S804" s="121"/>
      <c r="T804" s="93">
        <f t="shared" ref="T804" si="172">G804-N804-Q804-R804</f>
        <v>-2.3999999999690935E-4</v>
      </c>
      <c r="U804" s="122"/>
      <c r="V804" s="94">
        <f t="shared" ref="V804" ca="1" si="173">360-($V$3-F804)</f>
        <v>222.4644447916653</v>
      </c>
      <c r="W804" s="89"/>
    </row>
    <row r="805" spans="1:23" s="312" customFormat="1" ht="18">
      <c r="A805" s="260"/>
      <c r="B805" s="260" t="s">
        <v>1377</v>
      </c>
      <c r="C805" s="130" t="s">
        <v>1732</v>
      </c>
      <c r="D805" s="131" t="s">
        <v>1741</v>
      </c>
      <c r="E805" s="336">
        <v>310</v>
      </c>
      <c r="F805" s="263">
        <v>45160</v>
      </c>
      <c r="G805" s="338">
        <v>43.415999999999997</v>
      </c>
      <c r="H805" s="336">
        <v>1997135.9999999998</v>
      </c>
      <c r="I805" s="106">
        <f t="shared" si="164"/>
        <v>46000</v>
      </c>
      <c r="J805" s="122"/>
      <c r="K805" s="157" t="s">
        <v>1802</v>
      </c>
      <c r="L805" s="166">
        <f t="shared" si="158"/>
        <v>310</v>
      </c>
      <c r="M805" s="119" t="s">
        <v>1804</v>
      </c>
      <c r="N805" s="135">
        <f>2.709+32.463+4.771</f>
        <v>39.943000000000005</v>
      </c>
      <c r="O805" s="122"/>
      <c r="P805" s="92">
        <f t="shared" si="165"/>
        <v>39.942720000000001</v>
      </c>
      <c r="Q805" s="113">
        <f t="shared" si="166"/>
        <v>1.9537199999999997</v>
      </c>
      <c r="R805" s="92">
        <f t="shared" si="167"/>
        <v>1.51956</v>
      </c>
      <c r="S805" s="121"/>
      <c r="T805" s="93">
        <f t="shared" si="168"/>
        <v>-2.8000000000782954E-4</v>
      </c>
      <c r="U805" s="122"/>
      <c r="V805" s="94">
        <f t="shared" ca="1" si="169"/>
        <v>222.4644447916653</v>
      </c>
      <c r="W805" s="89"/>
    </row>
    <row r="806" spans="1:23" s="312" customFormat="1" ht="18">
      <c r="A806" s="260"/>
      <c r="B806" s="260" t="s">
        <v>1377</v>
      </c>
      <c r="C806" s="130" t="s">
        <v>1731</v>
      </c>
      <c r="D806" s="131" t="s">
        <v>1739</v>
      </c>
      <c r="E806" s="336">
        <v>311</v>
      </c>
      <c r="F806" s="263">
        <v>45160</v>
      </c>
      <c r="G806" s="338">
        <v>43.51</v>
      </c>
      <c r="H806" s="336">
        <v>2099357.5</v>
      </c>
      <c r="I806" s="106">
        <f t="shared" si="164"/>
        <v>48250</v>
      </c>
      <c r="J806" s="122"/>
      <c r="K806" s="157" t="s">
        <v>895</v>
      </c>
      <c r="L806" s="166">
        <f t="shared" si="158"/>
        <v>311</v>
      </c>
      <c r="M806" s="119" t="s">
        <v>1803</v>
      </c>
      <c r="N806" s="135">
        <f>30.875+9.154</f>
        <v>40.028999999999996</v>
      </c>
      <c r="O806" s="122"/>
      <c r="P806" s="92">
        <f t="shared" si="165"/>
        <v>40.029200000000003</v>
      </c>
      <c r="Q806" s="113">
        <f t="shared" si="166"/>
        <v>1.9579499999999999</v>
      </c>
      <c r="R806" s="92">
        <f t="shared" si="167"/>
        <v>1.52285</v>
      </c>
      <c r="S806" s="121"/>
      <c r="T806" s="93">
        <f t="shared" si="168"/>
        <v>2.0000000000175433E-4</v>
      </c>
      <c r="U806" s="122"/>
      <c r="V806" s="94">
        <f t="shared" ca="1" si="169"/>
        <v>222.4644447916653</v>
      </c>
      <c r="W806" s="89"/>
    </row>
    <row r="807" spans="1:23" s="312" customFormat="1" ht="18">
      <c r="A807" s="260"/>
      <c r="B807" s="260" t="s">
        <v>1377</v>
      </c>
      <c r="C807" s="130" t="s">
        <v>1732</v>
      </c>
      <c r="D807" s="131" t="s">
        <v>1742</v>
      </c>
      <c r="E807" s="337">
        <v>312</v>
      </c>
      <c r="F807" s="263">
        <v>45160</v>
      </c>
      <c r="G807" s="339">
        <v>32.561999999999998</v>
      </c>
      <c r="H807" s="337">
        <v>1567046.25</v>
      </c>
      <c r="I807" s="106">
        <f t="shared" si="164"/>
        <v>48125</v>
      </c>
      <c r="J807" s="122"/>
      <c r="K807" s="157" t="s">
        <v>1805</v>
      </c>
      <c r="L807" s="166">
        <f t="shared" si="158"/>
        <v>312</v>
      </c>
      <c r="M807" s="119" t="s">
        <v>1803</v>
      </c>
      <c r="N807" s="135">
        <f>16.737+13.22</f>
        <v>29.957000000000001</v>
      </c>
      <c r="O807" s="122"/>
      <c r="P807" s="92">
        <f t="shared" si="165"/>
        <v>29.957039999999999</v>
      </c>
      <c r="Q807" s="113">
        <f t="shared" si="166"/>
        <v>1.4652899999999998</v>
      </c>
      <c r="R807" s="92">
        <f t="shared" si="167"/>
        <v>1.13967</v>
      </c>
      <c r="S807" s="121"/>
      <c r="T807" s="93">
        <f t="shared" si="168"/>
        <v>3.9999999997153424E-5</v>
      </c>
      <c r="U807" s="122"/>
      <c r="V807" s="94">
        <f t="shared" ca="1" si="169"/>
        <v>222.4644447916653</v>
      </c>
      <c r="W807" s="89"/>
    </row>
    <row r="808" spans="1:23" s="312" customFormat="1" ht="18">
      <c r="A808" s="260"/>
      <c r="B808" s="260" t="s">
        <v>1377</v>
      </c>
      <c r="C808" s="175" t="s">
        <v>1733</v>
      </c>
      <c r="D808" s="131" t="s">
        <v>1743</v>
      </c>
      <c r="E808" s="336">
        <v>313</v>
      </c>
      <c r="F808" s="263">
        <v>45160</v>
      </c>
      <c r="G808" s="338">
        <v>32.561999999999998</v>
      </c>
      <c r="H808" s="336">
        <v>1571116.5</v>
      </c>
      <c r="I808" s="106">
        <f t="shared" si="164"/>
        <v>48250</v>
      </c>
      <c r="J808" s="122"/>
      <c r="K808" s="157" t="s">
        <v>1806</v>
      </c>
      <c r="L808" s="166">
        <f t="shared" si="158"/>
        <v>313</v>
      </c>
      <c r="M808" s="119" t="s">
        <v>1803</v>
      </c>
      <c r="N808" s="135">
        <f>17.927+12.03</f>
        <v>29.957000000000001</v>
      </c>
      <c r="O808" s="122"/>
      <c r="P808" s="92">
        <f t="shared" si="165"/>
        <v>29.957039999999999</v>
      </c>
      <c r="Q808" s="113">
        <f t="shared" si="166"/>
        <v>1.4652899999999998</v>
      </c>
      <c r="R808" s="92">
        <f t="shared" si="167"/>
        <v>1.13967</v>
      </c>
      <c r="S808" s="121"/>
      <c r="T808" s="93">
        <f t="shared" si="168"/>
        <v>3.9999999997153424E-5</v>
      </c>
      <c r="U808" s="122"/>
      <c r="V808" s="94">
        <f t="shared" ca="1" si="169"/>
        <v>222.4644447916653</v>
      </c>
      <c r="W808" s="89"/>
    </row>
    <row r="809" spans="1:23" s="312" customFormat="1" ht="18">
      <c r="A809" s="260"/>
      <c r="B809" s="260" t="s">
        <v>1377</v>
      </c>
      <c r="C809" s="175" t="s">
        <v>1733</v>
      </c>
      <c r="D809" s="131" t="s">
        <v>1743</v>
      </c>
      <c r="E809" s="336">
        <v>314</v>
      </c>
      <c r="F809" s="263">
        <v>45160</v>
      </c>
      <c r="G809" s="338">
        <v>32.561999999999998</v>
      </c>
      <c r="H809" s="336">
        <v>1571116.5</v>
      </c>
      <c r="I809" s="106">
        <f t="shared" si="164"/>
        <v>48250</v>
      </c>
      <c r="J809" s="122"/>
      <c r="K809" s="157" t="s">
        <v>1807</v>
      </c>
      <c r="L809" s="166">
        <f t="shared" si="158"/>
        <v>314</v>
      </c>
      <c r="M809" s="119" t="s">
        <v>1808</v>
      </c>
      <c r="N809" s="135">
        <f>20.501+9.456</f>
        <v>29.957000000000001</v>
      </c>
      <c r="O809" s="122"/>
      <c r="P809" s="92">
        <f t="shared" si="165"/>
        <v>29.957039999999999</v>
      </c>
      <c r="Q809" s="113">
        <f t="shared" si="166"/>
        <v>1.4652899999999998</v>
      </c>
      <c r="R809" s="92">
        <f t="shared" si="167"/>
        <v>1.13967</v>
      </c>
      <c r="S809" s="121"/>
      <c r="T809" s="93">
        <f t="shared" si="168"/>
        <v>3.9999999997153424E-5</v>
      </c>
      <c r="U809" s="122"/>
      <c r="V809" s="94">
        <f t="shared" ca="1" si="169"/>
        <v>222.4644447916653</v>
      </c>
      <c r="W809" s="89"/>
    </row>
    <row r="810" spans="1:23" s="312" customFormat="1" ht="18">
      <c r="A810" s="260"/>
      <c r="B810" s="260" t="s">
        <v>1377</v>
      </c>
      <c r="C810" s="130" t="s">
        <v>1732</v>
      </c>
      <c r="D810" s="131" t="s">
        <v>1744</v>
      </c>
      <c r="E810" s="337">
        <v>315</v>
      </c>
      <c r="F810" s="263">
        <v>45160</v>
      </c>
      <c r="G810" s="339">
        <v>43.431999999999995</v>
      </c>
      <c r="H810" s="337">
        <v>2091523.7499999998</v>
      </c>
      <c r="I810" s="106">
        <f t="shared" si="164"/>
        <v>48156.284536747102</v>
      </c>
      <c r="J810" s="122"/>
      <c r="K810" s="157" t="s">
        <v>901</v>
      </c>
      <c r="L810" s="166">
        <f t="shared" si="158"/>
        <v>315</v>
      </c>
      <c r="M810" s="119" t="s">
        <v>1809</v>
      </c>
      <c r="N810" s="135">
        <f>22.968+16.989</f>
        <v>39.957000000000001</v>
      </c>
      <c r="O810" s="122"/>
      <c r="P810" s="92">
        <f t="shared" si="165"/>
        <v>39.957439999999998</v>
      </c>
      <c r="Q810" s="113">
        <f t="shared" si="166"/>
        <v>1.9544399999999997</v>
      </c>
      <c r="R810" s="92">
        <f t="shared" si="167"/>
        <v>1.5201199999999999</v>
      </c>
      <c r="S810" s="121"/>
      <c r="T810" s="93">
        <f t="shared" si="168"/>
        <v>4.3999999999466688E-4</v>
      </c>
      <c r="U810" s="122"/>
      <c r="V810" s="94">
        <f t="shared" ca="1" si="169"/>
        <v>222.4644447916653</v>
      </c>
      <c r="W810" s="89"/>
    </row>
    <row r="811" spans="1:23" s="312" customFormat="1" ht="18">
      <c r="A811" s="260"/>
      <c r="B811" s="260" t="s">
        <v>1377</v>
      </c>
      <c r="C811" s="175" t="s">
        <v>1733</v>
      </c>
      <c r="D811" s="131" t="s">
        <v>1745</v>
      </c>
      <c r="E811" s="336">
        <v>316</v>
      </c>
      <c r="F811" s="263">
        <v>45160</v>
      </c>
      <c r="G811" s="338">
        <v>32.561999999999998</v>
      </c>
      <c r="H811" s="336">
        <v>1571116.5</v>
      </c>
      <c r="I811" s="106">
        <f t="shared" si="164"/>
        <v>48250</v>
      </c>
      <c r="J811" s="122"/>
      <c r="K811" s="157" t="s">
        <v>1810</v>
      </c>
      <c r="L811" s="166">
        <f t="shared" si="158"/>
        <v>316</v>
      </c>
      <c r="M811" s="119" t="s">
        <v>1809</v>
      </c>
      <c r="N811" s="135">
        <f>11.796+18.161</f>
        <v>29.957000000000001</v>
      </c>
      <c r="O811" s="122"/>
      <c r="P811" s="92">
        <f t="shared" si="165"/>
        <v>29.957039999999999</v>
      </c>
      <c r="Q811" s="113">
        <f t="shared" si="166"/>
        <v>1.4652899999999998</v>
      </c>
      <c r="R811" s="92">
        <f t="shared" si="167"/>
        <v>1.13967</v>
      </c>
      <c r="S811" s="121"/>
      <c r="T811" s="93">
        <f t="shared" si="168"/>
        <v>3.9999999997153424E-5</v>
      </c>
      <c r="U811" s="122"/>
      <c r="V811" s="94">
        <f t="shared" ca="1" si="169"/>
        <v>222.4644447916653</v>
      </c>
      <c r="W811" s="89"/>
    </row>
    <row r="812" spans="1:23" s="312" customFormat="1" ht="18">
      <c r="A812" s="260"/>
      <c r="B812" s="260" t="s">
        <v>1377</v>
      </c>
      <c r="C812" s="175" t="s">
        <v>1733</v>
      </c>
      <c r="D812" s="131" t="s">
        <v>1745</v>
      </c>
      <c r="E812" s="336">
        <v>317</v>
      </c>
      <c r="F812" s="263">
        <v>45160</v>
      </c>
      <c r="G812" s="338">
        <v>32.561999999999998</v>
      </c>
      <c r="H812" s="336">
        <v>1571116.5</v>
      </c>
      <c r="I812" s="106">
        <f t="shared" si="164"/>
        <v>48250</v>
      </c>
      <c r="J812" s="122"/>
      <c r="K812" s="157" t="s">
        <v>1934</v>
      </c>
      <c r="L812" s="166">
        <f t="shared" si="158"/>
        <v>317</v>
      </c>
      <c r="M812" s="119" t="s">
        <v>1935</v>
      </c>
      <c r="N812" s="135">
        <f>14.276+15.681</f>
        <v>29.957000000000001</v>
      </c>
      <c r="O812" s="122"/>
      <c r="P812" s="92">
        <f t="shared" si="165"/>
        <v>29.957039999999999</v>
      </c>
      <c r="Q812" s="113">
        <f t="shared" si="166"/>
        <v>1.4652899999999998</v>
      </c>
      <c r="R812" s="92">
        <f t="shared" si="167"/>
        <v>1.13967</v>
      </c>
      <c r="S812" s="121"/>
      <c r="T812" s="93">
        <f t="shared" si="168"/>
        <v>3.9999999997153424E-5</v>
      </c>
      <c r="U812" s="122"/>
      <c r="V812" s="94">
        <f t="shared" ca="1" si="169"/>
        <v>222.4644447916653</v>
      </c>
      <c r="W812" s="89"/>
    </row>
    <row r="813" spans="1:23" s="312" customFormat="1" ht="18">
      <c r="A813" s="260"/>
      <c r="B813" s="260" t="s">
        <v>1377</v>
      </c>
      <c r="C813" s="175" t="s">
        <v>1379</v>
      </c>
      <c r="D813" s="131" t="s">
        <v>1746</v>
      </c>
      <c r="E813" s="336">
        <v>318</v>
      </c>
      <c r="F813" s="263">
        <v>45160</v>
      </c>
      <c r="G813" s="338">
        <v>34.35</v>
      </c>
      <c r="H813" s="336">
        <v>1631625</v>
      </c>
      <c r="I813" s="106">
        <f t="shared" si="164"/>
        <v>47500</v>
      </c>
      <c r="J813" s="122"/>
      <c r="K813" s="157" t="s">
        <v>1936</v>
      </c>
      <c r="L813" s="166">
        <f t="shared" si="158"/>
        <v>318</v>
      </c>
      <c r="M813" s="119" t="s">
        <v>1937</v>
      </c>
      <c r="N813" s="135">
        <f>15.693+15.909</f>
        <v>31.602</v>
      </c>
      <c r="O813" s="122"/>
      <c r="P813" s="92">
        <f t="shared" si="165"/>
        <v>31.602000000000004</v>
      </c>
      <c r="Q813" s="113">
        <f t="shared" si="166"/>
        <v>1.54575</v>
      </c>
      <c r="R813" s="92">
        <f t="shared" si="167"/>
        <v>1.2022500000000003</v>
      </c>
      <c r="S813" s="121"/>
      <c r="T813" s="93">
        <f t="shared" si="168"/>
        <v>0</v>
      </c>
      <c r="U813" s="122"/>
      <c r="V813" s="94">
        <f t="shared" ca="1" si="169"/>
        <v>222.4644447916653</v>
      </c>
      <c r="W813" s="89"/>
    </row>
    <row r="814" spans="1:23" s="312" customFormat="1" ht="18">
      <c r="A814" s="260"/>
      <c r="B814" s="260" t="s">
        <v>1377</v>
      </c>
      <c r="C814" s="130" t="s">
        <v>1732</v>
      </c>
      <c r="D814" s="131" t="s">
        <v>1747</v>
      </c>
      <c r="E814" s="337">
        <v>319</v>
      </c>
      <c r="F814" s="263">
        <v>45160</v>
      </c>
      <c r="G814" s="339">
        <v>32.183999999999997</v>
      </c>
      <c r="H814" s="337">
        <v>1544737.5</v>
      </c>
      <c r="I814" s="106">
        <f t="shared" si="164"/>
        <v>47997.063758389268</v>
      </c>
      <c r="J814" s="122"/>
      <c r="K814" s="157" t="s">
        <v>1942</v>
      </c>
      <c r="L814" s="166">
        <f t="shared" si="158"/>
        <v>319</v>
      </c>
      <c r="M814" s="119" t="s">
        <v>1937</v>
      </c>
      <c r="N814" s="135">
        <f>17.023+12.586</f>
        <v>29.609000000000002</v>
      </c>
      <c r="O814" s="122"/>
      <c r="P814" s="92">
        <f t="shared" si="165"/>
        <v>29.609279999999998</v>
      </c>
      <c r="Q814" s="113">
        <f t="shared" si="166"/>
        <v>1.4482799999999998</v>
      </c>
      <c r="R814" s="92">
        <f t="shared" si="167"/>
        <v>1.1264400000000001</v>
      </c>
      <c r="S814" s="121"/>
      <c r="T814" s="93">
        <f t="shared" si="168"/>
        <v>2.7999999999583913E-4</v>
      </c>
      <c r="U814" s="122"/>
      <c r="V814" s="94">
        <f t="shared" ca="1" si="169"/>
        <v>222.4644447916653</v>
      </c>
      <c r="W814" s="89"/>
    </row>
    <row r="815" spans="1:23" s="312" customFormat="1" ht="18">
      <c r="A815" s="260"/>
      <c r="B815" s="260" t="s">
        <v>1377</v>
      </c>
      <c r="C815" s="175" t="s">
        <v>1733</v>
      </c>
      <c r="D815" s="131" t="s">
        <v>1748</v>
      </c>
      <c r="E815" s="336">
        <v>320</v>
      </c>
      <c r="F815" s="263">
        <v>45160</v>
      </c>
      <c r="G815" s="338">
        <v>32.572000000000003</v>
      </c>
      <c r="H815" s="336">
        <v>1571599.0000000002</v>
      </c>
      <c r="I815" s="106">
        <f t="shared" si="164"/>
        <v>48250</v>
      </c>
      <c r="J815" s="122"/>
      <c r="K815" s="157" t="s">
        <v>1943</v>
      </c>
      <c r="L815" s="166">
        <f t="shared" si="158"/>
        <v>320</v>
      </c>
      <c r="M815" s="119" t="s">
        <v>1944</v>
      </c>
      <c r="N815" s="135">
        <f>19.695+10.271</f>
        <v>29.966000000000001</v>
      </c>
      <c r="O815" s="122"/>
      <c r="P815" s="92">
        <f t="shared" si="165"/>
        <v>29.966240000000003</v>
      </c>
      <c r="Q815" s="113">
        <f t="shared" si="166"/>
        <v>1.46574</v>
      </c>
      <c r="R815" s="92">
        <f t="shared" si="167"/>
        <v>1.1400200000000003</v>
      </c>
      <c r="S815" s="121"/>
      <c r="T815" s="93">
        <f t="shared" si="168"/>
        <v>2.4000000000135024E-4</v>
      </c>
      <c r="U815" s="122"/>
      <c r="V815" s="94">
        <f t="shared" ca="1" si="169"/>
        <v>222.4644447916653</v>
      </c>
      <c r="W815" s="89"/>
    </row>
    <row r="816" spans="1:23" s="312" customFormat="1" ht="18">
      <c r="A816" s="260" t="s">
        <v>2020</v>
      </c>
      <c r="B816" s="343" t="s">
        <v>1377</v>
      </c>
      <c r="C816" s="344" t="s">
        <v>1379</v>
      </c>
      <c r="D816" s="345" t="s">
        <v>2023</v>
      </c>
      <c r="E816" s="346">
        <v>321</v>
      </c>
      <c r="F816" s="347">
        <v>45160</v>
      </c>
      <c r="G816" s="348">
        <v>41.22</v>
      </c>
      <c r="H816" s="346">
        <v>1957950</v>
      </c>
      <c r="I816" s="349">
        <f t="shared" ref="I816" si="174">H816/G816</f>
        <v>47500</v>
      </c>
      <c r="J816" s="350"/>
      <c r="K816" s="351" t="s">
        <v>2021</v>
      </c>
      <c r="L816" s="352">
        <v>321</v>
      </c>
      <c r="M816" s="353" t="s">
        <v>2022</v>
      </c>
      <c r="N816" s="354">
        <f>24.497+13.425</f>
        <v>37.921999999999997</v>
      </c>
      <c r="O816" s="350"/>
      <c r="P816" s="355">
        <f t="shared" ref="P816" si="175">G816*0.92</f>
        <v>37.922400000000003</v>
      </c>
      <c r="Q816" s="355">
        <f t="shared" ref="Q816" si="176">G816*4.5%</f>
        <v>1.8548999999999998</v>
      </c>
      <c r="R816" s="355">
        <f t="shared" ref="R816" si="177">G816*3.5%</f>
        <v>1.4427000000000001</v>
      </c>
      <c r="S816" s="356"/>
      <c r="T816" s="355">
        <f t="shared" ref="T816" si="178">G816-N816-Q816-R816</f>
        <v>4.0000000000195435E-4</v>
      </c>
      <c r="U816" s="122"/>
      <c r="V816" s="94">
        <f t="shared" ref="V816" ca="1" si="179">360-($V$3-F816)</f>
        <v>222.4644447916653</v>
      </c>
      <c r="W816" s="89"/>
    </row>
    <row r="817" spans="1:23" s="312" customFormat="1" ht="18">
      <c r="A817" s="260"/>
      <c r="B817" s="260" t="s">
        <v>1377</v>
      </c>
      <c r="C817" s="175" t="s">
        <v>1379</v>
      </c>
      <c r="D817" s="131" t="s">
        <v>1812</v>
      </c>
      <c r="E817" s="336">
        <v>322</v>
      </c>
      <c r="F817" s="263">
        <v>45160</v>
      </c>
      <c r="G817" s="338">
        <v>43.51</v>
      </c>
      <c r="H817" s="150">
        <v>2066725</v>
      </c>
      <c r="I817" s="106">
        <f t="shared" si="164"/>
        <v>47500</v>
      </c>
      <c r="J817" s="122"/>
      <c r="K817" s="157" t="s">
        <v>1945</v>
      </c>
      <c r="L817" s="166">
        <f t="shared" si="158"/>
        <v>322</v>
      </c>
      <c r="M817" s="119" t="s">
        <v>1946</v>
      </c>
      <c r="N817" s="135">
        <f>22.446+17.583</f>
        <v>40.028999999999996</v>
      </c>
      <c r="O817" s="122"/>
      <c r="P817" s="92">
        <f t="shared" si="165"/>
        <v>40.029200000000003</v>
      </c>
      <c r="Q817" s="113">
        <f t="shared" si="166"/>
        <v>1.9579499999999999</v>
      </c>
      <c r="R817" s="92">
        <f t="shared" si="167"/>
        <v>1.52285</v>
      </c>
      <c r="S817" s="121"/>
      <c r="T817" s="93">
        <f t="shared" si="168"/>
        <v>2.0000000000175433E-4</v>
      </c>
      <c r="U817" s="122"/>
      <c r="V817" s="94">
        <f t="shared" ca="1" si="169"/>
        <v>222.4644447916653</v>
      </c>
      <c r="W817" s="89"/>
    </row>
    <row r="818" spans="1:23" s="312" customFormat="1" ht="18">
      <c r="A818" s="260"/>
      <c r="B818" s="260" t="s">
        <v>1377</v>
      </c>
      <c r="C818" s="175" t="s">
        <v>1811</v>
      </c>
      <c r="D818" s="131" t="s">
        <v>1813</v>
      </c>
      <c r="E818" s="336">
        <v>323</v>
      </c>
      <c r="F818" s="263">
        <v>45160</v>
      </c>
      <c r="G818" s="338">
        <v>32.587000000000003</v>
      </c>
      <c r="H818" s="150">
        <v>1547882.5000000002</v>
      </c>
      <c r="I818" s="106">
        <f t="shared" si="164"/>
        <v>47500</v>
      </c>
      <c r="J818" s="122"/>
      <c r="K818" s="157" t="s">
        <v>1954</v>
      </c>
      <c r="L818" s="166">
        <f t="shared" si="158"/>
        <v>323</v>
      </c>
      <c r="M818" s="119" t="s">
        <v>1956</v>
      </c>
      <c r="N818" s="135">
        <f>13.681+16.152+0.147</f>
        <v>29.979999999999997</v>
      </c>
      <c r="O818" s="122"/>
      <c r="P818" s="92">
        <f t="shared" si="165"/>
        <v>29.980040000000006</v>
      </c>
      <c r="Q818" s="113">
        <f t="shared" si="166"/>
        <v>1.466415</v>
      </c>
      <c r="R818" s="92">
        <f t="shared" si="167"/>
        <v>1.1405450000000001</v>
      </c>
      <c r="S818" s="121"/>
      <c r="T818" s="93">
        <f t="shared" si="168"/>
        <v>4.0000000006257252E-5</v>
      </c>
      <c r="U818" s="122"/>
      <c r="V818" s="94">
        <f t="shared" ca="1" si="169"/>
        <v>222.4644447916653</v>
      </c>
      <c r="W818" s="89"/>
    </row>
    <row r="819" spans="1:23" s="312" customFormat="1" ht="18">
      <c r="A819" s="260"/>
      <c r="B819" s="260" t="s">
        <v>1377</v>
      </c>
      <c r="C819" s="175" t="s">
        <v>1811</v>
      </c>
      <c r="D819" s="131" t="s">
        <v>1814</v>
      </c>
      <c r="E819" s="336">
        <v>324</v>
      </c>
      <c r="F819" s="263">
        <v>45160</v>
      </c>
      <c r="G819" s="338">
        <v>32.561999999999998</v>
      </c>
      <c r="H819" s="150">
        <v>1546695</v>
      </c>
      <c r="I819" s="106">
        <f t="shared" si="164"/>
        <v>47500</v>
      </c>
      <c r="J819" s="122"/>
      <c r="K819" s="157" t="s">
        <v>1947</v>
      </c>
      <c r="L819" s="166">
        <f t="shared" si="158"/>
        <v>324</v>
      </c>
      <c r="M819" s="119" t="s">
        <v>1946</v>
      </c>
      <c r="N819" s="135">
        <f>17.023+12.934</f>
        <v>29.957000000000001</v>
      </c>
      <c r="O819" s="122"/>
      <c r="P819" s="92">
        <f t="shared" si="165"/>
        <v>29.957039999999999</v>
      </c>
      <c r="Q819" s="113">
        <f t="shared" si="166"/>
        <v>1.4652899999999998</v>
      </c>
      <c r="R819" s="92">
        <f t="shared" si="167"/>
        <v>1.13967</v>
      </c>
      <c r="S819" s="121"/>
      <c r="T819" s="93">
        <f t="shared" si="168"/>
        <v>3.9999999997153424E-5</v>
      </c>
      <c r="U819" s="122"/>
      <c r="V819" s="94">
        <f t="shared" ca="1" si="169"/>
        <v>222.4644447916653</v>
      </c>
      <c r="W819" s="89"/>
    </row>
    <row r="820" spans="1:23" s="312" customFormat="1" ht="18">
      <c r="A820" s="260"/>
      <c r="B820" s="260" t="s">
        <v>1377</v>
      </c>
      <c r="C820" s="175" t="s">
        <v>1811</v>
      </c>
      <c r="D820" s="131" t="s">
        <v>1814</v>
      </c>
      <c r="E820" s="337">
        <v>325</v>
      </c>
      <c r="F820" s="263">
        <v>45160</v>
      </c>
      <c r="G820" s="339">
        <v>32.561999999999998</v>
      </c>
      <c r="H820" s="150">
        <v>1553478.75</v>
      </c>
      <c r="I820" s="106">
        <f t="shared" si="164"/>
        <v>47708.333333333336</v>
      </c>
      <c r="J820" s="122"/>
      <c r="K820" s="157" t="s">
        <v>1948</v>
      </c>
      <c r="L820" s="166">
        <f t="shared" si="158"/>
        <v>325</v>
      </c>
      <c r="M820" s="119" t="s">
        <v>1949</v>
      </c>
      <c r="N820" s="135">
        <f>20.004+9.953</f>
        <v>29.957000000000001</v>
      </c>
      <c r="O820" s="122"/>
      <c r="P820" s="92">
        <f t="shared" si="165"/>
        <v>29.957039999999999</v>
      </c>
      <c r="Q820" s="113">
        <f t="shared" si="166"/>
        <v>1.4652899999999998</v>
      </c>
      <c r="R820" s="92">
        <f t="shared" si="167"/>
        <v>1.13967</v>
      </c>
      <c r="S820" s="121"/>
      <c r="T820" s="93">
        <f t="shared" si="168"/>
        <v>3.9999999997153424E-5</v>
      </c>
      <c r="U820" s="122"/>
      <c r="V820" s="94">
        <f t="shared" ca="1" si="169"/>
        <v>222.4644447916653</v>
      </c>
      <c r="W820" s="89"/>
    </row>
    <row r="821" spans="1:23" s="312" customFormat="1" ht="18">
      <c r="A821" s="260"/>
      <c r="B821" s="260" t="s">
        <v>1377</v>
      </c>
      <c r="C821" s="175" t="s">
        <v>1811</v>
      </c>
      <c r="D821" s="131" t="s">
        <v>1815</v>
      </c>
      <c r="E821" s="336">
        <v>326</v>
      </c>
      <c r="F821" s="263">
        <v>45160</v>
      </c>
      <c r="G821" s="338">
        <v>32.561999999999998</v>
      </c>
      <c r="H821" s="150">
        <v>1546695</v>
      </c>
      <c r="I821" s="106">
        <f t="shared" ref="I821:I848" si="180">H821/G821</f>
        <v>47500</v>
      </c>
      <c r="J821" s="122"/>
      <c r="K821" s="157" t="s">
        <v>1950</v>
      </c>
      <c r="L821" s="166">
        <f t="shared" si="158"/>
        <v>326</v>
      </c>
      <c r="M821" s="119" t="s">
        <v>1951</v>
      </c>
      <c r="N821" s="135">
        <f>21.563+8.394</f>
        <v>29.957000000000001</v>
      </c>
      <c r="O821" s="122"/>
      <c r="P821" s="92">
        <f t="shared" ref="P821:P848" si="181">G821*0.92</f>
        <v>29.957039999999999</v>
      </c>
      <c r="Q821" s="113">
        <f t="shared" ref="Q821:Q848" si="182">G821*4.5%</f>
        <v>1.4652899999999998</v>
      </c>
      <c r="R821" s="92">
        <f t="shared" ref="R821:R848" si="183">G821*3.5%</f>
        <v>1.13967</v>
      </c>
      <c r="S821" s="121"/>
      <c r="T821" s="93">
        <f t="shared" ref="T821:T847" si="184">G821-N821-Q821-R821</f>
        <v>3.9999999997153424E-5</v>
      </c>
      <c r="U821" s="122"/>
      <c r="V821" s="94">
        <f t="shared" ref="V821:V848" ca="1" si="185">360-($V$3-F821)</f>
        <v>222.4644447916653</v>
      </c>
      <c r="W821" s="89"/>
    </row>
    <row r="822" spans="1:23" s="312" customFormat="1" ht="18">
      <c r="A822" s="260"/>
      <c r="B822" s="260" t="s">
        <v>1377</v>
      </c>
      <c r="C822" s="175" t="s">
        <v>1811</v>
      </c>
      <c r="D822" s="131" t="s">
        <v>1815</v>
      </c>
      <c r="E822" s="336">
        <v>327</v>
      </c>
      <c r="F822" s="263">
        <v>45160</v>
      </c>
      <c r="G822" s="338">
        <v>32.561999999999998</v>
      </c>
      <c r="H822" s="150">
        <v>1546695</v>
      </c>
      <c r="I822" s="106">
        <f t="shared" si="180"/>
        <v>47500</v>
      </c>
      <c r="J822" s="122"/>
      <c r="K822" s="158" t="s">
        <v>1955</v>
      </c>
      <c r="L822" s="166">
        <f t="shared" si="158"/>
        <v>327</v>
      </c>
      <c r="M822" s="119" t="s">
        <v>1957</v>
      </c>
      <c r="N822" s="135">
        <f>23.41+6.547</f>
        <v>29.957000000000001</v>
      </c>
      <c r="O822" s="122"/>
      <c r="P822" s="92">
        <f t="shared" si="181"/>
        <v>29.957039999999999</v>
      </c>
      <c r="Q822" s="113">
        <f t="shared" si="182"/>
        <v>1.4652899999999998</v>
      </c>
      <c r="R822" s="92">
        <f t="shared" si="183"/>
        <v>1.13967</v>
      </c>
      <c r="S822" s="121"/>
      <c r="T822" s="93">
        <f t="shared" si="184"/>
        <v>3.9999999997153424E-5</v>
      </c>
      <c r="U822" s="122"/>
      <c r="V822" s="94">
        <f t="shared" ca="1" si="185"/>
        <v>222.4644447916653</v>
      </c>
      <c r="W822" s="89"/>
    </row>
    <row r="823" spans="1:23" s="312" customFormat="1" ht="18">
      <c r="A823" s="260"/>
      <c r="B823" s="260" t="s">
        <v>1377</v>
      </c>
      <c r="C823" s="175" t="s">
        <v>1379</v>
      </c>
      <c r="D823" s="131" t="s">
        <v>1746</v>
      </c>
      <c r="E823" s="336">
        <v>328</v>
      </c>
      <c r="F823" s="263">
        <v>45160</v>
      </c>
      <c r="G823" s="338">
        <v>33.479999999999997</v>
      </c>
      <c r="H823" s="150">
        <v>1590299.9999999998</v>
      </c>
      <c r="I823" s="106">
        <f t="shared" si="180"/>
        <v>47500</v>
      </c>
      <c r="J823" s="122"/>
      <c r="K823" s="157" t="s">
        <v>1958</v>
      </c>
      <c r="L823" s="166">
        <f t="shared" si="158"/>
        <v>328</v>
      </c>
      <c r="M823" s="119" t="s">
        <v>1959</v>
      </c>
      <c r="N823" s="135">
        <f>22.635+8.167</f>
        <v>30.802</v>
      </c>
      <c r="O823" s="122"/>
      <c r="P823" s="92">
        <f t="shared" si="181"/>
        <v>30.801599999999997</v>
      </c>
      <c r="Q823" s="113">
        <f t="shared" si="182"/>
        <v>1.5065999999999997</v>
      </c>
      <c r="R823" s="92">
        <f t="shared" si="183"/>
        <v>1.1718</v>
      </c>
      <c r="S823" s="121"/>
      <c r="T823" s="93">
        <f t="shared" si="184"/>
        <v>-4.0000000000239844E-4</v>
      </c>
      <c r="U823" s="122"/>
      <c r="V823" s="94">
        <f t="shared" ca="1" si="185"/>
        <v>222.4644447916653</v>
      </c>
      <c r="W823" s="89"/>
    </row>
    <row r="824" spans="1:23" s="312" customFormat="1" ht="18">
      <c r="A824" s="260"/>
      <c r="B824" s="260" t="s">
        <v>1377</v>
      </c>
      <c r="C824" s="175" t="s">
        <v>1811</v>
      </c>
      <c r="D824" s="131" t="s">
        <v>1816</v>
      </c>
      <c r="E824" s="336">
        <v>329</v>
      </c>
      <c r="F824" s="263">
        <v>45160</v>
      </c>
      <c r="G824" s="338">
        <v>32.561999999999998</v>
      </c>
      <c r="H824" s="150">
        <v>1546695</v>
      </c>
      <c r="I824" s="106">
        <f t="shared" si="180"/>
        <v>47500</v>
      </c>
      <c r="J824" s="122"/>
      <c r="K824" s="157" t="s">
        <v>1960</v>
      </c>
      <c r="L824" s="166">
        <f t="shared" si="158"/>
        <v>329</v>
      </c>
      <c r="M824" s="119" t="s">
        <v>1961</v>
      </c>
      <c r="N824" s="135">
        <f>24.256+5.701</f>
        <v>29.957000000000001</v>
      </c>
      <c r="O824" s="122"/>
      <c r="P824" s="92">
        <f t="shared" si="181"/>
        <v>29.957039999999999</v>
      </c>
      <c r="Q824" s="113">
        <f t="shared" si="182"/>
        <v>1.4652899999999998</v>
      </c>
      <c r="R824" s="92">
        <f t="shared" si="183"/>
        <v>1.13967</v>
      </c>
      <c r="S824" s="121"/>
      <c r="T824" s="93">
        <f t="shared" si="184"/>
        <v>3.9999999997153424E-5</v>
      </c>
      <c r="U824" s="122"/>
      <c r="V824" s="94">
        <f t="shared" ca="1" si="185"/>
        <v>222.4644447916653</v>
      </c>
      <c r="W824" s="89"/>
    </row>
    <row r="825" spans="1:23" s="312" customFormat="1" ht="18">
      <c r="A825" s="260"/>
      <c r="B825" s="260" t="s">
        <v>1377</v>
      </c>
      <c r="C825" s="130" t="s">
        <v>1732</v>
      </c>
      <c r="D825" s="131" t="s">
        <v>1817</v>
      </c>
      <c r="E825" s="337">
        <v>330</v>
      </c>
      <c r="F825" s="263">
        <v>45160</v>
      </c>
      <c r="G825" s="339">
        <v>32.561999999999998</v>
      </c>
      <c r="H825" s="150">
        <v>1541268</v>
      </c>
      <c r="I825" s="106">
        <f t="shared" si="180"/>
        <v>47333.333333333336</v>
      </c>
      <c r="J825" s="122"/>
      <c r="K825" s="157" t="s">
        <v>1962</v>
      </c>
      <c r="L825" s="166">
        <f t="shared" si="158"/>
        <v>330</v>
      </c>
      <c r="M825" s="119" t="s">
        <v>1963</v>
      </c>
      <c r="N825" s="135">
        <f>20.686+9.271</f>
        <v>29.957000000000001</v>
      </c>
      <c r="O825" s="122"/>
      <c r="P825" s="92">
        <f t="shared" si="181"/>
        <v>29.957039999999999</v>
      </c>
      <c r="Q825" s="113">
        <f t="shared" si="182"/>
        <v>1.4652899999999998</v>
      </c>
      <c r="R825" s="92">
        <f t="shared" si="183"/>
        <v>1.13967</v>
      </c>
      <c r="S825" s="121"/>
      <c r="T825" s="93">
        <f t="shared" si="184"/>
        <v>3.9999999997153424E-5</v>
      </c>
      <c r="U825" s="122"/>
      <c r="V825" s="94">
        <f t="shared" ca="1" si="185"/>
        <v>222.4644447916653</v>
      </c>
      <c r="W825" s="89"/>
    </row>
    <row r="826" spans="1:23" s="312" customFormat="1" ht="18">
      <c r="A826" s="260"/>
      <c r="B826" s="260" t="s">
        <v>1377</v>
      </c>
      <c r="C826" s="175" t="s">
        <v>1811</v>
      </c>
      <c r="D826" s="131" t="s">
        <v>1818</v>
      </c>
      <c r="E826" s="336">
        <v>331</v>
      </c>
      <c r="F826" s="263">
        <v>45160</v>
      </c>
      <c r="G826" s="338">
        <v>32.57</v>
      </c>
      <c r="H826" s="150">
        <v>1547075</v>
      </c>
      <c r="I826" s="106">
        <f t="shared" si="180"/>
        <v>47500</v>
      </c>
      <c r="J826" s="122"/>
      <c r="K826" s="157" t="s">
        <v>1964</v>
      </c>
      <c r="L826" s="166">
        <f t="shared" si="158"/>
        <v>331</v>
      </c>
      <c r="M826" s="119" t="s">
        <v>1965</v>
      </c>
      <c r="N826" s="135">
        <f>23.828+6.136</f>
        <v>29.963999999999999</v>
      </c>
      <c r="O826" s="122"/>
      <c r="P826" s="92">
        <f t="shared" si="181"/>
        <v>29.964400000000001</v>
      </c>
      <c r="Q826" s="113">
        <f t="shared" si="182"/>
        <v>1.4656499999999999</v>
      </c>
      <c r="R826" s="92">
        <f t="shared" si="183"/>
        <v>1.13995</v>
      </c>
      <c r="S826" s="121"/>
      <c r="T826" s="93">
        <f t="shared" si="184"/>
        <v>4.000000000017323E-4</v>
      </c>
      <c r="U826" s="122"/>
      <c r="V826" s="94">
        <f t="shared" ca="1" si="185"/>
        <v>222.4644447916653</v>
      </c>
      <c r="W826" s="89"/>
    </row>
    <row r="827" spans="1:23" s="312" customFormat="1" ht="18">
      <c r="A827" s="260"/>
      <c r="B827" s="260" t="s">
        <v>1377</v>
      </c>
      <c r="C827" s="130" t="s">
        <v>1732</v>
      </c>
      <c r="D827" s="131" t="s">
        <v>1819</v>
      </c>
      <c r="E827" s="336">
        <v>332</v>
      </c>
      <c r="F827" s="263">
        <v>45160</v>
      </c>
      <c r="G827" s="338">
        <v>3.6179999999999999</v>
      </c>
      <c r="H827" s="150">
        <v>166428</v>
      </c>
      <c r="I827" s="106">
        <f t="shared" si="180"/>
        <v>46000</v>
      </c>
      <c r="J827" s="122"/>
      <c r="K827" s="157">
        <v>816</v>
      </c>
      <c r="L827" s="166">
        <f t="shared" si="158"/>
        <v>332</v>
      </c>
      <c r="M827" s="119" t="s">
        <v>1966</v>
      </c>
      <c r="N827" s="135">
        <v>3.3290000000000002</v>
      </c>
      <c r="O827" s="122"/>
      <c r="P827" s="92">
        <f t="shared" si="181"/>
        <v>3.32856</v>
      </c>
      <c r="Q827" s="113">
        <f t="shared" si="182"/>
        <v>0.16280999999999998</v>
      </c>
      <c r="R827" s="92">
        <f t="shared" si="183"/>
        <v>0.12663000000000002</v>
      </c>
      <c r="S827" s="121"/>
      <c r="T827" s="93">
        <f t="shared" si="184"/>
        <v>-4.4000000000030126E-4</v>
      </c>
      <c r="U827" s="122"/>
      <c r="V827" s="94">
        <f t="shared" ca="1" si="185"/>
        <v>222.4644447916653</v>
      </c>
      <c r="W827" s="89"/>
    </row>
    <row r="828" spans="1:23" s="312" customFormat="1" ht="18">
      <c r="A828" s="260"/>
      <c r="B828" s="260" t="s">
        <v>1377</v>
      </c>
      <c r="C828" s="175" t="s">
        <v>1811</v>
      </c>
      <c r="D828" s="131" t="s">
        <v>1820</v>
      </c>
      <c r="E828" s="336">
        <v>333</v>
      </c>
      <c r="F828" s="263">
        <v>45160</v>
      </c>
      <c r="G828" s="338">
        <v>32.572000000000003</v>
      </c>
      <c r="H828" s="150">
        <v>1547170.0000000002</v>
      </c>
      <c r="I828" s="106">
        <f t="shared" si="180"/>
        <v>47500</v>
      </c>
      <c r="J828" s="122"/>
      <c r="K828" s="157" t="s">
        <v>1967</v>
      </c>
      <c r="L828" s="166">
        <f t="shared" si="158"/>
        <v>333</v>
      </c>
      <c r="M828" s="119" t="s">
        <v>1968</v>
      </c>
      <c r="N828" s="135">
        <f>15.469+14.497</f>
        <v>29.966000000000001</v>
      </c>
      <c r="O828" s="122"/>
      <c r="P828" s="92">
        <f t="shared" si="181"/>
        <v>29.966240000000003</v>
      </c>
      <c r="Q828" s="113">
        <f t="shared" si="182"/>
        <v>1.46574</v>
      </c>
      <c r="R828" s="92">
        <f t="shared" si="183"/>
        <v>1.1400200000000003</v>
      </c>
      <c r="S828" s="121"/>
      <c r="T828" s="93">
        <f t="shared" si="184"/>
        <v>2.4000000000135024E-4</v>
      </c>
      <c r="U828" s="122"/>
      <c r="V828" s="94">
        <f t="shared" ca="1" si="185"/>
        <v>222.4644447916653</v>
      </c>
      <c r="W828" s="89"/>
    </row>
    <row r="829" spans="1:23" s="312" customFormat="1" ht="18">
      <c r="A829" s="260"/>
      <c r="B829" s="260" t="s">
        <v>1377</v>
      </c>
      <c r="C829" s="130" t="s">
        <v>1732</v>
      </c>
      <c r="D829" s="131" t="s">
        <v>1821</v>
      </c>
      <c r="E829" s="337">
        <v>334</v>
      </c>
      <c r="F829" s="263">
        <v>45160</v>
      </c>
      <c r="G829" s="339">
        <v>32.57</v>
      </c>
      <c r="H829" s="150">
        <v>1541648</v>
      </c>
      <c r="I829" s="106">
        <f t="shared" si="180"/>
        <v>47333.374270801352</v>
      </c>
      <c r="J829" s="122"/>
      <c r="K829" s="157" t="s">
        <v>1970</v>
      </c>
      <c r="L829" s="166">
        <f t="shared" si="158"/>
        <v>334</v>
      </c>
      <c r="M829" s="119" t="s">
        <v>1969</v>
      </c>
      <c r="N829" s="135">
        <f>10.198+19.766</f>
        <v>29.963999999999999</v>
      </c>
      <c r="O829" s="122"/>
      <c r="P829" s="92">
        <f t="shared" si="181"/>
        <v>29.964400000000001</v>
      </c>
      <c r="Q829" s="113">
        <f t="shared" si="182"/>
        <v>1.4656499999999999</v>
      </c>
      <c r="R829" s="92">
        <f t="shared" si="183"/>
        <v>1.13995</v>
      </c>
      <c r="S829" s="121"/>
      <c r="T829" s="93">
        <f t="shared" si="184"/>
        <v>4.000000000017323E-4</v>
      </c>
      <c r="U829" s="122"/>
      <c r="V829" s="94">
        <f t="shared" ca="1" si="185"/>
        <v>222.4644447916653</v>
      </c>
      <c r="W829" s="89"/>
    </row>
    <row r="830" spans="1:23" s="312" customFormat="1" ht="18">
      <c r="A830" s="260"/>
      <c r="B830" s="260" t="s">
        <v>1377</v>
      </c>
      <c r="C830" s="130" t="s">
        <v>1732</v>
      </c>
      <c r="D830" s="131" t="s">
        <v>1822</v>
      </c>
      <c r="E830" s="337">
        <v>335</v>
      </c>
      <c r="F830" s="263">
        <v>45160</v>
      </c>
      <c r="G830" s="339">
        <v>43.233000000000004</v>
      </c>
      <c r="H830" s="150">
        <v>2078263.5</v>
      </c>
      <c r="I830" s="106">
        <f t="shared" si="180"/>
        <v>48071.230310179722</v>
      </c>
      <c r="J830" s="122"/>
      <c r="K830" s="157" t="s">
        <v>1971</v>
      </c>
      <c r="L830" s="166">
        <f>E830</f>
        <v>335</v>
      </c>
      <c r="M830" s="119" t="s">
        <v>1972</v>
      </c>
      <c r="N830" s="135">
        <f>24.489+12.104+3.181</f>
        <v>39.774000000000001</v>
      </c>
      <c r="O830" s="122"/>
      <c r="P830" s="92">
        <f t="shared" si="181"/>
        <v>39.774360000000009</v>
      </c>
      <c r="Q830" s="113">
        <f t="shared" si="182"/>
        <v>1.9454850000000001</v>
      </c>
      <c r="R830" s="92">
        <f t="shared" si="183"/>
        <v>1.5131550000000002</v>
      </c>
      <c r="S830" s="121"/>
      <c r="T830" s="93">
        <f t="shared" si="184"/>
        <v>3.6000000000280252E-4</v>
      </c>
      <c r="U830" s="122"/>
      <c r="V830" s="94">
        <f t="shared" ca="1" si="185"/>
        <v>222.4644447916653</v>
      </c>
      <c r="W830" s="89"/>
    </row>
    <row r="831" spans="1:23" s="312" customFormat="1" ht="18">
      <c r="A831" s="260"/>
      <c r="B831" s="260" t="s">
        <v>1377</v>
      </c>
      <c r="C831" s="130" t="s">
        <v>1732</v>
      </c>
      <c r="D831" s="131" t="s">
        <v>1822</v>
      </c>
      <c r="E831" s="337">
        <v>336</v>
      </c>
      <c r="F831" s="263">
        <v>45160</v>
      </c>
      <c r="G831" s="339">
        <v>43.066999999999993</v>
      </c>
      <c r="H831" s="150">
        <v>2020927.25</v>
      </c>
      <c r="I831" s="106">
        <f t="shared" si="180"/>
        <v>46925.192142475687</v>
      </c>
      <c r="J831" s="122"/>
      <c r="K831" s="157" t="s">
        <v>1973</v>
      </c>
      <c r="L831" s="166">
        <f t="shared" si="158"/>
        <v>336</v>
      </c>
      <c r="M831" s="119" t="s">
        <v>1974</v>
      </c>
      <c r="N831" s="135">
        <f>21.534+18.088</f>
        <v>39.622</v>
      </c>
      <c r="O831" s="122"/>
      <c r="P831" s="92">
        <f t="shared" si="181"/>
        <v>39.621639999999992</v>
      </c>
      <c r="Q831" s="113">
        <f t="shared" si="182"/>
        <v>1.9380149999999996</v>
      </c>
      <c r="R831" s="92">
        <f t="shared" si="183"/>
        <v>1.5073449999999999</v>
      </c>
      <c r="S831" s="121"/>
      <c r="T831" s="93">
        <f t="shared" si="184"/>
        <v>-3.6000000000635524E-4</v>
      </c>
      <c r="U831" s="122"/>
      <c r="V831" s="94">
        <f t="shared" ca="1" si="185"/>
        <v>222.4644447916653</v>
      </c>
      <c r="W831" s="89"/>
    </row>
    <row r="832" spans="1:23" s="312" customFormat="1" ht="18">
      <c r="A832" s="260"/>
      <c r="B832" s="260" t="s">
        <v>1377</v>
      </c>
      <c r="C832" s="175" t="s">
        <v>1733</v>
      </c>
      <c r="D832" s="131" t="s">
        <v>1823</v>
      </c>
      <c r="E832" s="336">
        <v>337</v>
      </c>
      <c r="F832" s="263">
        <v>45160</v>
      </c>
      <c r="G832" s="338">
        <v>43.429000000000002</v>
      </c>
      <c r="H832" s="150">
        <v>2095449.25</v>
      </c>
      <c r="I832" s="106">
        <f t="shared" si="180"/>
        <v>48250</v>
      </c>
      <c r="J832" s="122"/>
      <c r="K832" s="157" t="s">
        <v>1975</v>
      </c>
      <c r="L832" s="166">
        <f t="shared" si="158"/>
        <v>337</v>
      </c>
      <c r="M832" s="119" t="s">
        <v>1976</v>
      </c>
      <c r="N832" s="135">
        <f>6.417+25.057+8.481</f>
        <v>39.954999999999998</v>
      </c>
      <c r="O832" s="122"/>
      <c r="P832" s="92">
        <f t="shared" si="181"/>
        <v>39.954680000000003</v>
      </c>
      <c r="Q832" s="113">
        <f t="shared" si="182"/>
        <v>1.954305</v>
      </c>
      <c r="R832" s="92">
        <f t="shared" si="183"/>
        <v>1.5200150000000001</v>
      </c>
      <c r="S832" s="121"/>
      <c r="T832" s="93">
        <f t="shared" si="184"/>
        <v>-3.1999999999632323E-4</v>
      </c>
      <c r="U832" s="122"/>
      <c r="V832" s="94">
        <f t="shared" ca="1" si="185"/>
        <v>222.4644447916653</v>
      </c>
      <c r="W832" s="89"/>
    </row>
    <row r="833" spans="1:23" s="312" customFormat="1" ht="18">
      <c r="A833" s="260"/>
      <c r="B833" s="260" t="s">
        <v>1377</v>
      </c>
      <c r="C833" s="175" t="s">
        <v>1811</v>
      </c>
      <c r="D833" s="131" t="s">
        <v>1824</v>
      </c>
      <c r="E833" s="336">
        <v>338</v>
      </c>
      <c r="F833" s="263">
        <v>45160</v>
      </c>
      <c r="G833" s="338">
        <v>32.579000000000001</v>
      </c>
      <c r="H833" s="150">
        <v>1547502.5</v>
      </c>
      <c r="I833" s="106">
        <f t="shared" si="180"/>
        <v>47500</v>
      </c>
      <c r="J833" s="122"/>
      <c r="K833" s="157" t="s">
        <v>1977</v>
      </c>
      <c r="L833" s="166">
        <f t="shared" si="158"/>
        <v>338</v>
      </c>
      <c r="M833" s="119" t="s">
        <v>1978</v>
      </c>
      <c r="N833" s="135">
        <f>23.54+6.433</f>
        <v>29.972999999999999</v>
      </c>
      <c r="O833" s="122"/>
      <c r="P833" s="92">
        <f t="shared" si="181"/>
        <v>29.97268</v>
      </c>
      <c r="Q833" s="113">
        <f t="shared" si="182"/>
        <v>1.4660549999999999</v>
      </c>
      <c r="R833" s="92">
        <f t="shared" si="183"/>
        <v>1.1402650000000001</v>
      </c>
      <c r="S833" s="121"/>
      <c r="T833" s="93">
        <f t="shared" si="184"/>
        <v>-3.1999999999832163E-4</v>
      </c>
      <c r="U833" s="122"/>
      <c r="V833" s="94">
        <f t="shared" ca="1" si="185"/>
        <v>222.4644447916653</v>
      </c>
      <c r="W833" s="89"/>
    </row>
    <row r="834" spans="1:23" s="312" customFormat="1" ht="18">
      <c r="A834" s="260"/>
      <c r="B834" s="260" t="s">
        <v>1377</v>
      </c>
      <c r="C834" s="130" t="s">
        <v>1732</v>
      </c>
      <c r="D834" s="131" t="s">
        <v>1825</v>
      </c>
      <c r="E834" s="337">
        <v>339</v>
      </c>
      <c r="F834" s="263">
        <v>45160</v>
      </c>
      <c r="G834" s="339">
        <v>32.594000000000001</v>
      </c>
      <c r="H834" s="150">
        <v>1542764</v>
      </c>
      <c r="I834" s="106">
        <f t="shared" si="180"/>
        <v>47332.760630790945</v>
      </c>
      <c r="J834" s="122"/>
      <c r="K834" s="157" t="s">
        <v>992</v>
      </c>
      <c r="L834" s="166">
        <f t="shared" si="158"/>
        <v>339</v>
      </c>
      <c r="M834" s="119" t="s">
        <v>1978</v>
      </c>
      <c r="N834" s="135">
        <f>17.918+12.068</f>
        <v>29.985999999999997</v>
      </c>
      <c r="O834" s="122"/>
      <c r="P834" s="92">
        <f t="shared" si="181"/>
        <v>29.986480000000004</v>
      </c>
      <c r="Q834" s="113">
        <f t="shared" si="182"/>
        <v>1.4667300000000001</v>
      </c>
      <c r="R834" s="92">
        <f t="shared" si="183"/>
        <v>1.1407900000000002</v>
      </c>
      <c r="S834" s="121"/>
      <c r="T834" s="93">
        <f t="shared" si="184"/>
        <v>4.8000000000381071E-4</v>
      </c>
      <c r="U834" s="122"/>
      <c r="V834" s="94">
        <f t="shared" ca="1" si="185"/>
        <v>222.4644447916653</v>
      </c>
      <c r="W834" s="89"/>
    </row>
    <row r="835" spans="1:23" s="312" customFormat="1" ht="18">
      <c r="A835" s="260"/>
      <c r="B835" s="260" t="s">
        <v>1377</v>
      </c>
      <c r="C835" s="130" t="s">
        <v>1731</v>
      </c>
      <c r="D835" s="131" t="s">
        <v>1826</v>
      </c>
      <c r="E835" s="336">
        <v>340</v>
      </c>
      <c r="F835" s="263">
        <v>45160</v>
      </c>
      <c r="G835" s="338">
        <v>43.51</v>
      </c>
      <c r="H835" s="150">
        <v>2099357.5</v>
      </c>
      <c r="I835" s="106">
        <f t="shared" si="180"/>
        <v>48250</v>
      </c>
      <c r="J835" s="122"/>
      <c r="K835" s="157" t="s">
        <v>1979</v>
      </c>
      <c r="L835" s="166">
        <f t="shared" ref="L835:L898" si="186">E835</f>
        <v>340</v>
      </c>
      <c r="M835" s="119" t="s">
        <v>1980</v>
      </c>
      <c r="N835" s="135">
        <f>12.723+24.315+2.991</f>
        <v>40.029000000000003</v>
      </c>
      <c r="O835" s="122"/>
      <c r="P835" s="92">
        <f t="shared" si="181"/>
        <v>40.029200000000003</v>
      </c>
      <c r="Q835" s="113">
        <f t="shared" si="182"/>
        <v>1.9579499999999999</v>
      </c>
      <c r="R835" s="92">
        <f t="shared" si="183"/>
        <v>1.52285</v>
      </c>
      <c r="S835" s="121"/>
      <c r="T835" s="93">
        <f t="shared" si="184"/>
        <v>1.999999999946489E-4</v>
      </c>
      <c r="U835" s="122"/>
      <c r="V835" s="94">
        <f t="shared" ca="1" si="185"/>
        <v>222.4644447916653</v>
      </c>
      <c r="W835" s="89"/>
    </row>
    <row r="836" spans="1:23" s="312" customFormat="1" ht="18">
      <c r="A836" s="260"/>
      <c r="B836" s="260" t="s">
        <v>1377</v>
      </c>
      <c r="C836" s="175" t="s">
        <v>1811</v>
      </c>
      <c r="D836" s="131" t="s">
        <v>1813</v>
      </c>
      <c r="E836" s="336">
        <v>341</v>
      </c>
      <c r="F836" s="263">
        <v>45160</v>
      </c>
      <c r="G836" s="338">
        <v>32.587000000000003</v>
      </c>
      <c r="H836" s="150">
        <v>1547882.5000000002</v>
      </c>
      <c r="I836" s="106">
        <f t="shared" si="180"/>
        <v>47500</v>
      </c>
      <c r="J836" s="122"/>
      <c r="K836" s="157" t="s">
        <v>1981</v>
      </c>
      <c r="L836" s="166">
        <f t="shared" si="186"/>
        <v>341</v>
      </c>
      <c r="M836" s="119" t="s">
        <v>1982</v>
      </c>
      <c r="N836" s="135">
        <f>28.051+1.929</f>
        <v>29.979999999999997</v>
      </c>
      <c r="O836" s="122"/>
      <c r="P836" s="92">
        <f t="shared" si="181"/>
        <v>29.980040000000006</v>
      </c>
      <c r="Q836" s="113">
        <f t="shared" si="182"/>
        <v>1.466415</v>
      </c>
      <c r="R836" s="92">
        <f t="shared" si="183"/>
        <v>1.1405450000000001</v>
      </c>
      <c r="S836" s="121"/>
      <c r="T836" s="93">
        <f t="shared" si="184"/>
        <v>4.0000000006257252E-5</v>
      </c>
      <c r="U836" s="122"/>
      <c r="V836" s="94">
        <f t="shared" ca="1" si="185"/>
        <v>222.4644447916653</v>
      </c>
      <c r="W836" s="89"/>
    </row>
    <row r="837" spans="1:23" s="312" customFormat="1" ht="18">
      <c r="A837" s="260"/>
      <c r="B837" s="260" t="s">
        <v>1377</v>
      </c>
      <c r="C837" s="130" t="s">
        <v>1732</v>
      </c>
      <c r="D837" s="131" t="s">
        <v>1827</v>
      </c>
      <c r="E837" s="337">
        <v>342</v>
      </c>
      <c r="F837" s="263">
        <v>45160</v>
      </c>
      <c r="G837" s="339">
        <v>43.430999999999997</v>
      </c>
      <c r="H837" s="150">
        <v>2057545.5</v>
      </c>
      <c r="I837" s="106">
        <f t="shared" si="180"/>
        <v>47375.043171927886</v>
      </c>
      <c r="J837" s="122"/>
      <c r="K837" s="157" t="s">
        <v>1983</v>
      </c>
      <c r="L837" s="166">
        <f t="shared" si="186"/>
        <v>342</v>
      </c>
      <c r="M837" s="119" t="s">
        <v>1982</v>
      </c>
      <c r="N837" s="135">
        <f>30.636+9.321</f>
        <v>39.957000000000001</v>
      </c>
      <c r="O837" s="122"/>
      <c r="P837" s="92">
        <f t="shared" si="181"/>
        <v>39.956519999999998</v>
      </c>
      <c r="Q837" s="113">
        <f t="shared" si="182"/>
        <v>1.9543949999999999</v>
      </c>
      <c r="R837" s="92">
        <f t="shared" si="183"/>
        <v>1.5200850000000001</v>
      </c>
      <c r="S837" s="121"/>
      <c r="T837" s="93">
        <f t="shared" si="184"/>
        <v>-4.8000000000336662E-4</v>
      </c>
      <c r="U837" s="122"/>
      <c r="V837" s="94">
        <f t="shared" ca="1" si="185"/>
        <v>222.4644447916653</v>
      </c>
      <c r="W837" s="89"/>
    </row>
    <row r="838" spans="1:23" s="312" customFormat="1" ht="18">
      <c r="A838" s="260"/>
      <c r="B838" s="260" t="s">
        <v>1377</v>
      </c>
      <c r="C838" s="130" t="s">
        <v>1732</v>
      </c>
      <c r="D838" s="131" t="s">
        <v>1828</v>
      </c>
      <c r="E838" s="337">
        <v>343</v>
      </c>
      <c r="F838" s="263">
        <v>45160</v>
      </c>
      <c r="G838" s="339">
        <v>43.436</v>
      </c>
      <c r="H838" s="150">
        <v>2060496.5</v>
      </c>
      <c r="I838" s="106">
        <f t="shared" si="180"/>
        <v>47437.528777972191</v>
      </c>
      <c r="J838" s="122"/>
      <c r="K838" s="157" t="s">
        <v>1986</v>
      </c>
      <c r="L838" s="166">
        <f t="shared" si="186"/>
        <v>343</v>
      </c>
      <c r="M838" s="119" t="s">
        <v>1987</v>
      </c>
      <c r="N838" s="135">
        <f>14.93+24.596+0.435</f>
        <v>39.960999999999999</v>
      </c>
      <c r="O838" s="122"/>
      <c r="P838" s="92">
        <f t="shared" si="181"/>
        <v>39.961120000000001</v>
      </c>
      <c r="Q838" s="113">
        <f t="shared" si="182"/>
        <v>1.95462</v>
      </c>
      <c r="R838" s="92">
        <f t="shared" si="183"/>
        <v>1.5202600000000002</v>
      </c>
      <c r="S838" s="121"/>
      <c r="T838" s="93">
        <f t="shared" si="184"/>
        <v>1.2000000000123023E-4</v>
      </c>
      <c r="U838" s="122"/>
      <c r="V838" s="94">
        <f t="shared" ca="1" si="185"/>
        <v>222.4644447916653</v>
      </c>
      <c r="W838" s="89"/>
    </row>
    <row r="839" spans="1:23" s="312" customFormat="1" ht="18">
      <c r="A839" s="260"/>
      <c r="B839" s="260" t="s">
        <v>1377</v>
      </c>
      <c r="C839" s="175" t="s">
        <v>1811</v>
      </c>
      <c r="D839" s="131" t="s">
        <v>1829</v>
      </c>
      <c r="E839" s="336">
        <v>344</v>
      </c>
      <c r="F839" s="263">
        <v>45160</v>
      </c>
      <c r="G839" s="338">
        <v>43.427999999999997</v>
      </c>
      <c r="H839" s="150">
        <v>2062829.9999999998</v>
      </c>
      <c r="I839" s="106">
        <f t="shared" si="180"/>
        <v>47500</v>
      </c>
      <c r="J839" s="122"/>
      <c r="K839" s="157" t="s">
        <v>1988</v>
      </c>
      <c r="L839" s="166">
        <f t="shared" si="186"/>
        <v>344</v>
      </c>
      <c r="M839" s="119" t="s">
        <v>1989</v>
      </c>
      <c r="N839" s="135">
        <f>24.104+15.85</f>
        <v>39.954000000000001</v>
      </c>
      <c r="O839" s="122"/>
      <c r="P839" s="92">
        <f t="shared" si="181"/>
        <v>39.953760000000003</v>
      </c>
      <c r="Q839" s="113">
        <f t="shared" si="182"/>
        <v>1.9542599999999999</v>
      </c>
      <c r="R839" s="92">
        <f t="shared" si="183"/>
        <v>1.5199800000000001</v>
      </c>
      <c r="S839" s="121"/>
      <c r="T839" s="93">
        <f t="shared" si="184"/>
        <v>-2.4000000000334865E-4</v>
      </c>
      <c r="U839" s="122"/>
      <c r="V839" s="94">
        <f t="shared" ca="1" si="185"/>
        <v>222.4644447916653</v>
      </c>
      <c r="W839" s="89"/>
    </row>
    <row r="840" spans="1:23" s="312" customFormat="1" ht="18">
      <c r="A840" s="260"/>
      <c r="B840" s="260" t="s">
        <v>1377</v>
      </c>
      <c r="C840" s="130" t="s">
        <v>1732</v>
      </c>
      <c r="D840" s="131" t="s">
        <v>1742</v>
      </c>
      <c r="E840" s="337">
        <v>345</v>
      </c>
      <c r="F840" s="263">
        <v>45160</v>
      </c>
      <c r="G840" s="339">
        <v>32.577999999999996</v>
      </c>
      <c r="H840" s="150">
        <v>1544741.5</v>
      </c>
      <c r="I840" s="106">
        <f t="shared" si="180"/>
        <v>47416.707594081905</v>
      </c>
      <c r="J840" s="122"/>
      <c r="K840" s="157" t="s">
        <v>1995</v>
      </c>
      <c r="L840" s="166">
        <f t="shared" si="186"/>
        <v>345</v>
      </c>
      <c r="M840" s="119" t="s">
        <v>1994</v>
      </c>
      <c r="N840" s="135">
        <f>17.023+12.949</f>
        <v>29.972000000000001</v>
      </c>
      <c r="O840" s="122"/>
      <c r="P840" s="92">
        <f t="shared" si="181"/>
        <v>29.971759999999996</v>
      </c>
      <c r="Q840" s="113">
        <f t="shared" si="182"/>
        <v>1.4660099999999998</v>
      </c>
      <c r="R840" s="92">
        <f t="shared" si="183"/>
        <v>1.1402299999999999</v>
      </c>
      <c r="S840" s="121"/>
      <c r="T840" s="93">
        <f t="shared" si="184"/>
        <v>-2.40000000005125E-4</v>
      </c>
      <c r="U840" s="122"/>
      <c r="V840" s="94">
        <f t="shared" ca="1" si="185"/>
        <v>222.4644447916653</v>
      </c>
      <c r="W840" s="89"/>
    </row>
    <row r="841" spans="1:23" s="312" customFormat="1" ht="18">
      <c r="A841" s="260"/>
      <c r="B841" s="260" t="s">
        <v>1377</v>
      </c>
      <c r="C841" s="175" t="s">
        <v>1379</v>
      </c>
      <c r="D841" s="131" t="s">
        <v>1738</v>
      </c>
      <c r="E841" s="337">
        <v>346</v>
      </c>
      <c r="F841" s="263">
        <v>45160</v>
      </c>
      <c r="G841" s="339">
        <v>39.064</v>
      </c>
      <c r="H841" s="150">
        <v>1837412.5</v>
      </c>
      <c r="I841" s="106">
        <f t="shared" si="180"/>
        <v>47035.953819373339</v>
      </c>
      <c r="J841" s="122"/>
      <c r="K841" s="157" t="s">
        <v>1996</v>
      </c>
      <c r="L841" s="166">
        <f t="shared" si="186"/>
        <v>346</v>
      </c>
      <c r="M841" s="119" t="s">
        <v>1997</v>
      </c>
      <c r="N841" s="135">
        <f>19.616+16.323</f>
        <v>35.939</v>
      </c>
      <c r="O841" s="122"/>
      <c r="P841" s="92">
        <f t="shared" si="181"/>
        <v>35.938880000000005</v>
      </c>
      <c r="Q841" s="113">
        <f t="shared" si="182"/>
        <v>1.7578799999999999</v>
      </c>
      <c r="R841" s="92">
        <f t="shared" si="183"/>
        <v>1.3672400000000002</v>
      </c>
      <c r="S841" s="121"/>
      <c r="T841" s="93">
        <f t="shared" si="184"/>
        <v>-1.2000000000012001E-4</v>
      </c>
      <c r="U841" s="122"/>
      <c r="V841" s="94">
        <f t="shared" ca="1" si="185"/>
        <v>222.4644447916653</v>
      </c>
      <c r="W841" s="89"/>
    </row>
    <row r="842" spans="1:23" s="312" customFormat="1" ht="18">
      <c r="A842" s="260"/>
      <c r="B842" s="260" t="s">
        <v>1377</v>
      </c>
      <c r="C842" s="130" t="s">
        <v>1732</v>
      </c>
      <c r="D842" s="131" t="s">
        <v>1830</v>
      </c>
      <c r="E842" s="336">
        <v>347</v>
      </c>
      <c r="F842" s="263">
        <v>45160</v>
      </c>
      <c r="G842" s="338">
        <v>34.371000000000002</v>
      </c>
      <c r="H842" s="150">
        <v>1581066</v>
      </c>
      <c r="I842" s="106">
        <f t="shared" si="180"/>
        <v>46000</v>
      </c>
      <c r="J842" s="122"/>
      <c r="K842" s="157" t="s">
        <v>1998</v>
      </c>
      <c r="L842" s="166">
        <f t="shared" si="186"/>
        <v>347</v>
      </c>
      <c r="M842" s="119" t="s">
        <v>1999</v>
      </c>
      <c r="N842" s="135">
        <f>15.585+16.036</f>
        <v>31.621000000000002</v>
      </c>
      <c r="O842" s="122"/>
      <c r="P842" s="92">
        <f t="shared" si="181"/>
        <v>31.621320000000004</v>
      </c>
      <c r="Q842" s="113">
        <f t="shared" si="182"/>
        <v>1.5466950000000002</v>
      </c>
      <c r="R842" s="92">
        <f t="shared" si="183"/>
        <v>1.2029850000000002</v>
      </c>
      <c r="S842" s="121"/>
      <c r="T842" s="93">
        <f>G842-N842-Q842-R842</f>
        <v>3.1999999999965389E-4</v>
      </c>
      <c r="U842" s="122"/>
      <c r="V842" s="94">
        <f t="shared" ca="1" si="185"/>
        <v>222.4644447916653</v>
      </c>
      <c r="W842" s="89"/>
    </row>
    <row r="843" spans="1:23" s="312" customFormat="1" ht="18">
      <c r="A843" s="260"/>
      <c r="B843" s="260" t="s">
        <v>1377</v>
      </c>
      <c r="C843" s="130" t="s">
        <v>1732</v>
      </c>
      <c r="D843" s="131" t="s">
        <v>1830</v>
      </c>
      <c r="E843" s="336">
        <v>348</v>
      </c>
      <c r="F843" s="263">
        <v>45160</v>
      </c>
      <c r="G843" s="338">
        <v>32.561999999999998</v>
      </c>
      <c r="H843" s="150">
        <v>1497852</v>
      </c>
      <c r="I843" s="106">
        <f t="shared" si="180"/>
        <v>46000</v>
      </c>
      <c r="J843" s="122"/>
      <c r="K843" s="157" t="s">
        <v>2000</v>
      </c>
      <c r="L843" s="166">
        <f t="shared" si="186"/>
        <v>348</v>
      </c>
      <c r="M843" s="119" t="s">
        <v>2001</v>
      </c>
      <c r="N843" s="135">
        <f>8.735+21.222</f>
        <v>29.957000000000001</v>
      </c>
      <c r="O843" s="122"/>
      <c r="P843" s="92">
        <f t="shared" si="181"/>
        <v>29.957039999999999</v>
      </c>
      <c r="Q843" s="113">
        <f t="shared" si="182"/>
        <v>1.4652899999999998</v>
      </c>
      <c r="R843" s="92">
        <f t="shared" si="183"/>
        <v>1.13967</v>
      </c>
      <c r="S843" s="121"/>
      <c r="T843" s="93">
        <f t="shared" si="184"/>
        <v>3.9999999997153424E-5</v>
      </c>
      <c r="U843" s="122"/>
      <c r="V843" s="94">
        <f t="shared" ca="1" si="185"/>
        <v>222.4644447916653</v>
      </c>
      <c r="W843" s="89"/>
    </row>
    <row r="844" spans="1:23" s="312" customFormat="1" ht="18">
      <c r="A844" s="260"/>
      <c r="B844" s="260" t="s">
        <v>1377</v>
      </c>
      <c r="C844" s="175" t="s">
        <v>1379</v>
      </c>
      <c r="D844" s="131" t="s">
        <v>1831</v>
      </c>
      <c r="E844" s="336">
        <v>349</v>
      </c>
      <c r="F844" s="263">
        <v>45160</v>
      </c>
      <c r="G844" s="338">
        <v>61.83</v>
      </c>
      <c r="H844" s="150">
        <v>2936925</v>
      </c>
      <c r="I844" s="106">
        <f t="shared" si="180"/>
        <v>47500</v>
      </c>
      <c r="J844" s="122"/>
      <c r="K844" s="157" t="s">
        <v>2002</v>
      </c>
      <c r="L844" s="166">
        <f t="shared" si="186"/>
        <v>349</v>
      </c>
      <c r="M844" s="119" t="s">
        <v>2003</v>
      </c>
      <c r="N844" s="135">
        <f>11.621+31.529+13.734</f>
        <v>56.884</v>
      </c>
      <c r="O844" s="122"/>
      <c r="P844" s="92">
        <f t="shared" si="181"/>
        <v>56.883600000000001</v>
      </c>
      <c r="Q844" s="113">
        <f t="shared" si="182"/>
        <v>2.7823499999999997</v>
      </c>
      <c r="R844" s="92">
        <f t="shared" si="183"/>
        <v>2.16405</v>
      </c>
      <c r="S844" s="121"/>
      <c r="T844" s="93">
        <f t="shared" si="184"/>
        <v>-4.000000000017323E-4</v>
      </c>
      <c r="U844" s="122"/>
      <c r="V844" s="94">
        <f t="shared" ca="1" si="185"/>
        <v>222.4644447916653</v>
      </c>
      <c r="W844" s="89"/>
    </row>
    <row r="845" spans="1:23" s="312" customFormat="1" ht="18">
      <c r="A845" s="260"/>
      <c r="B845" s="260" t="s">
        <v>1377</v>
      </c>
      <c r="C845" s="130" t="s">
        <v>1732</v>
      </c>
      <c r="D845" s="131" t="s">
        <v>1832</v>
      </c>
      <c r="E845" s="337">
        <v>350</v>
      </c>
      <c r="F845" s="263">
        <v>45160</v>
      </c>
      <c r="G845" s="339">
        <v>32.57</v>
      </c>
      <c r="H845" s="150">
        <v>1541648</v>
      </c>
      <c r="I845" s="106">
        <f t="shared" si="180"/>
        <v>47333.374270801352</v>
      </c>
      <c r="J845" s="122"/>
      <c r="K845" s="157" t="s">
        <v>2004</v>
      </c>
      <c r="L845" s="166">
        <f t="shared" si="186"/>
        <v>350</v>
      </c>
      <c r="M845" s="119" t="s">
        <v>2005</v>
      </c>
      <c r="N845" s="135">
        <f>18.127+11.837</f>
        <v>29.963999999999999</v>
      </c>
      <c r="O845" s="122"/>
      <c r="P845" s="92">
        <f t="shared" si="181"/>
        <v>29.964400000000001</v>
      </c>
      <c r="Q845" s="113">
        <f t="shared" si="182"/>
        <v>1.4656499999999999</v>
      </c>
      <c r="R845" s="92">
        <f t="shared" si="183"/>
        <v>1.13995</v>
      </c>
      <c r="S845" s="121"/>
      <c r="T845" s="93">
        <f t="shared" si="184"/>
        <v>4.000000000017323E-4</v>
      </c>
      <c r="U845" s="122"/>
      <c r="V845" s="94">
        <f t="shared" ca="1" si="185"/>
        <v>222.4644447916653</v>
      </c>
      <c r="W845" s="89"/>
    </row>
    <row r="846" spans="1:23" s="312" customFormat="1" ht="18">
      <c r="A846" s="260"/>
      <c r="B846" s="260" t="s">
        <v>1377</v>
      </c>
      <c r="C846" s="130" t="s">
        <v>1732</v>
      </c>
      <c r="D846" s="131" t="s">
        <v>1833</v>
      </c>
      <c r="E846" s="336">
        <v>351</v>
      </c>
      <c r="F846" s="263">
        <v>45160</v>
      </c>
      <c r="G846" s="338">
        <v>34.378999999999998</v>
      </c>
      <c r="H846" s="150">
        <v>1581434</v>
      </c>
      <c r="I846" s="106">
        <f t="shared" si="180"/>
        <v>46000</v>
      </c>
      <c r="J846" s="122"/>
      <c r="K846" s="157" t="s">
        <v>2006</v>
      </c>
      <c r="L846" s="166">
        <f t="shared" si="186"/>
        <v>351</v>
      </c>
      <c r="M846" s="119" t="s">
        <v>2007</v>
      </c>
      <c r="N846" s="135">
        <f>20.074+11.555</f>
        <v>31.629000000000001</v>
      </c>
      <c r="O846" s="122"/>
      <c r="P846" s="92">
        <f t="shared" si="181"/>
        <v>31.628679999999999</v>
      </c>
      <c r="Q846" s="113">
        <f t="shared" si="182"/>
        <v>1.5470549999999998</v>
      </c>
      <c r="R846" s="92">
        <f t="shared" si="183"/>
        <v>1.203265</v>
      </c>
      <c r="S846" s="121"/>
      <c r="T846" s="93">
        <f t="shared" si="184"/>
        <v>-3.2000000000342865E-4</v>
      </c>
      <c r="U846" s="122"/>
      <c r="V846" s="94">
        <f t="shared" ca="1" si="185"/>
        <v>222.4644447916653</v>
      </c>
      <c r="W846" s="89"/>
    </row>
    <row r="847" spans="1:23" s="312" customFormat="1" ht="18">
      <c r="A847" s="260"/>
      <c r="B847" s="260" t="s">
        <v>1377</v>
      </c>
      <c r="C847" s="130" t="s">
        <v>1732</v>
      </c>
      <c r="D847" s="131" t="s">
        <v>1833</v>
      </c>
      <c r="E847" s="337">
        <v>352</v>
      </c>
      <c r="F847" s="263">
        <v>45160</v>
      </c>
      <c r="G847" s="339">
        <v>32.569000000000003</v>
      </c>
      <c r="H847" s="150">
        <v>1498174</v>
      </c>
      <c r="I847" s="106">
        <f t="shared" si="180"/>
        <v>45999.999999999993</v>
      </c>
      <c r="J847" s="122"/>
      <c r="K847" s="157" t="s">
        <v>2008</v>
      </c>
      <c r="L847" s="166">
        <f t="shared" si="186"/>
        <v>352</v>
      </c>
      <c r="M847" s="119" t="s">
        <v>2009</v>
      </c>
      <c r="N847" s="135">
        <f>20.874+9.089</f>
        <v>29.963000000000001</v>
      </c>
      <c r="O847" s="122"/>
      <c r="P847" s="92">
        <f t="shared" si="181"/>
        <v>29.963480000000004</v>
      </c>
      <c r="Q847" s="113">
        <f t="shared" si="182"/>
        <v>1.465605</v>
      </c>
      <c r="R847" s="92">
        <f t="shared" si="183"/>
        <v>1.1399150000000002</v>
      </c>
      <c r="S847" s="121"/>
      <c r="T847" s="93">
        <f t="shared" si="184"/>
        <v>4.8000000000136822E-4</v>
      </c>
      <c r="U847" s="122"/>
      <c r="V847" s="94">
        <f t="shared" ca="1" si="185"/>
        <v>222.4644447916653</v>
      </c>
      <c r="W847" s="89"/>
    </row>
    <row r="848" spans="1:23" s="312" customFormat="1" ht="18">
      <c r="A848" s="260"/>
      <c r="B848" s="260" t="s">
        <v>1377</v>
      </c>
      <c r="C848" s="175" t="s">
        <v>1811</v>
      </c>
      <c r="D848" s="131" t="s">
        <v>1834</v>
      </c>
      <c r="E848" s="336">
        <v>353</v>
      </c>
      <c r="F848" s="263">
        <v>45160</v>
      </c>
      <c r="G848" s="338">
        <v>32.57</v>
      </c>
      <c r="H848" s="150">
        <v>1547075</v>
      </c>
      <c r="I848" s="106">
        <f t="shared" si="180"/>
        <v>47500</v>
      </c>
      <c r="J848" s="122"/>
      <c r="K848" s="157" t="s">
        <v>2010</v>
      </c>
      <c r="L848" s="166">
        <f t="shared" si="186"/>
        <v>353</v>
      </c>
      <c r="M848" s="119" t="s">
        <v>2011</v>
      </c>
      <c r="N848" s="135">
        <f>23.708+6.256</f>
        <v>29.963999999999999</v>
      </c>
      <c r="O848" s="122"/>
      <c r="P848" s="92">
        <f t="shared" si="181"/>
        <v>29.964400000000001</v>
      </c>
      <c r="Q848" s="113">
        <f t="shared" si="182"/>
        <v>1.4656499999999999</v>
      </c>
      <c r="R848" s="92">
        <f t="shared" si="183"/>
        <v>1.13995</v>
      </c>
      <c r="S848" s="121"/>
      <c r="T848" s="93">
        <f>G848-N848-Q848-R848</f>
        <v>4.000000000017323E-4</v>
      </c>
      <c r="U848" s="122"/>
      <c r="V848" s="94">
        <f t="shared" ca="1" si="185"/>
        <v>222.4644447916653</v>
      </c>
      <c r="W848" s="89"/>
    </row>
    <row r="849" spans="1:23" s="312" customFormat="1" ht="18">
      <c r="A849" s="260"/>
      <c r="B849" s="260" t="s">
        <v>1377</v>
      </c>
      <c r="C849" s="130" t="s">
        <v>1732</v>
      </c>
      <c r="D849" s="131" t="s">
        <v>1835</v>
      </c>
      <c r="E849" s="337">
        <v>354</v>
      </c>
      <c r="F849" s="263">
        <v>45160</v>
      </c>
      <c r="G849" s="339">
        <v>32.57</v>
      </c>
      <c r="H849" s="150">
        <v>1541648</v>
      </c>
      <c r="I849" s="106">
        <f t="shared" si="164"/>
        <v>47333.374270801352</v>
      </c>
      <c r="J849" s="122"/>
      <c r="K849" s="157" t="s">
        <v>2012</v>
      </c>
      <c r="L849" s="166">
        <f t="shared" si="186"/>
        <v>354</v>
      </c>
      <c r="M849" s="119" t="s">
        <v>2011</v>
      </c>
      <c r="N849" s="135">
        <f>16.757+13.207</f>
        <v>29.964000000000002</v>
      </c>
      <c r="O849" s="122"/>
      <c r="P849" s="92">
        <f t="shared" si="165"/>
        <v>29.964400000000001</v>
      </c>
      <c r="Q849" s="113">
        <f t="shared" si="166"/>
        <v>1.4656499999999999</v>
      </c>
      <c r="R849" s="92">
        <f t="shared" si="167"/>
        <v>1.13995</v>
      </c>
      <c r="S849" s="121"/>
      <c r="T849" s="93">
        <f t="shared" si="168"/>
        <v>3.9999999999817959E-4</v>
      </c>
      <c r="U849" s="122"/>
      <c r="V849" s="94">
        <f t="shared" ca="1" si="169"/>
        <v>222.4644447916653</v>
      </c>
      <c r="W849" s="89"/>
    </row>
    <row r="850" spans="1:23" s="312" customFormat="1" ht="18">
      <c r="A850" s="260"/>
      <c r="B850" s="260" t="s">
        <v>1377</v>
      </c>
      <c r="C850" s="175" t="s">
        <v>1811</v>
      </c>
      <c r="D850" s="131" t="s">
        <v>1836</v>
      </c>
      <c r="E850" s="336">
        <v>355</v>
      </c>
      <c r="F850" s="263">
        <v>45160</v>
      </c>
      <c r="G850" s="338">
        <v>32.572000000000003</v>
      </c>
      <c r="H850" s="150">
        <v>1547170.0000000002</v>
      </c>
      <c r="I850" s="106">
        <f t="shared" si="164"/>
        <v>47500</v>
      </c>
      <c r="J850" s="122"/>
      <c r="K850" s="157" t="s">
        <v>2013</v>
      </c>
      <c r="L850" s="166">
        <f t="shared" si="186"/>
        <v>355</v>
      </c>
      <c r="M850" s="119" t="s">
        <v>2011</v>
      </c>
      <c r="N850" s="135">
        <f>11.409+18.557</f>
        <v>29.966000000000001</v>
      </c>
      <c r="O850" s="122"/>
      <c r="P850" s="92">
        <f t="shared" si="165"/>
        <v>29.966240000000003</v>
      </c>
      <c r="Q850" s="113">
        <f t="shared" si="166"/>
        <v>1.46574</v>
      </c>
      <c r="R850" s="92">
        <f t="shared" si="167"/>
        <v>1.1400200000000003</v>
      </c>
      <c r="S850" s="121"/>
      <c r="T850" s="93">
        <f t="shared" si="168"/>
        <v>2.4000000000135024E-4</v>
      </c>
      <c r="U850" s="122"/>
      <c r="V850" s="94">
        <f t="shared" ca="1" si="169"/>
        <v>222.4644447916653</v>
      </c>
      <c r="W850" s="89"/>
    </row>
    <row r="851" spans="1:23" s="312" customFormat="1" ht="18">
      <c r="A851" s="260"/>
      <c r="B851" s="260" t="s">
        <v>1377</v>
      </c>
      <c r="C851" s="130" t="s">
        <v>1732</v>
      </c>
      <c r="D851" s="131" t="s">
        <v>1837</v>
      </c>
      <c r="E851" s="337">
        <v>356</v>
      </c>
      <c r="F851" s="263">
        <v>45160</v>
      </c>
      <c r="G851" s="339">
        <v>32.57</v>
      </c>
      <c r="H851" s="150">
        <v>1541648</v>
      </c>
      <c r="I851" s="106">
        <f t="shared" si="164"/>
        <v>47333.374270801352</v>
      </c>
      <c r="J851" s="122"/>
      <c r="K851" s="157" t="s">
        <v>2014</v>
      </c>
      <c r="L851" s="166">
        <f t="shared" si="186"/>
        <v>356</v>
      </c>
      <c r="M851" s="119" t="s">
        <v>2015</v>
      </c>
      <c r="N851" s="135">
        <f>10.83+19.134</f>
        <v>29.963999999999999</v>
      </c>
      <c r="O851" s="122"/>
      <c r="P851" s="92">
        <f t="shared" si="165"/>
        <v>29.964400000000001</v>
      </c>
      <c r="Q851" s="113">
        <f t="shared" si="166"/>
        <v>1.4656499999999999</v>
      </c>
      <c r="R851" s="92">
        <f t="shared" si="167"/>
        <v>1.13995</v>
      </c>
      <c r="S851" s="121"/>
      <c r="T851" s="93">
        <f t="shared" si="168"/>
        <v>4.000000000017323E-4</v>
      </c>
      <c r="U851" s="122"/>
      <c r="V851" s="94">
        <f t="shared" ca="1" si="169"/>
        <v>222.4644447916653</v>
      </c>
      <c r="W851" s="89"/>
    </row>
    <row r="852" spans="1:23" s="312" customFormat="1" ht="18">
      <c r="A852" s="260"/>
      <c r="B852" s="260" t="s">
        <v>1377</v>
      </c>
      <c r="C852" s="175" t="s">
        <v>1811</v>
      </c>
      <c r="D852" s="131" t="s">
        <v>1838</v>
      </c>
      <c r="E852" s="336">
        <v>357</v>
      </c>
      <c r="F852" s="263">
        <v>45160</v>
      </c>
      <c r="G852" s="338">
        <v>32.561999999999998</v>
      </c>
      <c r="H852" s="150">
        <v>1546695</v>
      </c>
      <c r="I852" s="106">
        <f t="shared" si="164"/>
        <v>47500</v>
      </c>
      <c r="J852" s="122"/>
      <c r="K852" s="158" t="s">
        <v>2016</v>
      </c>
      <c r="L852" s="166">
        <f t="shared" si="186"/>
        <v>357</v>
      </c>
      <c r="M852" s="119" t="s">
        <v>2017</v>
      </c>
      <c r="N852" s="135">
        <f>5.702+24.255</f>
        <v>29.957000000000001</v>
      </c>
      <c r="O852" s="122"/>
      <c r="P852" s="92">
        <f t="shared" si="165"/>
        <v>29.957039999999999</v>
      </c>
      <c r="Q852" s="113">
        <f t="shared" si="166"/>
        <v>1.4652899999999998</v>
      </c>
      <c r="R852" s="92">
        <f t="shared" si="167"/>
        <v>1.13967</v>
      </c>
      <c r="S852" s="121"/>
      <c r="T852" s="93">
        <f t="shared" si="168"/>
        <v>3.9999999997153424E-5</v>
      </c>
      <c r="U852" s="122"/>
      <c r="V852" s="94">
        <f t="shared" ca="1" si="169"/>
        <v>222.4644447916653</v>
      </c>
      <c r="W852" s="89"/>
    </row>
    <row r="853" spans="1:23" s="312" customFormat="1" ht="18">
      <c r="A853" s="260"/>
      <c r="B853" s="260" t="s">
        <v>1377</v>
      </c>
      <c r="C853" s="130" t="s">
        <v>1732</v>
      </c>
      <c r="D853" s="131" t="s">
        <v>1839</v>
      </c>
      <c r="E853" s="337">
        <v>358</v>
      </c>
      <c r="F853" s="263">
        <v>45160</v>
      </c>
      <c r="G853" s="339">
        <v>32.561999999999998</v>
      </c>
      <c r="H853" s="150">
        <v>1541268</v>
      </c>
      <c r="I853" s="106">
        <f t="shared" si="164"/>
        <v>47333.333333333336</v>
      </c>
      <c r="J853" s="122"/>
      <c r="K853" s="157" t="s">
        <v>2024</v>
      </c>
      <c r="L853" s="166">
        <f t="shared" si="186"/>
        <v>358</v>
      </c>
      <c r="M853" s="119" t="s">
        <v>2025</v>
      </c>
      <c r="N853" s="135">
        <f>0.581+24.352+5.024</f>
        <v>29.957000000000001</v>
      </c>
      <c r="O853" s="122"/>
      <c r="P853" s="92">
        <f t="shared" si="165"/>
        <v>29.957039999999999</v>
      </c>
      <c r="Q853" s="113">
        <f t="shared" si="166"/>
        <v>1.4652899999999998</v>
      </c>
      <c r="R853" s="92">
        <f t="shared" si="167"/>
        <v>1.13967</v>
      </c>
      <c r="S853" s="121"/>
      <c r="T853" s="93">
        <f t="shared" si="168"/>
        <v>3.9999999997153424E-5</v>
      </c>
      <c r="U853" s="122"/>
      <c r="V853" s="94">
        <f t="shared" ca="1" si="169"/>
        <v>222.4644447916653</v>
      </c>
      <c r="W853" s="89"/>
    </row>
    <row r="854" spans="1:23" s="312" customFormat="1" ht="18">
      <c r="A854" s="260"/>
      <c r="B854" s="260" t="s">
        <v>1377</v>
      </c>
      <c r="C854" s="175" t="s">
        <v>1811</v>
      </c>
      <c r="D854" s="131" t="s">
        <v>1840</v>
      </c>
      <c r="E854" s="336">
        <v>359</v>
      </c>
      <c r="F854" s="263">
        <v>45160</v>
      </c>
      <c r="G854" s="338">
        <v>32.57</v>
      </c>
      <c r="H854" s="150">
        <v>1547075</v>
      </c>
      <c r="I854" s="106">
        <f t="shared" si="164"/>
        <v>47500</v>
      </c>
      <c r="J854" s="122"/>
      <c r="K854" s="157" t="s">
        <v>2026</v>
      </c>
      <c r="L854" s="166">
        <f t="shared" si="186"/>
        <v>359</v>
      </c>
      <c r="M854" s="119" t="s">
        <v>2022</v>
      </c>
      <c r="N854" s="135">
        <f>5.649+24.315</f>
        <v>29.964000000000002</v>
      </c>
      <c r="O854" s="122"/>
      <c r="P854" s="92">
        <f t="shared" si="165"/>
        <v>29.964400000000001</v>
      </c>
      <c r="Q854" s="113">
        <f t="shared" si="166"/>
        <v>1.4656499999999999</v>
      </c>
      <c r="R854" s="92">
        <f t="shared" si="167"/>
        <v>1.13995</v>
      </c>
      <c r="S854" s="121"/>
      <c r="T854" s="93">
        <f t="shared" si="168"/>
        <v>3.9999999999817959E-4</v>
      </c>
      <c r="U854" s="122"/>
      <c r="V854" s="94">
        <f t="shared" ca="1" si="169"/>
        <v>222.4644447916653</v>
      </c>
      <c r="W854" s="89"/>
    </row>
    <row r="855" spans="1:23" s="312" customFormat="1" ht="18">
      <c r="A855" s="260"/>
      <c r="B855" s="260" t="s">
        <v>1377</v>
      </c>
      <c r="C855" s="130" t="s">
        <v>1732</v>
      </c>
      <c r="D855" s="131" t="s">
        <v>1841</v>
      </c>
      <c r="E855" s="336">
        <v>360</v>
      </c>
      <c r="F855" s="263">
        <v>45160</v>
      </c>
      <c r="G855" s="338">
        <v>45.235999999999997</v>
      </c>
      <c r="H855" s="150">
        <v>2080855.9999999998</v>
      </c>
      <c r="I855" s="106">
        <f t="shared" si="164"/>
        <v>46000</v>
      </c>
      <c r="J855" s="122"/>
      <c r="K855" s="157" t="s">
        <v>2035</v>
      </c>
      <c r="L855" s="166">
        <f t="shared" si="186"/>
        <v>360</v>
      </c>
      <c r="M855" s="119" t="s">
        <v>2036</v>
      </c>
      <c r="N855" s="135">
        <f>0.342+24.274+17.001</f>
        <v>41.617000000000004</v>
      </c>
      <c r="O855" s="122"/>
      <c r="P855" s="92">
        <f t="shared" si="165"/>
        <v>41.61712</v>
      </c>
      <c r="Q855" s="113">
        <f t="shared" si="166"/>
        <v>2.0356199999999998</v>
      </c>
      <c r="R855" s="92">
        <f t="shared" si="167"/>
        <v>1.5832600000000001</v>
      </c>
      <c r="S855" s="121"/>
      <c r="T855" s="93">
        <f t="shared" si="168"/>
        <v>1.1999999999279254E-4</v>
      </c>
      <c r="U855" s="122"/>
      <c r="V855" s="94">
        <f t="shared" ca="1" si="169"/>
        <v>222.4644447916653</v>
      </c>
      <c r="W855" s="89"/>
    </row>
    <row r="856" spans="1:23" s="312" customFormat="1" ht="18">
      <c r="A856" s="260"/>
      <c r="B856" s="260" t="s">
        <v>1377</v>
      </c>
      <c r="C856" s="130" t="s">
        <v>1732</v>
      </c>
      <c r="D856" s="131" t="s">
        <v>1841</v>
      </c>
      <c r="E856" s="337">
        <v>361</v>
      </c>
      <c r="F856" s="263">
        <v>45160</v>
      </c>
      <c r="G856" s="339">
        <v>43.439</v>
      </c>
      <c r="H856" s="150">
        <v>1998194</v>
      </c>
      <c r="I856" s="106">
        <f t="shared" si="164"/>
        <v>46000</v>
      </c>
      <c r="J856" s="122"/>
      <c r="K856" s="157" t="s">
        <v>2037</v>
      </c>
      <c r="L856" s="166">
        <f t="shared" si="186"/>
        <v>361</v>
      </c>
      <c r="M856" s="119" t="s">
        <v>2038</v>
      </c>
      <c r="N856" s="135">
        <f>15.876+24.088</f>
        <v>39.963999999999999</v>
      </c>
      <c r="O856" s="122"/>
      <c r="P856" s="92">
        <f t="shared" si="165"/>
        <v>39.963880000000003</v>
      </c>
      <c r="Q856" s="113">
        <f t="shared" si="166"/>
        <v>1.954755</v>
      </c>
      <c r="R856" s="92">
        <f t="shared" si="167"/>
        <v>1.5203650000000002</v>
      </c>
      <c r="S856" s="121"/>
      <c r="T856" s="93">
        <f t="shared" si="168"/>
        <v>-1.1999999999878774E-4</v>
      </c>
      <c r="U856" s="122"/>
      <c r="V856" s="94">
        <f t="shared" ca="1" si="169"/>
        <v>222.4644447916653</v>
      </c>
      <c r="W856" s="89"/>
    </row>
    <row r="857" spans="1:23" ht="18">
      <c r="A857" s="260"/>
      <c r="B857" s="260" t="s">
        <v>1377</v>
      </c>
      <c r="C857" s="175" t="s">
        <v>1379</v>
      </c>
      <c r="D857" s="131" t="s">
        <v>1842</v>
      </c>
      <c r="E857" s="337">
        <v>362</v>
      </c>
      <c r="F857" s="263">
        <v>45160</v>
      </c>
      <c r="G857" s="339">
        <v>44.545999999999999</v>
      </c>
      <c r="H857" s="150">
        <v>2115935</v>
      </c>
      <c r="I857" s="106">
        <f t="shared" si="135"/>
        <v>47500</v>
      </c>
      <c r="J857" s="122"/>
      <c r="K857" s="157" t="s">
        <v>2039</v>
      </c>
      <c r="L857" s="166">
        <f t="shared" si="186"/>
        <v>362</v>
      </c>
      <c r="M857" s="119" t="s">
        <v>2040</v>
      </c>
      <c r="N857" s="135">
        <f>0.523+24.059+16.4</f>
        <v>40.981999999999999</v>
      </c>
      <c r="O857" s="122"/>
      <c r="P857" s="92">
        <f t="shared" si="105"/>
        <v>40.982320000000001</v>
      </c>
      <c r="Q857" s="113">
        <f t="shared" si="106"/>
        <v>2.0045699999999997</v>
      </c>
      <c r="R857" s="92">
        <f t="shared" si="107"/>
        <v>1.5591100000000002</v>
      </c>
      <c r="S857" s="121"/>
      <c r="T857" s="93">
        <f t="shared" si="108"/>
        <v>3.2000000000009798E-4</v>
      </c>
      <c r="U857" s="122"/>
      <c r="V857" s="94">
        <f t="shared" ca="1" si="143"/>
        <v>222.4644447916653</v>
      </c>
      <c r="W857" s="89"/>
    </row>
    <row r="858" spans="1:23" ht="18">
      <c r="A858" s="260"/>
      <c r="B858" s="260" t="s">
        <v>1377</v>
      </c>
      <c r="C858" s="130" t="s">
        <v>1731</v>
      </c>
      <c r="D858" s="131" t="s">
        <v>1843</v>
      </c>
      <c r="E858" s="337">
        <v>363</v>
      </c>
      <c r="F858" s="263">
        <v>45160</v>
      </c>
      <c r="G858" s="339">
        <v>45.800000000000004</v>
      </c>
      <c r="H858" s="150">
        <v>2199545</v>
      </c>
      <c r="I858" s="106">
        <f t="shared" si="135"/>
        <v>48024.999999999993</v>
      </c>
      <c r="J858" s="122"/>
      <c r="K858" s="157" t="s">
        <v>2042</v>
      </c>
      <c r="L858" s="166">
        <f>E858</f>
        <v>363</v>
      </c>
      <c r="M858" s="119" t="s">
        <v>2043</v>
      </c>
      <c r="N858" s="135">
        <f>23.517+8.061+10.558</f>
        <v>42.135999999999996</v>
      </c>
      <c r="O858" s="122"/>
      <c r="P858" s="92">
        <f t="shared" si="105"/>
        <v>42.136000000000003</v>
      </c>
      <c r="Q858" s="113">
        <f t="shared" si="106"/>
        <v>2.0609999999999999</v>
      </c>
      <c r="R858" s="92">
        <f t="shared" si="107"/>
        <v>1.6030000000000002</v>
      </c>
      <c r="S858" s="121"/>
      <c r="T858" s="93">
        <f t="shared" si="108"/>
        <v>8.4376949871511897E-15</v>
      </c>
      <c r="U858" s="122"/>
      <c r="V858" s="94">
        <f t="shared" ca="1" si="143"/>
        <v>222.4644447916653</v>
      </c>
      <c r="W858" s="89"/>
    </row>
    <row r="859" spans="1:23" ht="18">
      <c r="A859" s="260"/>
      <c r="B859" s="260" t="s">
        <v>1377</v>
      </c>
      <c r="C859" s="130" t="s">
        <v>1731</v>
      </c>
      <c r="D859" s="131" t="s">
        <v>1844</v>
      </c>
      <c r="E859" s="336">
        <v>364</v>
      </c>
      <c r="F859" s="263">
        <v>45160</v>
      </c>
      <c r="G859" s="338">
        <v>34.35</v>
      </c>
      <c r="H859" s="150">
        <v>1657387.5</v>
      </c>
      <c r="I859" s="106">
        <f t="shared" si="135"/>
        <v>48250</v>
      </c>
      <c r="J859" s="122"/>
      <c r="K859" s="157" t="s">
        <v>2045</v>
      </c>
      <c r="L859" s="166">
        <f t="shared" si="186"/>
        <v>364</v>
      </c>
      <c r="M859" s="119" t="s">
        <v>2046</v>
      </c>
      <c r="N859" s="135">
        <f>13.554+18.048</f>
        <v>31.601999999999997</v>
      </c>
      <c r="O859" s="122"/>
      <c r="P859" s="92">
        <f t="shared" si="105"/>
        <v>31.602000000000004</v>
      </c>
      <c r="Q859" s="113">
        <f t="shared" si="106"/>
        <v>1.54575</v>
      </c>
      <c r="R859" s="92">
        <f t="shared" si="107"/>
        <v>1.2022500000000003</v>
      </c>
      <c r="S859" s="121"/>
      <c r="T859" s="93">
        <f t="shared" si="108"/>
        <v>4.4408920985006262E-15</v>
      </c>
      <c r="U859" s="122"/>
      <c r="V859" s="94">
        <f t="shared" ca="1" si="143"/>
        <v>222.4644447916653</v>
      </c>
      <c r="W859" s="89"/>
    </row>
    <row r="860" spans="1:23" ht="18">
      <c r="A860" s="260"/>
      <c r="B860" s="260" t="s">
        <v>1377</v>
      </c>
      <c r="C860" s="130" t="s">
        <v>1731</v>
      </c>
      <c r="D860" s="131" t="s">
        <v>1844</v>
      </c>
      <c r="E860" s="336">
        <v>365</v>
      </c>
      <c r="F860" s="263">
        <v>45160</v>
      </c>
      <c r="G860" s="338">
        <v>31.06</v>
      </c>
      <c r="H860" s="150">
        <v>1498645</v>
      </c>
      <c r="I860" s="106">
        <f t="shared" si="135"/>
        <v>48250</v>
      </c>
      <c r="J860" s="122"/>
      <c r="K860" s="157" t="s">
        <v>2047</v>
      </c>
      <c r="L860" s="166">
        <f t="shared" si="186"/>
        <v>365</v>
      </c>
      <c r="M860" s="119" t="s">
        <v>2046</v>
      </c>
      <c r="N860" s="135">
        <f>14.443+14.132</f>
        <v>28.574999999999999</v>
      </c>
      <c r="O860" s="122"/>
      <c r="P860" s="92">
        <f t="shared" si="98"/>
        <v>28.575199999999999</v>
      </c>
      <c r="Q860" s="113">
        <f t="shared" si="99"/>
        <v>1.3976999999999999</v>
      </c>
      <c r="R860" s="92">
        <f t="shared" si="100"/>
        <v>1.0871</v>
      </c>
      <c r="S860" s="121"/>
      <c r="T860" s="93">
        <f t="shared" si="101"/>
        <v>1.9999999999953388E-4</v>
      </c>
      <c r="U860" s="122"/>
      <c r="V860" s="94">
        <f t="shared" ca="1" si="143"/>
        <v>222.4644447916653</v>
      </c>
      <c r="W860" s="89"/>
    </row>
    <row r="861" spans="1:23" ht="18">
      <c r="A861" s="260"/>
      <c r="B861" s="260" t="s">
        <v>1377</v>
      </c>
      <c r="C861" s="175" t="s">
        <v>1379</v>
      </c>
      <c r="D861" s="131" t="s">
        <v>1845</v>
      </c>
      <c r="E861" s="336">
        <v>366</v>
      </c>
      <c r="F861" s="263">
        <v>45160</v>
      </c>
      <c r="G861" s="338">
        <v>45.8</v>
      </c>
      <c r="H861" s="150">
        <v>2175500</v>
      </c>
      <c r="I861" s="106">
        <f t="shared" si="135"/>
        <v>47500</v>
      </c>
      <c r="J861" s="122"/>
      <c r="K861" s="157" t="s">
        <v>2048</v>
      </c>
      <c r="L861" s="166">
        <f t="shared" si="186"/>
        <v>366</v>
      </c>
      <c r="M861" s="119" t="s">
        <v>2046</v>
      </c>
      <c r="N861" s="135">
        <f>18.004+24.132</f>
        <v>42.136000000000003</v>
      </c>
      <c r="O861" s="122"/>
      <c r="P861" s="92">
        <f t="shared" si="98"/>
        <v>42.135999999999996</v>
      </c>
      <c r="Q861" s="113">
        <f t="shared" si="99"/>
        <v>2.0609999999999999</v>
      </c>
      <c r="R861" s="92">
        <f t="shared" si="100"/>
        <v>1.603</v>
      </c>
      <c r="S861" s="121"/>
      <c r="T861" s="93">
        <f t="shared" si="101"/>
        <v>-5.5511151231257827E-15</v>
      </c>
      <c r="U861" s="122"/>
      <c r="V861" s="94">
        <f t="shared" ca="1" si="143"/>
        <v>222.4644447916653</v>
      </c>
      <c r="W861" s="89"/>
    </row>
    <row r="862" spans="1:23" ht="18">
      <c r="A862" s="260"/>
      <c r="B862" s="260" t="s">
        <v>1377</v>
      </c>
      <c r="C862" s="175" t="s">
        <v>1811</v>
      </c>
      <c r="D862" s="131" t="s">
        <v>1846</v>
      </c>
      <c r="E862" s="336">
        <v>367</v>
      </c>
      <c r="F862" s="263">
        <v>45160</v>
      </c>
      <c r="G862" s="338">
        <v>32.561999999999998</v>
      </c>
      <c r="H862" s="150">
        <v>1546695</v>
      </c>
      <c r="I862" s="106">
        <f t="shared" si="135"/>
        <v>47500</v>
      </c>
      <c r="J862" s="122"/>
      <c r="K862" s="157" t="s">
        <v>2054</v>
      </c>
      <c r="L862" s="166">
        <f t="shared" si="186"/>
        <v>367</v>
      </c>
      <c r="M862" s="119" t="s">
        <v>2055</v>
      </c>
      <c r="N862" s="135">
        <f>0.457+24.435+5.065</f>
        <v>29.957000000000001</v>
      </c>
      <c r="O862" s="122"/>
      <c r="P862" s="92">
        <f t="shared" si="98"/>
        <v>29.957039999999999</v>
      </c>
      <c r="Q862" s="113">
        <f t="shared" si="99"/>
        <v>1.4652899999999998</v>
      </c>
      <c r="R862" s="92">
        <f t="shared" si="100"/>
        <v>1.13967</v>
      </c>
      <c r="S862" s="121"/>
      <c r="T862" s="93">
        <f t="shared" si="101"/>
        <v>3.9999999997153424E-5</v>
      </c>
      <c r="U862" s="122"/>
      <c r="V862" s="94">
        <f t="shared" ca="1" si="143"/>
        <v>222.4644447916653</v>
      </c>
      <c r="W862" s="89"/>
    </row>
    <row r="863" spans="1:23" s="312" customFormat="1" ht="18">
      <c r="A863" s="260"/>
      <c r="B863" s="260" t="s">
        <v>1377</v>
      </c>
      <c r="C863" s="175" t="s">
        <v>1811</v>
      </c>
      <c r="D863" s="131" t="s">
        <v>1847</v>
      </c>
      <c r="E863" s="336">
        <v>368</v>
      </c>
      <c r="F863" s="263">
        <v>45160</v>
      </c>
      <c r="G863" s="338">
        <v>32.561999999999998</v>
      </c>
      <c r="H863" s="150">
        <v>1546695</v>
      </c>
      <c r="I863" s="106">
        <f t="shared" ref="I863:I1259" si="187">H863/G863</f>
        <v>47500</v>
      </c>
      <c r="J863" s="122"/>
      <c r="K863" s="157" t="s">
        <v>2056</v>
      </c>
      <c r="L863" s="166">
        <f t="shared" si="186"/>
        <v>368</v>
      </c>
      <c r="M863" s="119" t="s">
        <v>2052</v>
      </c>
      <c r="N863" s="135">
        <f>26.058+3.899</f>
        <v>29.957000000000001</v>
      </c>
      <c r="O863" s="122"/>
      <c r="P863" s="92">
        <f t="shared" ref="P863:P1259" si="188">G863*0.92</f>
        <v>29.957039999999999</v>
      </c>
      <c r="Q863" s="113">
        <f t="shared" ref="Q863:Q1259" si="189">G863*4.5%</f>
        <v>1.4652899999999998</v>
      </c>
      <c r="R863" s="92">
        <f t="shared" ref="R863:R1259" si="190">G863*3.5%</f>
        <v>1.13967</v>
      </c>
      <c r="S863" s="121"/>
      <c r="T863" s="93">
        <f t="shared" ref="T863:T1259" si="191">G863-N863-Q863-R863</f>
        <v>3.9999999997153424E-5</v>
      </c>
      <c r="U863" s="122"/>
      <c r="V863" s="94">
        <f t="shared" ref="V863:V1259" ca="1" si="192">360-($V$3-F863)</f>
        <v>222.4644447916653</v>
      </c>
      <c r="W863" s="89"/>
    </row>
    <row r="864" spans="1:23" s="312" customFormat="1" ht="18">
      <c r="A864" s="260"/>
      <c r="B864" s="260" t="s">
        <v>1377</v>
      </c>
      <c r="C864" s="175" t="s">
        <v>1811</v>
      </c>
      <c r="D864" s="131" t="s">
        <v>1847</v>
      </c>
      <c r="E864" s="336">
        <v>369</v>
      </c>
      <c r="F864" s="263">
        <v>45160</v>
      </c>
      <c r="G864" s="338">
        <v>32.561999999999998</v>
      </c>
      <c r="H864" s="150">
        <v>1546695</v>
      </c>
      <c r="I864" s="106">
        <f t="shared" si="187"/>
        <v>47500</v>
      </c>
      <c r="J864" s="122"/>
      <c r="K864" s="157" t="s">
        <v>2061</v>
      </c>
      <c r="L864" s="166">
        <f t="shared" si="186"/>
        <v>369</v>
      </c>
      <c r="M864" s="119" t="s">
        <v>2058</v>
      </c>
      <c r="N864" s="135">
        <f>20.739+9.218</f>
        <v>29.957000000000001</v>
      </c>
      <c r="O864" s="122"/>
      <c r="P864" s="92">
        <f t="shared" si="188"/>
        <v>29.957039999999999</v>
      </c>
      <c r="Q864" s="113">
        <f t="shared" si="189"/>
        <v>1.4652899999999998</v>
      </c>
      <c r="R864" s="92">
        <f t="shared" si="190"/>
        <v>1.13967</v>
      </c>
      <c r="S864" s="121"/>
      <c r="T864" s="93">
        <f t="shared" si="191"/>
        <v>3.9999999997153424E-5</v>
      </c>
      <c r="U864" s="122"/>
      <c r="V864" s="94">
        <f t="shared" ca="1" si="192"/>
        <v>222.4644447916653</v>
      </c>
      <c r="W864" s="89"/>
    </row>
    <row r="865" spans="1:23" s="312" customFormat="1" ht="18">
      <c r="A865" s="260"/>
      <c r="B865" s="260" t="s">
        <v>1377</v>
      </c>
      <c r="C865" s="175" t="s">
        <v>1811</v>
      </c>
      <c r="D865" s="131" t="s">
        <v>1846</v>
      </c>
      <c r="E865" s="336">
        <v>370</v>
      </c>
      <c r="F865" s="263">
        <v>45160</v>
      </c>
      <c r="G865" s="338">
        <v>32.561999999999998</v>
      </c>
      <c r="H865" s="150">
        <v>1546695</v>
      </c>
      <c r="I865" s="106">
        <f t="shared" si="187"/>
        <v>47500</v>
      </c>
      <c r="J865" s="122"/>
      <c r="K865" s="157" t="s">
        <v>2062</v>
      </c>
      <c r="L865" s="166">
        <f t="shared" si="186"/>
        <v>370</v>
      </c>
      <c r="M865" s="119" t="s">
        <v>2058</v>
      </c>
      <c r="N865" s="135">
        <f>23.702+6.255</f>
        <v>29.957000000000001</v>
      </c>
      <c r="O865" s="122"/>
      <c r="P865" s="92">
        <f t="shared" si="188"/>
        <v>29.957039999999999</v>
      </c>
      <c r="Q865" s="113">
        <f t="shared" si="189"/>
        <v>1.4652899999999998</v>
      </c>
      <c r="R865" s="92">
        <f t="shared" si="190"/>
        <v>1.13967</v>
      </c>
      <c r="S865" s="121"/>
      <c r="T865" s="93">
        <f t="shared" si="191"/>
        <v>3.9999999997153424E-5</v>
      </c>
      <c r="U865" s="122"/>
      <c r="V865" s="94">
        <f t="shared" ca="1" si="192"/>
        <v>222.4644447916653</v>
      </c>
      <c r="W865" s="89"/>
    </row>
    <row r="866" spans="1:23" s="312" customFormat="1" ht="18">
      <c r="A866" s="260"/>
      <c r="B866" s="260" t="s">
        <v>1377</v>
      </c>
      <c r="C866" s="130" t="s">
        <v>1732</v>
      </c>
      <c r="D866" s="131" t="s">
        <v>1848</v>
      </c>
      <c r="E866" s="336">
        <v>371</v>
      </c>
      <c r="F866" s="263">
        <v>45160</v>
      </c>
      <c r="G866" s="338">
        <v>32.561999999999998</v>
      </c>
      <c r="H866" s="150">
        <v>1497852</v>
      </c>
      <c r="I866" s="106">
        <f t="shared" si="187"/>
        <v>46000</v>
      </c>
      <c r="J866" s="122"/>
      <c r="K866" s="157" t="s">
        <v>2067</v>
      </c>
      <c r="L866" s="166">
        <f t="shared" si="186"/>
        <v>371</v>
      </c>
      <c r="M866" s="119" t="s">
        <v>2066</v>
      </c>
      <c r="N866" s="135">
        <f>8.639+21.318</f>
        <v>29.957000000000001</v>
      </c>
      <c r="O866" s="122"/>
      <c r="P866" s="92">
        <f t="shared" si="188"/>
        <v>29.957039999999999</v>
      </c>
      <c r="Q866" s="113">
        <f t="shared" si="189"/>
        <v>1.4652899999999998</v>
      </c>
      <c r="R866" s="92">
        <f t="shared" si="190"/>
        <v>1.13967</v>
      </c>
      <c r="S866" s="121"/>
      <c r="T866" s="93">
        <f t="shared" si="191"/>
        <v>3.9999999997153424E-5</v>
      </c>
      <c r="U866" s="122"/>
      <c r="V866" s="94">
        <f t="shared" ca="1" si="192"/>
        <v>222.4644447916653</v>
      </c>
      <c r="W866" s="89"/>
    </row>
    <row r="867" spans="1:23" s="312" customFormat="1" ht="18">
      <c r="A867" s="260"/>
      <c r="B867" s="260" t="s">
        <v>1377</v>
      </c>
      <c r="C867" s="175" t="s">
        <v>1811</v>
      </c>
      <c r="D867" s="131" t="s">
        <v>1849</v>
      </c>
      <c r="E867" s="337">
        <v>372</v>
      </c>
      <c r="F867" s="263">
        <v>45160</v>
      </c>
      <c r="G867" s="339">
        <v>32.576999999999998</v>
      </c>
      <c r="H867" s="150">
        <v>1555548</v>
      </c>
      <c r="I867" s="106">
        <f t="shared" si="187"/>
        <v>47749.88488811125</v>
      </c>
      <c r="J867" s="122"/>
      <c r="K867" s="157" t="s">
        <v>2068</v>
      </c>
      <c r="L867" s="166">
        <f t="shared" si="186"/>
        <v>372</v>
      </c>
      <c r="M867" s="119" t="s">
        <v>2069</v>
      </c>
      <c r="N867" s="135">
        <f>3.237+24.096+2.638</f>
        <v>29.970999999999997</v>
      </c>
      <c r="O867" s="122"/>
      <c r="P867" s="92">
        <f t="shared" si="188"/>
        <v>29.970839999999999</v>
      </c>
      <c r="Q867" s="113">
        <f t="shared" si="189"/>
        <v>1.465965</v>
      </c>
      <c r="R867" s="92">
        <f t="shared" si="190"/>
        <v>1.1401950000000001</v>
      </c>
      <c r="S867" s="121"/>
      <c r="T867" s="93">
        <f t="shared" si="191"/>
        <v>-1.5999999999838366E-4</v>
      </c>
      <c r="U867" s="122"/>
      <c r="V867" s="94">
        <f t="shared" ca="1" si="192"/>
        <v>222.4644447916653</v>
      </c>
      <c r="W867" s="89"/>
    </row>
    <row r="868" spans="1:23" s="312" customFormat="1" ht="18">
      <c r="A868" s="260"/>
      <c r="B868" s="260" t="s">
        <v>1377</v>
      </c>
      <c r="C868" s="175" t="s">
        <v>1733</v>
      </c>
      <c r="D868" s="131" t="s">
        <v>1850</v>
      </c>
      <c r="E868" s="336">
        <v>373</v>
      </c>
      <c r="F868" s="263">
        <v>45160</v>
      </c>
      <c r="G868" s="338">
        <v>32.561999999999998</v>
      </c>
      <c r="H868" s="150">
        <v>1571116.5</v>
      </c>
      <c r="I868" s="106">
        <f t="shared" si="187"/>
        <v>48250</v>
      </c>
      <c r="J868" s="122"/>
      <c r="K868" s="157" t="s">
        <v>2070</v>
      </c>
      <c r="L868" s="166">
        <f t="shared" si="186"/>
        <v>373</v>
      </c>
      <c r="M868" s="119" t="s">
        <v>2071</v>
      </c>
      <c r="N868" s="135">
        <f>29.36+0.597</f>
        <v>29.957000000000001</v>
      </c>
      <c r="O868" s="122"/>
      <c r="P868" s="92">
        <f t="shared" si="188"/>
        <v>29.957039999999999</v>
      </c>
      <c r="Q868" s="113">
        <f t="shared" si="189"/>
        <v>1.4652899999999998</v>
      </c>
      <c r="R868" s="92">
        <f t="shared" si="190"/>
        <v>1.13967</v>
      </c>
      <c r="S868" s="121"/>
      <c r="T868" s="93">
        <f t="shared" si="191"/>
        <v>3.9999999997153424E-5</v>
      </c>
      <c r="U868" s="122"/>
      <c r="V868" s="94">
        <f t="shared" ca="1" si="192"/>
        <v>222.4644447916653</v>
      </c>
      <c r="W868" s="89"/>
    </row>
    <row r="869" spans="1:23" s="312" customFormat="1" ht="18">
      <c r="A869" s="260"/>
      <c r="B869" s="260" t="s">
        <v>1377</v>
      </c>
      <c r="C869" s="175" t="s">
        <v>1811</v>
      </c>
      <c r="D869" s="131" t="s">
        <v>1851</v>
      </c>
      <c r="E869" s="336">
        <v>374</v>
      </c>
      <c r="F869" s="263">
        <v>45160</v>
      </c>
      <c r="G869" s="338">
        <v>32.561999999999998</v>
      </c>
      <c r="H869" s="150">
        <v>1546695</v>
      </c>
      <c r="I869" s="106">
        <f t="shared" si="187"/>
        <v>47500</v>
      </c>
      <c r="J869" s="122"/>
      <c r="K869" s="157">
        <v>952</v>
      </c>
      <c r="L869" s="166">
        <f t="shared" si="186"/>
        <v>374</v>
      </c>
      <c r="M869" s="119" t="s">
        <v>2072</v>
      </c>
      <c r="N869" s="135">
        <v>29.957000000000001</v>
      </c>
      <c r="O869" s="122"/>
      <c r="P869" s="92">
        <f t="shared" si="188"/>
        <v>29.957039999999999</v>
      </c>
      <c r="Q869" s="113">
        <f t="shared" si="189"/>
        <v>1.4652899999999998</v>
      </c>
      <c r="R869" s="92">
        <f t="shared" si="190"/>
        <v>1.13967</v>
      </c>
      <c r="S869" s="121"/>
      <c r="T869" s="93">
        <f t="shared" si="191"/>
        <v>3.9999999997153424E-5</v>
      </c>
      <c r="U869" s="122"/>
      <c r="V869" s="94">
        <f t="shared" ca="1" si="192"/>
        <v>222.4644447916653</v>
      </c>
      <c r="W869" s="89"/>
    </row>
    <row r="870" spans="1:23" s="312" customFormat="1" ht="18">
      <c r="A870" s="260"/>
      <c r="B870" s="260" t="s">
        <v>1377</v>
      </c>
      <c r="C870" s="130" t="s">
        <v>1732</v>
      </c>
      <c r="D870" s="131" t="s">
        <v>1852</v>
      </c>
      <c r="E870" s="337">
        <v>375</v>
      </c>
      <c r="F870" s="263">
        <v>45160</v>
      </c>
      <c r="G870" s="339">
        <v>32.561999999999998</v>
      </c>
      <c r="H870" s="150">
        <v>1541268</v>
      </c>
      <c r="I870" s="106">
        <f t="shared" si="187"/>
        <v>47333.333333333336</v>
      </c>
      <c r="J870" s="122"/>
      <c r="K870" s="157" t="s">
        <v>2074</v>
      </c>
      <c r="L870" s="166">
        <f t="shared" si="186"/>
        <v>375</v>
      </c>
      <c r="M870" s="119" t="s">
        <v>2075</v>
      </c>
      <c r="N870" s="135">
        <f>1.117+24.339+4.501</f>
        <v>29.957000000000001</v>
      </c>
      <c r="O870" s="122"/>
      <c r="P870" s="92">
        <f t="shared" si="188"/>
        <v>29.957039999999999</v>
      </c>
      <c r="Q870" s="113">
        <f t="shared" si="189"/>
        <v>1.4652899999999998</v>
      </c>
      <c r="R870" s="92">
        <f t="shared" si="190"/>
        <v>1.13967</v>
      </c>
      <c r="S870" s="121"/>
      <c r="T870" s="93">
        <f t="shared" si="191"/>
        <v>3.9999999997153424E-5</v>
      </c>
      <c r="U870" s="122"/>
      <c r="V870" s="94">
        <f t="shared" ca="1" si="192"/>
        <v>222.4644447916653</v>
      </c>
      <c r="W870" s="89"/>
    </row>
    <row r="871" spans="1:23" s="312" customFormat="1" ht="18">
      <c r="A871" s="260"/>
      <c r="B871" s="260" t="s">
        <v>1377</v>
      </c>
      <c r="C871" s="130" t="s">
        <v>1732</v>
      </c>
      <c r="D871" s="131" t="s">
        <v>1853</v>
      </c>
      <c r="E871" s="337">
        <v>376</v>
      </c>
      <c r="F871" s="263">
        <v>45160</v>
      </c>
      <c r="G871" s="339">
        <v>31.994</v>
      </c>
      <c r="H871" s="150">
        <v>1471724</v>
      </c>
      <c r="I871" s="106">
        <f t="shared" si="187"/>
        <v>46000</v>
      </c>
      <c r="J871" s="122"/>
      <c r="K871" s="157" t="s">
        <v>2076</v>
      </c>
      <c r="L871" s="166">
        <f t="shared" si="186"/>
        <v>376</v>
      </c>
      <c r="M871" s="119" t="s">
        <v>2073</v>
      </c>
      <c r="N871" s="135">
        <f>20.096+9.338</f>
        <v>29.433999999999997</v>
      </c>
      <c r="O871" s="122"/>
      <c r="P871" s="92">
        <f t="shared" si="188"/>
        <v>29.434480000000001</v>
      </c>
      <c r="Q871" s="113">
        <f t="shared" si="189"/>
        <v>1.43973</v>
      </c>
      <c r="R871" s="92">
        <f t="shared" si="190"/>
        <v>1.1197900000000001</v>
      </c>
      <c r="S871" s="121"/>
      <c r="T871" s="93">
        <f t="shared" si="191"/>
        <v>4.800000000022564E-4</v>
      </c>
      <c r="U871" s="122"/>
      <c r="V871" s="94">
        <f t="shared" ca="1" si="192"/>
        <v>222.4644447916653</v>
      </c>
      <c r="W871" s="89"/>
    </row>
    <row r="872" spans="1:23" s="312" customFormat="1" ht="18">
      <c r="A872" s="260"/>
      <c r="B872" s="260" t="s">
        <v>1377</v>
      </c>
      <c r="C872" s="130" t="s">
        <v>1732</v>
      </c>
      <c r="D872" s="131" t="s">
        <v>1853</v>
      </c>
      <c r="E872" s="336">
        <v>377</v>
      </c>
      <c r="F872" s="263">
        <v>45160</v>
      </c>
      <c r="G872" s="338">
        <v>18.720000000000002</v>
      </c>
      <c r="H872" s="150">
        <v>861120.00000000012</v>
      </c>
      <c r="I872" s="106">
        <f t="shared" si="187"/>
        <v>46000</v>
      </c>
      <c r="J872" s="122"/>
      <c r="K872" s="157">
        <v>958</v>
      </c>
      <c r="L872" s="166">
        <f t="shared" si="186"/>
        <v>377</v>
      </c>
      <c r="M872" s="119" t="s">
        <v>2072</v>
      </c>
      <c r="N872" s="135">
        <v>17.222000000000001</v>
      </c>
      <c r="O872" s="122"/>
      <c r="P872" s="92">
        <f t="shared" si="188"/>
        <v>17.222400000000004</v>
      </c>
      <c r="Q872" s="113">
        <f t="shared" si="189"/>
        <v>0.84240000000000004</v>
      </c>
      <c r="R872" s="92">
        <f t="shared" si="190"/>
        <v>0.65520000000000012</v>
      </c>
      <c r="S872" s="121"/>
      <c r="T872" s="93">
        <f t="shared" si="191"/>
        <v>4.0000000000095515E-4</v>
      </c>
      <c r="U872" s="122"/>
      <c r="V872" s="94">
        <f t="shared" ca="1" si="192"/>
        <v>222.4644447916653</v>
      </c>
      <c r="W872" s="89"/>
    </row>
    <row r="873" spans="1:23" s="312" customFormat="1" ht="18">
      <c r="A873" s="260"/>
      <c r="B873" s="260" t="s">
        <v>1377</v>
      </c>
      <c r="C873" s="130" t="s">
        <v>1732</v>
      </c>
      <c r="D873" s="131" t="s">
        <v>1848</v>
      </c>
      <c r="E873" s="336">
        <v>378</v>
      </c>
      <c r="F873" s="263">
        <v>45160</v>
      </c>
      <c r="G873" s="338">
        <v>32.561999999999998</v>
      </c>
      <c r="H873" s="150">
        <v>1497852</v>
      </c>
      <c r="I873" s="106">
        <f t="shared" si="187"/>
        <v>46000</v>
      </c>
      <c r="J873" s="122"/>
      <c r="K873" s="157" t="s">
        <v>2086</v>
      </c>
      <c r="L873" s="166">
        <f t="shared" si="186"/>
        <v>378</v>
      </c>
      <c r="M873" s="119" t="s">
        <v>2087</v>
      </c>
      <c r="N873" s="135">
        <f>6.178+23.779</f>
        <v>29.957000000000001</v>
      </c>
      <c r="O873" s="122"/>
      <c r="P873" s="92">
        <f t="shared" si="188"/>
        <v>29.957039999999999</v>
      </c>
      <c r="Q873" s="113">
        <f t="shared" si="189"/>
        <v>1.4652899999999998</v>
      </c>
      <c r="R873" s="92">
        <f t="shared" si="190"/>
        <v>1.13967</v>
      </c>
      <c r="S873" s="121"/>
      <c r="T873" s="93">
        <f t="shared" si="191"/>
        <v>3.9999999997153424E-5</v>
      </c>
      <c r="U873" s="122"/>
      <c r="V873" s="94">
        <f t="shared" ca="1" si="192"/>
        <v>222.4644447916653</v>
      </c>
      <c r="W873" s="89"/>
    </row>
    <row r="874" spans="1:23" s="312" customFormat="1" ht="18">
      <c r="A874" s="260"/>
      <c r="B874" s="260" t="s">
        <v>1377</v>
      </c>
      <c r="C874" s="175" t="s">
        <v>1811</v>
      </c>
      <c r="D874" s="131" t="s">
        <v>1818</v>
      </c>
      <c r="E874" s="336">
        <v>379</v>
      </c>
      <c r="F874" s="263">
        <v>45160</v>
      </c>
      <c r="G874" s="341">
        <v>28.952000000000002</v>
      </c>
      <c r="H874" s="150">
        <v>1375220</v>
      </c>
      <c r="I874" s="106">
        <f t="shared" si="187"/>
        <v>47500</v>
      </c>
      <c r="J874" s="122"/>
      <c r="K874" s="157" t="s">
        <v>2088</v>
      </c>
      <c r="L874" s="166">
        <f t="shared" si="186"/>
        <v>379</v>
      </c>
      <c r="M874" s="119" t="s">
        <v>2089</v>
      </c>
      <c r="N874" s="135">
        <f>5.946+20.69</f>
        <v>26.636000000000003</v>
      </c>
      <c r="O874" s="122"/>
      <c r="P874" s="92">
        <f t="shared" si="188"/>
        <v>26.635840000000002</v>
      </c>
      <c r="Q874" s="113">
        <f t="shared" si="189"/>
        <v>1.30284</v>
      </c>
      <c r="R874" s="92">
        <f t="shared" si="190"/>
        <v>1.0133200000000002</v>
      </c>
      <c r="S874" s="121"/>
      <c r="T874" s="93">
        <f t="shared" si="191"/>
        <v>-1.6000000000127024E-4</v>
      </c>
      <c r="U874" s="122"/>
      <c r="V874" s="94">
        <f t="shared" ca="1" si="192"/>
        <v>222.4644447916653</v>
      </c>
      <c r="W874" s="89"/>
    </row>
    <row r="875" spans="1:23" s="312" customFormat="1" ht="18">
      <c r="A875" s="260"/>
      <c r="B875" s="260"/>
      <c r="C875" s="175"/>
      <c r="D875" s="131"/>
      <c r="E875" s="336"/>
      <c r="F875" s="263"/>
      <c r="G875" s="341"/>
      <c r="H875" s="150"/>
      <c r="I875" s="106"/>
      <c r="J875" s="122"/>
      <c r="K875" s="157"/>
      <c r="L875" s="166"/>
      <c r="M875" s="119"/>
      <c r="N875" s="135"/>
      <c r="O875" s="122"/>
      <c r="P875" s="92"/>
      <c r="Q875" s="113"/>
      <c r="R875" s="92"/>
      <c r="S875" s="121"/>
      <c r="T875" s="93"/>
      <c r="U875" s="122"/>
      <c r="V875" s="94"/>
      <c r="W875" s="89"/>
    </row>
    <row r="876" spans="1:23" s="312" customFormat="1" ht="18">
      <c r="A876" s="260"/>
      <c r="B876" s="260" t="s">
        <v>505</v>
      </c>
      <c r="C876" s="175" t="s">
        <v>55</v>
      </c>
      <c r="D876" s="131" t="s">
        <v>1854</v>
      </c>
      <c r="E876" s="145">
        <v>381</v>
      </c>
      <c r="F876" s="263">
        <v>45162</v>
      </c>
      <c r="G876" s="341">
        <v>40.4</v>
      </c>
      <c r="H876" s="150">
        <v>2146048</v>
      </c>
      <c r="I876" s="106">
        <f t="shared" si="187"/>
        <v>53120</v>
      </c>
      <c r="J876" s="122"/>
      <c r="K876" s="157" t="s">
        <v>2091</v>
      </c>
      <c r="L876" s="166">
        <f t="shared" si="186"/>
        <v>381</v>
      </c>
      <c r="M876" s="119" t="s">
        <v>2090</v>
      </c>
      <c r="N876" s="135">
        <f>3.657+32.57+0.941</f>
        <v>37.168000000000006</v>
      </c>
      <c r="O876" s="122"/>
      <c r="P876" s="92">
        <f t="shared" si="188"/>
        <v>37.167999999999999</v>
      </c>
      <c r="Q876" s="113">
        <f t="shared" si="189"/>
        <v>1.8179999999999998</v>
      </c>
      <c r="R876" s="92">
        <f t="shared" si="190"/>
        <v>1.4140000000000001</v>
      </c>
      <c r="S876" s="121"/>
      <c r="T876" s="93">
        <f t="shared" si="191"/>
        <v>-7.7715611723760958E-15</v>
      </c>
      <c r="U876" s="122"/>
      <c r="V876" s="94">
        <f t="shared" ca="1" si="192"/>
        <v>224.4644447916653</v>
      </c>
      <c r="W876" s="89"/>
    </row>
    <row r="877" spans="1:23" s="312" customFormat="1" ht="18">
      <c r="A877" s="260"/>
      <c r="B877" s="260" t="s">
        <v>505</v>
      </c>
      <c r="C877" s="175" t="s">
        <v>55</v>
      </c>
      <c r="D877" s="131" t="s">
        <v>1855</v>
      </c>
      <c r="E877" s="145">
        <v>382</v>
      </c>
      <c r="F877" s="263">
        <v>45162</v>
      </c>
      <c r="G877" s="341">
        <v>27.42</v>
      </c>
      <c r="H877" s="150">
        <v>1456550.4000000001</v>
      </c>
      <c r="I877" s="106">
        <f t="shared" si="187"/>
        <v>53120</v>
      </c>
      <c r="J877" s="122"/>
      <c r="K877" s="157" t="s">
        <v>2092</v>
      </c>
      <c r="L877" s="166">
        <f t="shared" si="186"/>
        <v>382</v>
      </c>
      <c r="M877" s="119" t="s">
        <v>2093</v>
      </c>
      <c r="N877" s="135">
        <f>23.418+1.808</f>
        <v>25.225999999999999</v>
      </c>
      <c r="O877" s="122"/>
      <c r="P877" s="92">
        <f t="shared" si="188"/>
        <v>25.226400000000002</v>
      </c>
      <c r="Q877" s="113">
        <f t="shared" si="189"/>
        <v>1.2339</v>
      </c>
      <c r="R877" s="92">
        <f t="shared" si="190"/>
        <v>0.95970000000000011</v>
      </c>
      <c r="S877" s="121"/>
      <c r="T877" s="93">
        <f t="shared" si="191"/>
        <v>4.0000000000250946E-4</v>
      </c>
      <c r="U877" s="122"/>
      <c r="V877" s="94">
        <f t="shared" ca="1" si="192"/>
        <v>224.4644447916653</v>
      </c>
      <c r="W877" s="89"/>
    </row>
    <row r="878" spans="1:23" s="312" customFormat="1" ht="18">
      <c r="A878" s="260"/>
      <c r="B878" s="260" t="s">
        <v>505</v>
      </c>
      <c r="C878" s="175" t="s">
        <v>55</v>
      </c>
      <c r="D878" s="131" t="s">
        <v>1856</v>
      </c>
      <c r="E878" s="145">
        <v>383</v>
      </c>
      <c r="F878" s="263">
        <v>45162</v>
      </c>
      <c r="G878" s="341">
        <v>31.46</v>
      </c>
      <c r="H878" s="150">
        <v>1671155.2</v>
      </c>
      <c r="I878" s="106">
        <f t="shared" si="187"/>
        <v>53120</v>
      </c>
      <c r="J878" s="122"/>
      <c r="K878" s="157" t="s">
        <v>2094</v>
      </c>
      <c r="L878" s="166">
        <f t="shared" si="186"/>
        <v>383</v>
      </c>
      <c r="M878" s="119" t="s">
        <v>2095</v>
      </c>
      <c r="N878" s="135">
        <f>22.285+6.658</f>
        <v>28.943000000000001</v>
      </c>
      <c r="O878" s="122"/>
      <c r="P878" s="92">
        <f t="shared" si="188"/>
        <v>28.943200000000001</v>
      </c>
      <c r="Q878" s="113">
        <f t="shared" si="189"/>
        <v>1.4157</v>
      </c>
      <c r="R878" s="92">
        <f t="shared" si="190"/>
        <v>1.1011000000000002</v>
      </c>
      <c r="S878" s="121"/>
      <c r="T878" s="93">
        <f t="shared" si="191"/>
        <v>1.9999999999931184E-4</v>
      </c>
      <c r="U878" s="122"/>
      <c r="V878" s="94">
        <f t="shared" ca="1" si="192"/>
        <v>224.4644447916653</v>
      </c>
      <c r="W878" s="89"/>
    </row>
    <row r="879" spans="1:23" s="312" customFormat="1" ht="18">
      <c r="A879" s="260"/>
      <c r="B879" s="260" t="s">
        <v>505</v>
      </c>
      <c r="C879" s="175" t="s">
        <v>55</v>
      </c>
      <c r="D879" s="131" t="s">
        <v>1857</v>
      </c>
      <c r="E879" s="145">
        <v>384</v>
      </c>
      <c r="F879" s="263">
        <v>45162</v>
      </c>
      <c r="G879" s="341">
        <v>40.159999999999997</v>
      </c>
      <c r="H879" s="150">
        <v>2133299.1999999997</v>
      </c>
      <c r="I879" s="106">
        <f t="shared" si="187"/>
        <v>53120</v>
      </c>
      <c r="J879" s="122"/>
      <c r="K879" s="157" t="s">
        <v>2096</v>
      </c>
      <c r="L879" s="166">
        <f t="shared" si="186"/>
        <v>384</v>
      </c>
      <c r="M879" s="119" t="s">
        <v>2097</v>
      </c>
      <c r="N879" s="135">
        <f>17.437+19.51</f>
        <v>36.947000000000003</v>
      </c>
      <c r="O879" s="122"/>
      <c r="P879" s="92">
        <f t="shared" si="188"/>
        <v>36.947199999999995</v>
      </c>
      <c r="Q879" s="113">
        <f t="shared" si="189"/>
        <v>1.8071999999999997</v>
      </c>
      <c r="R879" s="92">
        <f t="shared" si="190"/>
        <v>1.4056</v>
      </c>
      <c r="S879" s="121"/>
      <c r="T879" s="93">
        <f t="shared" si="191"/>
        <v>1.9999999999420481E-4</v>
      </c>
      <c r="U879" s="122"/>
      <c r="V879" s="94">
        <f t="shared" ca="1" si="192"/>
        <v>224.4644447916653</v>
      </c>
      <c r="W879" s="89"/>
    </row>
    <row r="880" spans="1:23" s="312" customFormat="1" ht="18">
      <c r="A880" s="260"/>
      <c r="B880" s="260" t="s">
        <v>505</v>
      </c>
      <c r="C880" s="175" t="s">
        <v>55</v>
      </c>
      <c r="D880" s="131" t="s">
        <v>1858</v>
      </c>
      <c r="E880" s="145">
        <v>385</v>
      </c>
      <c r="F880" s="263">
        <v>45162</v>
      </c>
      <c r="G880" s="341">
        <v>40.04</v>
      </c>
      <c r="H880" s="150">
        <v>2126924.7999999998</v>
      </c>
      <c r="I880" s="106">
        <f t="shared" si="187"/>
        <v>53120</v>
      </c>
      <c r="J880" s="122"/>
      <c r="K880" s="157" t="s">
        <v>2100</v>
      </c>
      <c r="L880" s="166">
        <f t="shared" si="186"/>
        <v>385</v>
      </c>
      <c r="M880" s="119" t="s">
        <v>2101</v>
      </c>
      <c r="N880" s="135">
        <f>12.493+19.924+4.42</f>
        <v>36.837000000000003</v>
      </c>
      <c r="O880" s="122"/>
      <c r="P880" s="92">
        <f t="shared" si="188"/>
        <v>36.836800000000004</v>
      </c>
      <c r="Q880" s="113">
        <f t="shared" si="189"/>
        <v>1.8017999999999998</v>
      </c>
      <c r="R880" s="92">
        <f t="shared" si="190"/>
        <v>1.4014000000000002</v>
      </c>
      <c r="S880" s="121"/>
      <c r="T880" s="93">
        <f t="shared" si="191"/>
        <v>-2.0000000000419682E-4</v>
      </c>
      <c r="U880" s="122"/>
      <c r="V880" s="94">
        <f t="shared" ca="1" si="192"/>
        <v>224.4644447916653</v>
      </c>
      <c r="W880" s="89"/>
    </row>
    <row r="881" spans="1:23" s="312" customFormat="1" ht="18">
      <c r="A881" s="260"/>
      <c r="B881" s="260" t="s">
        <v>505</v>
      </c>
      <c r="C881" s="175" t="s">
        <v>94</v>
      </c>
      <c r="D881" s="131" t="s">
        <v>1859</v>
      </c>
      <c r="E881" s="145">
        <v>386</v>
      </c>
      <c r="F881" s="263">
        <v>45162</v>
      </c>
      <c r="G881" s="341">
        <v>40.28</v>
      </c>
      <c r="H881" s="150">
        <v>1991443.2</v>
      </c>
      <c r="I881" s="106">
        <f t="shared" si="187"/>
        <v>49440</v>
      </c>
      <c r="J881" s="122"/>
      <c r="K881" s="157" t="s">
        <v>2098</v>
      </c>
      <c r="L881" s="166">
        <f t="shared" si="186"/>
        <v>386</v>
      </c>
      <c r="M881" s="119" t="s">
        <v>2099</v>
      </c>
      <c r="N881" s="135">
        <f>32.616+4.442</f>
        <v>37.058</v>
      </c>
      <c r="O881" s="122"/>
      <c r="P881" s="92">
        <f t="shared" si="188"/>
        <v>37.057600000000001</v>
      </c>
      <c r="Q881" s="113">
        <f t="shared" si="189"/>
        <v>1.8126</v>
      </c>
      <c r="R881" s="92">
        <f t="shared" si="190"/>
        <v>1.4098000000000002</v>
      </c>
      <c r="S881" s="121"/>
      <c r="T881" s="93">
        <f t="shared" si="191"/>
        <v>-3.9999999999884572E-4</v>
      </c>
      <c r="U881" s="122"/>
      <c r="V881" s="94">
        <f t="shared" ca="1" si="192"/>
        <v>224.4644447916653</v>
      </c>
      <c r="W881" s="89"/>
    </row>
    <row r="882" spans="1:23" s="312" customFormat="1" ht="18">
      <c r="A882" s="260"/>
      <c r="B882" s="260" t="s">
        <v>505</v>
      </c>
      <c r="C882" s="175" t="s">
        <v>94</v>
      </c>
      <c r="D882" s="131" t="s">
        <v>1860</v>
      </c>
      <c r="E882" s="145">
        <v>387</v>
      </c>
      <c r="F882" s="263">
        <v>45162</v>
      </c>
      <c r="G882" s="341">
        <v>31.72</v>
      </c>
      <c r="H882" s="150">
        <v>1568236.8</v>
      </c>
      <c r="I882" s="106">
        <f t="shared" si="187"/>
        <v>49440</v>
      </c>
      <c r="J882" s="122"/>
      <c r="K882" s="157" t="s">
        <v>2103</v>
      </c>
      <c r="L882" s="166">
        <f t="shared" si="186"/>
        <v>387</v>
      </c>
      <c r="M882" s="119" t="s">
        <v>2104</v>
      </c>
      <c r="N882" s="135">
        <f>27.736+1.446</f>
        <v>29.182000000000002</v>
      </c>
      <c r="O882" s="122"/>
      <c r="P882" s="92">
        <f t="shared" si="188"/>
        <v>29.182400000000001</v>
      </c>
      <c r="Q882" s="113">
        <f t="shared" si="189"/>
        <v>1.4274</v>
      </c>
      <c r="R882" s="92">
        <f t="shared" si="190"/>
        <v>1.1102000000000001</v>
      </c>
      <c r="S882" s="121"/>
      <c r="T882" s="93">
        <f t="shared" si="191"/>
        <v>3.9999999999662528E-4</v>
      </c>
      <c r="U882" s="122"/>
      <c r="V882" s="94">
        <f t="shared" ca="1" si="192"/>
        <v>224.4644447916653</v>
      </c>
      <c r="W882" s="89"/>
    </row>
    <row r="883" spans="1:23" s="312" customFormat="1" ht="18">
      <c r="A883" s="260"/>
      <c r="B883" s="260" t="s">
        <v>505</v>
      </c>
      <c r="C883" s="175" t="s">
        <v>94</v>
      </c>
      <c r="D883" s="131" t="s">
        <v>1861</v>
      </c>
      <c r="E883" s="145">
        <v>388</v>
      </c>
      <c r="F883" s="263">
        <v>45162</v>
      </c>
      <c r="G883" s="341">
        <v>27.52</v>
      </c>
      <c r="H883" s="150">
        <v>1360588.8</v>
      </c>
      <c r="I883" s="106">
        <f t="shared" si="187"/>
        <v>49440</v>
      </c>
      <c r="J883" s="122"/>
      <c r="K883" s="157">
        <v>980</v>
      </c>
      <c r="L883" s="166">
        <f t="shared" si="186"/>
        <v>388</v>
      </c>
      <c r="M883" s="119" t="s">
        <v>2102</v>
      </c>
      <c r="N883" s="135">
        <f>30.953-5.635</f>
        <v>25.317999999999998</v>
      </c>
      <c r="O883" s="122"/>
      <c r="P883" s="92">
        <f t="shared" si="188"/>
        <v>25.3184</v>
      </c>
      <c r="Q883" s="113">
        <f t="shared" si="189"/>
        <v>1.2383999999999999</v>
      </c>
      <c r="R883" s="92">
        <f t="shared" si="190"/>
        <v>0.96320000000000006</v>
      </c>
      <c r="S883" s="121"/>
      <c r="T883" s="93">
        <f t="shared" si="191"/>
        <v>4.000000000017323E-4</v>
      </c>
      <c r="U883" s="122"/>
      <c r="V883" s="94">
        <f t="shared" ca="1" si="192"/>
        <v>224.4644447916653</v>
      </c>
      <c r="W883" s="89"/>
    </row>
    <row r="884" spans="1:23" s="312" customFormat="1" ht="18">
      <c r="A884" s="260"/>
      <c r="B884" s="260" t="s">
        <v>505</v>
      </c>
      <c r="C884" s="175" t="s">
        <v>94</v>
      </c>
      <c r="D884" s="131" t="s">
        <v>1862</v>
      </c>
      <c r="E884" s="145">
        <v>389</v>
      </c>
      <c r="F884" s="263">
        <v>45162</v>
      </c>
      <c r="G884" s="341">
        <v>27.44</v>
      </c>
      <c r="H884" s="150">
        <v>1356633.6</v>
      </c>
      <c r="I884" s="106">
        <f t="shared" si="187"/>
        <v>49440</v>
      </c>
      <c r="J884" s="122"/>
      <c r="K884" s="157" t="s">
        <v>2105</v>
      </c>
      <c r="L884" s="166">
        <f t="shared" si="186"/>
        <v>389</v>
      </c>
      <c r="M884" s="119" t="s">
        <v>2106</v>
      </c>
      <c r="N884" s="135">
        <f>5.635+19.61</f>
        <v>25.244999999999997</v>
      </c>
      <c r="O884" s="122"/>
      <c r="P884" s="92">
        <f t="shared" si="188"/>
        <v>25.244800000000001</v>
      </c>
      <c r="Q884" s="113">
        <f t="shared" si="189"/>
        <v>1.2348000000000001</v>
      </c>
      <c r="R884" s="92">
        <f t="shared" si="190"/>
        <v>0.96040000000000014</v>
      </c>
      <c r="S884" s="121"/>
      <c r="T884" s="93">
        <f t="shared" si="191"/>
        <v>-1.9999999999642526E-4</v>
      </c>
      <c r="U884" s="122"/>
      <c r="V884" s="94">
        <f t="shared" ca="1" si="192"/>
        <v>224.4644447916653</v>
      </c>
      <c r="W884" s="89"/>
    </row>
    <row r="885" spans="1:23" s="312" customFormat="1" ht="18">
      <c r="A885" s="260"/>
      <c r="B885" s="260" t="s">
        <v>505</v>
      </c>
      <c r="C885" s="175" t="s">
        <v>94</v>
      </c>
      <c r="D885" s="131" t="s">
        <v>1863</v>
      </c>
      <c r="E885" s="145">
        <v>390</v>
      </c>
      <c r="F885" s="263">
        <v>45162</v>
      </c>
      <c r="G885" s="341">
        <v>31.74</v>
      </c>
      <c r="H885" s="150">
        <v>1569225.5999999999</v>
      </c>
      <c r="I885" s="106">
        <f t="shared" si="187"/>
        <v>49440</v>
      </c>
      <c r="J885" s="122"/>
      <c r="K885" s="157" t="s">
        <v>2108</v>
      </c>
      <c r="L885" s="166">
        <f t="shared" si="186"/>
        <v>390</v>
      </c>
      <c r="M885" s="119" t="s">
        <v>2109</v>
      </c>
      <c r="N885" s="135">
        <f>13.221+15.98</f>
        <v>29.201000000000001</v>
      </c>
      <c r="O885" s="122"/>
      <c r="P885" s="92">
        <f t="shared" si="188"/>
        <v>29.200800000000001</v>
      </c>
      <c r="Q885" s="113">
        <f t="shared" si="189"/>
        <v>1.4282999999999999</v>
      </c>
      <c r="R885" s="92">
        <f t="shared" si="190"/>
        <v>1.1109</v>
      </c>
      <c r="S885" s="121"/>
      <c r="T885" s="93">
        <f t="shared" si="191"/>
        <v>-2.0000000000197637E-4</v>
      </c>
      <c r="U885" s="122"/>
      <c r="V885" s="94">
        <f t="shared" ca="1" si="192"/>
        <v>224.4644447916653</v>
      </c>
      <c r="W885" s="89"/>
    </row>
    <row r="886" spans="1:23" s="312" customFormat="1" ht="18">
      <c r="A886" s="260"/>
      <c r="B886" s="260" t="s">
        <v>505</v>
      </c>
      <c r="C886" s="175" t="s">
        <v>94</v>
      </c>
      <c r="D886" s="131" t="s">
        <v>1864</v>
      </c>
      <c r="E886" s="145">
        <v>391</v>
      </c>
      <c r="F886" s="263">
        <v>45162</v>
      </c>
      <c r="G886" s="341">
        <v>40.32</v>
      </c>
      <c r="H886" s="150">
        <v>1993420.8</v>
      </c>
      <c r="I886" s="106">
        <f t="shared" si="187"/>
        <v>49440</v>
      </c>
      <c r="J886" s="122"/>
      <c r="K886" s="157" t="s">
        <v>2110</v>
      </c>
      <c r="L886" s="166">
        <f t="shared" si="186"/>
        <v>391</v>
      </c>
      <c r="M886" s="119" t="s">
        <v>2107</v>
      </c>
      <c r="N886" s="135">
        <f>8.791+28.303</f>
        <v>37.094000000000001</v>
      </c>
      <c r="O886" s="122"/>
      <c r="P886" s="92">
        <f t="shared" si="188"/>
        <v>37.0944</v>
      </c>
      <c r="Q886" s="113">
        <f t="shared" si="189"/>
        <v>1.8144</v>
      </c>
      <c r="R886" s="92">
        <f t="shared" si="190"/>
        <v>1.4112000000000002</v>
      </c>
      <c r="S886" s="121"/>
      <c r="T886" s="93">
        <f t="shared" si="191"/>
        <v>3.9999999999884572E-4</v>
      </c>
      <c r="U886" s="122"/>
      <c r="V886" s="94">
        <f t="shared" ca="1" si="192"/>
        <v>224.4644447916653</v>
      </c>
      <c r="W886" s="89"/>
    </row>
    <row r="887" spans="1:23" s="312" customFormat="1" ht="18">
      <c r="A887" s="260"/>
      <c r="B887" s="260" t="s">
        <v>505</v>
      </c>
      <c r="C887" s="175" t="s">
        <v>94</v>
      </c>
      <c r="D887" s="131" t="s">
        <v>1865</v>
      </c>
      <c r="E887" s="145">
        <v>392</v>
      </c>
      <c r="F887" s="263">
        <v>45162</v>
      </c>
      <c r="G887" s="341">
        <v>42.28</v>
      </c>
      <c r="H887" s="150">
        <v>2090323.2</v>
      </c>
      <c r="I887" s="106">
        <f t="shared" si="187"/>
        <v>49440</v>
      </c>
      <c r="J887" s="122"/>
      <c r="K887" s="157" t="s">
        <v>2111</v>
      </c>
      <c r="L887" s="166">
        <f t="shared" si="186"/>
        <v>392</v>
      </c>
      <c r="M887" s="119" t="s">
        <v>2112</v>
      </c>
      <c r="N887" s="135">
        <f>3.856+32.557+2.485</f>
        <v>38.898000000000003</v>
      </c>
      <c r="O887" s="122"/>
      <c r="P887" s="92">
        <f t="shared" si="188"/>
        <v>38.897600000000004</v>
      </c>
      <c r="Q887" s="113">
        <f t="shared" si="189"/>
        <v>1.9026000000000001</v>
      </c>
      <c r="R887" s="92">
        <f t="shared" si="190"/>
        <v>1.4798000000000002</v>
      </c>
      <c r="S887" s="121"/>
      <c r="T887" s="93">
        <f t="shared" si="191"/>
        <v>-4.0000000000239844E-4</v>
      </c>
      <c r="U887" s="122"/>
      <c r="V887" s="94">
        <f t="shared" ca="1" si="192"/>
        <v>224.4644447916653</v>
      </c>
      <c r="W887" s="89"/>
    </row>
    <row r="888" spans="1:23" s="312" customFormat="1" ht="18">
      <c r="A888" s="260"/>
      <c r="B888" s="260" t="s">
        <v>505</v>
      </c>
      <c r="C888" s="175" t="s">
        <v>94</v>
      </c>
      <c r="D888" s="131" t="s">
        <v>1866</v>
      </c>
      <c r="E888" s="145">
        <v>393</v>
      </c>
      <c r="F888" s="263">
        <v>45162</v>
      </c>
      <c r="G888" s="341">
        <v>27.46</v>
      </c>
      <c r="H888" s="150">
        <v>1357622.4000000001</v>
      </c>
      <c r="I888" s="106">
        <f t="shared" si="187"/>
        <v>49440</v>
      </c>
      <c r="J888" s="122"/>
      <c r="K888" s="157">
        <v>990</v>
      </c>
      <c r="L888" s="166">
        <f t="shared" si="186"/>
        <v>393</v>
      </c>
      <c r="M888" s="119" t="s">
        <v>2107</v>
      </c>
      <c r="N888" s="135">
        <v>25.263000000000002</v>
      </c>
      <c r="O888" s="122"/>
      <c r="P888" s="92">
        <f t="shared" si="188"/>
        <v>25.263200000000001</v>
      </c>
      <c r="Q888" s="113">
        <f t="shared" si="189"/>
        <v>1.2357</v>
      </c>
      <c r="R888" s="92">
        <f t="shared" si="190"/>
        <v>0.96110000000000018</v>
      </c>
      <c r="S888" s="121"/>
      <c r="T888" s="93">
        <f t="shared" si="191"/>
        <v>1.9999999999897877E-4</v>
      </c>
      <c r="U888" s="122"/>
      <c r="V888" s="94">
        <f t="shared" ca="1" si="192"/>
        <v>224.4644447916653</v>
      </c>
      <c r="W888" s="89"/>
    </row>
    <row r="889" spans="1:23" s="312" customFormat="1" ht="18">
      <c r="A889" s="260"/>
      <c r="B889" s="260" t="s">
        <v>505</v>
      </c>
      <c r="C889" s="175" t="s">
        <v>94</v>
      </c>
      <c r="D889" s="131" t="s">
        <v>1867</v>
      </c>
      <c r="E889" s="145">
        <v>394</v>
      </c>
      <c r="F889" s="263">
        <v>45162</v>
      </c>
      <c r="G889" s="341">
        <v>19.010000000000002</v>
      </c>
      <c r="H889" s="150">
        <v>939854.4</v>
      </c>
      <c r="I889" s="106">
        <f t="shared" ref="I889:I952" si="193">H889/G889</f>
        <v>49440</v>
      </c>
      <c r="J889" s="122"/>
      <c r="K889" s="157">
        <v>991</v>
      </c>
      <c r="L889" s="166">
        <f t="shared" si="186"/>
        <v>394</v>
      </c>
      <c r="M889" s="119" t="s">
        <v>2107</v>
      </c>
      <c r="N889" s="135">
        <v>17.489000000000001</v>
      </c>
      <c r="O889" s="122"/>
      <c r="P889" s="92">
        <f t="shared" ref="P889:P952" si="194">G889*0.92</f>
        <v>17.489200000000004</v>
      </c>
      <c r="Q889" s="113">
        <f t="shared" ref="Q889:Q952" si="195">G889*4.5%</f>
        <v>0.85545000000000004</v>
      </c>
      <c r="R889" s="92">
        <f t="shared" ref="R889:R952" si="196">G889*3.5%</f>
        <v>0.66535000000000011</v>
      </c>
      <c r="S889" s="121"/>
      <c r="T889" s="93">
        <f t="shared" ref="T889:T952" si="197">G889-N889-Q889-R889</f>
        <v>2.0000000000064411E-4</v>
      </c>
      <c r="U889" s="122"/>
      <c r="V889" s="94">
        <f t="shared" ref="V889:V952" ca="1" si="198">360-($V$3-F889)</f>
        <v>224.4644447916653</v>
      </c>
      <c r="W889" s="89"/>
    </row>
    <row r="890" spans="1:23" s="312" customFormat="1" ht="18">
      <c r="A890" s="260"/>
      <c r="B890" s="260" t="s">
        <v>505</v>
      </c>
      <c r="C890" s="175" t="s">
        <v>55</v>
      </c>
      <c r="D890" s="131" t="s">
        <v>1867</v>
      </c>
      <c r="E890" s="145">
        <v>395</v>
      </c>
      <c r="F890" s="263">
        <v>45162</v>
      </c>
      <c r="G890" s="341">
        <v>20.77</v>
      </c>
      <c r="H890" s="150">
        <v>1103302.3999999999</v>
      </c>
      <c r="I890" s="106">
        <f t="shared" si="193"/>
        <v>53120</v>
      </c>
      <c r="J890" s="122"/>
      <c r="K890" s="157" t="s">
        <v>2113</v>
      </c>
      <c r="L890" s="166">
        <f t="shared" si="186"/>
        <v>395</v>
      </c>
      <c r="M890" s="119" t="s">
        <v>2109</v>
      </c>
      <c r="N890" s="135">
        <f>4.602+14.506</f>
        <v>19.108000000000001</v>
      </c>
      <c r="O890" s="122"/>
      <c r="P890" s="92">
        <f t="shared" si="194"/>
        <v>19.1084</v>
      </c>
      <c r="Q890" s="113">
        <f t="shared" si="195"/>
        <v>0.93464999999999998</v>
      </c>
      <c r="R890" s="92">
        <f t="shared" si="196"/>
        <v>0.7269500000000001</v>
      </c>
      <c r="S890" s="121"/>
      <c r="T890" s="93">
        <f t="shared" si="197"/>
        <v>3.9999999999895675E-4</v>
      </c>
      <c r="U890" s="122"/>
      <c r="V890" s="94">
        <f t="shared" ca="1" si="198"/>
        <v>224.4644447916653</v>
      </c>
      <c r="W890" s="89"/>
    </row>
    <row r="891" spans="1:23" s="312" customFormat="1" ht="18">
      <c r="A891" s="260"/>
      <c r="B891" s="260" t="s">
        <v>505</v>
      </c>
      <c r="C891" s="175" t="s">
        <v>55</v>
      </c>
      <c r="D891" s="131" t="s">
        <v>1868</v>
      </c>
      <c r="E891" s="145">
        <v>396</v>
      </c>
      <c r="F891" s="263">
        <v>45162</v>
      </c>
      <c r="G891" s="341">
        <v>31.66</v>
      </c>
      <c r="H891" s="150">
        <v>1681779.2</v>
      </c>
      <c r="I891" s="106">
        <f t="shared" si="193"/>
        <v>53120</v>
      </c>
      <c r="J891" s="122"/>
      <c r="K891" s="157" t="s">
        <v>2114</v>
      </c>
      <c r="L891" s="166">
        <f t="shared" si="186"/>
        <v>396</v>
      </c>
      <c r="M891" s="119" t="s">
        <v>2109</v>
      </c>
      <c r="N891" s="135">
        <f>17.171+11.956</f>
        <v>29.126999999999999</v>
      </c>
      <c r="O891" s="122"/>
      <c r="P891" s="92">
        <f t="shared" si="194"/>
        <v>29.127200000000002</v>
      </c>
      <c r="Q891" s="113">
        <f t="shared" si="195"/>
        <v>1.4246999999999999</v>
      </c>
      <c r="R891" s="92">
        <f t="shared" si="196"/>
        <v>1.1081000000000001</v>
      </c>
      <c r="S891" s="121"/>
      <c r="T891" s="93">
        <f t="shared" si="197"/>
        <v>2.0000000000131024E-4</v>
      </c>
      <c r="U891" s="122"/>
      <c r="V891" s="94">
        <f t="shared" ca="1" si="198"/>
        <v>224.4644447916653</v>
      </c>
      <c r="W891" s="89"/>
    </row>
    <row r="892" spans="1:23" s="312" customFormat="1" ht="18">
      <c r="A892" s="260"/>
      <c r="B892" s="260" t="s">
        <v>505</v>
      </c>
      <c r="C892" s="175" t="s">
        <v>55</v>
      </c>
      <c r="D892" s="131" t="s">
        <v>1869</v>
      </c>
      <c r="E892" s="145">
        <v>397</v>
      </c>
      <c r="F892" s="263">
        <v>45162</v>
      </c>
      <c r="G892" s="341">
        <v>25.4</v>
      </c>
      <c r="H892" s="150">
        <v>1349248</v>
      </c>
      <c r="I892" s="106">
        <f t="shared" si="193"/>
        <v>53120</v>
      </c>
      <c r="J892" s="122"/>
      <c r="K892" s="157">
        <v>996</v>
      </c>
      <c r="L892" s="166">
        <f t="shared" si="186"/>
        <v>397</v>
      </c>
      <c r="M892" s="119" t="s">
        <v>2107</v>
      </c>
      <c r="N892" s="135">
        <v>23.367999999999999</v>
      </c>
      <c r="O892" s="122"/>
      <c r="P892" s="92">
        <f t="shared" si="194"/>
        <v>23.367999999999999</v>
      </c>
      <c r="Q892" s="113">
        <f t="shared" si="195"/>
        <v>1.1429999999999998</v>
      </c>
      <c r="R892" s="92">
        <f t="shared" si="196"/>
        <v>0.88900000000000001</v>
      </c>
      <c r="S892" s="121"/>
      <c r="T892" s="93">
        <f t="shared" si="197"/>
        <v>0</v>
      </c>
      <c r="U892" s="122"/>
      <c r="V892" s="94">
        <f t="shared" ca="1" si="198"/>
        <v>224.4644447916653</v>
      </c>
      <c r="W892" s="89"/>
    </row>
    <row r="893" spans="1:23" s="312" customFormat="1" ht="18">
      <c r="A893" s="260"/>
      <c r="B893" s="260" t="s">
        <v>505</v>
      </c>
      <c r="C893" s="175" t="s">
        <v>55</v>
      </c>
      <c r="D893" s="131" t="s">
        <v>1870</v>
      </c>
      <c r="E893" s="145">
        <v>398</v>
      </c>
      <c r="F893" s="263">
        <v>45162</v>
      </c>
      <c r="G893" s="341">
        <v>25.4</v>
      </c>
      <c r="H893" s="150">
        <v>1349248</v>
      </c>
      <c r="I893" s="106">
        <f t="shared" si="193"/>
        <v>53120</v>
      </c>
      <c r="J893" s="122"/>
      <c r="K893" s="157" t="s">
        <v>2115</v>
      </c>
      <c r="L893" s="166">
        <f t="shared" si="186"/>
        <v>398</v>
      </c>
      <c r="M893" s="119" t="s">
        <v>2116</v>
      </c>
      <c r="N893" s="135">
        <f>13.409+9.959</f>
        <v>23.368000000000002</v>
      </c>
      <c r="O893" s="122"/>
      <c r="P893" s="92">
        <f t="shared" si="194"/>
        <v>23.367999999999999</v>
      </c>
      <c r="Q893" s="113">
        <f t="shared" si="195"/>
        <v>1.1429999999999998</v>
      </c>
      <c r="R893" s="92">
        <f t="shared" si="196"/>
        <v>0.88900000000000001</v>
      </c>
      <c r="S893" s="121"/>
      <c r="T893" s="93">
        <f t="shared" si="197"/>
        <v>-3.3306690738754696E-15</v>
      </c>
      <c r="U893" s="122"/>
      <c r="V893" s="94">
        <f t="shared" ca="1" si="198"/>
        <v>224.4644447916653</v>
      </c>
      <c r="W893" s="89"/>
    </row>
    <row r="894" spans="1:23" s="312" customFormat="1" ht="18">
      <c r="A894" s="260"/>
      <c r="B894" s="260" t="s">
        <v>505</v>
      </c>
      <c r="C894" s="175" t="s">
        <v>55</v>
      </c>
      <c r="D894" s="131" t="s">
        <v>1871</v>
      </c>
      <c r="E894" s="145">
        <v>399</v>
      </c>
      <c r="F894" s="263">
        <v>45162</v>
      </c>
      <c r="G894" s="341">
        <v>40.26</v>
      </c>
      <c r="H894" s="150">
        <v>2138611.1999999997</v>
      </c>
      <c r="I894" s="106">
        <f t="shared" si="193"/>
        <v>53119.999999999993</v>
      </c>
      <c r="J894" s="122"/>
      <c r="K894" s="157" t="s">
        <v>2117</v>
      </c>
      <c r="L894" s="166">
        <f t="shared" si="186"/>
        <v>399</v>
      </c>
      <c r="M894" s="119" t="s">
        <v>2118</v>
      </c>
      <c r="N894" s="135">
        <f>22.36+14.679</f>
        <v>37.039000000000001</v>
      </c>
      <c r="O894" s="122"/>
      <c r="P894" s="92">
        <f t="shared" si="194"/>
        <v>37.039200000000001</v>
      </c>
      <c r="Q894" s="113">
        <f t="shared" si="195"/>
        <v>1.8116999999999999</v>
      </c>
      <c r="R894" s="92">
        <f t="shared" si="196"/>
        <v>1.4091</v>
      </c>
      <c r="S894" s="121"/>
      <c r="T894" s="93">
        <f t="shared" si="197"/>
        <v>1.999999999966473E-4</v>
      </c>
      <c r="U894" s="122"/>
      <c r="V894" s="94">
        <f t="shared" ca="1" si="198"/>
        <v>224.4644447916653</v>
      </c>
      <c r="W894" s="89"/>
    </row>
    <row r="895" spans="1:23" s="312" customFormat="1" ht="18">
      <c r="A895" s="260"/>
      <c r="B895" s="260" t="s">
        <v>505</v>
      </c>
      <c r="C895" s="175" t="s">
        <v>55</v>
      </c>
      <c r="D895" s="131" t="s">
        <v>1872</v>
      </c>
      <c r="E895" s="145">
        <v>400</v>
      </c>
      <c r="F895" s="263">
        <v>45162</v>
      </c>
      <c r="G895" s="341">
        <v>40.32</v>
      </c>
      <c r="H895" s="150">
        <v>2141798.3999999999</v>
      </c>
      <c r="I895" s="106">
        <f t="shared" si="193"/>
        <v>53120</v>
      </c>
      <c r="J895" s="122"/>
      <c r="K895" s="157" t="s">
        <v>2119</v>
      </c>
      <c r="L895" s="166">
        <f>E895</f>
        <v>400</v>
      </c>
      <c r="M895" s="119" t="s">
        <v>2120</v>
      </c>
      <c r="N895" s="135">
        <f>17.383+19.711</f>
        <v>37.093999999999994</v>
      </c>
      <c r="O895" s="122"/>
      <c r="P895" s="92">
        <f t="shared" si="194"/>
        <v>37.0944</v>
      </c>
      <c r="Q895" s="113">
        <f t="shared" si="195"/>
        <v>1.8144</v>
      </c>
      <c r="R895" s="92">
        <f t="shared" si="196"/>
        <v>1.4112000000000002</v>
      </c>
      <c r="S895" s="121"/>
      <c r="T895" s="93">
        <f t="shared" si="197"/>
        <v>4.0000000000595115E-4</v>
      </c>
      <c r="U895" s="122"/>
      <c r="V895" s="94">
        <f t="shared" ca="1" si="198"/>
        <v>224.4644447916653</v>
      </c>
      <c r="W895" s="89"/>
    </row>
    <row r="896" spans="1:23" s="312" customFormat="1" ht="18">
      <c r="A896" s="260"/>
      <c r="B896" s="260" t="s">
        <v>505</v>
      </c>
      <c r="C896" s="130" t="s">
        <v>55</v>
      </c>
      <c r="D896" s="131" t="s">
        <v>1873</v>
      </c>
      <c r="E896" s="145">
        <v>401</v>
      </c>
      <c r="F896" s="263">
        <v>45162</v>
      </c>
      <c r="G896" s="341">
        <v>40.26</v>
      </c>
      <c r="H896" s="150">
        <v>2075000.4</v>
      </c>
      <c r="I896" s="106">
        <f t="shared" si="193"/>
        <v>51540</v>
      </c>
      <c r="J896" s="122"/>
      <c r="K896" s="157" t="s">
        <v>2121</v>
      </c>
      <c r="L896" s="166">
        <f t="shared" si="186"/>
        <v>401</v>
      </c>
      <c r="M896" s="119" t="s">
        <v>2122</v>
      </c>
      <c r="N896" s="135">
        <f>25.035+11.826+0.178</f>
        <v>37.039000000000001</v>
      </c>
      <c r="O896" s="122"/>
      <c r="P896" s="92">
        <f t="shared" si="194"/>
        <v>37.039200000000001</v>
      </c>
      <c r="Q896" s="113">
        <f t="shared" si="195"/>
        <v>1.8116999999999999</v>
      </c>
      <c r="R896" s="92">
        <f t="shared" si="196"/>
        <v>1.4091</v>
      </c>
      <c r="S896" s="121"/>
      <c r="T896" s="93">
        <f t="shared" si="197"/>
        <v>1.999999999966473E-4</v>
      </c>
      <c r="U896" s="122"/>
      <c r="V896" s="94">
        <f t="shared" ca="1" si="198"/>
        <v>224.4644447916653</v>
      </c>
      <c r="W896" s="89"/>
    </row>
    <row r="897" spans="1:23" s="312" customFormat="1" ht="18">
      <c r="A897" s="260"/>
      <c r="B897" s="260" t="s">
        <v>505</v>
      </c>
      <c r="C897" s="130" t="s">
        <v>55</v>
      </c>
      <c r="D897" s="131" t="s">
        <v>1874</v>
      </c>
      <c r="E897" s="145">
        <v>402</v>
      </c>
      <c r="F897" s="263">
        <v>45162</v>
      </c>
      <c r="G897" s="341">
        <v>25.42</v>
      </c>
      <c r="H897" s="150">
        <v>1310146.8</v>
      </c>
      <c r="I897" s="106">
        <f t="shared" si="193"/>
        <v>51540</v>
      </c>
      <c r="J897" s="122"/>
      <c r="K897" s="157">
        <v>1006</v>
      </c>
      <c r="L897" s="166">
        <f t="shared" si="186"/>
        <v>402</v>
      </c>
      <c r="M897" s="119" t="s">
        <v>2123</v>
      </c>
      <c r="N897" s="135">
        <v>23.385999999999999</v>
      </c>
      <c r="O897" s="122"/>
      <c r="P897" s="92">
        <f t="shared" si="194"/>
        <v>23.386400000000002</v>
      </c>
      <c r="Q897" s="113">
        <f t="shared" si="195"/>
        <v>1.1439000000000001</v>
      </c>
      <c r="R897" s="92">
        <f t="shared" si="196"/>
        <v>0.88970000000000016</v>
      </c>
      <c r="S897" s="121"/>
      <c r="T897" s="93">
        <f t="shared" si="197"/>
        <v>4.0000000000217639E-4</v>
      </c>
      <c r="U897" s="122"/>
      <c r="V897" s="94">
        <f t="shared" ca="1" si="198"/>
        <v>224.4644447916653</v>
      </c>
      <c r="W897" s="89"/>
    </row>
    <row r="898" spans="1:23" s="312" customFormat="1" ht="18">
      <c r="A898" s="260"/>
      <c r="B898" s="260" t="s">
        <v>505</v>
      </c>
      <c r="C898" s="130" t="s">
        <v>55</v>
      </c>
      <c r="D898" s="131" t="s">
        <v>1875</v>
      </c>
      <c r="E898" s="145">
        <v>403</v>
      </c>
      <c r="F898" s="263">
        <v>45162</v>
      </c>
      <c r="G898" s="341">
        <v>27.52</v>
      </c>
      <c r="H898" s="150">
        <v>1418380.8</v>
      </c>
      <c r="I898" s="106">
        <f t="shared" si="193"/>
        <v>51540</v>
      </c>
      <c r="J898" s="122"/>
      <c r="K898" s="157" t="s">
        <v>2124</v>
      </c>
      <c r="L898" s="166">
        <f t="shared" si="186"/>
        <v>403</v>
      </c>
      <c r="M898" s="119" t="s">
        <v>2125</v>
      </c>
      <c r="N898" s="135">
        <f>9.66+15.658</f>
        <v>25.317999999999998</v>
      </c>
      <c r="O898" s="122"/>
      <c r="P898" s="92">
        <f t="shared" si="194"/>
        <v>25.3184</v>
      </c>
      <c r="Q898" s="113">
        <f t="shared" si="195"/>
        <v>1.2383999999999999</v>
      </c>
      <c r="R898" s="92">
        <f t="shared" si="196"/>
        <v>0.96320000000000006</v>
      </c>
      <c r="S898" s="121"/>
      <c r="T898" s="93">
        <f t="shared" si="197"/>
        <v>4.000000000017323E-4</v>
      </c>
      <c r="U898" s="122"/>
      <c r="V898" s="94">
        <f t="shared" ca="1" si="198"/>
        <v>224.4644447916653</v>
      </c>
      <c r="W898" s="89"/>
    </row>
    <row r="899" spans="1:23" s="312" customFormat="1" ht="18">
      <c r="A899" s="260"/>
      <c r="B899" s="260" t="s">
        <v>505</v>
      </c>
      <c r="C899" s="130" t="s">
        <v>55</v>
      </c>
      <c r="D899" s="131" t="s">
        <v>1876</v>
      </c>
      <c r="E899" s="145">
        <v>404</v>
      </c>
      <c r="F899" s="263">
        <v>45162</v>
      </c>
      <c r="G899" s="341">
        <v>27.4</v>
      </c>
      <c r="H899" s="150">
        <v>1412196</v>
      </c>
      <c r="I899" s="106">
        <f t="shared" si="193"/>
        <v>51540</v>
      </c>
      <c r="J899" s="122"/>
      <c r="K899" s="157" t="s">
        <v>2126</v>
      </c>
      <c r="L899" s="166">
        <f t="shared" ref="L899:L962" si="199">E899</f>
        <v>404</v>
      </c>
      <c r="M899" s="119" t="s">
        <v>2123</v>
      </c>
      <c r="N899" s="135">
        <f>17.09+8.118</f>
        <v>25.207999999999998</v>
      </c>
      <c r="O899" s="122"/>
      <c r="P899" s="92">
        <f t="shared" si="194"/>
        <v>25.207999999999998</v>
      </c>
      <c r="Q899" s="113">
        <f t="shared" si="195"/>
        <v>1.2329999999999999</v>
      </c>
      <c r="R899" s="92">
        <f t="shared" si="196"/>
        <v>0.95900000000000007</v>
      </c>
      <c r="S899" s="121"/>
      <c r="T899" s="93">
        <f t="shared" si="197"/>
        <v>0</v>
      </c>
      <c r="U899" s="122"/>
      <c r="V899" s="94">
        <f t="shared" ca="1" si="198"/>
        <v>224.4644447916653</v>
      </c>
      <c r="W899" s="89"/>
    </row>
    <row r="900" spans="1:23" s="312" customFormat="1" ht="18">
      <c r="A900" s="260"/>
      <c r="B900" s="260" t="s">
        <v>505</v>
      </c>
      <c r="C900" s="130" t="s">
        <v>55</v>
      </c>
      <c r="D900" s="131" t="s">
        <v>1877</v>
      </c>
      <c r="E900" s="145">
        <v>405</v>
      </c>
      <c r="F900" s="263">
        <v>45162</v>
      </c>
      <c r="G900" s="341">
        <v>31.7</v>
      </c>
      <c r="H900" s="150">
        <v>1633818</v>
      </c>
      <c r="I900" s="106">
        <f t="shared" si="193"/>
        <v>51540</v>
      </c>
      <c r="J900" s="122"/>
      <c r="K900" s="157" t="s">
        <v>2127</v>
      </c>
      <c r="L900" s="166">
        <f t="shared" si="199"/>
        <v>405</v>
      </c>
      <c r="M900" s="119" t="s">
        <v>2125</v>
      </c>
      <c r="N900" s="135">
        <f>24.01+5.154</f>
        <v>29.164000000000001</v>
      </c>
      <c r="O900" s="122"/>
      <c r="P900" s="92">
        <f t="shared" si="194"/>
        <v>29.164000000000001</v>
      </c>
      <c r="Q900" s="113">
        <f t="shared" si="195"/>
        <v>1.4264999999999999</v>
      </c>
      <c r="R900" s="92">
        <f t="shared" si="196"/>
        <v>1.1095000000000002</v>
      </c>
      <c r="S900" s="121"/>
      <c r="T900" s="93">
        <f t="shared" si="197"/>
        <v>-2.2204460492503131E-15</v>
      </c>
      <c r="U900" s="122"/>
      <c r="V900" s="94">
        <f t="shared" ca="1" si="198"/>
        <v>224.4644447916653</v>
      </c>
      <c r="W900" s="89"/>
    </row>
    <row r="901" spans="1:23" s="312" customFormat="1" ht="18">
      <c r="A901" s="260"/>
      <c r="B901" s="260" t="s">
        <v>505</v>
      </c>
      <c r="C901" s="130" t="s">
        <v>55</v>
      </c>
      <c r="D901" s="131" t="s">
        <v>1878</v>
      </c>
      <c r="E901" s="145">
        <v>406</v>
      </c>
      <c r="F901" s="263">
        <v>45162</v>
      </c>
      <c r="G901" s="341">
        <v>40.04</v>
      </c>
      <c r="H901" s="150">
        <v>2063661.5999999999</v>
      </c>
      <c r="I901" s="106">
        <f t="shared" si="193"/>
        <v>51540</v>
      </c>
      <c r="J901" s="122"/>
      <c r="K901" s="157" t="s">
        <v>2128</v>
      </c>
      <c r="L901" s="166">
        <f>E901</f>
        <v>406</v>
      </c>
      <c r="M901" s="119" t="s">
        <v>2125</v>
      </c>
      <c r="N901" s="135">
        <f>27.765+9.072</f>
        <v>36.837000000000003</v>
      </c>
      <c r="O901" s="122"/>
      <c r="P901" s="92">
        <f t="shared" si="194"/>
        <v>36.836800000000004</v>
      </c>
      <c r="Q901" s="113">
        <f t="shared" si="195"/>
        <v>1.8017999999999998</v>
      </c>
      <c r="R901" s="92">
        <f t="shared" si="196"/>
        <v>1.4014000000000002</v>
      </c>
      <c r="S901" s="121"/>
      <c r="T901" s="93">
        <f t="shared" si="197"/>
        <v>-2.0000000000419682E-4</v>
      </c>
      <c r="U901" s="122"/>
      <c r="V901" s="94">
        <f t="shared" ca="1" si="198"/>
        <v>224.4644447916653</v>
      </c>
      <c r="W901" s="89"/>
    </row>
    <row r="902" spans="1:23" s="312" customFormat="1" ht="18">
      <c r="A902" s="260"/>
      <c r="B902" s="260" t="s">
        <v>505</v>
      </c>
      <c r="C902" s="130" t="s">
        <v>55</v>
      </c>
      <c r="D902" s="131" t="s">
        <v>1879</v>
      </c>
      <c r="E902" s="145">
        <v>407</v>
      </c>
      <c r="F902" s="263">
        <v>45162</v>
      </c>
      <c r="G902" s="341">
        <v>31.56</v>
      </c>
      <c r="H902" s="150">
        <v>1626602.4</v>
      </c>
      <c r="I902" s="106">
        <f t="shared" si="193"/>
        <v>51540</v>
      </c>
      <c r="J902" s="122"/>
      <c r="K902" s="157" t="s">
        <v>2129</v>
      </c>
      <c r="L902" s="166">
        <f t="shared" si="199"/>
        <v>407</v>
      </c>
      <c r="M902" s="119" t="s">
        <v>2130</v>
      </c>
      <c r="N902" s="135">
        <f>23.946+5.089</f>
        <v>29.035000000000004</v>
      </c>
      <c r="O902" s="122"/>
      <c r="P902" s="92">
        <f t="shared" si="194"/>
        <v>29.0352</v>
      </c>
      <c r="Q902" s="113">
        <f t="shared" si="195"/>
        <v>1.4201999999999999</v>
      </c>
      <c r="R902" s="92">
        <f t="shared" si="196"/>
        <v>1.1046</v>
      </c>
      <c r="S902" s="121"/>
      <c r="T902" s="93">
        <f t="shared" si="197"/>
        <v>1.9999999999509299E-4</v>
      </c>
      <c r="U902" s="122"/>
      <c r="V902" s="94">
        <f t="shared" ca="1" si="198"/>
        <v>224.4644447916653</v>
      </c>
      <c r="W902" s="89"/>
    </row>
    <row r="903" spans="1:23" s="312" customFormat="1" ht="18">
      <c r="A903" s="260"/>
      <c r="B903" s="260" t="s">
        <v>505</v>
      </c>
      <c r="C903" s="130" t="s">
        <v>55</v>
      </c>
      <c r="D903" s="131" t="s">
        <v>1880</v>
      </c>
      <c r="E903" s="145">
        <v>408</v>
      </c>
      <c r="F903" s="263">
        <v>45162</v>
      </c>
      <c r="G903" s="341">
        <v>25.32</v>
      </c>
      <c r="H903" s="150">
        <v>1304992.8</v>
      </c>
      <c r="I903" s="106">
        <f t="shared" si="193"/>
        <v>51540</v>
      </c>
      <c r="J903" s="122"/>
      <c r="K903" s="157">
        <v>1018</v>
      </c>
      <c r="L903" s="166">
        <f t="shared" si="199"/>
        <v>408</v>
      </c>
      <c r="M903" s="119" t="s">
        <v>2131</v>
      </c>
      <c r="N903" s="135">
        <v>23.294</v>
      </c>
      <c r="O903" s="122"/>
      <c r="P903" s="92">
        <f t="shared" si="194"/>
        <v>23.2944</v>
      </c>
      <c r="Q903" s="113">
        <f t="shared" si="195"/>
        <v>1.1394</v>
      </c>
      <c r="R903" s="92">
        <f t="shared" si="196"/>
        <v>0.8862000000000001</v>
      </c>
      <c r="S903" s="121"/>
      <c r="T903" s="93">
        <f>G903-N903-Q903-R903</f>
        <v>3.999999999997339E-4</v>
      </c>
      <c r="U903" s="122"/>
      <c r="V903" s="94">
        <f t="shared" ca="1" si="198"/>
        <v>224.4644447916653</v>
      </c>
      <c r="W903" s="89"/>
    </row>
    <row r="904" spans="1:23" s="312" customFormat="1" ht="18">
      <c r="A904" s="260"/>
      <c r="B904" s="260" t="s">
        <v>505</v>
      </c>
      <c r="C904" s="130" t="s">
        <v>55</v>
      </c>
      <c r="D904" s="131" t="s">
        <v>1881</v>
      </c>
      <c r="E904" s="145">
        <v>409</v>
      </c>
      <c r="F904" s="263">
        <v>45162</v>
      </c>
      <c r="G904" s="341">
        <v>42.22</v>
      </c>
      <c r="H904" s="150">
        <v>2176018.7999999998</v>
      </c>
      <c r="I904" s="106">
        <f t="shared" si="193"/>
        <v>51540</v>
      </c>
      <c r="J904" s="122"/>
      <c r="K904" s="157" t="s">
        <v>2132</v>
      </c>
      <c r="L904" s="166">
        <f t="shared" si="199"/>
        <v>409</v>
      </c>
      <c r="M904" s="119" t="s">
        <v>2133</v>
      </c>
      <c r="N904" s="135">
        <f>32.399+3.253+3.19</f>
        <v>38.841999999999999</v>
      </c>
      <c r="O904" s="122"/>
      <c r="P904" s="92">
        <f t="shared" si="194"/>
        <v>38.842399999999998</v>
      </c>
      <c r="Q904" s="113">
        <f t="shared" si="195"/>
        <v>1.8998999999999999</v>
      </c>
      <c r="R904" s="92">
        <f t="shared" si="196"/>
        <v>1.4777</v>
      </c>
      <c r="S904" s="121"/>
      <c r="T904" s="93">
        <f t="shared" si="197"/>
        <v>4.0000000000017799E-4</v>
      </c>
      <c r="U904" s="122"/>
      <c r="V904" s="94">
        <f t="shared" ca="1" si="198"/>
        <v>224.4644447916653</v>
      </c>
      <c r="W904" s="89"/>
    </row>
    <row r="905" spans="1:23" s="312" customFormat="1" ht="18">
      <c r="A905" s="260"/>
      <c r="B905" s="260" t="s">
        <v>505</v>
      </c>
      <c r="C905" s="130" t="s">
        <v>55</v>
      </c>
      <c r="D905" s="131" t="s">
        <v>1882</v>
      </c>
      <c r="E905" s="145">
        <v>410</v>
      </c>
      <c r="F905" s="263">
        <v>45162</v>
      </c>
      <c r="G905" s="341">
        <v>27.4</v>
      </c>
      <c r="H905" s="150">
        <v>1412196</v>
      </c>
      <c r="I905" s="106">
        <f t="shared" si="193"/>
        <v>51540</v>
      </c>
      <c r="J905" s="122"/>
      <c r="K905" s="157">
        <v>1021</v>
      </c>
      <c r="L905" s="166">
        <f t="shared" si="199"/>
        <v>410</v>
      </c>
      <c r="M905" s="119" t="s">
        <v>2131</v>
      </c>
      <c r="N905" s="135">
        <v>25.207999999999998</v>
      </c>
      <c r="O905" s="122"/>
      <c r="P905" s="92">
        <f t="shared" si="194"/>
        <v>25.207999999999998</v>
      </c>
      <c r="Q905" s="113">
        <f t="shared" si="195"/>
        <v>1.2329999999999999</v>
      </c>
      <c r="R905" s="92">
        <f t="shared" si="196"/>
        <v>0.95900000000000007</v>
      </c>
      <c r="S905" s="121"/>
      <c r="T905" s="93">
        <f t="shared" si="197"/>
        <v>0</v>
      </c>
      <c r="U905" s="122"/>
      <c r="V905" s="94">
        <f t="shared" ca="1" si="198"/>
        <v>224.4644447916653</v>
      </c>
      <c r="W905" s="89"/>
    </row>
    <row r="906" spans="1:23" s="312" customFormat="1" ht="18">
      <c r="A906" s="260"/>
      <c r="B906" s="260" t="s">
        <v>505</v>
      </c>
      <c r="C906" s="130" t="s">
        <v>55</v>
      </c>
      <c r="D906" s="131" t="s">
        <v>1883</v>
      </c>
      <c r="E906" s="145">
        <v>411</v>
      </c>
      <c r="F906" s="263">
        <v>45162</v>
      </c>
      <c r="G906" s="341">
        <v>42.28</v>
      </c>
      <c r="H906" s="150">
        <v>2179111.2000000002</v>
      </c>
      <c r="I906" s="106">
        <f t="shared" si="193"/>
        <v>51540</v>
      </c>
      <c r="J906" s="122"/>
      <c r="K906" s="157" t="s">
        <v>2150</v>
      </c>
      <c r="L906" s="166">
        <f t="shared" si="199"/>
        <v>411</v>
      </c>
      <c r="M906" s="119" t="s">
        <v>2151</v>
      </c>
      <c r="N906" s="135">
        <f>3.929+31.957+3.012</f>
        <v>38.898000000000003</v>
      </c>
      <c r="O906" s="122"/>
      <c r="P906" s="92">
        <f t="shared" si="194"/>
        <v>38.897600000000004</v>
      </c>
      <c r="Q906" s="113">
        <f t="shared" si="195"/>
        <v>1.9026000000000001</v>
      </c>
      <c r="R906" s="92">
        <f t="shared" si="196"/>
        <v>1.4798000000000002</v>
      </c>
      <c r="S906" s="121"/>
      <c r="T906" s="93">
        <f t="shared" si="197"/>
        <v>-4.0000000000239844E-4</v>
      </c>
      <c r="U906" s="122"/>
      <c r="V906" s="94">
        <f t="shared" ca="1" si="198"/>
        <v>224.4644447916653</v>
      </c>
      <c r="W906" s="89"/>
    </row>
    <row r="907" spans="1:23" s="312" customFormat="1" ht="18">
      <c r="A907" s="260"/>
      <c r="B907" s="260" t="s">
        <v>505</v>
      </c>
      <c r="C907" s="130" t="s">
        <v>55</v>
      </c>
      <c r="D907" s="131" t="s">
        <v>1884</v>
      </c>
      <c r="E907" s="145">
        <v>412</v>
      </c>
      <c r="F907" s="263">
        <v>45162</v>
      </c>
      <c r="G907" s="341">
        <v>42.46</v>
      </c>
      <c r="H907" s="150">
        <v>2188388.4</v>
      </c>
      <c r="I907" s="106">
        <f t="shared" si="193"/>
        <v>51540</v>
      </c>
      <c r="J907" s="122"/>
      <c r="K907" s="157" t="s">
        <v>2146</v>
      </c>
      <c r="L907" s="166">
        <f t="shared" si="199"/>
        <v>412</v>
      </c>
      <c r="M907" s="119" t="s">
        <v>2147</v>
      </c>
      <c r="N907" s="135">
        <f>31.15+7.913</f>
        <v>39.063000000000002</v>
      </c>
      <c r="O907" s="122"/>
      <c r="P907" s="92">
        <f t="shared" si="194"/>
        <v>39.063200000000002</v>
      </c>
      <c r="Q907" s="113">
        <f t="shared" si="195"/>
        <v>1.9107000000000001</v>
      </c>
      <c r="R907" s="92">
        <f t="shared" si="196"/>
        <v>1.4861000000000002</v>
      </c>
      <c r="S907" s="121"/>
      <c r="T907" s="93">
        <f t="shared" si="197"/>
        <v>1.9999999999820162E-4</v>
      </c>
      <c r="U907" s="122"/>
      <c r="V907" s="94">
        <f t="shared" ca="1" si="198"/>
        <v>224.4644447916653</v>
      </c>
      <c r="W907" s="89"/>
    </row>
    <row r="908" spans="1:23" s="312" customFormat="1" ht="18">
      <c r="A908" s="260"/>
      <c r="B908" s="260" t="s">
        <v>505</v>
      </c>
      <c r="C908" s="130" t="s">
        <v>55</v>
      </c>
      <c r="D908" s="131" t="s">
        <v>1885</v>
      </c>
      <c r="E908" s="145">
        <v>413</v>
      </c>
      <c r="F908" s="263">
        <v>45162</v>
      </c>
      <c r="G908" s="341">
        <v>31.84</v>
      </c>
      <c r="H908" s="150">
        <v>1641033.6</v>
      </c>
      <c r="I908" s="106">
        <f t="shared" si="193"/>
        <v>51540</v>
      </c>
      <c r="J908" s="122"/>
      <c r="K908" s="157" t="s">
        <v>2148</v>
      </c>
      <c r="L908" s="166">
        <f t="shared" si="199"/>
        <v>413</v>
      </c>
      <c r="M908" s="119" t="s">
        <v>2149</v>
      </c>
      <c r="N908" s="135">
        <f>23.631+5.662</f>
        <v>29.292999999999999</v>
      </c>
      <c r="O908" s="122"/>
      <c r="P908" s="92">
        <f t="shared" si="194"/>
        <v>29.2928</v>
      </c>
      <c r="Q908" s="113">
        <f t="shared" si="195"/>
        <v>1.4327999999999999</v>
      </c>
      <c r="R908" s="92">
        <f t="shared" si="196"/>
        <v>1.1144000000000001</v>
      </c>
      <c r="S908" s="121"/>
      <c r="T908" s="93">
        <f t="shared" si="197"/>
        <v>-1.9999999999931184E-4</v>
      </c>
      <c r="U908" s="122"/>
      <c r="V908" s="94">
        <f t="shared" ca="1" si="198"/>
        <v>224.4644447916653</v>
      </c>
      <c r="W908" s="89"/>
    </row>
    <row r="909" spans="1:23" s="312" customFormat="1" ht="18">
      <c r="A909" s="260"/>
      <c r="B909" s="260" t="s">
        <v>505</v>
      </c>
      <c r="C909" s="130" t="s">
        <v>55</v>
      </c>
      <c r="D909" s="131" t="s">
        <v>1886</v>
      </c>
      <c r="E909" s="145">
        <v>414</v>
      </c>
      <c r="F909" s="263">
        <v>45162</v>
      </c>
      <c r="G909" s="341">
        <v>42.46</v>
      </c>
      <c r="H909" s="150">
        <v>2188388.4</v>
      </c>
      <c r="I909" s="106">
        <f t="shared" si="193"/>
        <v>51540</v>
      </c>
      <c r="J909" s="122"/>
      <c r="K909" s="157" t="s">
        <v>2152</v>
      </c>
      <c r="L909" s="166">
        <f t="shared" si="199"/>
        <v>414</v>
      </c>
      <c r="M909" s="119" t="s">
        <v>2153</v>
      </c>
      <c r="N909" s="135">
        <f>27.007+12.056</f>
        <v>39.063000000000002</v>
      </c>
      <c r="O909" s="122"/>
      <c r="P909" s="92">
        <f t="shared" si="194"/>
        <v>39.063200000000002</v>
      </c>
      <c r="Q909" s="113">
        <f t="shared" si="195"/>
        <v>1.9107000000000001</v>
      </c>
      <c r="R909" s="92">
        <f t="shared" si="196"/>
        <v>1.4861000000000002</v>
      </c>
      <c r="S909" s="121"/>
      <c r="T909" s="93">
        <f t="shared" si="197"/>
        <v>1.9999999999820162E-4</v>
      </c>
      <c r="U909" s="122"/>
      <c r="V909" s="94">
        <f t="shared" ca="1" si="198"/>
        <v>224.4644447916653</v>
      </c>
      <c r="W909" s="89"/>
    </row>
    <row r="910" spans="1:23" s="312" customFormat="1" ht="18">
      <c r="A910" s="260"/>
      <c r="B910" s="260" t="s">
        <v>505</v>
      </c>
      <c r="C910" s="130" t="s">
        <v>55</v>
      </c>
      <c r="D910" s="131" t="s">
        <v>1887</v>
      </c>
      <c r="E910" s="145">
        <v>415</v>
      </c>
      <c r="F910" s="263">
        <v>45162</v>
      </c>
      <c r="G910" s="341">
        <v>42.42</v>
      </c>
      <c r="H910" s="150">
        <v>2186326.8000000003</v>
      </c>
      <c r="I910" s="106">
        <f t="shared" si="193"/>
        <v>51540.000000000007</v>
      </c>
      <c r="J910" s="122"/>
      <c r="K910" s="157" t="s">
        <v>2154</v>
      </c>
      <c r="L910" s="166">
        <f t="shared" si="199"/>
        <v>415</v>
      </c>
      <c r="M910" s="119" t="s">
        <v>2153</v>
      </c>
      <c r="N910" s="135">
        <f>32.02+7.006</f>
        <v>39.026000000000003</v>
      </c>
      <c r="O910" s="122"/>
      <c r="P910" s="92">
        <f t="shared" si="194"/>
        <v>39.026400000000002</v>
      </c>
      <c r="Q910" s="113">
        <f t="shared" si="195"/>
        <v>1.9089</v>
      </c>
      <c r="R910" s="92">
        <f t="shared" si="196"/>
        <v>1.4847000000000001</v>
      </c>
      <c r="S910" s="121"/>
      <c r="T910" s="93">
        <f t="shared" si="197"/>
        <v>3.9999999999817959E-4</v>
      </c>
      <c r="U910" s="122"/>
      <c r="V910" s="94">
        <f t="shared" ca="1" si="198"/>
        <v>224.4644447916653</v>
      </c>
      <c r="W910" s="89"/>
    </row>
    <row r="911" spans="1:23" s="312" customFormat="1" ht="18">
      <c r="A911" s="260"/>
      <c r="B911" s="260" t="s">
        <v>505</v>
      </c>
      <c r="C911" s="130" t="s">
        <v>55</v>
      </c>
      <c r="D911" s="131" t="s">
        <v>1888</v>
      </c>
      <c r="E911" s="145">
        <v>416</v>
      </c>
      <c r="F911" s="263">
        <v>45162</v>
      </c>
      <c r="G911" s="341">
        <v>29.64</v>
      </c>
      <c r="H911" s="150">
        <v>1527645.6</v>
      </c>
      <c r="I911" s="106">
        <f t="shared" si="193"/>
        <v>51540</v>
      </c>
      <c r="J911" s="122"/>
      <c r="K911" s="157" t="s">
        <v>2155</v>
      </c>
      <c r="L911" s="166">
        <f t="shared" si="199"/>
        <v>416</v>
      </c>
      <c r="M911" s="119" t="s">
        <v>2153</v>
      </c>
      <c r="N911" s="135">
        <f>24.684+2.585</f>
        <v>27.269000000000002</v>
      </c>
      <c r="O911" s="122"/>
      <c r="P911" s="92">
        <f t="shared" si="194"/>
        <v>27.268800000000002</v>
      </c>
      <c r="Q911" s="113">
        <f t="shared" si="195"/>
        <v>1.3337999999999999</v>
      </c>
      <c r="R911" s="92">
        <f t="shared" si="196"/>
        <v>1.0374000000000001</v>
      </c>
      <c r="S911" s="121"/>
      <c r="T911" s="93">
        <f t="shared" si="197"/>
        <v>-2.0000000000131024E-4</v>
      </c>
      <c r="U911" s="122"/>
      <c r="V911" s="94">
        <f t="shared" ca="1" si="198"/>
        <v>224.4644447916653</v>
      </c>
      <c r="W911" s="89"/>
    </row>
    <row r="912" spans="1:23" s="312" customFormat="1" ht="18">
      <c r="A912" s="260"/>
      <c r="B912" s="260" t="s">
        <v>505</v>
      </c>
      <c r="C912" s="130" t="s">
        <v>55</v>
      </c>
      <c r="D912" s="131" t="s">
        <v>1889</v>
      </c>
      <c r="E912" s="145">
        <v>417</v>
      </c>
      <c r="F912" s="263">
        <v>45162</v>
      </c>
      <c r="G912" s="341">
        <v>42.24</v>
      </c>
      <c r="H912" s="150">
        <v>2177049.6000000001</v>
      </c>
      <c r="I912" s="106">
        <f t="shared" si="193"/>
        <v>51540</v>
      </c>
      <c r="J912" s="122"/>
      <c r="K912" s="157" t="s">
        <v>2156</v>
      </c>
      <c r="L912" s="166">
        <f t="shared" si="199"/>
        <v>417</v>
      </c>
      <c r="M912" s="119" t="s">
        <v>2157</v>
      </c>
      <c r="N912" s="135">
        <f>32.627+6.234</f>
        <v>38.861000000000004</v>
      </c>
      <c r="O912" s="122"/>
      <c r="P912" s="92">
        <f t="shared" si="194"/>
        <v>38.860800000000005</v>
      </c>
      <c r="Q912" s="113">
        <f t="shared" si="195"/>
        <v>1.9008</v>
      </c>
      <c r="R912" s="92">
        <f t="shared" si="196"/>
        <v>1.4784000000000002</v>
      </c>
      <c r="S912" s="121"/>
      <c r="T912" s="93">
        <f t="shared" si="197"/>
        <v>-2.0000000000242046E-4</v>
      </c>
      <c r="U912" s="122"/>
      <c r="V912" s="94">
        <f t="shared" ca="1" si="198"/>
        <v>224.4644447916653</v>
      </c>
      <c r="W912" s="89"/>
    </row>
    <row r="913" spans="1:23" s="312" customFormat="1" ht="18">
      <c r="A913" s="260"/>
      <c r="B913" s="260" t="s">
        <v>505</v>
      </c>
      <c r="C913" s="130" t="s">
        <v>55</v>
      </c>
      <c r="D913" s="131" t="s">
        <v>1890</v>
      </c>
      <c r="E913" s="145">
        <v>418</v>
      </c>
      <c r="F913" s="263">
        <v>45162</v>
      </c>
      <c r="G913" s="341">
        <v>42.28</v>
      </c>
      <c r="H913" s="150">
        <v>2179111.2000000002</v>
      </c>
      <c r="I913" s="106">
        <f t="shared" si="193"/>
        <v>51540</v>
      </c>
      <c r="J913" s="122"/>
      <c r="K913" s="157" t="s">
        <v>2158</v>
      </c>
      <c r="L913" s="166">
        <f t="shared" si="199"/>
        <v>418</v>
      </c>
      <c r="M913" s="119" t="s">
        <v>2159</v>
      </c>
      <c r="N913" s="135">
        <f>30.893+1.157+6.848</f>
        <v>38.897999999999996</v>
      </c>
      <c r="O913" s="122"/>
      <c r="P913" s="92">
        <f t="shared" si="194"/>
        <v>38.897600000000004</v>
      </c>
      <c r="Q913" s="113">
        <f t="shared" si="195"/>
        <v>1.9026000000000001</v>
      </c>
      <c r="R913" s="92">
        <f t="shared" si="196"/>
        <v>1.4798000000000002</v>
      </c>
      <c r="S913" s="121"/>
      <c r="T913" s="93">
        <f t="shared" si="197"/>
        <v>-3.9999999999529301E-4</v>
      </c>
      <c r="U913" s="122"/>
      <c r="V913" s="94">
        <f t="shared" ca="1" si="198"/>
        <v>224.4644447916653</v>
      </c>
      <c r="W913" s="89"/>
    </row>
    <row r="914" spans="1:23" s="312" customFormat="1" ht="18">
      <c r="A914" s="260"/>
      <c r="B914" s="260" t="s">
        <v>505</v>
      </c>
      <c r="C914" s="130" t="s">
        <v>55</v>
      </c>
      <c r="D914" s="131" t="s">
        <v>1891</v>
      </c>
      <c r="E914" s="145">
        <v>419</v>
      </c>
      <c r="F914" s="263">
        <v>45162</v>
      </c>
      <c r="G914" s="341">
        <v>42.22</v>
      </c>
      <c r="H914" s="150">
        <v>2176018.7999999998</v>
      </c>
      <c r="I914" s="106">
        <f t="shared" si="193"/>
        <v>51540</v>
      </c>
      <c r="J914" s="122"/>
      <c r="K914" s="157" t="s">
        <v>2173</v>
      </c>
      <c r="L914" s="166">
        <f t="shared" si="199"/>
        <v>419</v>
      </c>
      <c r="M914" s="119" t="s">
        <v>2174</v>
      </c>
      <c r="N914" s="135">
        <f>21.592+17.25</f>
        <v>38.841999999999999</v>
      </c>
      <c r="O914" s="122"/>
      <c r="P914" s="92">
        <f t="shared" si="194"/>
        <v>38.842399999999998</v>
      </c>
      <c r="Q914" s="113">
        <f t="shared" si="195"/>
        <v>1.8998999999999999</v>
      </c>
      <c r="R914" s="92">
        <f t="shared" si="196"/>
        <v>1.4777</v>
      </c>
      <c r="S914" s="121"/>
      <c r="T914" s="93">
        <f t="shared" si="197"/>
        <v>4.0000000000017799E-4</v>
      </c>
      <c r="U914" s="122"/>
      <c r="V914" s="94">
        <f t="shared" ca="1" si="198"/>
        <v>224.4644447916653</v>
      </c>
      <c r="W914" s="89"/>
    </row>
    <row r="915" spans="1:23" s="312" customFormat="1" ht="18">
      <c r="A915" s="260"/>
      <c r="B915" s="260" t="s">
        <v>505</v>
      </c>
      <c r="C915" s="175" t="s">
        <v>55</v>
      </c>
      <c r="D915" s="131" t="s">
        <v>1892</v>
      </c>
      <c r="E915" s="145">
        <v>420</v>
      </c>
      <c r="F915" s="263">
        <v>45162</v>
      </c>
      <c r="G915" s="254">
        <v>39.340000000000003</v>
      </c>
      <c r="H915" s="150">
        <v>2030930.04</v>
      </c>
      <c r="I915" s="106">
        <f t="shared" si="193"/>
        <v>51625.064565327906</v>
      </c>
      <c r="J915" s="122"/>
      <c r="K915" s="157" t="s">
        <v>2175</v>
      </c>
      <c r="L915" s="166">
        <f t="shared" si="199"/>
        <v>420</v>
      </c>
      <c r="M915" s="119" t="s">
        <v>2176</v>
      </c>
      <c r="N915" s="135">
        <f>11.471+24.722</f>
        <v>36.192999999999998</v>
      </c>
      <c r="O915" s="122"/>
      <c r="P915" s="92">
        <f t="shared" si="194"/>
        <v>36.192800000000005</v>
      </c>
      <c r="Q915" s="113">
        <f t="shared" si="195"/>
        <v>1.7703</v>
      </c>
      <c r="R915" s="92">
        <f t="shared" si="196"/>
        <v>1.3769000000000002</v>
      </c>
      <c r="S915" s="121"/>
      <c r="T915" s="93">
        <f t="shared" si="197"/>
        <v>-1.999999999946489E-4</v>
      </c>
      <c r="U915" s="122"/>
      <c r="V915" s="94">
        <f t="shared" ca="1" si="198"/>
        <v>224.4644447916653</v>
      </c>
      <c r="W915" s="89"/>
    </row>
    <row r="916" spans="1:23" s="312" customFormat="1" ht="18">
      <c r="A916" s="260"/>
      <c r="B916" s="260" t="s">
        <v>505</v>
      </c>
      <c r="C916" s="130" t="s">
        <v>506</v>
      </c>
      <c r="D916" s="131" t="s">
        <v>1893</v>
      </c>
      <c r="E916" s="145">
        <v>421</v>
      </c>
      <c r="F916" s="263">
        <v>45162</v>
      </c>
      <c r="G916" s="341">
        <v>40.92</v>
      </c>
      <c r="H916" s="150">
        <v>2109016.8000000003</v>
      </c>
      <c r="I916" s="106">
        <f t="shared" si="193"/>
        <v>51540.000000000007</v>
      </c>
      <c r="J916" s="122"/>
      <c r="K916" s="157" t="s">
        <v>2177</v>
      </c>
      <c r="L916" s="166">
        <f t="shared" si="199"/>
        <v>421</v>
      </c>
      <c r="M916" s="119" t="s">
        <v>2178</v>
      </c>
      <c r="N916" s="135">
        <f>14.883+22.763</f>
        <v>37.646000000000001</v>
      </c>
      <c r="O916" s="122"/>
      <c r="P916" s="92">
        <f t="shared" si="194"/>
        <v>37.6464</v>
      </c>
      <c r="Q916" s="113">
        <f t="shared" si="195"/>
        <v>1.8413999999999999</v>
      </c>
      <c r="R916" s="92">
        <f t="shared" si="196"/>
        <v>1.4322000000000001</v>
      </c>
      <c r="S916" s="121"/>
      <c r="T916" s="93">
        <f t="shared" si="197"/>
        <v>4.0000000000084412E-4</v>
      </c>
      <c r="U916" s="122"/>
      <c r="V916" s="94">
        <f t="shared" ca="1" si="198"/>
        <v>224.4644447916653</v>
      </c>
      <c r="W916" s="89"/>
    </row>
    <row r="917" spans="1:23" s="312" customFormat="1" ht="18">
      <c r="A917" s="260"/>
      <c r="B917" s="260" t="s">
        <v>505</v>
      </c>
      <c r="C917" s="130" t="s">
        <v>55</v>
      </c>
      <c r="D917" s="131" t="s">
        <v>1894</v>
      </c>
      <c r="E917" s="145">
        <v>422</v>
      </c>
      <c r="F917" s="263">
        <v>45162</v>
      </c>
      <c r="G917" s="254">
        <v>32.339999999999996</v>
      </c>
      <c r="H917" s="150">
        <v>1666803.6</v>
      </c>
      <c r="I917" s="106">
        <f t="shared" si="193"/>
        <v>51540.000000000007</v>
      </c>
      <c r="J917" s="122"/>
      <c r="K917" s="157" t="s">
        <v>2179</v>
      </c>
      <c r="L917" s="166">
        <f>E917</f>
        <v>422</v>
      </c>
      <c r="M917" s="119" t="s">
        <v>2180</v>
      </c>
      <c r="N917" s="135">
        <f>10.143+19.61</f>
        <v>29.753</v>
      </c>
      <c r="O917" s="122"/>
      <c r="P917" s="92">
        <f t="shared" si="194"/>
        <v>29.752799999999997</v>
      </c>
      <c r="Q917" s="113">
        <f t="shared" si="195"/>
        <v>1.4552999999999998</v>
      </c>
      <c r="R917" s="92">
        <f t="shared" si="196"/>
        <v>1.1318999999999999</v>
      </c>
      <c r="S917" s="121"/>
      <c r="T917" s="93">
        <f t="shared" si="197"/>
        <v>-2.0000000000353069E-4</v>
      </c>
      <c r="U917" s="122"/>
      <c r="V917" s="94">
        <f t="shared" ca="1" si="198"/>
        <v>224.4644447916653</v>
      </c>
      <c r="W917" s="89"/>
    </row>
    <row r="918" spans="1:23" s="312" customFormat="1" ht="18">
      <c r="A918" s="260"/>
      <c r="B918" s="260" t="s">
        <v>505</v>
      </c>
      <c r="C918" s="130" t="s">
        <v>55</v>
      </c>
      <c r="D918" s="131" t="s">
        <v>1895</v>
      </c>
      <c r="E918" s="145">
        <v>423</v>
      </c>
      <c r="F918" s="263">
        <v>45162</v>
      </c>
      <c r="G918" s="254">
        <v>38.72</v>
      </c>
      <c r="H918" s="150">
        <v>1995628.8</v>
      </c>
      <c r="I918" s="106">
        <f t="shared" si="193"/>
        <v>51540</v>
      </c>
      <c r="J918" s="122"/>
      <c r="K918" s="157" t="s">
        <v>2187</v>
      </c>
      <c r="L918" s="166">
        <f t="shared" si="199"/>
        <v>423</v>
      </c>
      <c r="M918" s="119" t="s">
        <v>2185</v>
      </c>
      <c r="N918" s="135">
        <f>13.282+22.34</f>
        <v>35.622</v>
      </c>
      <c r="O918" s="122"/>
      <c r="P918" s="92">
        <f t="shared" si="194"/>
        <v>35.622399999999999</v>
      </c>
      <c r="Q918" s="113">
        <f t="shared" si="195"/>
        <v>1.7423999999999999</v>
      </c>
      <c r="R918" s="92">
        <f t="shared" si="196"/>
        <v>1.3552000000000002</v>
      </c>
      <c r="S918" s="121"/>
      <c r="T918" s="93">
        <f t="shared" si="197"/>
        <v>3.9999999999884572E-4</v>
      </c>
      <c r="U918" s="122"/>
      <c r="V918" s="94">
        <f t="shared" ca="1" si="198"/>
        <v>224.4644447916653</v>
      </c>
      <c r="W918" s="89"/>
    </row>
    <row r="919" spans="1:23" s="312" customFormat="1" ht="18">
      <c r="A919" s="260"/>
      <c r="B919" s="260" t="s">
        <v>505</v>
      </c>
      <c r="C919" s="130" t="s">
        <v>55</v>
      </c>
      <c r="D919" s="131" t="s">
        <v>1896</v>
      </c>
      <c r="E919" s="145">
        <v>424</v>
      </c>
      <c r="F919" s="263">
        <v>45162</v>
      </c>
      <c r="G919" s="254">
        <v>31.86</v>
      </c>
      <c r="H919" s="150">
        <v>1642064.4</v>
      </c>
      <c r="I919" s="106">
        <f t="shared" si="193"/>
        <v>51540</v>
      </c>
      <c r="J919" s="122"/>
      <c r="K919" s="157" t="s">
        <v>2188</v>
      </c>
      <c r="L919" s="166">
        <f t="shared" si="199"/>
        <v>424</v>
      </c>
      <c r="M919" s="119" t="s">
        <v>2185</v>
      </c>
      <c r="N919" s="135">
        <f>9.725+19.586</f>
        <v>29.311</v>
      </c>
      <c r="O919" s="122"/>
      <c r="P919" s="92">
        <f t="shared" si="194"/>
        <v>29.311199999999999</v>
      </c>
      <c r="Q919" s="113">
        <f t="shared" si="195"/>
        <v>1.4337</v>
      </c>
      <c r="R919" s="92">
        <f t="shared" si="196"/>
        <v>1.1151</v>
      </c>
      <c r="S919" s="121"/>
      <c r="T919" s="93">
        <f t="shared" si="197"/>
        <v>1.9999999999953388E-4</v>
      </c>
      <c r="U919" s="122"/>
      <c r="V919" s="94">
        <f t="shared" ca="1" si="198"/>
        <v>224.4644447916653</v>
      </c>
      <c r="W919" s="89"/>
    </row>
    <row r="920" spans="1:23" s="312" customFormat="1" ht="18">
      <c r="A920" s="260"/>
      <c r="B920" s="260" t="s">
        <v>505</v>
      </c>
      <c r="C920" s="130" t="s">
        <v>55</v>
      </c>
      <c r="D920" s="131" t="s">
        <v>1897</v>
      </c>
      <c r="E920" s="145">
        <v>425</v>
      </c>
      <c r="F920" s="263">
        <v>45162</v>
      </c>
      <c r="G920" s="254">
        <v>31.740000000000002</v>
      </c>
      <c r="H920" s="150">
        <v>1635879.6</v>
      </c>
      <c r="I920" s="106">
        <f t="shared" si="193"/>
        <v>51540</v>
      </c>
      <c r="J920" s="122"/>
      <c r="K920" s="157" t="s">
        <v>2193</v>
      </c>
      <c r="L920" s="166">
        <f t="shared" si="199"/>
        <v>425</v>
      </c>
      <c r="M920" s="119" t="s">
        <v>2195</v>
      </c>
      <c r="N920" s="135">
        <f>12.62+16.581</f>
        <v>29.201000000000001</v>
      </c>
      <c r="O920" s="122"/>
      <c r="P920" s="92">
        <f t="shared" si="194"/>
        <v>29.200800000000005</v>
      </c>
      <c r="Q920" s="113">
        <f t="shared" si="195"/>
        <v>1.4283000000000001</v>
      </c>
      <c r="R920" s="92">
        <f t="shared" si="196"/>
        <v>1.1109000000000002</v>
      </c>
      <c r="S920" s="121"/>
      <c r="T920" s="93">
        <f t="shared" si="197"/>
        <v>-1.9999999999886775E-4</v>
      </c>
      <c r="U920" s="122"/>
      <c r="V920" s="94">
        <f t="shared" ca="1" si="198"/>
        <v>224.4644447916653</v>
      </c>
      <c r="W920" s="89"/>
    </row>
    <row r="921" spans="1:23" s="312" customFormat="1" ht="18">
      <c r="A921" s="260"/>
      <c r="B921" s="260" t="s">
        <v>505</v>
      </c>
      <c r="C921" s="130" t="s">
        <v>55</v>
      </c>
      <c r="D921" s="131" t="s">
        <v>1898</v>
      </c>
      <c r="E921" s="145">
        <v>426</v>
      </c>
      <c r="F921" s="263">
        <v>45162</v>
      </c>
      <c r="G921" s="254">
        <v>32.4</v>
      </c>
      <c r="H921" s="150">
        <v>1669896</v>
      </c>
      <c r="I921" s="106">
        <f t="shared" si="193"/>
        <v>51540</v>
      </c>
      <c r="J921" s="122"/>
      <c r="K921" s="157" t="s">
        <v>2194</v>
      </c>
      <c r="L921" s="166">
        <f t="shared" si="199"/>
        <v>426</v>
      </c>
      <c r="M921" s="119" t="s">
        <v>2196</v>
      </c>
      <c r="N921" s="135">
        <f>24.325+5.483</f>
        <v>29.808</v>
      </c>
      <c r="O921" s="122"/>
      <c r="P921" s="92">
        <f t="shared" si="194"/>
        <v>29.808</v>
      </c>
      <c r="Q921" s="113">
        <f t="shared" si="195"/>
        <v>1.458</v>
      </c>
      <c r="R921" s="92">
        <f t="shared" si="196"/>
        <v>1.1340000000000001</v>
      </c>
      <c r="S921" s="121"/>
      <c r="T921" s="93">
        <f t="shared" si="197"/>
        <v>0</v>
      </c>
      <c r="U921" s="122"/>
      <c r="V921" s="94">
        <f t="shared" ca="1" si="198"/>
        <v>224.4644447916653</v>
      </c>
      <c r="W921" s="89"/>
    </row>
    <row r="922" spans="1:23" s="312" customFormat="1" ht="18">
      <c r="A922" s="260"/>
      <c r="B922" s="260" t="s">
        <v>505</v>
      </c>
      <c r="C922" s="130" t="s">
        <v>506</v>
      </c>
      <c r="D922" s="131" t="s">
        <v>1899</v>
      </c>
      <c r="E922" s="145">
        <v>427</v>
      </c>
      <c r="F922" s="263">
        <v>45162</v>
      </c>
      <c r="G922" s="341">
        <v>40.96</v>
      </c>
      <c r="H922" s="150">
        <v>2111078.3999999999</v>
      </c>
      <c r="I922" s="106">
        <f t="shared" si="193"/>
        <v>51540</v>
      </c>
      <c r="J922" s="122"/>
      <c r="K922" s="157" t="s">
        <v>2198</v>
      </c>
      <c r="L922" s="166">
        <f t="shared" si="199"/>
        <v>427</v>
      </c>
      <c r="M922" s="119" t="s">
        <v>2199</v>
      </c>
      <c r="N922" s="135">
        <f>2.434+32.129+3.12</f>
        <v>37.682999999999993</v>
      </c>
      <c r="O922" s="122"/>
      <c r="P922" s="92">
        <f t="shared" si="194"/>
        <v>37.683199999999999</v>
      </c>
      <c r="Q922" s="113">
        <f t="shared" si="195"/>
        <v>1.8431999999999999</v>
      </c>
      <c r="R922" s="92">
        <f t="shared" si="196"/>
        <v>1.4336000000000002</v>
      </c>
      <c r="S922" s="121"/>
      <c r="T922" s="93">
        <f t="shared" si="197"/>
        <v>2.0000000000797158E-4</v>
      </c>
      <c r="U922" s="122"/>
      <c r="V922" s="94">
        <f t="shared" ca="1" si="198"/>
        <v>224.4644447916653</v>
      </c>
      <c r="W922" s="89"/>
    </row>
    <row r="923" spans="1:23" s="312" customFormat="1" ht="18">
      <c r="A923" s="260"/>
      <c r="B923" s="260" t="s">
        <v>505</v>
      </c>
      <c r="C923" s="130" t="s">
        <v>506</v>
      </c>
      <c r="D923" s="131" t="s">
        <v>1900</v>
      </c>
      <c r="E923" s="145">
        <v>428</v>
      </c>
      <c r="F923" s="263">
        <v>45162</v>
      </c>
      <c r="G923" s="341">
        <v>40.78</v>
      </c>
      <c r="H923" s="150">
        <v>2166233.6</v>
      </c>
      <c r="I923" s="106">
        <f t="shared" si="193"/>
        <v>53120</v>
      </c>
      <c r="J923" s="122"/>
      <c r="K923" s="157" t="s">
        <v>2203</v>
      </c>
      <c r="L923" s="166">
        <f t="shared" si="199"/>
        <v>428</v>
      </c>
      <c r="M923" s="119" t="s">
        <v>2204</v>
      </c>
      <c r="N923" s="135">
        <f>32.324+5.194</f>
        <v>37.518000000000001</v>
      </c>
      <c r="O923" s="122"/>
      <c r="P923" s="92">
        <f t="shared" si="194"/>
        <v>37.517600000000002</v>
      </c>
      <c r="Q923" s="113">
        <f t="shared" si="195"/>
        <v>1.8351</v>
      </c>
      <c r="R923" s="92">
        <f t="shared" si="196"/>
        <v>1.4273000000000002</v>
      </c>
      <c r="S923" s="121"/>
      <c r="T923" s="93">
        <f t="shared" si="197"/>
        <v>-3.999999999997339E-4</v>
      </c>
      <c r="U923" s="122"/>
      <c r="V923" s="94">
        <f t="shared" ca="1" si="198"/>
        <v>224.4644447916653</v>
      </c>
      <c r="W923" s="89"/>
    </row>
    <row r="924" spans="1:23" s="312" customFormat="1" ht="18">
      <c r="A924" s="260"/>
      <c r="B924" s="260" t="s">
        <v>505</v>
      </c>
      <c r="C924" s="130" t="s">
        <v>506</v>
      </c>
      <c r="D924" s="131" t="s">
        <v>1901</v>
      </c>
      <c r="E924" s="145">
        <v>429</v>
      </c>
      <c r="F924" s="263">
        <v>45162</v>
      </c>
      <c r="G924" s="341">
        <v>37.238</v>
      </c>
      <c r="H924" s="150">
        <v>1919246.52</v>
      </c>
      <c r="I924" s="106">
        <f t="shared" si="193"/>
        <v>51540</v>
      </c>
      <c r="J924" s="122"/>
      <c r="K924" s="157" t="s">
        <v>2205</v>
      </c>
      <c r="L924" s="166">
        <f t="shared" si="199"/>
        <v>429</v>
      </c>
      <c r="M924" s="119" t="s">
        <v>2204</v>
      </c>
      <c r="N924" s="135">
        <f>32.105+2.154</f>
        <v>34.259</v>
      </c>
      <c r="O924" s="122"/>
      <c r="P924" s="92">
        <f t="shared" si="194"/>
        <v>34.258960000000002</v>
      </c>
      <c r="Q924" s="113">
        <f t="shared" si="195"/>
        <v>1.6757099999999998</v>
      </c>
      <c r="R924" s="92">
        <f t="shared" si="196"/>
        <v>1.3033300000000001</v>
      </c>
      <c r="S924" s="121"/>
      <c r="T924" s="93">
        <f t="shared" si="197"/>
        <v>-4.0000000000706137E-5</v>
      </c>
      <c r="U924" s="122"/>
      <c r="V924" s="94">
        <f t="shared" ca="1" si="198"/>
        <v>224.4644447916653</v>
      </c>
      <c r="W924" s="89"/>
    </row>
    <row r="925" spans="1:23" s="312" customFormat="1" ht="18">
      <c r="A925" s="260"/>
      <c r="B925" s="260" t="s">
        <v>505</v>
      </c>
      <c r="C925" s="130" t="s">
        <v>506</v>
      </c>
      <c r="D925" s="131" t="s">
        <v>1902</v>
      </c>
      <c r="E925" s="145">
        <v>430</v>
      </c>
      <c r="F925" s="263">
        <v>45162</v>
      </c>
      <c r="G925" s="341">
        <v>1.8620000000000001</v>
      </c>
      <c r="H925" s="150">
        <v>95967.48000000001</v>
      </c>
      <c r="I925" s="106">
        <f t="shared" si="193"/>
        <v>51540</v>
      </c>
      <c r="J925" s="122"/>
      <c r="K925" s="157">
        <v>1079</v>
      </c>
      <c r="L925" s="166">
        <f t="shared" si="199"/>
        <v>430</v>
      </c>
      <c r="M925" s="119" t="s">
        <v>2197</v>
      </c>
      <c r="N925" s="135">
        <v>1.7130000000000001</v>
      </c>
      <c r="O925" s="122"/>
      <c r="P925" s="92">
        <f t="shared" si="194"/>
        <v>1.7130400000000001</v>
      </c>
      <c r="Q925" s="113">
        <f t="shared" si="195"/>
        <v>8.3790000000000003E-2</v>
      </c>
      <c r="R925" s="92">
        <f t="shared" si="196"/>
        <v>6.5170000000000006E-2</v>
      </c>
      <c r="S925" s="121"/>
      <c r="T925" s="93">
        <f t="shared" si="197"/>
        <v>4.0000000000012248E-5</v>
      </c>
      <c r="U925" s="122"/>
      <c r="V925" s="94">
        <f t="shared" ca="1" si="198"/>
        <v>224.4644447916653</v>
      </c>
      <c r="W925" s="89"/>
    </row>
    <row r="926" spans="1:23" s="312" customFormat="1" ht="18">
      <c r="A926" s="260"/>
      <c r="B926" s="260" t="s">
        <v>505</v>
      </c>
      <c r="C926" s="130" t="s">
        <v>55</v>
      </c>
      <c r="D926" s="131" t="s">
        <v>1903</v>
      </c>
      <c r="E926" s="145">
        <v>431</v>
      </c>
      <c r="F926" s="263">
        <v>45162</v>
      </c>
      <c r="G926" s="254">
        <v>39.160000000000004</v>
      </c>
      <c r="H926" s="150">
        <v>2076846.9800000002</v>
      </c>
      <c r="I926" s="106">
        <f t="shared" si="193"/>
        <v>53034.907558733401</v>
      </c>
      <c r="J926" s="122"/>
      <c r="K926" s="157" t="s">
        <v>2229</v>
      </c>
      <c r="L926" s="166">
        <f t="shared" si="199"/>
        <v>431</v>
      </c>
      <c r="M926" s="119" t="s">
        <v>2230</v>
      </c>
      <c r="N926" s="135">
        <f>25.161+10.866</f>
        <v>36.027000000000001</v>
      </c>
      <c r="O926" s="122"/>
      <c r="P926" s="92">
        <f t="shared" si="194"/>
        <v>36.027200000000008</v>
      </c>
      <c r="Q926" s="113">
        <f t="shared" si="195"/>
        <v>1.7622000000000002</v>
      </c>
      <c r="R926" s="92">
        <f t="shared" si="196"/>
        <v>1.3706000000000003</v>
      </c>
      <c r="S926" s="121"/>
      <c r="T926" s="93">
        <f t="shared" si="197"/>
        <v>2.0000000000219842E-4</v>
      </c>
      <c r="U926" s="122"/>
      <c r="V926" s="94">
        <f t="shared" ca="1" si="198"/>
        <v>224.4644447916653</v>
      </c>
      <c r="W926" s="89"/>
    </row>
    <row r="927" spans="1:23" s="312" customFormat="1" ht="18">
      <c r="A927" s="260"/>
      <c r="B927" s="260" t="s">
        <v>505</v>
      </c>
      <c r="C927" s="130" t="s">
        <v>55</v>
      </c>
      <c r="D927" s="131" t="s">
        <v>1904</v>
      </c>
      <c r="E927" s="145">
        <v>432</v>
      </c>
      <c r="F927" s="263">
        <v>45162</v>
      </c>
      <c r="G927" s="254">
        <v>39.32</v>
      </c>
      <c r="H927" s="150">
        <v>2085333.54</v>
      </c>
      <c r="I927" s="106">
        <f t="shared" si="193"/>
        <v>53034.932349949137</v>
      </c>
      <c r="J927" s="122"/>
      <c r="K927" s="157" t="s">
        <v>2207</v>
      </c>
      <c r="L927" s="166">
        <f t="shared" si="199"/>
        <v>432</v>
      </c>
      <c r="M927" s="119" t="s">
        <v>2206</v>
      </c>
      <c r="N927" s="135">
        <f>32.572+3.602</f>
        <v>36.173999999999999</v>
      </c>
      <c r="O927" s="122"/>
      <c r="P927" s="92">
        <f t="shared" si="194"/>
        <v>36.174399999999999</v>
      </c>
      <c r="Q927" s="113">
        <f t="shared" si="195"/>
        <v>1.7693999999999999</v>
      </c>
      <c r="R927" s="92">
        <f t="shared" si="196"/>
        <v>1.3762000000000001</v>
      </c>
      <c r="S927" s="121"/>
      <c r="T927" s="93">
        <f t="shared" si="197"/>
        <v>4.0000000000084412E-4</v>
      </c>
      <c r="U927" s="122"/>
      <c r="V927" s="94">
        <f t="shared" ca="1" si="198"/>
        <v>224.4644447916653</v>
      </c>
      <c r="W927" s="89"/>
    </row>
    <row r="928" spans="1:23" s="312" customFormat="1" ht="18">
      <c r="A928" s="260"/>
      <c r="B928" s="260" t="s">
        <v>505</v>
      </c>
      <c r="C928" s="130" t="s">
        <v>55</v>
      </c>
      <c r="D928" s="131" t="s">
        <v>1905</v>
      </c>
      <c r="E928" s="145">
        <v>433</v>
      </c>
      <c r="F928" s="263">
        <v>45162</v>
      </c>
      <c r="G928" s="254">
        <v>31.799999999999997</v>
      </c>
      <c r="H928" s="150">
        <v>1685879.0399999998</v>
      </c>
      <c r="I928" s="106">
        <f t="shared" si="193"/>
        <v>53015.064150943392</v>
      </c>
      <c r="J928" s="122"/>
      <c r="K928" s="157">
        <v>1094</v>
      </c>
      <c r="L928" s="166">
        <f t="shared" si="199"/>
        <v>433</v>
      </c>
      <c r="M928" s="119" t="s">
        <v>2206</v>
      </c>
      <c r="N928" s="135">
        <v>29.251000000000001</v>
      </c>
      <c r="O928" s="122"/>
      <c r="P928" s="92">
        <f t="shared" si="194"/>
        <v>29.256</v>
      </c>
      <c r="Q928" s="113">
        <f>G928*4.5%+0.005</f>
        <v>1.4359999999999997</v>
      </c>
      <c r="R928" s="92">
        <f t="shared" si="196"/>
        <v>1.113</v>
      </c>
      <c r="S928" s="121"/>
      <c r="T928" s="93">
        <f t="shared" si="197"/>
        <v>-3.7747582837255322E-15</v>
      </c>
      <c r="U928" s="122"/>
      <c r="V928" s="94">
        <f t="shared" ca="1" si="198"/>
        <v>224.4644447916653</v>
      </c>
      <c r="W928" s="89"/>
    </row>
    <row r="929" spans="1:23" s="312" customFormat="1" ht="18">
      <c r="A929" s="260"/>
      <c r="B929" s="260" t="s">
        <v>505</v>
      </c>
      <c r="C929" s="130" t="s">
        <v>55</v>
      </c>
      <c r="D929" s="131" t="s">
        <v>1906</v>
      </c>
      <c r="E929" s="145">
        <v>434</v>
      </c>
      <c r="F929" s="263">
        <v>45162</v>
      </c>
      <c r="G929" s="254">
        <v>31.840000000000003</v>
      </c>
      <c r="H929" s="150">
        <v>1641033.6</v>
      </c>
      <c r="I929" s="106">
        <f t="shared" si="193"/>
        <v>51540</v>
      </c>
      <c r="J929" s="122"/>
      <c r="K929" s="157" t="s">
        <v>2248</v>
      </c>
      <c r="L929" s="166">
        <f t="shared" si="199"/>
        <v>434</v>
      </c>
      <c r="M929" s="119" t="s">
        <v>2249</v>
      </c>
      <c r="N929" s="135">
        <f>25.259+4.034</f>
        <v>29.292999999999999</v>
      </c>
      <c r="O929" s="122"/>
      <c r="P929" s="92">
        <f t="shared" si="194"/>
        <v>29.292800000000003</v>
      </c>
      <c r="Q929" s="113">
        <f t="shared" si="195"/>
        <v>1.4328000000000001</v>
      </c>
      <c r="R929" s="92">
        <f t="shared" si="196"/>
        <v>1.1144000000000003</v>
      </c>
      <c r="S929" s="121"/>
      <c r="T929" s="93">
        <f t="shared" si="197"/>
        <v>-1.9999999999620321E-4</v>
      </c>
      <c r="U929" s="122"/>
      <c r="V929" s="94">
        <f t="shared" ca="1" si="198"/>
        <v>224.4644447916653</v>
      </c>
      <c r="W929" s="89"/>
    </row>
    <row r="930" spans="1:23" s="312" customFormat="1" ht="18">
      <c r="A930" s="260"/>
      <c r="B930" s="260" t="s">
        <v>505</v>
      </c>
      <c r="C930" s="130" t="s">
        <v>55</v>
      </c>
      <c r="D930" s="131" t="s">
        <v>1907</v>
      </c>
      <c r="E930" s="145">
        <v>435</v>
      </c>
      <c r="F930" s="263">
        <v>45162</v>
      </c>
      <c r="G930" s="254">
        <v>31.92</v>
      </c>
      <c r="H930" s="150">
        <v>1645156.8</v>
      </c>
      <c r="I930" s="106">
        <f t="shared" si="193"/>
        <v>51540</v>
      </c>
      <c r="J930" s="122"/>
      <c r="K930" s="157" t="s">
        <v>2250</v>
      </c>
      <c r="L930" s="166">
        <f t="shared" si="199"/>
        <v>435</v>
      </c>
      <c r="M930" s="119" t="s">
        <v>2251</v>
      </c>
      <c r="N930" s="135">
        <f>21.865+7.501</f>
        <v>29.366</v>
      </c>
      <c r="O930" s="122"/>
      <c r="P930" s="92">
        <f t="shared" si="194"/>
        <v>29.366400000000002</v>
      </c>
      <c r="Q930" s="113">
        <f t="shared" si="195"/>
        <v>1.4364000000000001</v>
      </c>
      <c r="R930" s="92">
        <f t="shared" si="196"/>
        <v>1.1172000000000002</v>
      </c>
      <c r="S930" s="121"/>
      <c r="T930" s="93">
        <f t="shared" si="197"/>
        <v>4.000000000017323E-4</v>
      </c>
      <c r="U930" s="122"/>
      <c r="V930" s="94">
        <f t="shared" ca="1" si="198"/>
        <v>224.4644447916653</v>
      </c>
      <c r="W930" s="89"/>
    </row>
    <row r="931" spans="1:23" s="312" customFormat="1" ht="18">
      <c r="A931" s="260"/>
      <c r="B931" s="260" t="s">
        <v>505</v>
      </c>
      <c r="C931" s="175" t="s">
        <v>55</v>
      </c>
      <c r="D931" s="131" t="s">
        <v>1908</v>
      </c>
      <c r="E931" s="145">
        <v>436</v>
      </c>
      <c r="F931" s="263">
        <v>45162</v>
      </c>
      <c r="G931" s="254">
        <v>26.46</v>
      </c>
      <c r="H931" s="150">
        <v>1405555.2</v>
      </c>
      <c r="I931" s="106">
        <f t="shared" si="193"/>
        <v>53120</v>
      </c>
      <c r="J931" s="122"/>
      <c r="K931" s="157" t="s">
        <v>2264</v>
      </c>
      <c r="L931" s="166">
        <f t="shared" si="199"/>
        <v>436</v>
      </c>
      <c r="M931" s="119" t="s">
        <v>2262</v>
      </c>
      <c r="N931" s="135">
        <f>21.116+3.227</f>
        <v>24.343</v>
      </c>
      <c r="O931" s="122"/>
      <c r="P931" s="92">
        <f t="shared" si="194"/>
        <v>24.343200000000003</v>
      </c>
      <c r="Q931" s="113">
        <f t="shared" si="195"/>
        <v>1.1907000000000001</v>
      </c>
      <c r="R931" s="92">
        <f t="shared" si="196"/>
        <v>0.92610000000000015</v>
      </c>
      <c r="S931" s="121"/>
      <c r="T931" s="93">
        <f t="shared" si="197"/>
        <v>2.0000000000064411E-4</v>
      </c>
      <c r="U931" s="122"/>
      <c r="V931" s="94">
        <f t="shared" ca="1" si="198"/>
        <v>224.4644447916653</v>
      </c>
      <c r="W931" s="89"/>
    </row>
    <row r="932" spans="1:23" s="312" customFormat="1" ht="18">
      <c r="A932" s="260"/>
      <c r="B932" s="260" t="s">
        <v>505</v>
      </c>
      <c r="C932" s="130" t="s">
        <v>506</v>
      </c>
      <c r="D932" s="131" t="s">
        <v>1909</v>
      </c>
      <c r="E932" s="145">
        <v>437</v>
      </c>
      <c r="F932" s="263">
        <v>45162</v>
      </c>
      <c r="G932" s="341">
        <v>6.2</v>
      </c>
      <c r="H932" s="150">
        <v>329344</v>
      </c>
      <c r="I932" s="106">
        <f t="shared" si="193"/>
        <v>53120</v>
      </c>
      <c r="J932" s="122"/>
      <c r="K932" s="157">
        <v>1080</v>
      </c>
      <c r="L932" s="166">
        <f t="shared" si="199"/>
        <v>437</v>
      </c>
      <c r="M932" s="119" t="s">
        <v>2197</v>
      </c>
      <c r="N932" s="135">
        <v>5.7039999999999997</v>
      </c>
      <c r="O932" s="122"/>
      <c r="P932" s="92">
        <f t="shared" si="194"/>
        <v>5.7040000000000006</v>
      </c>
      <c r="Q932" s="113">
        <f t="shared" si="195"/>
        <v>0.27899999999999997</v>
      </c>
      <c r="R932" s="92">
        <f t="shared" si="196"/>
        <v>0.21700000000000003</v>
      </c>
      <c r="S932" s="121"/>
      <c r="T932" s="93">
        <f t="shared" si="197"/>
        <v>4.4408920985006262E-16</v>
      </c>
      <c r="U932" s="122"/>
      <c r="V932" s="94">
        <f t="shared" ca="1" si="198"/>
        <v>224.4644447916653</v>
      </c>
      <c r="W932" s="89"/>
    </row>
    <row r="933" spans="1:23" s="312" customFormat="1" ht="18">
      <c r="A933" s="260"/>
      <c r="B933" s="260" t="s">
        <v>505</v>
      </c>
      <c r="C933" s="130" t="s">
        <v>55</v>
      </c>
      <c r="D933" s="131" t="s">
        <v>1910</v>
      </c>
      <c r="E933" s="145">
        <v>438</v>
      </c>
      <c r="F933" s="263">
        <v>45162</v>
      </c>
      <c r="G933" s="254">
        <v>31.78</v>
      </c>
      <c r="H933" s="150">
        <v>1684818.22</v>
      </c>
      <c r="I933" s="106">
        <f t="shared" si="193"/>
        <v>53015.047828823153</v>
      </c>
      <c r="J933" s="122"/>
      <c r="K933" s="157" t="s">
        <v>2269</v>
      </c>
      <c r="L933" s="166">
        <f t="shared" si="199"/>
        <v>438</v>
      </c>
      <c r="M933" s="119" t="s">
        <v>2270</v>
      </c>
      <c r="N933" s="135">
        <f>18.453+10.785</f>
        <v>29.238</v>
      </c>
      <c r="O933" s="122"/>
      <c r="P933" s="92">
        <f t="shared" si="194"/>
        <v>29.237600000000004</v>
      </c>
      <c r="Q933" s="113">
        <f t="shared" si="195"/>
        <v>1.4300999999999999</v>
      </c>
      <c r="R933" s="92">
        <f t="shared" si="196"/>
        <v>1.1123000000000001</v>
      </c>
      <c r="S933" s="121"/>
      <c r="T933" s="93">
        <f t="shared" si="197"/>
        <v>-3.9999999999840163E-4</v>
      </c>
      <c r="U933" s="122"/>
      <c r="V933" s="94">
        <f t="shared" ca="1" si="198"/>
        <v>224.4644447916653</v>
      </c>
      <c r="W933" s="89"/>
    </row>
    <row r="934" spans="1:23" s="312" customFormat="1" ht="18">
      <c r="A934" s="260"/>
      <c r="B934" s="260" t="s">
        <v>505</v>
      </c>
      <c r="C934" s="130" t="s">
        <v>55</v>
      </c>
      <c r="D934" s="131" t="s">
        <v>1911</v>
      </c>
      <c r="E934" s="145">
        <v>439</v>
      </c>
      <c r="F934" s="263">
        <v>45162</v>
      </c>
      <c r="G934" s="341">
        <v>27.52</v>
      </c>
      <c r="H934" s="150">
        <v>1418380.8</v>
      </c>
      <c r="I934" s="106">
        <f t="shared" si="193"/>
        <v>51540</v>
      </c>
      <c r="J934" s="122"/>
      <c r="K934" s="157" t="s">
        <v>2271</v>
      </c>
      <c r="L934" s="166">
        <f t="shared" si="199"/>
        <v>439</v>
      </c>
      <c r="M934" s="119" t="s">
        <v>2270</v>
      </c>
      <c r="N934" s="135">
        <f>21.891+3.427</f>
        <v>25.317999999999998</v>
      </c>
      <c r="O934" s="122"/>
      <c r="P934" s="92">
        <f t="shared" si="194"/>
        <v>25.3184</v>
      </c>
      <c r="Q934" s="113">
        <f t="shared" si="195"/>
        <v>1.2383999999999999</v>
      </c>
      <c r="R934" s="92">
        <f t="shared" si="196"/>
        <v>0.96320000000000006</v>
      </c>
      <c r="S934" s="121"/>
      <c r="T934" s="93">
        <f t="shared" si="197"/>
        <v>4.000000000017323E-4</v>
      </c>
      <c r="U934" s="122"/>
      <c r="V934" s="94">
        <f t="shared" ca="1" si="198"/>
        <v>224.4644447916653</v>
      </c>
      <c r="W934" s="89"/>
    </row>
    <row r="935" spans="1:23" s="312" customFormat="1" ht="18">
      <c r="A935" s="260"/>
      <c r="B935" s="260" t="s">
        <v>505</v>
      </c>
      <c r="C935" s="130" t="s">
        <v>55</v>
      </c>
      <c r="D935" s="131" t="s">
        <v>1912</v>
      </c>
      <c r="E935" s="145">
        <v>440</v>
      </c>
      <c r="F935" s="263">
        <v>45162</v>
      </c>
      <c r="G935" s="341">
        <v>27.52</v>
      </c>
      <c r="H935" s="150">
        <v>1418380.8</v>
      </c>
      <c r="I935" s="106">
        <f t="shared" si="193"/>
        <v>51540</v>
      </c>
      <c r="J935" s="122"/>
      <c r="K935" s="157">
        <v>1175</v>
      </c>
      <c r="L935" s="166">
        <f t="shared" si="199"/>
        <v>440</v>
      </c>
      <c r="M935" s="119" t="s">
        <v>2263</v>
      </c>
      <c r="N935" s="135">
        <v>25.318000000000001</v>
      </c>
      <c r="O935" s="122"/>
      <c r="P935" s="92">
        <f t="shared" si="194"/>
        <v>25.3184</v>
      </c>
      <c r="Q935" s="113">
        <f t="shared" si="195"/>
        <v>1.2383999999999999</v>
      </c>
      <c r="R935" s="92">
        <f t="shared" si="196"/>
        <v>0.96320000000000006</v>
      </c>
      <c r="S935" s="121"/>
      <c r="T935" s="93">
        <f t="shared" si="197"/>
        <v>3.9999999999817959E-4</v>
      </c>
      <c r="U935" s="122"/>
      <c r="V935" s="94">
        <f t="shared" ca="1" si="198"/>
        <v>224.4644447916653</v>
      </c>
      <c r="W935" s="89"/>
    </row>
    <row r="936" spans="1:23" s="312" customFormat="1" ht="18">
      <c r="A936" s="260"/>
      <c r="B936" s="260" t="s">
        <v>505</v>
      </c>
      <c r="C936" s="340" t="s">
        <v>55</v>
      </c>
      <c r="D936" s="131" t="s">
        <v>1913</v>
      </c>
      <c r="E936" s="145">
        <v>441</v>
      </c>
      <c r="F936" s="263">
        <v>45162</v>
      </c>
      <c r="G936" s="254">
        <v>32.22</v>
      </c>
      <c r="H936" s="150">
        <v>1678189.98</v>
      </c>
      <c r="I936" s="106">
        <f t="shared" si="193"/>
        <v>52085.350093109868</v>
      </c>
      <c r="J936" s="122"/>
      <c r="K936" s="157" t="s">
        <v>2273</v>
      </c>
      <c r="L936" s="166">
        <f t="shared" si="199"/>
        <v>441</v>
      </c>
      <c r="M936" s="119" t="s">
        <v>2270</v>
      </c>
      <c r="N936" s="135">
        <f>4.125+25.517</f>
        <v>29.641999999999999</v>
      </c>
      <c r="O936" s="122"/>
      <c r="P936" s="92">
        <f t="shared" si="194"/>
        <v>29.642399999999999</v>
      </c>
      <c r="Q936" s="113">
        <f t="shared" si="195"/>
        <v>1.4499</v>
      </c>
      <c r="R936" s="92">
        <f t="shared" si="196"/>
        <v>1.1277000000000001</v>
      </c>
      <c r="S936" s="121"/>
      <c r="T936" s="93">
        <f t="shared" si="197"/>
        <v>3.9999999999928981E-4</v>
      </c>
      <c r="U936" s="122"/>
      <c r="V936" s="94">
        <f t="shared" ca="1" si="198"/>
        <v>224.4644447916653</v>
      </c>
      <c r="W936" s="89"/>
    </row>
    <row r="937" spans="1:23" s="312" customFormat="1" ht="18">
      <c r="A937" s="260"/>
      <c r="B937" s="260" t="s">
        <v>505</v>
      </c>
      <c r="C937" s="340" t="s">
        <v>55</v>
      </c>
      <c r="D937" s="131" t="s">
        <v>1914</v>
      </c>
      <c r="E937" s="145">
        <v>442</v>
      </c>
      <c r="F937" s="263">
        <v>45162</v>
      </c>
      <c r="G937" s="254">
        <v>32.18</v>
      </c>
      <c r="H937" s="150">
        <v>1676106.2599999998</v>
      </c>
      <c r="I937" s="106">
        <f t="shared" si="193"/>
        <v>52085.340584213795</v>
      </c>
      <c r="J937" s="122"/>
      <c r="K937" s="157">
        <v>1084</v>
      </c>
      <c r="L937" s="166">
        <f t="shared" si="199"/>
        <v>442</v>
      </c>
      <c r="M937" s="119" t="s">
        <v>2200</v>
      </c>
      <c r="N937" s="135">
        <v>29.617000000000001</v>
      </c>
      <c r="O937" s="122"/>
      <c r="P937" s="92">
        <v>29.617000000000001</v>
      </c>
      <c r="Q937" s="113">
        <v>1.4430000000000001</v>
      </c>
      <c r="R937" s="92">
        <v>1.1200000000000001</v>
      </c>
      <c r="S937" s="121"/>
      <c r="T937" s="93">
        <f t="shared" ref="T937" si="200">G937-N937-Q937-R937</f>
        <v>0</v>
      </c>
      <c r="U937" s="122"/>
      <c r="V937" s="94">
        <f t="shared" ca="1" si="198"/>
        <v>224.4644447916653</v>
      </c>
      <c r="W937" s="89"/>
    </row>
    <row r="938" spans="1:23" s="312" customFormat="1" ht="18">
      <c r="A938" s="260"/>
      <c r="B938" s="260" t="s">
        <v>505</v>
      </c>
      <c r="C938" s="130" t="s">
        <v>506</v>
      </c>
      <c r="D938" s="131" t="s">
        <v>1915</v>
      </c>
      <c r="E938" s="145">
        <v>443</v>
      </c>
      <c r="F938" s="263">
        <v>45162</v>
      </c>
      <c r="G938" s="341">
        <v>40.94</v>
      </c>
      <c r="H938" s="150">
        <v>2174732.7999999998</v>
      </c>
      <c r="I938" s="106">
        <f t="shared" si="193"/>
        <v>53120</v>
      </c>
      <c r="J938" s="122"/>
      <c r="K938" s="157" t="s">
        <v>2265</v>
      </c>
      <c r="L938" s="166">
        <f t="shared" si="199"/>
        <v>443</v>
      </c>
      <c r="M938" s="119" t="s">
        <v>2266</v>
      </c>
      <c r="N938" s="135">
        <f>31.503+6.162</f>
        <v>37.664999999999999</v>
      </c>
      <c r="O938" s="122"/>
      <c r="P938" s="92">
        <f t="shared" si="194"/>
        <v>37.6648</v>
      </c>
      <c r="Q938" s="113">
        <f t="shared" si="195"/>
        <v>1.8422999999999998</v>
      </c>
      <c r="R938" s="92">
        <f t="shared" si="196"/>
        <v>1.4329000000000001</v>
      </c>
      <c r="S938" s="121"/>
      <c r="T938" s="93">
        <f t="shared" si="197"/>
        <v>-2.0000000000131024E-4</v>
      </c>
      <c r="U938" s="122"/>
      <c r="V938" s="94">
        <f t="shared" ca="1" si="198"/>
        <v>224.4644447916653</v>
      </c>
      <c r="W938" s="89"/>
    </row>
    <row r="939" spans="1:23" s="312" customFormat="1" ht="18">
      <c r="A939" s="260"/>
      <c r="B939" s="260" t="s">
        <v>505</v>
      </c>
      <c r="C939" s="130" t="s">
        <v>55</v>
      </c>
      <c r="D939" s="131" t="s">
        <v>1916</v>
      </c>
      <c r="E939" s="145">
        <v>444</v>
      </c>
      <c r="F939" s="263">
        <v>45162</v>
      </c>
      <c r="G939" s="254">
        <v>27</v>
      </c>
      <c r="H939" s="150">
        <v>1397456.02</v>
      </c>
      <c r="I939" s="106">
        <f t="shared" si="193"/>
        <v>51757.630370370374</v>
      </c>
      <c r="J939" s="122"/>
      <c r="K939" s="157" t="s">
        <v>2274</v>
      </c>
      <c r="L939" s="166">
        <f t="shared" si="199"/>
        <v>444</v>
      </c>
      <c r="M939" s="119" t="s">
        <v>2275</v>
      </c>
      <c r="N939" s="135">
        <f>5.729+19.111</f>
        <v>24.84</v>
      </c>
      <c r="O939" s="122"/>
      <c r="P939" s="92">
        <f t="shared" si="194"/>
        <v>24.84</v>
      </c>
      <c r="Q939" s="113">
        <f t="shared" si="195"/>
        <v>1.2149999999999999</v>
      </c>
      <c r="R939" s="92">
        <f t="shared" si="196"/>
        <v>0.94500000000000006</v>
      </c>
      <c r="S939" s="121"/>
      <c r="T939" s="93">
        <f t="shared" si="197"/>
        <v>0</v>
      </c>
      <c r="U939" s="122"/>
      <c r="V939" s="94">
        <f t="shared" ca="1" si="198"/>
        <v>224.4644447916653</v>
      </c>
      <c r="W939" s="89"/>
    </row>
    <row r="940" spans="1:23" s="312" customFormat="1" ht="18">
      <c r="A940" s="260"/>
      <c r="B940" s="260" t="s">
        <v>505</v>
      </c>
      <c r="C940" s="130" t="s">
        <v>506</v>
      </c>
      <c r="D940" s="131" t="s">
        <v>1917</v>
      </c>
      <c r="E940" s="145">
        <v>445</v>
      </c>
      <c r="F940" s="263">
        <v>45162</v>
      </c>
      <c r="G940" s="341">
        <v>40.880000000000003</v>
      </c>
      <c r="H940" s="150">
        <v>2171545.6000000001</v>
      </c>
      <c r="I940" s="106">
        <f t="shared" si="193"/>
        <v>53120</v>
      </c>
      <c r="J940" s="122"/>
      <c r="K940" s="157" t="s">
        <v>2267</v>
      </c>
      <c r="L940" s="166">
        <f t="shared" si="199"/>
        <v>445</v>
      </c>
      <c r="M940" s="119" t="s">
        <v>2268</v>
      </c>
      <c r="N940" s="135">
        <f>32.661+4.949</f>
        <v>37.61</v>
      </c>
      <c r="O940" s="122"/>
      <c r="P940" s="92">
        <f t="shared" si="194"/>
        <v>37.609600000000007</v>
      </c>
      <c r="Q940" s="113">
        <f t="shared" si="195"/>
        <v>1.8396000000000001</v>
      </c>
      <c r="R940" s="92">
        <f t="shared" si="196"/>
        <v>1.4308000000000003</v>
      </c>
      <c r="S940" s="121"/>
      <c r="T940" s="93">
        <f t="shared" si="197"/>
        <v>-3.9999999999729141E-4</v>
      </c>
      <c r="U940" s="122"/>
      <c r="V940" s="94">
        <f t="shared" ca="1" si="198"/>
        <v>224.4644447916653</v>
      </c>
      <c r="W940" s="89"/>
    </row>
    <row r="941" spans="1:23" s="312" customFormat="1" ht="18">
      <c r="A941" s="260"/>
      <c r="B941" s="260" t="s">
        <v>505</v>
      </c>
      <c r="C941" s="130" t="s">
        <v>55</v>
      </c>
      <c r="D941" s="131" t="s">
        <v>1918</v>
      </c>
      <c r="E941" s="145">
        <v>446</v>
      </c>
      <c r="F941" s="263">
        <v>45162</v>
      </c>
      <c r="G941" s="254">
        <v>26.86</v>
      </c>
      <c r="H941" s="150">
        <v>1390208.8200000003</v>
      </c>
      <c r="I941" s="106">
        <f t="shared" si="193"/>
        <v>51757.588235294126</v>
      </c>
      <c r="J941" s="122"/>
      <c r="K941" s="157" t="s">
        <v>2277</v>
      </c>
      <c r="L941" s="166">
        <f t="shared" si="199"/>
        <v>446</v>
      </c>
      <c r="M941" s="119" t="s">
        <v>2276</v>
      </c>
      <c r="N941" s="135">
        <f>13.138+11.573</f>
        <v>24.710999999999999</v>
      </c>
      <c r="O941" s="122"/>
      <c r="P941" s="92">
        <f t="shared" si="194"/>
        <v>24.711200000000002</v>
      </c>
      <c r="Q941" s="113">
        <f t="shared" si="195"/>
        <v>1.2086999999999999</v>
      </c>
      <c r="R941" s="92">
        <f t="shared" si="196"/>
        <v>0.94010000000000005</v>
      </c>
      <c r="S941" s="121"/>
      <c r="T941" s="93">
        <f t="shared" si="197"/>
        <v>2.0000000000097717E-4</v>
      </c>
      <c r="U941" s="122"/>
      <c r="V941" s="94">
        <f t="shared" ca="1" si="198"/>
        <v>224.4644447916653</v>
      </c>
      <c r="W941" s="89"/>
    </row>
    <row r="942" spans="1:23" s="312" customFormat="1" ht="18">
      <c r="A942" s="260"/>
      <c r="B942" s="260" t="s">
        <v>505</v>
      </c>
      <c r="C942" s="130" t="s">
        <v>506</v>
      </c>
      <c r="D942" s="131" t="s">
        <v>1919</v>
      </c>
      <c r="E942" s="145">
        <v>447</v>
      </c>
      <c r="F942" s="263">
        <v>45162</v>
      </c>
      <c r="G942" s="341">
        <v>40.82</v>
      </c>
      <c r="H942" s="150">
        <v>2168358.4</v>
      </c>
      <c r="I942" s="106">
        <f t="shared" si="193"/>
        <v>53120</v>
      </c>
      <c r="J942" s="122"/>
      <c r="K942" s="157" t="s">
        <v>2278</v>
      </c>
      <c r="L942" s="166">
        <f t="shared" si="199"/>
        <v>447</v>
      </c>
      <c r="M942" s="119" t="s">
        <v>2279</v>
      </c>
      <c r="N942" s="135">
        <f>21.412+16.142</f>
        <v>37.554000000000002</v>
      </c>
      <c r="O942" s="122"/>
      <c r="P942" s="92">
        <f t="shared" si="194"/>
        <v>37.554400000000001</v>
      </c>
      <c r="Q942" s="113">
        <f t="shared" si="195"/>
        <v>1.8369</v>
      </c>
      <c r="R942" s="92">
        <f t="shared" si="196"/>
        <v>1.4287000000000001</v>
      </c>
      <c r="S942" s="121"/>
      <c r="T942" s="93">
        <f t="shared" si="197"/>
        <v>3.9999999999817959E-4</v>
      </c>
      <c r="U942" s="122"/>
      <c r="V942" s="94">
        <f t="shared" ca="1" si="198"/>
        <v>224.4644447916653</v>
      </c>
      <c r="W942" s="89"/>
    </row>
    <row r="943" spans="1:23" s="312" customFormat="1" ht="18">
      <c r="A943" s="260"/>
      <c r="B943" s="260" t="s">
        <v>505</v>
      </c>
      <c r="C943" s="130" t="s">
        <v>506</v>
      </c>
      <c r="D943" s="131" t="s">
        <v>1920</v>
      </c>
      <c r="E943" s="145">
        <v>448</v>
      </c>
      <c r="F943" s="263">
        <v>45162</v>
      </c>
      <c r="G943" s="341">
        <v>25.88</v>
      </c>
      <c r="H943" s="150">
        <v>1374745.5999999999</v>
      </c>
      <c r="I943" s="106">
        <f t="shared" si="193"/>
        <v>53120</v>
      </c>
      <c r="J943" s="122"/>
      <c r="K943" s="157" t="s">
        <v>2280</v>
      </c>
      <c r="L943" s="166">
        <f t="shared" si="199"/>
        <v>448</v>
      </c>
      <c r="M943" s="119" t="s">
        <v>2276</v>
      </c>
      <c r="N943" s="135">
        <f>16.161+7.649</f>
        <v>23.810000000000002</v>
      </c>
      <c r="O943" s="122"/>
      <c r="P943" s="92">
        <f t="shared" si="194"/>
        <v>23.8096</v>
      </c>
      <c r="Q943" s="113">
        <f t="shared" si="195"/>
        <v>1.1645999999999999</v>
      </c>
      <c r="R943" s="92">
        <f t="shared" si="196"/>
        <v>0.90580000000000005</v>
      </c>
      <c r="S943" s="121"/>
      <c r="T943" s="93">
        <f t="shared" si="197"/>
        <v>-4.0000000000317559E-4</v>
      </c>
      <c r="U943" s="122"/>
      <c r="V943" s="94">
        <f t="shared" ca="1" si="198"/>
        <v>224.4644447916653</v>
      </c>
      <c r="W943" s="89"/>
    </row>
    <row r="944" spans="1:23" s="312" customFormat="1" ht="18">
      <c r="A944" s="260"/>
      <c r="B944" s="260" t="s">
        <v>505</v>
      </c>
      <c r="C944" s="130" t="s">
        <v>55</v>
      </c>
      <c r="D944" s="131" t="s">
        <v>1921</v>
      </c>
      <c r="E944" s="145">
        <v>449</v>
      </c>
      <c r="F944" s="263">
        <v>45162</v>
      </c>
      <c r="G944" s="341">
        <v>40.06</v>
      </c>
      <c r="H944" s="150">
        <v>2064692.4000000001</v>
      </c>
      <c r="I944" s="106">
        <f t="shared" si="193"/>
        <v>51540</v>
      </c>
      <c r="J944" s="122"/>
      <c r="K944" s="157" t="s">
        <v>2287</v>
      </c>
      <c r="L944" s="166">
        <f t="shared" si="199"/>
        <v>449</v>
      </c>
      <c r="M944" s="119" t="s">
        <v>2288</v>
      </c>
      <c r="N944" s="135">
        <f>24.085+12.77</f>
        <v>36.855000000000004</v>
      </c>
      <c r="O944" s="122"/>
      <c r="P944" s="92">
        <f t="shared" si="194"/>
        <v>36.855200000000004</v>
      </c>
      <c r="Q944" s="113">
        <f t="shared" si="195"/>
        <v>1.8027</v>
      </c>
      <c r="R944" s="92">
        <f t="shared" si="196"/>
        <v>1.4021000000000001</v>
      </c>
      <c r="S944" s="121"/>
      <c r="T944" s="93">
        <f t="shared" si="197"/>
        <v>1.9999999999820162E-4</v>
      </c>
      <c r="U944" s="122"/>
      <c r="V944" s="94">
        <f t="shared" ca="1" si="198"/>
        <v>224.4644447916653</v>
      </c>
      <c r="W944" s="89"/>
    </row>
    <row r="945" spans="1:23" s="312" customFormat="1" ht="18">
      <c r="A945" s="260"/>
      <c r="B945" s="260" t="s">
        <v>505</v>
      </c>
      <c r="C945" s="175" t="s">
        <v>94</v>
      </c>
      <c r="D945" s="131" t="s">
        <v>1922</v>
      </c>
      <c r="E945" s="145">
        <v>450</v>
      </c>
      <c r="F945" s="263">
        <v>45162</v>
      </c>
      <c r="G945" s="254">
        <v>27.14</v>
      </c>
      <c r="H945" s="150">
        <v>1404089.2799999998</v>
      </c>
      <c r="I945" s="106">
        <f t="shared" si="193"/>
        <v>51735.05084745762</v>
      </c>
      <c r="J945" s="122"/>
      <c r="K945" s="157" t="s">
        <v>2302</v>
      </c>
      <c r="L945" s="166">
        <f t="shared" si="199"/>
        <v>450</v>
      </c>
      <c r="M945" s="119" t="s">
        <v>2303</v>
      </c>
      <c r="N945" s="135">
        <f>18.765+6.204</f>
        <v>24.969000000000001</v>
      </c>
      <c r="O945" s="122"/>
      <c r="P945" s="92">
        <f t="shared" si="194"/>
        <v>24.968800000000002</v>
      </c>
      <c r="Q945" s="113">
        <f t="shared" si="195"/>
        <v>1.2213000000000001</v>
      </c>
      <c r="R945" s="92">
        <f t="shared" si="196"/>
        <v>0.94990000000000008</v>
      </c>
      <c r="S945" s="121"/>
      <c r="T945" s="93">
        <f t="shared" si="197"/>
        <v>-2.0000000000075513E-4</v>
      </c>
      <c r="U945" s="122"/>
      <c r="V945" s="94">
        <f t="shared" ca="1" si="198"/>
        <v>224.4644447916653</v>
      </c>
      <c r="W945" s="89"/>
    </row>
    <row r="946" spans="1:23" s="312" customFormat="1" ht="18">
      <c r="A946" s="260"/>
      <c r="B946" s="260" t="s">
        <v>505</v>
      </c>
      <c r="C946" s="130" t="s">
        <v>55</v>
      </c>
      <c r="D946" s="131" t="s">
        <v>1923</v>
      </c>
      <c r="E946" s="145">
        <v>451</v>
      </c>
      <c r="F946" s="263">
        <v>45162</v>
      </c>
      <c r="G946" s="341">
        <v>40.020000000000003</v>
      </c>
      <c r="H946" s="150">
        <v>2062630.8</v>
      </c>
      <c r="I946" s="106">
        <f t="shared" si="193"/>
        <v>51540</v>
      </c>
      <c r="J946" s="122"/>
      <c r="K946" s="157" t="s">
        <v>2305</v>
      </c>
      <c r="L946" s="166">
        <f t="shared" si="199"/>
        <v>451</v>
      </c>
      <c r="M946" s="119" t="s">
        <v>2304</v>
      </c>
      <c r="N946" s="135">
        <f>26.94+12.68+0.368</f>
        <v>39.988000000000007</v>
      </c>
      <c r="O946" s="122"/>
      <c r="P946" s="92">
        <f>0.368+39.62</f>
        <v>39.988</v>
      </c>
      <c r="Q946" s="113">
        <v>1.7999999999999999E-2</v>
      </c>
      <c r="R946" s="92">
        <v>1.4E-2</v>
      </c>
      <c r="S946" s="121"/>
      <c r="T946" s="93">
        <f t="shared" si="197"/>
        <v>-3.5232233797088952E-15</v>
      </c>
      <c r="U946" s="122"/>
      <c r="V946" s="94">
        <f t="shared" ca="1" si="198"/>
        <v>224.4644447916653</v>
      </c>
      <c r="W946" s="89"/>
    </row>
    <row r="947" spans="1:23" s="312" customFormat="1" ht="18">
      <c r="A947" s="260"/>
      <c r="B947" s="260" t="s">
        <v>505</v>
      </c>
      <c r="C947" s="130" t="s">
        <v>55</v>
      </c>
      <c r="D947" s="131" t="s">
        <v>1924</v>
      </c>
      <c r="E947" s="145">
        <v>452</v>
      </c>
      <c r="F947" s="263">
        <v>45162</v>
      </c>
      <c r="G947" s="341">
        <v>39.979999999999997</v>
      </c>
      <c r="H947" s="150">
        <v>2060569.2</v>
      </c>
      <c r="I947" s="106">
        <f t="shared" si="193"/>
        <v>51540</v>
      </c>
      <c r="J947" s="122"/>
      <c r="K947" s="157" t="s">
        <v>2307</v>
      </c>
      <c r="L947" s="166">
        <f t="shared" si="199"/>
        <v>452</v>
      </c>
      <c r="M947" s="119" t="s">
        <v>2303</v>
      </c>
      <c r="N947" s="135">
        <f>25.632+11.15</f>
        <v>36.782000000000004</v>
      </c>
      <c r="O947" s="122"/>
      <c r="P947" s="92">
        <f t="shared" si="194"/>
        <v>36.781599999999997</v>
      </c>
      <c r="Q947" s="113">
        <f t="shared" si="195"/>
        <v>1.7990999999999997</v>
      </c>
      <c r="R947" s="92">
        <f t="shared" si="196"/>
        <v>1.3993</v>
      </c>
      <c r="S947" s="121"/>
      <c r="T947" s="93">
        <f t="shared" si="197"/>
        <v>-4.0000000000639524E-4</v>
      </c>
      <c r="U947" s="122"/>
      <c r="V947" s="94">
        <f t="shared" ca="1" si="198"/>
        <v>224.4644447916653</v>
      </c>
      <c r="W947" s="89"/>
    </row>
    <row r="948" spans="1:23" s="312" customFormat="1" ht="18">
      <c r="A948" s="260"/>
      <c r="B948" s="260" t="s">
        <v>505</v>
      </c>
      <c r="C948" s="130" t="s">
        <v>55</v>
      </c>
      <c r="D948" s="131" t="s">
        <v>1925</v>
      </c>
      <c r="E948" s="145">
        <v>453</v>
      </c>
      <c r="F948" s="263">
        <v>45162</v>
      </c>
      <c r="G948" s="341">
        <v>40.04</v>
      </c>
      <c r="H948" s="150">
        <v>2063661.5999999999</v>
      </c>
      <c r="I948" s="106">
        <f t="shared" si="193"/>
        <v>51540</v>
      </c>
      <c r="J948" s="122"/>
      <c r="K948" s="157" t="s">
        <v>2308</v>
      </c>
      <c r="L948" s="166">
        <f t="shared" si="199"/>
        <v>453</v>
      </c>
      <c r="M948" s="119" t="s">
        <v>2303</v>
      </c>
      <c r="N948" s="135">
        <f>20.102+16.735</f>
        <v>36.837000000000003</v>
      </c>
      <c r="O948" s="122"/>
      <c r="P948" s="92">
        <f t="shared" si="194"/>
        <v>36.836800000000004</v>
      </c>
      <c r="Q948" s="113">
        <f t="shared" si="195"/>
        <v>1.8017999999999998</v>
      </c>
      <c r="R948" s="92">
        <f t="shared" si="196"/>
        <v>1.4014000000000002</v>
      </c>
      <c r="S948" s="121"/>
      <c r="T948" s="93">
        <f t="shared" si="197"/>
        <v>-2.0000000000419682E-4</v>
      </c>
      <c r="U948" s="122"/>
      <c r="V948" s="94">
        <f t="shared" ca="1" si="198"/>
        <v>224.4644447916653</v>
      </c>
      <c r="W948" s="89"/>
    </row>
    <row r="949" spans="1:23" s="312" customFormat="1" ht="18">
      <c r="A949" s="260"/>
      <c r="B949" s="260" t="s">
        <v>505</v>
      </c>
      <c r="C949" s="130" t="s">
        <v>506</v>
      </c>
      <c r="D949" s="131" t="s">
        <v>1926</v>
      </c>
      <c r="E949" s="145">
        <v>454</v>
      </c>
      <c r="F949" s="263">
        <v>45162</v>
      </c>
      <c r="G949" s="341">
        <v>29.422000000000001</v>
      </c>
      <c r="H949" s="150">
        <v>1562896.6400000001</v>
      </c>
      <c r="I949" s="106">
        <f t="shared" si="193"/>
        <v>53120</v>
      </c>
      <c r="J949" s="122"/>
      <c r="K949" s="157" t="s">
        <v>2310</v>
      </c>
      <c r="L949" s="166">
        <f t="shared" si="199"/>
        <v>454</v>
      </c>
      <c r="M949" s="119" t="s">
        <v>2309</v>
      </c>
      <c r="N949" s="135">
        <f>16.19+10.878</f>
        <v>27.068000000000001</v>
      </c>
      <c r="O949" s="122"/>
      <c r="P949" s="92">
        <f t="shared" si="194"/>
        <v>27.068240000000003</v>
      </c>
      <c r="Q949" s="113">
        <f t="shared" si="195"/>
        <v>1.32399</v>
      </c>
      <c r="R949" s="92">
        <f t="shared" si="196"/>
        <v>1.0297700000000001</v>
      </c>
      <c r="S949" s="121"/>
      <c r="T949" s="93">
        <f t="shared" si="197"/>
        <v>2.399999999991298E-4</v>
      </c>
      <c r="U949" s="122"/>
      <c r="V949" s="94">
        <f t="shared" ca="1" si="198"/>
        <v>224.4644447916653</v>
      </c>
      <c r="W949" s="89"/>
    </row>
    <row r="950" spans="1:23" s="312" customFormat="1" ht="18">
      <c r="A950" s="260"/>
      <c r="B950" s="260" t="s">
        <v>505</v>
      </c>
      <c r="C950" s="130" t="s">
        <v>55</v>
      </c>
      <c r="D950" s="131" t="s">
        <v>1927</v>
      </c>
      <c r="E950" s="145">
        <v>455</v>
      </c>
      <c r="F950" s="263">
        <v>45162</v>
      </c>
      <c r="G950" s="341">
        <v>2.3180000000000001</v>
      </c>
      <c r="H950" s="150">
        <v>119469.72</v>
      </c>
      <c r="I950" s="106">
        <f t="shared" si="193"/>
        <v>51540</v>
      </c>
      <c r="J950" s="122"/>
      <c r="K950" s="157">
        <v>1215</v>
      </c>
      <c r="L950" s="166">
        <f t="shared" si="199"/>
        <v>455</v>
      </c>
      <c r="M950" s="119" t="s">
        <v>2311</v>
      </c>
      <c r="N950" s="135">
        <v>2.133</v>
      </c>
      <c r="O950" s="122"/>
      <c r="P950" s="92">
        <f t="shared" si="194"/>
        <v>2.1325600000000002</v>
      </c>
      <c r="Q950" s="113">
        <f t="shared" si="195"/>
        <v>0.10431</v>
      </c>
      <c r="R950" s="92">
        <f t="shared" si="196"/>
        <v>8.1130000000000008E-2</v>
      </c>
      <c r="S950" s="121"/>
      <c r="T950" s="93">
        <f t="shared" si="197"/>
        <v>-4.3999999999995432E-4</v>
      </c>
      <c r="U950" s="122"/>
      <c r="V950" s="94">
        <f t="shared" ca="1" si="198"/>
        <v>224.4644447916653</v>
      </c>
      <c r="W950" s="89"/>
    </row>
    <row r="951" spans="1:23" s="312" customFormat="1" ht="18">
      <c r="A951" s="260"/>
      <c r="B951" s="260" t="s">
        <v>505</v>
      </c>
      <c r="C951" s="130" t="s">
        <v>55</v>
      </c>
      <c r="D951" s="131" t="s">
        <v>1928</v>
      </c>
      <c r="E951" s="145">
        <v>456</v>
      </c>
      <c r="F951" s="263">
        <v>45162</v>
      </c>
      <c r="G951" s="341">
        <v>21.16</v>
      </c>
      <c r="H951" s="150">
        <v>1090586.3999999999</v>
      </c>
      <c r="I951" s="106">
        <f t="shared" si="193"/>
        <v>51539.999999999993</v>
      </c>
      <c r="J951" s="122"/>
      <c r="K951" s="157">
        <v>1216</v>
      </c>
      <c r="L951" s="166">
        <f t="shared" si="199"/>
        <v>456</v>
      </c>
      <c r="M951" s="119" t="s">
        <v>2311</v>
      </c>
      <c r="N951" s="135">
        <v>19.466999999999999</v>
      </c>
      <c r="O951" s="122"/>
      <c r="P951" s="92">
        <f t="shared" si="194"/>
        <v>19.467200000000002</v>
      </c>
      <c r="Q951" s="113">
        <f t="shared" si="195"/>
        <v>0.95219999999999994</v>
      </c>
      <c r="R951" s="92">
        <f t="shared" si="196"/>
        <v>0.74060000000000004</v>
      </c>
      <c r="S951" s="121"/>
      <c r="T951" s="93">
        <f t="shared" si="197"/>
        <v>2.0000000000142126E-4</v>
      </c>
      <c r="U951" s="122"/>
      <c r="V951" s="94">
        <f t="shared" ca="1" si="198"/>
        <v>224.4644447916653</v>
      </c>
      <c r="W951" s="89"/>
    </row>
    <row r="952" spans="1:23" s="312" customFormat="1" ht="18">
      <c r="A952" s="260"/>
      <c r="B952" s="260" t="s">
        <v>505</v>
      </c>
      <c r="C952" s="130" t="s">
        <v>55</v>
      </c>
      <c r="D952" s="131" t="s">
        <v>1929</v>
      </c>
      <c r="E952" s="145">
        <v>457</v>
      </c>
      <c r="F952" s="263">
        <v>45162</v>
      </c>
      <c r="G952" s="341">
        <v>42.02</v>
      </c>
      <c r="H952" s="150">
        <v>2165710.8000000003</v>
      </c>
      <c r="I952" s="106">
        <f t="shared" si="193"/>
        <v>51540</v>
      </c>
      <c r="J952" s="122"/>
      <c r="K952" s="157" t="s">
        <v>2313</v>
      </c>
      <c r="L952" s="166">
        <f t="shared" si="199"/>
        <v>457</v>
      </c>
      <c r="M952" s="119" t="s">
        <v>2314</v>
      </c>
      <c r="N952" s="135">
        <f>21.691+11.393+5.574</f>
        <v>38.658000000000001</v>
      </c>
      <c r="O952" s="122"/>
      <c r="P952" s="92">
        <f t="shared" si="194"/>
        <v>38.658400000000007</v>
      </c>
      <c r="Q952" s="113">
        <f t="shared" si="195"/>
        <v>1.8909</v>
      </c>
      <c r="R952" s="92">
        <f t="shared" si="196"/>
        <v>1.4707000000000003</v>
      </c>
      <c r="S952" s="121"/>
      <c r="T952" s="93">
        <f t="shared" si="197"/>
        <v>4.0000000000151026E-4</v>
      </c>
      <c r="U952" s="122"/>
      <c r="V952" s="94">
        <f t="shared" ca="1" si="198"/>
        <v>224.4644447916653</v>
      </c>
      <c r="W952" s="89"/>
    </row>
    <row r="953" spans="1:23" s="312" customFormat="1" ht="18">
      <c r="A953" s="260"/>
      <c r="B953" s="260" t="s">
        <v>505</v>
      </c>
      <c r="C953" s="130" t="s">
        <v>55</v>
      </c>
      <c r="D953" s="131" t="s">
        <v>1930</v>
      </c>
      <c r="E953" s="145">
        <v>458</v>
      </c>
      <c r="F953" s="263">
        <v>45162</v>
      </c>
      <c r="G953" s="254">
        <v>32.479999999999997</v>
      </c>
      <c r="H953" s="150">
        <v>1674019.1999999997</v>
      </c>
      <c r="I953" s="106">
        <f t="shared" ref="I953:I956" si="201">H953/G953</f>
        <v>51539.999999999993</v>
      </c>
      <c r="J953" s="122"/>
      <c r="K953" s="157" t="s">
        <v>2315</v>
      </c>
      <c r="L953" s="166">
        <f t="shared" si="199"/>
        <v>458</v>
      </c>
      <c r="M953" s="119" t="s">
        <v>2316</v>
      </c>
      <c r="N953" s="135">
        <f>26.986+2.896</f>
        <v>29.882000000000001</v>
      </c>
      <c r="O953" s="122"/>
      <c r="P953" s="92">
        <f t="shared" ref="P953:P956" si="202">G953*0.92</f>
        <v>29.881599999999999</v>
      </c>
      <c r="Q953" s="113">
        <f t="shared" ref="Q953:Q956" si="203">G953*4.5%</f>
        <v>1.4615999999999998</v>
      </c>
      <c r="R953" s="92">
        <f t="shared" ref="R953:R956" si="204">G953*3.5%</f>
        <v>1.1368</v>
      </c>
      <c r="S953" s="121"/>
      <c r="T953" s="93">
        <f t="shared" ref="T953:T956" si="205">G953-N953-Q953-R953</f>
        <v>-4.0000000000439684E-4</v>
      </c>
      <c r="U953" s="122"/>
      <c r="V953" s="94">
        <f t="shared" ref="V953:V956" ca="1" si="206">360-($V$3-F953)</f>
        <v>224.4644447916653</v>
      </c>
      <c r="W953" s="89"/>
    </row>
    <row r="954" spans="1:23" s="312" customFormat="1" ht="18">
      <c r="A954" s="260"/>
      <c r="B954" s="260" t="s">
        <v>505</v>
      </c>
      <c r="C954" s="130" t="s">
        <v>55</v>
      </c>
      <c r="D954" s="131" t="s">
        <v>1931</v>
      </c>
      <c r="E954" s="145">
        <v>459</v>
      </c>
      <c r="F954" s="263">
        <v>45162</v>
      </c>
      <c r="G954" s="341">
        <v>27.64</v>
      </c>
      <c r="H954" s="150">
        <v>1424565.6</v>
      </c>
      <c r="I954" s="106">
        <f t="shared" si="201"/>
        <v>51540</v>
      </c>
      <c r="J954" s="122"/>
      <c r="K954" s="157">
        <v>1222</v>
      </c>
      <c r="L954" s="166">
        <f t="shared" si="199"/>
        <v>459</v>
      </c>
      <c r="M954" s="119" t="s">
        <v>2311</v>
      </c>
      <c r="N954" s="135">
        <v>25.428999999999998</v>
      </c>
      <c r="O954" s="122"/>
      <c r="P954" s="92">
        <f t="shared" si="202"/>
        <v>25.428800000000003</v>
      </c>
      <c r="Q954" s="113">
        <f t="shared" si="203"/>
        <v>1.2438</v>
      </c>
      <c r="R954" s="92">
        <f t="shared" si="204"/>
        <v>0.96740000000000015</v>
      </c>
      <c r="S954" s="121"/>
      <c r="T954" s="93">
        <f t="shared" si="205"/>
        <v>-1.9999999999809059E-4</v>
      </c>
      <c r="U954" s="122"/>
      <c r="V954" s="94">
        <f t="shared" ca="1" si="206"/>
        <v>224.4644447916653</v>
      </c>
      <c r="W954" s="89"/>
    </row>
    <row r="955" spans="1:23" s="312" customFormat="1" ht="18">
      <c r="A955" s="260"/>
      <c r="B955" s="260" t="s">
        <v>505</v>
      </c>
      <c r="C955" s="130" t="s">
        <v>506</v>
      </c>
      <c r="D955" s="131" t="s">
        <v>1932</v>
      </c>
      <c r="E955" s="145">
        <v>460</v>
      </c>
      <c r="F955" s="263">
        <v>45162</v>
      </c>
      <c r="G955" s="254">
        <v>40.26</v>
      </c>
      <c r="H955" s="150">
        <v>2104358.38</v>
      </c>
      <c r="I955" s="106">
        <f t="shared" si="201"/>
        <v>52269.209637357177</v>
      </c>
      <c r="J955" s="122"/>
      <c r="K955" s="157" t="s">
        <v>2345</v>
      </c>
      <c r="L955" s="166">
        <f t="shared" si="199"/>
        <v>460</v>
      </c>
      <c r="M955" s="119" t="s">
        <v>2346</v>
      </c>
      <c r="N955" s="135">
        <f>4.585+31.643+0.811</f>
        <v>37.039000000000001</v>
      </c>
      <c r="O955" s="122"/>
      <c r="P955" s="92">
        <f t="shared" si="202"/>
        <v>37.039200000000001</v>
      </c>
      <c r="Q955" s="113">
        <f t="shared" si="203"/>
        <v>1.8116999999999999</v>
      </c>
      <c r="R955" s="92">
        <f t="shared" si="204"/>
        <v>1.4091</v>
      </c>
      <c r="S955" s="121"/>
      <c r="T955" s="93">
        <f t="shared" si="205"/>
        <v>1.999999999966473E-4</v>
      </c>
      <c r="U955" s="122"/>
      <c r="V955" s="94">
        <f t="shared" ca="1" si="206"/>
        <v>224.4644447916653</v>
      </c>
      <c r="W955" s="89"/>
    </row>
    <row r="956" spans="1:23" s="312" customFormat="1" ht="18">
      <c r="A956" s="260"/>
      <c r="B956" s="260" t="s">
        <v>505</v>
      </c>
      <c r="C956" s="175" t="s">
        <v>55</v>
      </c>
      <c r="D956" s="131" t="s">
        <v>1933</v>
      </c>
      <c r="E956" s="145">
        <v>461</v>
      </c>
      <c r="F956" s="263">
        <v>45162</v>
      </c>
      <c r="G956" s="254">
        <v>28.66</v>
      </c>
      <c r="H956" s="150">
        <v>1501746.48</v>
      </c>
      <c r="I956" s="106">
        <f t="shared" si="201"/>
        <v>52398.690858339149</v>
      </c>
      <c r="J956" s="122"/>
      <c r="K956" s="157">
        <v>1233</v>
      </c>
      <c r="L956" s="166">
        <f t="shared" si="199"/>
        <v>461</v>
      </c>
      <c r="M956" s="119" t="s">
        <v>2343</v>
      </c>
      <c r="N956" s="135">
        <v>26.367000000000001</v>
      </c>
      <c r="O956" s="122"/>
      <c r="P956" s="92">
        <f t="shared" si="202"/>
        <v>26.3672</v>
      </c>
      <c r="Q956" s="113">
        <f t="shared" si="203"/>
        <v>1.2897000000000001</v>
      </c>
      <c r="R956" s="92">
        <f t="shared" si="204"/>
        <v>1.0031000000000001</v>
      </c>
      <c r="S956" s="121"/>
      <c r="T956" s="93">
        <f t="shared" si="205"/>
        <v>1.9999999999908979E-4</v>
      </c>
      <c r="U956" s="122"/>
      <c r="V956" s="94">
        <f t="shared" ca="1" si="206"/>
        <v>224.4644447916653</v>
      </c>
      <c r="W956" s="89"/>
    </row>
    <row r="957" spans="1:23" s="312" customFormat="1" ht="18">
      <c r="A957" s="260"/>
      <c r="B957" s="260"/>
      <c r="C957" s="175"/>
      <c r="D957" s="131"/>
      <c r="E957" s="145"/>
      <c r="F957" s="263"/>
      <c r="G957" s="254"/>
      <c r="H957" s="150"/>
      <c r="I957" s="106"/>
      <c r="J957" s="122"/>
      <c r="K957" s="157"/>
      <c r="L957" s="166"/>
      <c r="M957" s="119"/>
      <c r="N957" s="135"/>
      <c r="O957" s="122"/>
      <c r="P957" s="92"/>
      <c r="Q957" s="113"/>
      <c r="R957" s="92"/>
      <c r="S957" s="121"/>
      <c r="T957" s="93"/>
      <c r="U957" s="122"/>
      <c r="V957" s="94"/>
      <c r="W957" s="89"/>
    </row>
    <row r="958" spans="1:23" s="312" customFormat="1" ht="18">
      <c r="A958" s="260"/>
      <c r="B958" s="90" t="s">
        <v>505</v>
      </c>
      <c r="C958" s="130" t="s">
        <v>55</v>
      </c>
      <c r="D958" s="131" t="s">
        <v>2317</v>
      </c>
      <c r="E958" s="360">
        <v>465</v>
      </c>
      <c r="F958" s="138">
        <v>45229</v>
      </c>
      <c r="G958" s="252">
        <v>27.36</v>
      </c>
      <c r="H958" s="150">
        <v>1438588.8</v>
      </c>
      <c r="I958" s="106">
        <f t="shared" si="187"/>
        <v>52580</v>
      </c>
      <c r="J958" s="122"/>
      <c r="K958" s="157" t="s">
        <v>2347</v>
      </c>
      <c r="L958" s="166">
        <f t="shared" si="199"/>
        <v>465</v>
      </c>
      <c r="M958" s="119" t="s">
        <v>2340</v>
      </c>
      <c r="N958" s="135">
        <f>5.204+19.967</f>
        <v>25.170999999999999</v>
      </c>
      <c r="O958" s="122"/>
      <c r="P958" s="92">
        <f t="shared" si="188"/>
        <v>25.171199999999999</v>
      </c>
      <c r="Q958" s="113">
        <f t="shared" si="189"/>
        <v>1.2311999999999999</v>
      </c>
      <c r="R958" s="92">
        <f t="shared" si="190"/>
        <v>0.95760000000000012</v>
      </c>
      <c r="S958" s="121"/>
      <c r="T958" s="93">
        <f t="shared" si="191"/>
        <v>2.00000000000089E-4</v>
      </c>
      <c r="U958" s="122"/>
      <c r="V958" s="94">
        <f t="shared" ca="1" si="192"/>
        <v>291.4644447916653</v>
      </c>
      <c r="W958" s="89"/>
    </row>
    <row r="959" spans="1:23" s="312" customFormat="1" ht="18">
      <c r="A959" s="260"/>
      <c r="B959" s="90" t="s">
        <v>505</v>
      </c>
      <c r="C959" s="130" t="s">
        <v>55</v>
      </c>
      <c r="D959" s="131" t="s">
        <v>2318</v>
      </c>
      <c r="E959" s="360">
        <v>466</v>
      </c>
      <c r="F959" s="138">
        <v>45229</v>
      </c>
      <c r="G959" s="252">
        <v>31.64</v>
      </c>
      <c r="H959" s="150">
        <v>1663631.2</v>
      </c>
      <c r="I959" s="106">
        <f t="shared" ref="I959:I1144" si="207">H959/G959</f>
        <v>52580</v>
      </c>
      <c r="J959" s="122"/>
      <c r="K959" s="157" t="s">
        <v>2348</v>
      </c>
      <c r="L959" s="166">
        <f t="shared" si="199"/>
        <v>466</v>
      </c>
      <c r="M959" s="119" t="s">
        <v>2349</v>
      </c>
      <c r="N959" s="135">
        <f>12.803+16.306</f>
        <v>29.109000000000002</v>
      </c>
      <c r="O959" s="122"/>
      <c r="P959" s="92">
        <f t="shared" ref="P959:P1203" si="208">G959*0.92</f>
        <v>29.108800000000002</v>
      </c>
      <c r="Q959" s="113">
        <f t="shared" ref="Q959:Q1203" si="209">G959*4.5%</f>
        <v>1.4238</v>
      </c>
      <c r="R959" s="92">
        <f t="shared" ref="R959:R1203" si="210">G959*3.5%</f>
        <v>1.1074000000000002</v>
      </c>
      <c r="S959" s="121"/>
      <c r="T959" s="93">
        <f t="shared" ref="T959:T1203" si="211">G959-N959-Q959-R959</f>
        <v>-2.0000000000131024E-4</v>
      </c>
      <c r="U959" s="122"/>
      <c r="V959" s="94">
        <f t="shared" ref="V959:V1203" ca="1" si="212">360-($V$3-F959)</f>
        <v>291.4644447916653</v>
      </c>
      <c r="W959" s="89"/>
    </row>
    <row r="960" spans="1:23" s="312" customFormat="1" ht="18">
      <c r="A960" s="260"/>
      <c r="B960" s="90" t="s">
        <v>505</v>
      </c>
      <c r="C960" s="130" t="s">
        <v>55</v>
      </c>
      <c r="D960" s="131" t="s">
        <v>2319</v>
      </c>
      <c r="E960" s="360">
        <v>467</v>
      </c>
      <c r="F960" s="138">
        <v>45229</v>
      </c>
      <c r="G960" s="252">
        <v>27.56</v>
      </c>
      <c r="H960" s="150">
        <v>1449104.8</v>
      </c>
      <c r="I960" s="106">
        <f t="shared" si="207"/>
        <v>52580.000000000007</v>
      </c>
      <c r="J960" s="122"/>
      <c r="K960" s="157" t="s">
        <v>2384</v>
      </c>
      <c r="L960" s="166">
        <f t="shared" si="199"/>
        <v>467</v>
      </c>
      <c r="M960" s="119" t="s">
        <v>2386</v>
      </c>
      <c r="N960" s="135">
        <f>15.913+9.442</f>
        <v>25.355</v>
      </c>
      <c r="O960" s="122"/>
      <c r="P960" s="92">
        <f t="shared" si="208"/>
        <v>25.3552</v>
      </c>
      <c r="Q960" s="113">
        <f t="shared" si="209"/>
        <v>1.2402</v>
      </c>
      <c r="R960" s="92">
        <f t="shared" si="210"/>
        <v>0.96460000000000001</v>
      </c>
      <c r="S960" s="121"/>
      <c r="T960" s="93">
        <f t="shared" si="211"/>
        <v>1.9999999999831264E-4</v>
      </c>
      <c r="U960" s="122"/>
      <c r="V960" s="94">
        <f t="shared" ca="1" si="212"/>
        <v>291.4644447916653</v>
      </c>
      <c r="W960" s="89"/>
    </row>
    <row r="961" spans="1:23" s="312" customFormat="1" ht="18">
      <c r="A961" s="260"/>
      <c r="B961" s="90" t="s">
        <v>505</v>
      </c>
      <c r="C961" s="130" t="s">
        <v>55</v>
      </c>
      <c r="D961" s="131" t="s">
        <v>2320</v>
      </c>
      <c r="E961" s="360">
        <v>468</v>
      </c>
      <c r="F961" s="138">
        <v>45229</v>
      </c>
      <c r="G961" s="252">
        <v>40.08</v>
      </c>
      <c r="H961" s="150">
        <v>2107406.4</v>
      </c>
      <c r="I961" s="106">
        <f t="shared" si="207"/>
        <v>52580</v>
      </c>
      <c r="J961" s="122"/>
      <c r="K961" s="157" t="s">
        <v>2385</v>
      </c>
      <c r="L961" s="166">
        <f t="shared" si="199"/>
        <v>468</v>
      </c>
      <c r="M961" s="119" t="s">
        <v>2387</v>
      </c>
      <c r="N961" s="135">
        <f>32.185+4.689</f>
        <v>36.874000000000002</v>
      </c>
      <c r="O961" s="122"/>
      <c r="P961" s="92">
        <f t="shared" si="208"/>
        <v>36.873600000000003</v>
      </c>
      <c r="Q961" s="113">
        <f t="shared" si="209"/>
        <v>1.8035999999999999</v>
      </c>
      <c r="R961" s="92">
        <f t="shared" si="210"/>
        <v>1.4028</v>
      </c>
      <c r="S961" s="121"/>
      <c r="T961" s="93">
        <f t="shared" si="211"/>
        <v>-4.0000000000395275E-4</v>
      </c>
      <c r="U961" s="122"/>
      <c r="V961" s="94">
        <f t="shared" ca="1" si="212"/>
        <v>291.4644447916653</v>
      </c>
      <c r="W961" s="89"/>
    </row>
    <row r="962" spans="1:23" s="312" customFormat="1" ht="18">
      <c r="A962" s="260"/>
      <c r="B962" s="90" t="s">
        <v>505</v>
      </c>
      <c r="C962" s="130" t="s">
        <v>55</v>
      </c>
      <c r="D962" s="131" t="s">
        <v>2321</v>
      </c>
      <c r="E962" s="360">
        <v>469</v>
      </c>
      <c r="F962" s="138">
        <v>45229</v>
      </c>
      <c r="G962" s="252">
        <v>31.72</v>
      </c>
      <c r="H962" s="150">
        <v>1667837.5999999999</v>
      </c>
      <c r="I962" s="106">
        <f t="shared" si="207"/>
        <v>52580</v>
      </c>
      <c r="J962" s="122"/>
      <c r="K962" s="157" t="s">
        <v>2388</v>
      </c>
      <c r="L962" s="166">
        <f t="shared" si="199"/>
        <v>469</v>
      </c>
      <c r="M962" s="119" t="s">
        <v>2389</v>
      </c>
      <c r="N962" s="135">
        <f>18.012+11.17</f>
        <v>29.182000000000002</v>
      </c>
      <c r="O962" s="122"/>
      <c r="P962" s="92">
        <f t="shared" si="208"/>
        <v>29.182400000000001</v>
      </c>
      <c r="Q962" s="113">
        <f t="shared" si="209"/>
        <v>1.4274</v>
      </c>
      <c r="R962" s="92">
        <f t="shared" si="210"/>
        <v>1.1102000000000001</v>
      </c>
      <c r="S962" s="121"/>
      <c r="T962" s="93">
        <f t="shared" si="211"/>
        <v>3.9999999999662528E-4</v>
      </c>
      <c r="U962" s="122"/>
      <c r="V962" s="94">
        <f t="shared" ca="1" si="212"/>
        <v>291.4644447916653</v>
      </c>
      <c r="W962" s="89"/>
    </row>
    <row r="963" spans="1:23" s="312" customFormat="1" ht="18">
      <c r="A963" s="260"/>
      <c r="B963" s="90" t="s">
        <v>505</v>
      </c>
      <c r="C963" s="130" t="s">
        <v>55</v>
      </c>
      <c r="D963" s="131" t="s">
        <v>2322</v>
      </c>
      <c r="E963" s="360">
        <v>470</v>
      </c>
      <c r="F963" s="138">
        <v>45229</v>
      </c>
      <c r="G963" s="252">
        <v>40.18</v>
      </c>
      <c r="H963" s="150">
        <v>2112664.4</v>
      </c>
      <c r="I963" s="106">
        <f t="shared" si="207"/>
        <v>52580</v>
      </c>
      <c r="J963" s="122"/>
      <c r="K963" s="157" t="s">
        <v>2390</v>
      </c>
      <c r="L963" s="166">
        <f t="shared" ref="L963:L1026" si="213">E963</f>
        <v>470</v>
      </c>
      <c r="M963" s="119" t="s">
        <v>2391</v>
      </c>
      <c r="N963" s="135">
        <f>20.2+16.766</f>
        <v>36.965999999999994</v>
      </c>
      <c r="O963" s="122"/>
      <c r="P963" s="92">
        <f t="shared" si="208"/>
        <v>36.965600000000002</v>
      </c>
      <c r="Q963" s="113">
        <f t="shared" si="209"/>
        <v>1.8080999999999998</v>
      </c>
      <c r="R963" s="92">
        <f t="shared" si="210"/>
        <v>1.4063000000000001</v>
      </c>
      <c r="S963" s="121"/>
      <c r="T963" s="93">
        <f t="shared" si="211"/>
        <v>-3.9999999999418279E-4</v>
      </c>
      <c r="U963" s="122"/>
      <c r="V963" s="94">
        <f t="shared" ca="1" si="212"/>
        <v>291.4644447916653</v>
      </c>
      <c r="W963" s="89"/>
    </row>
    <row r="964" spans="1:23" s="312" customFormat="1" ht="18">
      <c r="A964" s="260"/>
      <c r="B964" s="90" t="s">
        <v>505</v>
      </c>
      <c r="C964" s="130" t="s">
        <v>55</v>
      </c>
      <c r="D964" s="131" t="s">
        <v>2323</v>
      </c>
      <c r="E964" s="360">
        <v>471</v>
      </c>
      <c r="F964" s="138">
        <v>45229</v>
      </c>
      <c r="G964" s="252">
        <v>16.597000000000001</v>
      </c>
      <c r="H964" s="150">
        <v>872670.26000000013</v>
      </c>
      <c r="I964" s="106">
        <f t="shared" si="207"/>
        <v>52580</v>
      </c>
      <c r="J964" s="122"/>
      <c r="K964" s="157" t="s">
        <v>2392</v>
      </c>
      <c r="L964" s="166">
        <f t="shared" si="213"/>
        <v>471</v>
      </c>
      <c r="M964" s="119" t="s">
        <v>2393</v>
      </c>
      <c r="N964" s="135">
        <f>7.563+7.706</f>
        <v>15.269</v>
      </c>
      <c r="O964" s="122"/>
      <c r="P964" s="92">
        <f t="shared" si="208"/>
        <v>15.269240000000002</v>
      </c>
      <c r="Q964" s="113">
        <f t="shared" si="209"/>
        <v>0.746865</v>
      </c>
      <c r="R964" s="92">
        <f t="shared" si="210"/>
        <v>0.58089500000000005</v>
      </c>
      <c r="S964" s="121"/>
      <c r="T964" s="93">
        <f t="shared" si="211"/>
        <v>2.400000000011282E-4</v>
      </c>
      <c r="U964" s="122"/>
      <c r="V964" s="94">
        <f t="shared" ca="1" si="212"/>
        <v>291.4644447916653</v>
      </c>
      <c r="W964" s="89"/>
    </row>
    <row r="965" spans="1:23" s="312" customFormat="1" ht="18">
      <c r="A965" s="260"/>
      <c r="B965" s="90" t="s">
        <v>505</v>
      </c>
      <c r="C965" s="130" t="s">
        <v>55</v>
      </c>
      <c r="D965" s="131" t="s">
        <v>2324</v>
      </c>
      <c r="E965" s="360">
        <v>472</v>
      </c>
      <c r="F965" s="138">
        <v>45229</v>
      </c>
      <c r="G965" s="252">
        <v>23.183</v>
      </c>
      <c r="H965" s="150">
        <v>1218962.1399999999</v>
      </c>
      <c r="I965" s="106">
        <f t="shared" si="207"/>
        <v>52579.999999999993</v>
      </c>
      <c r="J965" s="122"/>
      <c r="K965" s="157" t="s">
        <v>2394</v>
      </c>
      <c r="L965" s="166">
        <f t="shared" si="213"/>
        <v>472</v>
      </c>
      <c r="M965" s="119" t="s">
        <v>2393</v>
      </c>
      <c r="N965" s="135">
        <f>17.16+4.168</f>
        <v>21.327999999999999</v>
      </c>
      <c r="O965" s="122"/>
      <c r="P965" s="92">
        <f t="shared" si="208"/>
        <v>21.32836</v>
      </c>
      <c r="Q965" s="113">
        <f t="shared" si="209"/>
        <v>1.0432349999999999</v>
      </c>
      <c r="R965" s="92">
        <f t="shared" si="210"/>
        <v>0.81140500000000004</v>
      </c>
      <c r="S965" s="121"/>
      <c r="T965" s="93">
        <f t="shared" si="211"/>
        <v>3.6000000000047105E-4</v>
      </c>
      <c r="U965" s="122"/>
      <c r="V965" s="94">
        <f t="shared" ca="1" si="212"/>
        <v>291.4644447916653</v>
      </c>
      <c r="W965" s="89"/>
    </row>
    <row r="966" spans="1:23" s="312" customFormat="1" ht="18">
      <c r="A966" s="260"/>
      <c r="B966" s="90" t="s">
        <v>505</v>
      </c>
      <c r="C966" s="130" t="s">
        <v>55</v>
      </c>
      <c r="D966" s="131" t="s">
        <v>2325</v>
      </c>
      <c r="E966" s="360">
        <v>473</v>
      </c>
      <c r="F966" s="138">
        <v>45229</v>
      </c>
      <c r="G966" s="252">
        <v>40.32</v>
      </c>
      <c r="H966" s="150">
        <v>2120025.6</v>
      </c>
      <c r="I966" s="106">
        <f t="shared" si="207"/>
        <v>52580</v>
      </c>
      <c r="J966" s="122"/>
      <c r="K966" s="157" t="s">
        <v>2395</v>
      </c>
      <c r="L966" s="166">
        <f t="shared" si="213"/>
        <v>473</v>
      </c>
      <c r="M966" s="119" t="s">
        <v>2393</v>
      </c>
      <c r="N966" s="135">
        <f>28.364+8.73</f>
        <v>37.094000000000001</v>
      </c>
      <c r="O966" s="122"/>
      <c r="P966" s="92">
        <f t="shared" si="208"/>
        <v>37.0944</v>
      </c>
      <c r="Q966" s="113">
        <f t="shared" si="209"/>
        <v>1.8144</v>
      </c>
      <c r="R966" s="92">
        <f t="shared" si="210"/>
        <v>1.4112000000000002</v>
      </c>
      <c r="S966" s="121"/>
      <c r="T966" s="93">
        <f t="shared" si="211"/>
        <v>3.9999999999884572E-4</v>
      </c>
      <c r="U966" s="122"/>
      <c r="V966" s="94">
        <f t="shared" ca="1" si="212"/>
        <v>291.4644447916653</v>
      </c>
      <c r="W966" s="89"/>
    </row>
    <row r="967" spans="1:23" s="312" customFormat="1" ht="18">
      <c r="A967" s="260"/>
      <c r="B967" s="90" t="s">
        <v>505</v>
      </c>
      <c r="C967" s="130" t="s">
        <v>55</v>
      </c>
      <c r="D967" s="131" t="s">
        <v>2326</v>
      </c>
      <c r="E967" s="360">
        <v>474</v>
      </c>
      <c r="F967" s="138">
        <v>45229</v>
      </c>
      <c r="G967" s="252">
        <v>42.22</v>
      </c>
      <c r="H967" s="150">
        <v>2219927.6</v>
      </c>
      <c r="I967" s="106">
        <f t="shared" si="207"/>
        <v>52580</v>
      </c>
      <c r="J967" s="122"/>
      <c r="K967" s="157" t="s">
        <v>2396</v>
      </c>
      <c r="L967" s="166">
        <f t="shared" si="213"/>
        <v>474</v>
      </c>
      <c r="M967" s="119" t="s">
        <v>2393</v>
      </c>
      <c r="N967" s="135">
        <f>23.663+15.179</f>
        <v>38.841999999999999</v>
      </c>
      <c r="O967" s="122"/>
      <c r="P967" s="92">
        <f t="shared" si="208"/>
        <v>38.842399999999998</v>
      </c>
      <c r="Q967" s="113">
        <f t="shared" si="209"/>
        <v>1.8998999999999999</v>
      </c>
      <c r="R967" s="92">
        <f t="shared" si="210"/>
        <v>1.4777</v>
      </c>
      <c r="S967" s="121"/>
      <c r="T967" s="93">
        <f t="shared" si="211"/>
        <v>4.0000000000017799E-4</v>
      </c>
      <c r="U967" s="122"/>
      <c r="V967" s="94">
        <f t="shared" ca="1" si="212"/>
        <v>291.4644447916653</v>
      </c>
      <c r="W967" s="89"/>
    </row>
    <row r="968" spans="1:23" s="312" customFormat="1" ht="18">
      <c r="A968" s="260"/>
      <c r="B968" s="90" t="s">
        <v>505</v>
      </c>
      <c r="C968" s="130" t="s">
        <v>55</v>
      </c>
      <c r="D968" s="131" t="s">
        <v>2327</v>
      </c>
      <c r="E968" s="360">
        <v>475</v>
      </c>
      <c r="F968" s="138">
        <v>45229</v>
      </c>
      <c r="G968" s="252">
        <v>27.56</v>
      </c>
      <c r="H968" s="150">
        <v>1449104.8</v>
      </c>
      <c r="I968" s="106">
        <f t="shared" si="207"/>
        <v>52580.000000000007</v>
      </c>
      <c r="J968" s="122"/>
      <c r="K968" s="157" t="s">
        <v>2405</v>
      </c>
      <c r="L968" s="166">
        <f t="shared" si="213"/>
        <v>475</v>
      </c>
      <c r="M968" s="119" t="s">
        <v>2406</v>
      </c>
      <c r="N968" s="135">
        <f>18.223+7.132</f>
        <v>25.354999999999997</v>
      </c>
      <c r="O968" s="122"/>
      <c r="P968" s="92">
        <f t="shared" si="208"/>
        <v>25.3552</v>
      </c>
      <c r="Q968" s="113">
        <f t="shared" si="209"/>
        <v>1.2402</v>
      </c>
      <c r="R968" s="92">
        <f t="shared" si="210"/>
        <v>0.96460000000000001</v>
      </c>
      <c r="S968" s="121"/>
      <c r="T968" s="93">
        <f t="shared" si="211"/>
        <v>2.0000000000186535E-4</v>
      </c>
      <c r="U968" s="122"/>
      <c r="V968" s="94">
        <f t="shared" ca="1" si="212"/>
        <v>291.4644447916653</v>
      </c>
      <c r="W968" s="89"/>
    </row>
    <row r="969" spans="1:23" s="312" customFormat="1" ht="18">
      <c r="A969" s="260"/>
      <c r="B969" s="90" t="s">
        <v>505</v>
      </c>
      <c r="C969" s="130" t="s">
        <v>55</v>
      </c>
      <c r="D969" s="131" t="s">
        <v>2328</v>
      </c>
      <c r="E969" s="360">
        <v>476</v>
      </c>
      <c r="F969" s="138">
        <v>45229</v>
      </c>
      <c r="G969" s="252">
        <v>31.6</v>
      </c>
      <c r="H969" s="150">
        <v>1661528</v>
      </c>
      <c r="I969" s="106">
        <f t="shared" si="207"/>
        <v>52580</v>
      </c>
      <c r="J969" s="122"/>
      <c r="K969" s="157" t="s">
        <v>2407</v>
      </c>
      <c r="L969" s="166">
        <f t="shared" si="213"/>
        <v>476</v>
      </c>
      <c r="M969" s="119" t="s">
        <v>2404</v>
      </c>
      <c r="N969" s="135">
        <f>25.382+3.69</f>
        <v>29.072000000000003</v>
      </c>
      <c r="O969" s="122"/>
      <c r="P969" s="92">
        <f t="shared" si="208"/>
        <v>29.072000000000003</v>
      </c>
      <c r="Q969" s="113">
        <f t="shared" si="209"/>
        <v>1.4219999999999999</v>
      </c>
      <c r="R969" s="92">
        <f t="shared" si="210"/>
        <v>1.1060000000000001</v>
      </c>
      <c r="S969" s="121"/>
      <c r="T969" s="93">
        <f t="shared" si="211"/>
        <v>0</v>
      </c>
      <c r="U969" s="122"/>
      <c r="V969" s="94">
        <f t="shared" ca="1" si="212"/>
        <v>291.4644447916653</v>
      </c>
      <c r="W969" s="89"/>
    </row>
    <row r="970" spans="1:23" s="312" customFormat="1" ht="18">
      <c r="A970" s="260"/>
      <c r="B970" s="90" t="s">
        <v>505</v>
      </c>
      <c r="C970" s="130" t="s">
        <v>55</v>
      </c>
      <c r="D970" s="131" t="s">
        <v>2329</v>
      </c>
      <c r="E970" s="360">
        <v>477</v>
      </c>
      <c r="F970" s="138">
        <v>45229</v>
      </c>
      <c r="G970" s="252">
        <v>27.3</v>
      </c>
      <c r="H970" s="150">
        <v>1435434</v>
      </c>
      <c r="I970" s="106">
        <f t="shared" si="207"/>
        <v>52580</v>
      </c>
      <c r="J970" s="122"/>
      <c r="K970" s="157">
        <v>1269</v>
      </c>
      <c r="L970" s="166">
        <f t="shared" si="213"/>
        <v>477</v>
      </c>
      <c r="M970" s="119" t="s">
        <v>2402</v>
      </c>
      <c r="N970" s="135">
        <v>25.116</v>
      </c>
      <c r="O970" s="122"/>
      <c r="P970" s="92">
        <f t="shared" si="208"/>
        <v>25.116000000000003</v>
      </c>
      <c r="Q970" s="113">
        <f t="shared" si="209"/>
        <v>1.2284999999999999</v>
      </c>
      <c r="R970" s="92">
        <f t="shared" si="210"/>
        <v>0.95550000000000013</v>
      </c>
      <c r="S970" s="121"/>
      <c r="T970" s="93">
        <f t="shared" si="211"/>
        <v>9.9920072216264089E-16</v>
      </c>
      <c r="U970" s="122"/>
      <c r="V970" s="94">
        <f t="shared" ca="1" si="212"/>
        <v>291.4644447916653</v>
      </c>
      <c r="W970" s="89"/>
    </row>
    <row r="971" spans="1:23" s="312" customFormat="1" ht="18">
      <c r="A971" s="260"/>
      <c r="B971" s="90" t="s">
        <v>505</v>
      </c>
      <c r="C971" s="130" t="s">
        <v>55</v>
      </c>
      <c r="D971" s="131" t="s">
        <v>2330</v>
      </c>
      <c r="E971" s="360">
        <v>478</v>
      </c>
      <c r="F971" s="138">
        <v>45229</v>
      </c>
      <c r="G971" s="252">
        <v>31.5</v>
      </c>
      <c r="H971" s="150">
        <v>1656270</v>
      </c>
      <c r="I971" s="106">
        <f t="shared" si="207"/>
        <v>52580</v>
      </c>
      <c r="J971" s="122"/>
      <c r="K971" s="157" t="s">
        <v>2408</v>
      </c>
      <c r="L971" s="166">
        <f t="shared" si="213"/>
        <v>478</v>
      </c>
      <c r="M971" s="119" t="s">
        <v>2404</v>
      </c>
      <c r="N971" s="135">
        <f>3.626+25.354</f>
        <v>28.98</v>
      </c>
      <c r="O971" s="122"/>
      <c r="P971" s="92">
        <f t="shared" si="208"/>
        <v>28.98</v>
      </c>
      <c r="Q971" s="113">
        <f t="shared" si="209"/>
        <v>1.4175</v>
      </c>
      <c r="R971" s="92">
        <f t="shared" si="210"/>
        <v>1.1025</v>
      </c>
      <c r="S971" s="121"/>
      <c r="T971" s="93">
        <f t="shared" si="211"/>
        <v>0</v>
      </c>
      <c r="U971" s="122"/>
      <c r="V971" s="94">
        <f t="shared" ca="1" si="212"/>
        <v>291.4644447916653</v>
      </c>
      <c r="W971" s="89"/>
    </row>
    <row r="972" spans="1:23" s="312" customFormat="1" ht="18">
      <c r="A972" s="260"/>
      <c r="B972" s="90" t="s">
        <v>505</v>
      </c>
      <c r="C972" s="130" t="s">
        <v>94</v>
      </c>
      <c r="D972" s="131" t="s">
        <v>2331</v>
      </c>
      <c r="E972" s="360">
        <v>479</v>
      </c>
      <c r="F972" s="138">
        <v>45229</v>
      </c>
      <c r="G972" s="252">
        <v>31.89</v>
      </c>
      <c r="H972" s="150">
        <v>1609807.2</v>
      </c>
      <c r="I972" s="106">
        <f t="shared" si="207"/>
        <v>50480</v>
      </c>
      <c r="J972" s="122"/>
      <c r="K972" s="157" t="s">
        <v>2409</v>
      </c>
      <c r="L972" s="166">
        <f t="shared" si="213"/>
        <v>479</v>
      </c>
      <c r="M972" s="119" t="s">
        <v>2410</v>
      </c>
      <c r="N972" s="135">
        <f>6.676+22.663</f>
        <v>29.338999999999999</v>
      </c>
      <c r="O972" s="122"/>
      <c r="P972" s="92">
        <f t="shared" si="208"/>
        <v>29.338800000000003</v>
      </c>
      <c r="Q972" s="113">
        <f t="shared" si="209"/>
        <v>1.4350499999999999</v>
      </c>
      <c r="R972" s="92">
        <f t="shared" si="210"/>
        <v>1.1161500000000002</v>
      </c>
      <c r="S972" s="121"/>
      <c r="T972" s="93">
        <f t="shared" si="211"/>
        <v>-1.9999999999820162E-4</v>
      </c>
      <c r="U972" s="122"/>
      <c r="V972" s="94">
        <f t="shared" ca="1" si="212"/>
        <v>291.4644447916653</v>
      </c>
      <c r="W972" s="89"/>
    </row>
    <row r="973" spans="1:23" s="312" customFormat="1" ht="18">
      <c r="A973" s="260"/>
      <c r="B973" s="90" t="s">
        <v>505</v>
      </c>
      <c r="C973" s="130" t="s">
        <v>94</v>
      </c>
      <c r="D973" s="131" t="s">
        <v>2331</v>
      </c>
      <c r="E973" s="360">
        <v>480</v>
      </c>
      <c r="F973" s="138">
        <v>45229</v>
      </c>
      <c r="G973" s="252">
        <v>31.87</v>
      </c>
      <c r="H973" s="150">
        <v>1608797.6</v>
      </c>
      <c r="I973" s="106">
        <f t="shared" si="207"/>
        <v>50480</v>
      </c>
      <c r="J973" s="122"/>
      <c r="K973" s="157" t="s">
        <v>2411</v>
      </c>
      <c r="L973" s="166">
        <f t="shared" si="213"/>
        <v>480</v>
      </c>
      <c r="M973" s="119" t="s">
        <v>2412</v>
      </c>
      <c r="N973" s="135">
        <f>10.544+0.501+18.275</f>
        <v>29.32</v>
      </c>
      <c r="O973" s="122"/>
      <c r="P973" s="92">
        <f t="shared" si="208"/>
        <v>29.320400000000003</v>
      </c>
      <c r="Q973" s="113">
        <f t="shared" si="209"/>
        <v>1.43415</v>
      </c>
      <c r="R973" s="92">
        <f t="shared" si="210"/>
        <v>1.1154500000000001</v>
      </c>
      <c r="S973" s="121"/>
      <c r="T973" s="93">
        <f t="shared" si="211"/>
        <v>4.0000000000062208E-4</v>
      </c>
      <c r="U973" s="122"/>
      <c r="V973" s="94">
        <f t="shared" ca="1" si="212"/>
        <v>291.4644447916653</v>
      </c>
      <c r="W973" s="89"/>
    </row>
    <row r="974" spans="1:23" s="312" customFormat="1" ht="18">
      <c r="A974" s="260"/>
      <c r="B974" s="90" t="s">
        <v>505</v>
      </c>
      <c r="C974" s="130" t="s">
        <v>94</v>
      </c>
      <c r="D974" s="131" t="s">
        <v>2331</v>
      </c>
      <c r="E974" s="360">
        <v>481</v>
      </c>
      <c r="F974" s="138">
        <v>45229</v>
      </c>
      <c r="G974" s="252">
        <v>31.9</v>
      </c>
      <c r="H974" s="150">
        <v>1610312</v>
      </c>
      <c r="I974" s="106">
        <f t="shared" si="207"/>
        <v>50480</v>
      </c>
      <c r="J974" s="122"/>
      <c r="K974" s="157" t="s">
        <v>2413</v>
      </c>
      <c r="L974" s="166">
        <f t="shared" si="213"/>
        <v>481</v>
      </c>
      <c r="M974" s="119" t="s">
        <v>2414</v>
      </c>
      <c r="N974" s="135">
        <f>14.705+14.643</f>
        <v>29.347999999999999</v>
      </c>
      <c r="O974" s="122"/>
      <c r="P974" s="92">
        <f t="shared" si="208"/>
        <v>29.347999999999999</v>
      </c>
      <c r="Q974" s="113">
        <f t="shared" si="209"/>
        <v>1.4354999999999998</v>
      </c>
      <c r="R974" s="92">
        <f t="shared" si="210"/>
        <v>1.1165</v>
      </c>
      <c r="S974" s="121"/>
      <c r="T974" s="93">
        <f>G974-N974-Q974-R974</f>
        <v>0</v>
      </c>
      <c r="U974" s="122"/>
      <c r="V974" s="94">
        <f t="shared" ca="1" si="212"/>
        <v>291.4644447916653</v>
      </c>
      <c r="W974" s="89"/>
    </row>
    <row r="975" spans="1:23" s="312" customFormat="1" ht="18">
      <c r="A975" s="260"/>
      <c r="B975" s="90" t="s">
        <v>505</v>
      </c>
      <c r="C975" s="130" t="s">
        <v>94</v>
      </c>
      <c r="D975" s="131" t="s">
        <v>2331</v>
      </c>
      <c r="E975" s="360">
        <v>482</v>
      </c>
      <c r="F975" s="138">
        <v>45229</v>
      </c>
      <c r="G975" s="252">
        <v>40.54</v>
      </c>
      <c r="H975" s="150">
        <v>2046459.2</v>
      </c>
      <c r="I975" s="106">
        <f t="shared" si="207"/>
        <v>50480</v>
      </c>
      <c r="J975" s="122"/>
      <c r="K975" s="157" t="s">
        <v>2415</v>
      </c>
      <c r="L975" s="166">
        <f t="shared" si="213"/>
        <v>482</v>
      </c>
      <c r="M975" s="119" t="s">
        <v>2414</v>
      </c>
      <c r="N975" s="135">
        <f>18.049+19.248</f>
        <v>37.296999999999997</v>
      </c>
      <c r="O975" s="122"/>
      <c r="P975" s="92">
        <f t="shared" si="208"/>
        <v>37.296799999999998</v>
      </c>
      <c r="Q975" s="113">
        <f t="shared" si="209"/>
        <v>1.8242999999999998</v>
      </c>
      <c r="R975" s="92">
        <f t="shared" si="210"/>
        <v>1.4189000000000001</v>
      </c>
      <c r="S975" s="121"/>
      <c r="T975" s="93">
        <f t="shared" si="211"/>
        <v>-1.9999999999775753E-4</v>
      </c>
      <c r="U975" s="122"/>
      <c r="V975" s="94">
        <f t="shared" ca="1" si="212"/>
        <v>291.4644447916653</v>
      </c>
      <c r="W975" s="89"/>
    </row>
    <row r="976" spans="1:23" s="312" customFormat="1" ht="18">
      <c r="A976" s="260"/>
      <c r="B976" s="90" t="s">
        <v>505</v>
      </c>
      <c r="C976" s="130" t="s">
        <v>94</v>
      </c>
      <c r="D976" s="131" t="s">
        <v>2331</v>
      </c>
      <c r="E976" s="360">
        <v>483</v>
      </c>
      <c r="F976" s="138">
        <v>45229</v>
      </c>
      <c r="G976" s="252">
        <v>32.090000000000003</v>
      </c>
      <c r="H976" s="150">
        <v>1619903.2000000002</v>
      </c>
      <c r="I976" s="106">
        <f t="shared" si="207"/>
        <v>50480</v>
      </c>
      <c r="J976" s="122"/>
      <c r="K976" s="157" t="s">
        <v>2416</v>
      </c>
      <c r="L976" s="166">
        <f t="shared" si="213"/>
        <v>483</v>
      </c>
      <c r="M976" s="119" t="s">
        <v>2417</v>
      </c>
      <c r="N976" s="135">
        <f>14.238+15.285</f>
        <v>29.523</v>
      </c>
      <c r="O976" s="122"/>
      <c r="P976" s="92">
        <f t="shared" si="208"/>
        <v>29.522800000000004</v>
      </c>
      <c r="Q976" s="113">
        <f t="shared" si="209"/>
        <v>1.4440500000000001</v>
      </c>
      <c r="R976" s="92">
        <f t="shared" si="210"/>
        <v>1.1231500000000003</v>
      </c>
      <c r="S976" s="121"/>
      <c r="T976" s="93">
        <f t="shared" si="211"/>
        <v>-1.999999999966473E-4</v>
      </c>
      <c r="U976" s="122"/>
      <c r="V976" s="94">
        <f t="shared" ca="1" si="212"/>
        <v>291.4644447916653</v>
      </c>
      <c r="W976" s="89"/>
    </row>
    <row r="977" spans="1:23" s="312" customFormat="1" ht="18">
      <c r="A977" s="260"/>
      <c r="B977" s="90" t="s">
        <v>505</v>
      </c>
      <c r="C977" s="130" t="s">
        <v>94</v>
      </c>
      <c r="D977" s="131" t="s">
        <v>2331</v>
      </c>
      <c r="E977" s="360">
        <v>484</v>
      </c>
      <c r="F977" s="138">
        <v>45229</v>
      </c>
      <c r="G977" s="252">
        <v>31.92</v>
      </c>
      <c r="H977" s="150">
        <v>1611321.6</v>
      </c>
      <c r="I977" s="106">
        <f t="shared" si="207"/>
        <v>50480</v>
      </c>
      <c r="J977" s="122"/>
      <c r="K977" s="157" t="s">
        <v>2421</v>
      </c>
      <c r="L977" s="166">
        <f t="shared" si="213"/>
        <v>484</v>
      </c>
      <c r="M977" s="119" t="s">
        <v>2422</v>
      </c>
      <c r="N977" s="135">
        <f>16.709+12.657</f>
        <v>29.366</v>
      </c>
      <c r="O977" s="122"/>
      <c r="P977" s="92">
        <f t="shared" si="208"/>
        <v>29.366400000000002</v>
      </c>
      <c r="Q977" s="113">
        <f t="shared" si="209"/>
        <v>1.4364000000000001</v>
      </c>
      <c r="R977" s="92">
        <f t="shared" si="210"/>
        <v>1.1172000000000002</v>
      </c>
      <c r="S977" s="121"/>
      <c r="T977" s="93">
        <f t="shared" si="211"/>
        <v>4.000000000017323E-4</v>
      </c>
      <c r="U977" s="122"/>
      <c r="V977" s="94">
        <f t="shared" ca="1" si="212"/>
        <v>291.4644447916653</v>
      </c>
      <c r="W977" s="89"/>
    </row>
    <row r="978" spans="1:23" s="312" customFormat="1" ht="18">
      <c r="A978" s="260"/>
      <c r="B978" s="90" t="s">
        <v>505</v>
      </c>
      <c r="C978" s="130" t="s">
        <v>94</v>
      </c>
      <c r="D978" s="131" t="s">
        <v>2331</v>
      </c>
      <c r="E978" s="360">
        <v>485</v>
      </c>
      <c r="F978" s="138">
        <v>45229</v>
      </c>
      <c r="G978" s="252">
        <v>31.9</v>
      </c>
      <c r="H978" s="150">
        <v>1610312</v>
      </c>
      <c r="I978" s="106">
        <f t="shared" si="207"/>
        <v>50480</v>
      </c>
      <c r="J978" s="122"/>
      <c r="K978" s="157" t="s">
        <v>2423</v>
      </c>
      <c r="L978" s="166">
        <f t="shared" si="213"/>
        <v>485</v>
      </c>
      <c r="M978" s="119" t="s">
        <v>2424</v>
      </c>
      <c r="N978" s="135">
        <f>18.892+10.456</f>
        <v>29.347999999999999</v>
      </c>
      <c r="O978" s="122"/>
      <c r="P978" s="92">
        <f t="shared" si="208"/>
        <v>29.347999999999999</v>
      </c>
      <c r="Q978" s="113">
        <f t="shared" si="209"/>
        <v>1.4354999999999998</v>
      </c>
      <c r="R978" s="92">
        <f t="shared" si="210"/>
        <v>1.1165</v>
      </c>
      <c r="S978" s="121"/>
      <c r="T978" s="93">
        <f t="shared" si="211"/>
        <v>0</v>
      </c>
      <c r="U978" s="122"/>
      <c r="V978" s="94">
        <f t="shared" ca="1" si="212"/>
        <v>291.4644447916653</v>
      </c>
      <c r="W978" s="89"/>
    </row>
    <row r="979" spans="1:23" s="312" customFormat="1" ht="18">
      <c r="A979" s="260"/>
      <c r="B979" s="90" t="s">
        <v>505</v>
      </c>
      <c r="C979" s="130" t="s">
        <v>94</v>
      </c>
      <c r="D979" s="131" t="s">
        <v>2331</v>
      </c>
      <c r="E979" s="360">
        <v>486</v>
      </c>
      <c r="F979" s="138">
        <v>45229</v>
      </c>
      <c r="G979" s="252">
        <v>31.94</v>
      </c>
      <c r="H979" s="150">
        <v>1612331.2</v>
      </c>
      <c r="I979" s="106">
        <f t="shared" si="207"/>
        <v>50480</v>
      </c>
      <c r="J979" s="122"/>
      <c r="K979" s="157" t="s">
        <v>2425</v>
      </c>
      <c r="L979" s="166">
        <f t="shared" si="213"/>
        <v>486</v>
      </c>
      <c r="M979" s="119" t="s">
        <v>2426</v>
      </c>
      <c r="N979" s="135">
        <f>21.415+7.97</f>
        <v>29.384999999999998</v>
      </c>
      <c r="O979" s="122"/>
      <c r="P979" s="92">
        <f t="shared" si="208"/>
        <v>29.384800000000002</v>
      </c>
      <c r="Q979" s="113">
        <f t="shared" si="209"/>
        <v>1.4373</v>
      </c>
      <c r="R979" s="92">
        <f t="shared" si="210"/>
        <v>1.1179000000000001</v>
      </c>
      <c r="S979" s="121"/>
      <c r="T979" s="93">
        <f t="shared" si="211"/>
        <v>-1.9999999999686935E-4</v>
      </c>
      <c r="U979" s="122"/>
      <c r="V979" s="94">
        <f t="shared" ca="1" si="212"/>
        <v>291.4644447916653</v>
      </c>
      <c r="W979" s="89"/>
    </row>
    <row r="980" spans="1:23" s="312" customFormat="1" ht="18">
      <c r="A980" s="260"/>
      <c r="B980" s="90" t="s">
        <v>505</v>
      </c>
      <c r="C980" s="130" t="s">
        <v>94</v>
      </c>
      <c r="D980" s="131" t="s">
        <v>2331</v>
      </c>
      <c r="E980" s="360">
        <v>487</v>
      </c>
      <c r="F980" s="138">
        <v>45229</v>
      </c>
      <c r="G980" s="252">
        <v>31.87</v>
      </c>
      <c r="H980" s="150">
        <v>1608797.6</v>
      </c>
      <c r="I980" s="106">
        <f t="shared" si="207"/>
        <v>50480</v>
      </c>
      <c r="J980" s="122"/>
      <c r="K980" s="157" t="s">
        <v>2432</v>
      </c>
      <c r="L980" s="166">
        <f t="shared" si="213"/>
        <v>487</v>
      </c>
      <c r="M980" s="119" t="s">
        <v>2430</v>
      </c>
      <c r="N980" s="135">
        <f>24.529+4.791</f>
        <v>29.32</v>
      </c>
      <c r="O980" s="122"/>
      <c r="P980" s="92">
        <f t="shared" si="208"/>
        <v>29.320400000000003</v>
      </c>
      <c r="Q980" s="113">
        <f t="shared" si="209"/>
        <v>1.43415</v>
      </c>
      <c r="R980" s="92">
        <f t="shared" si="210"/>
        <v>1.1154500000000001</v>
      </c>
      <c r="S980" s="121"/>
      <c r="T980" s="93">
        <f t="shared" si="211"/>
        <v>4.0000000000062208E-4</v>
      </c>
      <c r="U980" s="122"/>
      <c r="V980" s="94">
        <f t="shared" ca="1" si="212"/>
        <v>291.4644447916653</v>
      </c>
      <c r="W980" s="89"/>
    </row>
    <row r="981" spans="1:23" s="312" customFormat="1" ht="18">
      <c r="A981" s="260"/>
      <c r="B981" s="90" t="s">
        <v>505</v>
      </c>
      <c r="C981" s="130" t="s">
        <v>94</v>
      </c>
      <c r="D981" s="131" t="s">
        <v>2331</v>
      </c>
      <c r="E981" s="360">
        <v>488</v>
      </c>
      <c r="F981" s="138">
        <v>45229</v>
      </c>
      <c r="G981" s="252">
        <v>32.03</v>
      </c>
      <c r="H981" s="150">
        <v>1616874.4000000001</v>
      </c>
      <c r="I981" s="106">
        <f t="shared" si="207"/>
        <v>50480</v>
      </c>
      <c r="J981" s="122"/>
      <c r="K981" s="157" t="s">
        <v>2435</v>
      </c>
      <c r="L981" s="166">
        <f t="shared" si="213"/>
        <v>488</v>
      </c>
      <c r="M981" s="119" t="s">
        <v>2431</v>
      </c>
      <c r="N981" s="135">
        <f>26.467+3.001</f>
        <v>29.468</v>
      </c>
      <c r="O981" s="122"/>
      <c r="P981" s="92">
        <f t="shared" si="208"/>
        <v>29.467600000000001</v>
      </c>
      <c r="Q981" s="113">
        <f t="shared" si="209"/>
        <v>1.4413499999999999</v>
      </c>
      <c r="R981" s="92">
        <f t="shared" si="210"/>
        <v>1.1210500000000001</v>
      </c>
      <c r="S981" s="121"/>
      <c r="T981" s="93">
        <f t="shared" si="211"/>
        <v>-3.9999999999884572E-4</v>
      </c>
      <c r="U981" s="122"/>
      <c r="V981" s="94">
        <f t="shared" ca="1" si="212"/>
        <v>291.4644447916653</v>
      </c>
      <c r="W981" s="89"/>
    </row>
    <row r="982" spans="1:23" s="312" customFormat="1" ht="18">
      <c r="A982" s="260"/>
      <c r="B982" s="90" t="s">
        <v>505</v>
      </c>
      <c r="C982" s="130" t="s">
        <v>94</v>
      </c>
      <c r="D982" s="131" t="s">
        <v>2331</v>
      </c>
      <c r="E982" s="360">
        <v>489</v>
      </c>
      <c r="F982" s="138">
        <v>45229</v>
      </c>
      <c r="G982" s="252">
        <v>31.98</v>
      </c>
      <c r="H982" s="150">
        <v>1614350.4</v>
      </c>
      <c r="I982" s="106">
        <f t="shared" si="207"/>
        <v>50480</v>
      </c>
      <c r="J982" s="122"/>
      <c r="K982" s="157" t="s">
        <v>2444</v>
      </c>
      <c r="L982" s="166">
        <f t="shared" si="213"/>
        <v>489</v>
      </c>
      <c r="M982" s="119" t="s">
        <v>2445</v>
      </c>
      <c r="N982" s="135">
        <f>7.631+21.791</f>
        <v>29.422000000000001</v>
      </c>
      <c r="O982" s="122"/>
      <c r="P982" s="92">
        <f t="shared" si="208"/>
        <v>29.421600000000002</v>
      </c>
      <c r="Q982" s="113">
        <f t="shared" si="209"/>
        <v>1.4391</v>
      </c>
      <c r="R982" s="92">
        <f t="shared" si="210"/>
        <v>1.1193000000000002</v>
      </c>
      <c r="S982" s="121"/>
      <c r="T982" s="93">
        <f t="shared" si="211"/>
        <v>-4.0000000000040004E-4</v>
      </c>
      <c r="U982" s="122"/>
      <c r="V982" s="94">
        <f t="shared" ca="1" si="212"/>
        <v>291.4644447916653</v>
      </c>
      <c r="W982" s="89"/>
    </row>
    <row r="983" spans="1:23" s="312" customFormat="1" ht="18">
      <c r="A983" s="260"/>
      <c r="B983" s="90" t="s">
        <v>505</v>
      </c>
      <c r="C983" s="130" t="s">
        <v>94</v>
      </c>
      <c r="D983" s="131" t="s">
        <v>2331</v>
      </c>
      <c r="E983" s="360">
        <v>490</v>
      </c>
      <c r="F983" s="138">
        <v>45229</v>
      </c>
      <c r="G983" s="252">
        <v>31.9</v>
      </c>
      <c r="H983" s="150">
        <v>1610312</v>
      </c>
      <c r="I983" s="106">
        <f t="shared" si="207"/>
        <v>50480</v>
      </c>
      <c r="J983" s="122"/>
      <c r="K983" s="157" t="s">
        <v>2446</v>
      </c>
      <c r="L983" s="166">
        <f t="shared" si="213"/>
        <v>490</v>
      </c>
      <c r="M983" s="119" t="s">
        <v>2445</v>
      </c>
      <c r="N983" s="135">
        <f>22.363+6.985</f>
        <v>29.347999999999999</v>
      </c>
      <c r="O983" s="122"/>
      <c r="P983" s="92">
        <f t="shared" si="208"/>
        <v>29.347999999999999</v>
      </c>
      <c r="Q983" s="113">
        <f t="shared" si="209"/>
        <v>1.4354999999999998</v>
      </c>
      <c r="R983" s="92">
        <f t="shared" si="210"/>
        <v>1.1165</v>
      </c>
      <c r="S983" s="121"/>
      <c r="T983" s="93">
        <f t="shared" si="211"/>
        <v>0</v>
      </c>
      <c r="U983" s="122"/>
      <c r="V983" s="94">
        <f t="shared" ca="1" si="212"/>
        <v>291.4644447916653</v>
      </c>
      <c r="W983" s="89"/>
    </row>
    <row r="984" spans="1:23" s="312" customFormat="1" ht="18">
      <c r="A984" s="260"/>
      <c r="B984" s="90" t="s">
        <v>505</v>
      </c>
      <c r="C984" s="130" t="s">
        <v>94</v>
      </c>
      <c r="D984" s="131" t="s">
        <v>2331</v>
      </c>
      <c r="E984" s="360">
        <v>491</v>
      </c>
      <c r="F984" s="138">
        <v>45229</v>
      </c>
      <c r="G984" s="252">
        <v>32.981000000000002</v>
      </c>
      <c r="H984" s="150">
        <v>1664880.8800000001</v>
      </c>
      <c r="I984" s="106">
        <f t="shared" si="207"/>
        <v>50480</v>
      </c>
      <c r="J984" s="122"/>
      <c r="K984" s="157" t="s">
        <v>2447</v>
      </c>
      <c r="L984" s="166">
        <f t="shared" si="213"/>
        <v>491</v>
      </c>
      <c r="M984" s="119" t="s">
        <v>2448</v>
      </c>
      <c r="N984" s="135">
        <f>2.783+24.354+3.206</f>
        <v>30.343</v>
      </c>
      <c r="O984" s="122"/>
      <c r="P984" s="92">
        <f t="shared" si="208"/>
        <v>30.342520000000004</v>
      </c>
      <c r="Q984" s="113">
        <f t="shared" si="209"/>
        <v>1.484145</v>
      </c>
      <c r="R984" s="92">
        <f t="shared" si="210"/>
        <v>1.1543350000000001</v>
      </c>
      <c r="S984" s="121"/>
      <c r="T984" s="93">
        <f t="shared" si="211"/>
        <v>-4.7999999999848164E-4</v>
      </c>
      <c r="U984" s="122"/>
      <c r="V984" s="94">
        <f t="shared" ca="1" si="212"/>
        <v>291.4644447916653</v>
      </c>
      <c r="W984" s="89"/>
    </row>
    <row r="985" spans="1:23" s="312" customFormat="1" ht="18">
      <c r="A985" s="260"/>
      <c r="B985" s="90" t="s">
        <v>505</v>
      </c>
      <c r="C985" s="130" t="s">
        <v>94</v>
      </c>
      <c r="D985" s="131" t="s">
        <v>2331</v>
      </c>
      <c r="E985" s="360">
        <v>492</v>
      </c>
      <c r="F985" s="138">
        <v>45229</v>
      </c>
      <c r="G985" s="252">
        <v>34.22</v>
      </c>
      <c r="H985" s="150">
        <v>1727425.5999999999</v>
      </c>
      <c r="I985" s="106">
        <f t="shared" si="207"/>
        <v>50480</v>
      </c>
      <c r="J985" s="122"/>
      <c r="K985" s="157" t="s">
        <v>2438</v>
      </c>
      <c r="L985" s="166">
        <f t="shared" si="213"/>
        <v>492</v>
      </c>
      <c r="M985" s="119" t="s">
        <v>2439</v>
      </c>
      <c r="N985" s="135">
        <f>29.992+1.49</f>
        <v>31.481999999999999</v>
      </c>
      <c r="O985" s="122"/>
      <c r="P985" s="92">
        <f t="shared" si="208"/>
        <v>31.482400000000002</v>
      </c>
      <c r="Q985" s="113">
        <f t="shared" si="209"/>
        <v>1.5398999999999998</v>
      </c>
      <c r="R985" s="92">
        <f t="shared" si="210"/>
        <v>1.1977</v>
      </c>
      <c r="S985" s="121"/>
      <c r="T985" s="93">
        <f t="shared" si="211"/>
        <v>3.999999999997339E-4</v>
      </c>
      <c r="U985" s="122"/>
      <c r="V985" s="94">
        <f t="shared" ca="1" si="212"/>
        <v>291.4644447916653</v>
      </c>
      <c r="W985" s="89"/>
    </row>
    <row r="986" spans="1:23" s="312" customFormat="1" ht="18">
      <c r="A986" s="260"/>
      <c r="B986" s="90" t="s">
        <v>505</v>
      </c>
      <c r="C986" s="130" t="s">
        <v>94</v>
      </c>
      <c r="D986" s="131" t="s">
        <v>2331</v>
      </c>
      <c r="E986" s="360">
        <v>493</v>
      </c>
      <c r="F986" s="138">
        <v>45229</v>
      </c>
      <c r="G986" s="252">
        <v>41</v>
      </c>
      <c r="H986" s="150">
        <v>2069680</v>
      </c>
      <c r="I986" s="106">
        <f t="shared" si="207"/>
        <v>50480</v>
      </c>
      <c r="J986" s="122"/>
      <c r="K986" s="157" t="s">
        <v>2440</v>
      </c>
      <c r="L986" s="166">
        <f t="shared" si="213"/>
        <v>493</v>
      </c>
      <c r="M986" s="119" t="s">
        <v>2441</v>
      </c>
      <c r="N986" s="135">
        <f>32.134+5.586</f>
        <v>37.72</v>
      </c>
      <c r="O986" s="122"/>
      <c r="P986" s="92">
        <f t="shared" si="208"/>
        <v>37.72</v>
      </c>
      <c r="Q986" s="113">
        <f t="shared" si="209"/>
        <v>1.845</v>
      </c>
      <c r="R986" s="92">
        <f t="shared" si="210"/>
        <v>1.4350000000000001</v>
      </c>
      <c r="S986" s="121"/>
      <c r="T986" s="93">
        <f t="shared" si="211"/>
        <v>0</v>
      </c>
      <c r="U986" s="122"/>
      <c r="V986" s="94">
        <f t="shared" ca="1" si="212"/>
        <v>291.4644447916653</v>
      </c>
      <c r="W986" s="89"/>
    </row>
    <row r="987" spans="1:23" s="312" customFormat="1" ht="18">
      <c r="A987" s="260"/>
      <c r="B987" s="90" t="s">
        <v>505</v>
      </c>
      <c r="C987" s="130" t="s">
        <v>55</v>
      </c>
      <c r="D987" s="131" t="s">
        <v>2332</v>
      </c>
      <c r="E987" s="360">
        <v>494</v>
      </c>
      <c r="F987" s="138">
        <v>45229</v>
      </c>
      <c r="G987" s="252">
        <v>13.329000000000001</v>
      </c>
      <c r="H987" s="150">
        <v>700838.82000000007</v>
      </c>
      <c r="I987" s="106">
        <f t="shared" si="207"/>
        <v>52580</v>
      </c>
      <c r="J987" s="122"/>
      <c r="K987" s="157">
        <v>1314</v>
      </c>
      <c r="L987" s="166">
        <f t="shared" si="213"/>
        <v>494</v>
      </c>
      <c r="M987" s="119" t="s">
        <v>2442</v>
      </c>
      <c r="N987" s="135">
        <v>12.263</v>
      </c>
      <c r="O987" s="122"/>
      <c r="P987" s="92">
        <f t="shared" si="208"/>
        <v>12.262680000000001</v>
      </c>
      <c r="Q987" s="113">
        <f t="shared" si="209"/>
        <v>0.59980500000000003</v>
      </c>
      <c r="R987" s="92">
        <f t="shared" si="210"/>
        <v>0.46651500000000007</v>
      </c>
      <c r="S987" s="121"/>
      <c r="T987" s="93">
        <f t="shared" si="211"/>
        <v>-3.1999999999937634E-4</v>
      </c>
      <c r="U987" s="122"/>
      <c r="V987" s="94">
        <f t="shared" ca="1" si="212"/>
        <v>291.4644447916653</v>
      </c>
      <c r="W987" s="89"/>
    </row>
    <row r="988" spans="1:23" s="312" customFormat="1" ht="18">
      <c r="A988" s="260"/>
      <c r="B988" s="90" t="s">
        <v>505</v>
      </c>
      <c r="C988" s="130" t="s">
        <v>55</v>
      </c>
      <c r="D988" s="131" t="s">
        <v>2333</v>
      </c>
      <c r="E988" s="360">
        <v>495</v>
      </c>
      <c r="F988" s="138">
        <v>45229</v>
      </c>
      <c r="G988" s="252">
        <v>40.06</v>
      </c>
      <c r="H988" s="150">
        <v>2106354.8000000003</v>
      </c>
      <c r="I988" s="106">
        <f t="shared" si="207"/>
        <v>52580.000000000007</v>
      </c>
      <c r="J988" s="122"/>
      <c r="K988" s="157" t="s">
        <v>2443</v>
      </c>
      <c r="L988" s="166">
        <f t="shared" si="213"/>
        <v>495</v>
      </c>
      <c r="M988" s="119" t="s">
        <v>2441</v>
      </c>
      <c r="N988" s="135">
        <f>31.728+5.127</f>
        <v>36.855000000000004</v>
      </c>
      <c r="O988" s="122"/>
      <c r="P988" s="92">
        <f t="shared" si="208"/>
        <v>36.855200000000004</v>
      </c>
      <c r="Q988" s="113">
        <f t="shared" si="209"/>
        <v>1.8027</v>
      </c>
      <c r="R988" s="92">
        <f t="shared" si="210"/>
        <v>1.4021000000000001</v>
      </c>
      <c r="S988" s="121"/>
      <c r="T988" s="93">
        <f t="shared" si="211"/>
        <v>1.9999999999820162E-4</v>
      </c>
      <c r="U988" s="122"/>
      <c r="V988" s="94">
        <f t="shared" ca="1" si="212"/>
        <v>291.4644447916653</v>
      </c>
      <c r="W988" s="89"/>
    </row>
    <row r="989" spans="1:23" s="312" customFormat="1" ht="18">
      <c r="A989" s="260"/>
      <c r="B989" s="90" t="s">
        <v>505</v>
      </c>
      <c r="C989" s="130" t="s">
        <v>55</v>
      </c>
      <c r="D989" s="131" t="s">
        <v>2333</v>
      </c>
      <c r="E989" s="360">
        <v>496</v>
      </c>
      <c r="F989" s="138">
        <v>45229</v>
      </c>
      <c r="G989" s="252">
        <v>31.72</v>
      </c>
      <c r="H989" s="150">
        <v>1667837.5999999999</v>
      </c>
      <c r="I989" s="106">
        <f t="shared" si="207"/>
        <v>52580</v>
      </c>
      <c r="J989" s="122"/>
      <c r="K989" s="157">
        <v>1323</v>
      </c>
      <c r="L989" s="166">
        <f t="shared" si="213"/>
        <v>496</v>
      </c>
      <c r="M989" s="119" t="s">
        <v>2449</v>
      </c>
      <c r="N989" s="135">
        <v>29.181999999999999</v>
      </c>
      <c r="O989" s="122"/>
      <c r="P989" s="92">
        <f t="shared" si="208"/>
        <v>29.182400000000001</v>
      </c>
      <c r="Q989" s="113">
        <f t="shared" si="209"/>
        <v>1.4274</v>
      </c>
      <c r="R989" s="92">
        <f t="shared" si="210"/>
        <v>1.1102000000000001</v>
      </c>
      <c r="S989" s="121"/>
      <c r="T989" s="93">
        <f t="shared" si="211"/>
        <v>4.0000000000017799E-4</v>
      </c>
      <c r="U989" s="122"/>
      <c r="V989" s="94">
        <f t="shared" ca="1" si="212"/>
        <v>291.4644447916653</v>
      </c>
      <c r="W989" s="89"/>
    </row>
    <row r="990" spans="1:23" s="312" customFormat="1" ht="18">
      <c r="A990" s="260"/>
      <c r="B990" s="90" t="s">
        <v>505</v>
      </c>
      <c r="C990" s="130" t="s">
        <v>55</v>
      </c>
      <c r="D990" s="131" t="s">
        <v>2333</v>
      </c>
      <c r="E990" s="360">
        <v>497</v>
      </c>
      <c r="F990" s="138">
        <v>45229</v>
      </c>
      <c r="G990" s="252">
        <v>31.79</v>
      </c>
      <c r="H990" s="150">
        <v>1671518.2</v>
      </c>
      <c r="I990" s="106">
        <f t="shared" si="207"/>
        <v>52580</v>
      </c>
      <c r="J990" s="122"/>
      <c r="K990" s="157" t="s">
        <v>2450</v>
      </c>
      <c r="L990" s="166">
        <f t="shared" si="213"/>
        <v>497</v>
      </c>
      <c r="M990" s="119" t="s">
        <v>2451</v>
      </c>
      <c r="N990" s="135">
        <f>0.605+28.642</f>
        <v>29.247</v>
      </c>
      <c r="O990" s="122"/>
      <c r="P990" s="92">
        <f t="shared" si="208"/>
        <v>29.2468</v>
      </c>
      <c r="Q990" s="113">
        <f t="shared" si="209"/>
        <v>1.43055</v>
      </c>
      <c r="R990" s="92">
        <f t="shared" si="210"/>
        <v>1.1126500000000001</v>
      </c>
      <c r="S990" s="121"/>
      <c r="T990" s="93">
        <f t="shared" si="211"/>
        <v>-2.0000000000086615E-4</v>
      </c>
      <c r="U990" s="122"/>
      <c r="V990" s="94">
        <f t="shared" ca="1" si="212"/>
        <v>291.4644447916653</v>
      </c>
      <c r="W990" s="89"/>
    </row>
    <row r="991" spans="1:23" s="312" customFormat="1" ht="18">
      <c r="A991" s="260"/>
      <c r="B991" s="90" t="s">
        <v>505</v>
      </c>
      <c r="C991" s="130" t="s">
        <v>55</v>
      </c>
      <c r="D991" s="131" t="s">
        <v>2333</v>
      </c>
      <c r="E991" s="360">
        <v>498</v>
      </c>
      <c r="F991" s="138">
        <v>45229</v>
      </c>
      <c r="G991" s="252">
        <v>31.7</v>
      </c>
      <c r="H991" s="150">
        <v>1666786</v>
      </c>
      <c r="I991" s="106">
        <f t="shared" si="207"/>
        <v>52580</v>
      </c>
      <c r="J991" s="122"/>
      <c r="K991" s="157" t="s">
        <v>2457</v>
      </c>
      <c r="L991" s="166">
        <f t="shared" si="213"/>
        <v>498</v>
      </c>
      <c r="M991" s="119" t="s">
        <v>2451</v>
      </c>
      <c r="N991" s="135">
        <f>3.305+25.859</f>
        <v>29.164000000000001</v>
      </c>
      <c r="O991" s="122"/>
      <c r="P991" s="92">
        <f t="shared" si="208"/>
        <v>29.164000000000001</v>
      </c>
      <c r="Q991" s="113">
        <f t="shared" si="209"/>
        <v>1.4264999999999999</v>
      </c>
      <c r="R991" s="92">
        <f t="shared" si="210"/>
        <v>1.1095000000000002</v>
      </c>
      <c r="S991" s="121"/>
      <c r="T991" s="93">
        <f t="shared" si="211"/>
        <v>-2.2204460492503131E-15</v>
      </c>
      <c r="U991" s="122"/>
      <c r="V991" s="94">
        <f t="shared" ca="1" si="212"/>
        <v>291.4644447916653</v>
      </c>
      <c r="W991" s="89"/>
    </row>
    <row r="992" spans="1:23" s="312" customFormat="1" ht="18">
      <c r="A992" s="260"/>
      <c r="B992" s="90" t="s">
        <v>505</v>
      </c>
      <c r="C992" s="130" t="s">
        <v>55</v>
      </c>
      <c r="D992" s="131" t="s">
        <v>2333</v>
      </c>
      <c r="E992" s="360">
        <v>499</v>
      </c>
      <c r="F992" s="138">
        <v>45229</v>
      </c>
      <c r="G992" s="252">
        <v>31.75</v>
      </c>
      <c r="H992" s="150">
        <v>1669415</v>
      </c>
      <c r="I992" s="106">
        <f t="shared" si="207"/>
        <v>52580</v>
      </c>
      <c r="J992" s="122"/>
      <c r="K992" s="157" t="s">
        <v>2462</v>
      </c>
      <c r="L992" s="166">
        <f t="shared" si="213"/>
        <v>499</v>
      </c>
      <c r="M992" s="119" t="s">
        <v>2459</v>
      </c>
      <c r="N992" s="135">
        <f>7.25+21.96</f>
        <v>29.21</v>
      </c>
      <c r="O992" s="122"/>
      <c r="P992" s="92">
        <f t="shared" si="208"/>
        <v>29.21</v>
      </c>
      <c r="Q992" s="113">
        <f t="shared" si="209"/>
        <v>1.42875</v>
      </c>
      <c r="R992" s="92">
        <f t="shared" si="210"/>
        <v>1.1112500000000001</v>
      </c>
      <c r="S992" s="121"/>
      <c r="T992" s="93">
        <f t="shared" si="211"/>
        <v>0</v>
      </c>
      <c r="U992" s="122"/>
      <c r="V992" s="94">
        <f t="shared" ca="1" si="212"/>
        <v>291.4644447916653</v>
      </c>
      <c r="W992" s="89"/>
    </row>
    <row r="993" spans="1:23" s="312" customFormat="1" ht="18">
      <c r="A993" s="260"/>
      <c r="B993" s="90" t="s">
        <v>505</v>
      </c>
      <c r="C993" s="130" t="s">
        <v>55</v>
      </c>
      <c r="D993" s="131" t="s">
        <v>2333</v>
      </c>
      <c r="E993" s="360">
        <v>500</v>
      </c>
      <c r="F993" s="138">
        <v>45229</v>
      </c>
      <c r="G993" s="252">
        <v>31.65</v>
      </c>
      <c r="H993" s="150">
        <v>1664157</v>
      </c>
      <c r="I993" s="106">
        <f t="shared" si="207"/>
        <v>52580</v>
      </c>
      <c r="J993" s="122"/>
      <c r="K993" s="157" t="s">
        <v>2463</v>
      </c>
      <c r="L993" s="166">
        <f t="shared" si="213"/>
        <v>500</v>
      </c>
      <c r="M993" s="119" t="s">
        <v>2464</v>
      </c>
      <c r="N993" s="135">
        <f>24.55+4.568</f>
        <v>29.118000000000002</v>
      </c>
      <c r="O993" s="122"/>
      <c r="P993" s="92">
        <f t="shared" si="208"/>
        <v>29.117999999999999</v>
      </c>
      <c r="Q993" s="113">
        <f t="shared" si="209"/>
        <v>1.4242499999999998</v>
      </c>
      <c r="R993" s="92">
        <f t="shared" si="210"/>
        <v>1.10775</v>
      </c>
      <c r="S993" s="121"/>
      <c r="T993" s="93">
        <f t="shared" si="211"/>
        <v>-3.3306690738754696E-15</v>
      </c>
      <c r="U993" s="122"/>
      <c r="V993" s="94">
        <f t="shared" ca="1" si="212"/>
        <v>291.4644447916653</v>
      </c>
      <c r="W993" s="89"/>
    </row>
    <row r="994" spans="1:23" s="312" customFormat="1" ht="18">
      <c r="A994" s="260"/>
      <c r="B994" s="90" t="s">
        <v>505</v>
      </c>
      <c r="C994" s="130" t="s">
        <v>55</v>
      </c>
      <c r="D994" s="131" t="s">
        <v>2333</v>
      </c>
      <c r="E994" s="360">
        <v>501</v>
      </c>
      <c r="F994" s="138">
        <v>45229</v>
      </c>
      <c r="G994" s="252">
        <v>31.7</v>
      </c>
      <c r="H994" s="150">
        <v>1666786</v>
      </c>
      <c r="I994" s="106">
        <f t="shared" si="207"/>
        <v>52580</v>
      </c>
      <c r="J994" s="122"/>
      <c r="K994" s="157" t="s">
        <v>2465</v>
      </c>
      <c r="L994" s="166">
        <f t="shared" si="213"/>
        <v>501</v>
      </c>
      <c r="M994" s="119" t="s">
        <v>2464</v>
      </c>
      <c r="N994" s="135">
        <f>23.997+5.167</f>
        <v>29.164000000000001</v>
      </c>
      <c r="O994" s="122"/>
      <c r="P994" s="92">
        <f t="shared" si="208"/>
        <v>29.164000000000001</v>
      </c>
      <c r="Q994" s="113">
        <f t="shared" si="209"/>
        <v>1.4264999999999999</v>
      </c>
      <c r="R994" s="92">
        <f t="shared" si="210"/>
        <v>1.1095000000000002</v>
      </c>
      <c r="S994" s="121"/>
      <c r="T994" s="93">
        <f t="shared" si="211"/>
        <v>-2.2204460492503131E-15</v>
      </c>
      <c r="U994" s="122"/>
      <c r="V994" s="94">
        <f t="shared" ca="1" si="212"/>
        <v>291.4644447916653</v>
      </c>
      <c r="W994" s="89"/>
    </row>
    <row r="995" spans="1:23" s="312" customFormat="1" ht="18">
      <c r="A995" s="260"/>
      <c r="B995" s="90" t="s">
        <v>505</v>
      </c>
      <c r="C995" s="130" t="s">
        <v>55</v>
      </c>
      <c r="D995" s="131" t="s">
        <v>2333</v>
      </c>
      <c r="E995" s="360">
        <v>502</v>
      </c>
      <c r="F995" s="138">
        <v>45229</v>
      </c>
      <c r="G995" s="252">
        <v>31.64</v>
      </c>
      <c r="H995" s="150">
        <v>1663631.2</v>
      </c>
      <c r="I995" s="106">
        <f t="shared" si="207"/>
        <v>52580</v>
      </c>
      <c r="J995" s="122"/>
      <c r="K995" s="157" t="s">
        <v>2466</v>
      </c>
      <c r="L995" s="166">
        <f>E995</f>
        <v>502</v>
      </c>
      <c r="M995" s="119" t="s">
        <v>2464</v>
      </c>
      <c r="N995" s="135">
        <f>24.467+4.642</f>
        <v>29.108999999999998</v>
      </c>
      <c r="O995" s="122"/>
      <c r="P995" s="92">
        <f t="shared" si="208"/>
        <v>29.108800000000002</v>
      </c>
      <c r="Q995" s="113">
        <f t="shared" si="209"/>
        <v>1.4238</v>
      </c>
      <c r="R995" s="92">
        <f t="shared" si="210"/>
        <v>1.1074000000000002</v>
      </c>
      <c r="S995" s="121"/>
      <c r="T995" s="93">
        <f t="shared" si="211"/>
        <v>-1.9999999999775753E-4</v>
      </c>
      <c r="U995" s="122"/>
      <c r="V995" s="94">
        <f t="shared" ca="1" si="212"/>
        <v>291.4644447916653</v>
      </c>
      <c r="W995" s="89"/>
    </row>
    <row r="996" spans="1:23" s="312" customFormat="1" ht="18">
      <c r="A996" s="260"/>
      <c r="B996" s="90" t="s">
        <v>505</v>
      </c>
      <c r="C996" s="130" t="s">
        <v>55</v>
      </c>
      <c r="D996" s="131" t="s">
        <v>2333</v>
      </c>
      <c r="E996" s="360">
        <v>503</v>
      </c>
      <c r="F996" s="138">
        <v>45229</v>
      </c>
      <c r="G996" s="252">
        <v>31.66</v>
      </c>
      <c r="H996" s="150">
        <v>1664682.8</v>
      </c>
      <c r="I996" s="106">
        <f t="shared" si="207"/>
        <v>52580</v>
      </c>
      <c r="J996" s="122"/>
      <c r="K996" s="157" t="s">
        <v>2467</v>
      </c>
      <c r="L996" s="166">
        <f t="shared" si="213"/>
        <v>503</v>
      </c>
      <c r="M996" s="119" t="s">
        <v>2468</v>
      </c>
      <c r="N996" s="135">
        <f>9.786+11.146+8.195</f>
        <v>29.127000000000002</v>
      </c>
      <c r="O996" s="122"/>
      <c r="P996" s="92">
        <f t="shared" si="208"/>
        <v>29.127200000000002</v>
      </c>
      <c r="Q996" s="113">
        <f t="shared" si="209"/>
        <v>1.4246999999999999</v>
      </c>
      <c r="R996" s="92">
        <f t="shared" si="210"/>
        <v>1.1081000000000001</v>
      </c>
      <c r="S996" s="121"/>
      <c r="T996" s="93">
        <f t="shared" si="211"/>
        <v>1.9999999999775753E-4</v>
      </c>
      <c r="U996" s="122"/>
      <c r="V996" s="94">
        <f t="shared" ca="1" si="212"/>
        <v>291.4644447916653</v>
      </c>
      <c r="W996" s="89"/>
    </row>
    <row r="997" spans="1:23" s="312" customFormat="1" ht="18">
      <c r="A997" s="260"/>
      <c r="B997" s="90" t="s">
        <v>505</v>
      </c>
      <c r="C997" s="130" t="s">
        <v>55</v>
      </c>
      <c r="D997" s="131" t="s">
        <v>2333</v>
      </c>
      <c r="E997" s="360">
        <v>504</v>
      </c>
      <c r="F997" s="138">
        <v>45229</v>
      </c>
      <c r="G997" s="252">
        <v>40.119999999999997</v>
      </c>
      <c r="H997" s="150">
        <v>2109509.6</v>
      </c>
      <c r="I997" s="106">
        <f t="shared" si="207"/>
        <v>52580.000000000007</v>
      </c>
      <c r="J997" s="122"/>
      <c r="K997" s="157" t="s">
        <v>2469</v>
      </c>
      <c r="L997" s="166">
        <f t="shared" si="213"/>
        <v>504</v>
      </c>
      <c r="M997" s="119" t="s">
        <v>2470</v>
      </c>
      <c r="N997" s="135">
        <f>15.9+21.01</f>
        <v>36.910000000000004</v>
      </c>
      <c r="O997" s="122"/>
      <c r="P997" s="92">
        <f t="shared" si="208"/>
        <v>36.910400000000003</v>
      </c>
      <c r="Q997" s="113">
        <f t="shared" si="209"/>
        <v>1.8053999999999999</v>
      </c>
      <c r="R997" s="92">
        <f t="shared" si="210"/>
        <v>1.4042000000000001</v>
      </c>
      <c r="S997" s="121"/>
      <c r="T997" s="93">
        <f t="shared" si="211"/>
        <v>3.999999999937387E-4</v>
      </c>
      <c r="U997" s="122"/>
      <c r="V997" s="94">
        <f t="shared" ca="1" si="212"/>
        <v>291.4644447916653</v>
      </c>
      <c r="W997" s="89"/>
    </row>
    <row r="998" spans="1:23" s="312" customFormat="1" ht="18">
      <c r="A998" s="260"/>
      <c r="B998" s="90" t="s">
        <v>505</v>
      </c>
      <c r="C998" s="130" t="s">
        <v>55</v>
      </c>
      <c r="D998" s="131" t="s">
        <v>2333</v>
      </c>
      <c r="E998" s="360">
        <v>505</v>
      </c>
      <c r="F998" s="138">
        <v>45229</v>
      </c>
      <c r="G998" s="252">
        <v>40.049999999999997</v>
      </c>
      <c r="H998" s="150">
        <v>2105829</v>
      </c>
      <c r="I998" s="106">
        <f t="shared" si="207"/>
        <v>52580.000000000007</v>
      </c>
      <c r="J998" s="122"/>
      <c r="K998" s="157" t="s">
        <v>2477</v>
      </c>
      <c r="L998" s="166">
        <f t="shared" si="213"/>
        <v>505</v>
      </c>
      <c r="M998" s="119" t="s">
        <v>2478</v>
      </c>
      <c r="N998" s="135">
        <f>3.476+31.164+2.206</f>
        <v>36.846000000000004</v>
      </c>
      <c r="O998" s="122"/>
      <c r="P998" s="92">
        <f t="shared" si="208"/>
        <v>36.845999999999997</v>
      </c>
      <c r="Q998" s="113">
        <f t="shared" si="209"/>
        <v>1.8022499999999999</v>
      </c>
      <c r="R998" s="92">
        <f t="shared" si="210"/>
        <v>1.4017500000000001</v>
      </c>
      <c r="S998" s="121"/>
      <c r="T998" s="93">
        <f t="shared" si="211"/>
        <v>-6.4392935428259079E-15</v>
      </c>
      <c r="U998" s="122"/>
      <c r="V998" s="94">
        <f t="shared" ca="1" si="212"/>
        <v>291.4644447916653</v>
      </c>
      <c r="W998" s="89"/>
    </row>
    <row r="999" spans="1:23" s="312" customFormat="1" ht="18">
      <c r="A999" s="260"/>
      <c r="B999" s="90" t="s">
        <v>505</v>
      </c>
      <c r="C999" s="130" t="s">
        <v>55</v>
      </c>
      <c r="D999" s="131" t="s">
        <v>2333</v>
      </c>
      <c r="E999" s="360">
        <v>506</v>
      </c>
      <c r="F999" s="138">
        <v>45229</v>
      </c>
      <c r="G999" s="252">
        <v>40.090000000000003</v>
      </c>
      <c r="H999" s="150">
        <v>2107932.2000000002</v>
      </c>
      <c r="I999" s="106">
        <f t="shared" si="207"/>
        <v>52580</v>
      </c>
      <c r="J999" s="122"/>
      <c r="K999" s="157" t="s">
        <v>2473</v>
      </c>
      <c r="L999" s="166">
        <f t="shared" si="213"/>
        <v>506</v>
      </c>
      <c r="M999" s="119" t="s">
        <v>2474</v>
      </c>
      <c r="N999" s="135">
        <f>31.387+5.496</f>
        <v>36.883000000000003</v>
      </c>
      <c r="O999" s="122"/>
      <c r="P999" s="92">
        <f t="shared" si="208"/>
        <v>36.882800000000003</v>
      </c>
      <c r="Q999" s="113">
        <f t="shared" si="209"/>
        <v>1.8040500000000002</v>
      </c>
      <c r="R999" s="92">
        <f t="shared" si="210"/>
        <v>1.4031500000000003</v>
      </c>
      <c r="S999" s="121"/>
      <c r="T999" s="93">
        <f t="shared" si="211"/>
        <v>-1.9999999999975593E-4</v>
      </c>
      <c r="U999" s="122"/>
      <c r="V999" s="94">
        <f t="shared" ca="1" si="212"/>
        <v>291.4644447916653</v>
      </c>
      <c r="W999" s="89"/>
    </row>
    <row r="1000" spans="1:23" s="312" customFormat="1" ht="18">
      <c r="A1000" s="260"/>
      <c r="B1000" s="90" t="s">
        <v>505</v>
      </c>
      <c r="C1000" s="130" t="s">
        <v>55</v>
      </c>
      <c r="D1000" s="131" t="s">
        <v>2333</v>
      </c>
      <c r="E1000" s="360">
        <v>507</v>
      </c>
      <c r="F1000" s="138">
        <v>45229</v>
      </c>
      <c r="G1000" s="252">
        <v>40.11</v>
      </c>
      <c r="H1000" s="150">
        <v>2108983.7999999998</v>
      </c>
      <c r="I1000" s="106">
        <f t="shared" si="207"/>
        <v>52579.999999999993</v>
      </c>
      <c r="J1000" s="122"/>
      <c r="K1000" s="157" t="s">
        <v>2475</v>
      </c>
      <c r="L1000" s="166">
        <f t="shared" si="213"/>
        <v>507</v>
      </c>
      <c r="M1000" s="119" t="s">
        <v>2476</v>
      </c>
      <c r="N1000" s="135">
        <f>30.973+5.928</f>
        <v>36.900999999999996</v>
      </c>
      <c r="O1000" s="122"/>
      <c r="P1000" s="92">
        <f t="shared" si="208"/>
        <v>36.901200000000003</v>
      </c>
      <c r="Q1000" s="113">
        <f t="shared" si="209"/>
        <v>1.8049499999999998</v>
      </c>
      <c r="R1000" s="92">
        <f t="shared" si="210"/>
        <v>1.40385</v>
      </c>
      <c r="S1000" s="121"/>
      <c r="T1000" s="93">
        <f t="shared" si="211"/>
        <v>2.0000000000330864E-4</v>
      </c>
      <c r="U1000" s="122"/>
      <c r="V1000" s="94">
        <f t="shared" ca="1" si="212"/>
        <v>291.4644447916653</v>
      </c>
      <c r="W1000" s="89"/>
    </row>
    <row r="1001" spans="1:23" s="312" customFormat="1" ht="18">
      <c r="A1001" s="260"/>
      <c r="B1001" s="90" t="s">
        <v>505</v>
      </c>
      <c r="C1001" s="130" t="s">
        <v>55</v>
      </c>
      <c r="D1001" s="131" t="s">
        <v>2333</v>
      </c>
      <c r="E1001" s="360">
        <v>508</v>
      </c>
      <c r="F1001" s="138">
        <v>45229</v>
      </c>
      <c r="G1001" s="252">
        <v>31.73</v>
      </c>
      <c r="H1001" s="150">
        <v>1668363.4</v>
      </c>
      <c r="I1001" s="106">
        <f t="shared" si="207"/>
        <v>52579.999999999993</v>
      </c>
      <c r="J1001" s="122"/>
      <c r="K1001" s="157" t="s">
        <v>2479</v>
      </c>
      <c r="L1001" s="166">
        <f t="shared" si="213"/>
        <v>508</v>
      </c>
      <c r="M1001" s="119" t="s">
        <v>2476</v>
      </c>
      <c r="N1001" s="135">
        <f>27.18+2.012</f>
        <v>29.192</v>
      </c>
      <c r="O1001" s="122"/>
      <c r="P1001" s="92">
        <f t="shared" si="208"/>
        <v>29.191600000000001</v>
      </c>
      <c r="Q1001" s="113">
        <f t="shared" si="209"/>
        <v>1.4278500000000001</v>
      </c>
      <c r="R1001" s="92">
        <f t="shared" si="210"/>
        <v>1.1105500000000001</v>
      </c>
      <c r="S1001" s="121"/>
      <c r="T1001" s="93">
        <f t="shared" si="211"/>
        <v>-3.9999999999995595E-4</v>
      </c>
      <c r="U1001" s="122"/>
      <c r="V1001" s="94">
        <f t="shared" ca="1" si="212"/>
        <v>291.4644447916653</v>
      </c>
      <c r="W1001" s="89"/>
    </row>
    <row r="1002" spans="1:23" s="312" customFormat="1" ht="18">
      <c r="A1002" s="260"/>
      <c r="B1002" s="90" t="s">
        <v>505</v>
      </c>
      <c r="C1002" s="130" t="s">
        <v>55</v>
      </c>
      <c r="D1002" s="131" t="s">
        <v>2333</v>
      </c>
      <c r="E1002" s="360">
        <v>509</v>
      </c>
      <c r="F1002" s="138">
        <v>45229</v>
      </c>
      <c r="G1002" s="252">
        <v>31.72</v>
      </c>
      <c r="H1002" s="150">
        <v>1667837.5999999999</v>
      </c>
      <c r="I1002" s="106">
        <f t="shared" si="207"/>
        <v>52580</v>
      </c>
      <c r="J1002" s="122"/>
      <c r="K1002" s="157" t="s">
        <v>2480</v>
      </c>
      <c r="L1002" s="166">
        <f t="shared" si="213"/>
        <v>509</v>
      </c>
      <c r="M1002" s="119" t="s">
        <v>2481</v>
      </c>
      <c r="N1002" s="135">
        <f>26.278+2.904</f>
        <v>29.181999999999999</v>
      </c>
      <c r="O1002" s="122"/>
      <c r="P1002" s="92">
        <f t="shared" si="208"/>
        <v>29.182400000000001</v>
      </c>
      <c r="Q1002" s="113">
        <f t="shared" si="209"/>
        <v>1.4274</v>
      </c>
      <c r="R1002" s="92">
        <f t="shared" si="210"/>
        <v>1.1102000000000001</v>
      </c>
      <c r="S1002" s="121"/>
      <c r="T1002" s="93">
        <f t="shared" si="211"/>
        <v>4.0000000000017799E-4</v>
      </c>
      <c r="U1002" s="122"/>
      <c r="V1002" s="94">
        <f t="shared" ca="1" si="212"/>
        <v>291.4644447916653</v>
      </c>
      <c r="W1002" s="89"/>
    </row>
    <row r="1003" spans="1:23" s="312" customFormat="1" ht="18">
      <c r="A1003" s="260"/>
      <c r="B1003" s="90" t="s">
        <v>505</v>
      </c>
      <c r="C1003" s="130" t="s">
        <v>55</v>
      </c>
      <c r="D1003" s="131" t="s">
        <v>2333</v>
      </c>
      <c r="E1003" s="360">
        <v>510</v>
      </c>
      <c r="F1003" s="138">
        <v>45229</v>
      </c>
      <c r="G1003" s="252">
        <v>31.68</v>
      </c>
      <c r="H1003" s="150">
        <v>1665734.4</v>
      </c>
      <c r="I1003" s="106">
        <f t="shared" si="207"/>
        <v>52580</v>
      </c>
      <c r="J1003" s="122"/>
      <c r="K1003" s="157" t="s">
        <v>2482</v>
      </c>
      <c r="L1003" s="166">
        <f t="shared" si="213"/>
        <v>510</v>
      </c>
      <c r="M1003" s="119" t="s">
        <v>2483</v>
      </c>
      <c r="N1003" s="135">
        <f>23.35+5.796</f>
        <v>29.146000000000001</v>
      </c>
      <c r="O1003" s="122"/>
      <c r="P1003" s="92">
        <f t="shared" si="208"/>
        <v>29.145600000000002</v>
      </c>
      <c r="Q1003" s="113">
        <f t="shared" si="209"/>
        <v>1.4256</v>
      </c>
      <c r="R1003" s="92">
        <f t="shared" si="210"/>
        <v>1.1088</v>
      </c>
      <c r="S1003" s="121"/>
      <c r="T1003" s="93">
        <f t="shared" si="211"/>
        <v>-4.0000000000106617E-4</v>
      </c>
      <c r="U1003" s="122"/>
      <c r="V1003" s="94">
        <f t="shared" ca="1" si="212"/>
        <v>291.4644447916653</v>
      </c>
      <c r="W1003" s="89"/>
    </row>
    <row r="1004" spans="1:23" s="312" customFormat="1" ht="18">
      <c r="A1004" s="260"/>
      <c r="B1004" s="90" t="s">
        <v>505</v>
      </c>
      <c r="C1004" s="130" t="s">
        <v>55</v>
      </c>
      <c r="D1004" s="131" t="s">
        <v>2333</v>
      </c>
      <c r="E1004" s="360">
        <v>511</v>
      </c>
      <c r="F1004" s="138">
        <v>45229</v>
      </c>
      <c r="G1004" s="252">
        <v>40.11</v>
      </c>
      <c r="H1004" s="150">
        <v>2108983.7999999998</v>
      </c>
      <c r="I1004" s="106">
        <f t="shared" si="207"/>
        <v>52579.999999999993</v>
      </c>
      <c r="J1004" s="122"/>
      <c r="K1004" s="157" t="s">
        <v>2484</v>
      </c>
      <c r="L1004" s="166">
        <f t="shared" si="213"/>
        <v>511</v>
      </c>
      <c r="M1004" s="119" t="s">
        <v>2483</v>
      </c>
      <c r="N1004" s="135">
        <f>31.324+5.577</f>
        <v>36.901000000000003</v>
      </c>
      <c r="O1004" s="122"/>
      <c r="P1004" s="92">
        <f t="shared" si="208"/>
        <v>36.901200000000003</v>
      </c>
      <c r="Q1004" s="113">
        <f t="shared" si="209"/>
        <v>1.8049499999999998</v>
      </c>
      <c r="R1004" s="92">
        <f t="shared" si="210"/>
        <v>1.40385</v>
      </c>
      <c r="S1004" s="121"/>
      <c r="T1004" s="93">
        <f t="shared" si="211"/>
        <v>1.9999999999620321E-4</v>
      </c>
      <c r="U1004" s="122"/>
      <c r="V1004" s="94">
        <f t="shared" ca="1" si="212"/>
        <v>291.4644447916653</v>
      </c>
      <c r="W1004" s="89"/>
    </row>
    <row r="1005" spans="1:23" s="312" customFormat="1" ht="18">
      <c r="A1005" s="260"/>
      <c r="B1005" s="90" t="s">
        <v>505</v>
      </c>
      <c r="C1005" s="130" t="s">
        <v>55</v>
      </c>
      <c r="D1005" s="131" t="s">
        <v>2333</v>
      </c>
      <c r="E1005" s="360">
        <v>512</v>
      </c>
      <c r="F1005" s="138">
        <v>45229</v>
      </c>
      <c r="G1005" s="252">
        <v>31.68</v>
      </c>
      <c r="H1005" s="150">
        <v>1665734.4</v>
      </c>
      <c r="I1005" s="106">
        <f t="shared" si="207"/>
        <v>52580</v>
      </c>
      <c r="J1005" s="122"/>
      <c r="K1005" s="157" t="s">
        <v>2488</v>
      </c>
      <c r="L1005" s="166">
        <f t="shared" si="213"/>
        <v>512</v>
      </c>
      <c r="M1005" s="119" t="s">
        <v>2489</v>
      </c>
      <c r="N1005" s="135">
        <f>13.341+15.805</f>
        <v>29.146000000000001</v>
      </c>
      <c r="O1005" s="122"/>
      <c r="P1005" s="92">
        <f t="shared" si="208"/>
        <v>29.145600000000002</v>
      </c>
      <c r="Q1005" s="113">
        <f t="shared" si="209"/>
        <v>1.4256</v>
      </c>
      <c r="R1005" s="92">
        <f t="shared" si="210"/>
        <v>1.1088</v>
      </c>
      <c r="S1005" s="121"/>
      <c r="T1005" s="93">
        <f t="shared" si="211"/>
        <v>-4.0000000000106617E-4</v>
      </c>
      <c r="U1005" s="122"/>
      <c r="V1005" s="94">
        <f t="shared" ca="1" si="212"/>
        <v>291.4644447916653</v>
      </c>
      <c r="W1005" s="89"/>
    </row>
    <row r="1006" spans="1:23" s="312" customFormat="1" ht="18">
      <c r="A1006" s="260"/>
      <c r="B1006" s="90" t="s">
        <v>505</v>
      </c>
      <c r="C1006" s="130" t="s">
        <v>55</v>
      </c>
      <c r="D1006" s="131" t="s">
        <v>2333</v>
      </c>
      <c r="E1006" s="360">
        <v>513</v>
      </c>
      <c r="F1006" s="138">
        <v>45229</v>
      </c>
      <c r="G1006" s="252">
        <v>31.65</v>
      </c>
      <c r="H1006" s="150">
        <v>1664157</v>
      </c>
      <c r="I1006" s="106">
        <f t="shared" si="207"/>
        <v>52580</v>
      </c>
      <c r="J1006" s="122"/>
      <c r="K1006" s="157" t="s">
        <v>2490</v>
      </c>
      <c r="L1006" s="166">
        <f>E1006</f>
        <v>513</v>
      </c>
      <c r="M1006" s="119" t="s">
        <v>2489</v>
      </c>
      <c r="N1006" s="135">
        <f>16.175+12.943</f>
        <v>29.118000000000002</v>
      </c>
      <c r="O1006" s="122"/>
      <c r="P1006" s="92">
        <f t="shared" si="208"/>
        <v>29.117999999999999</v>
      </c>
      <c r="Q1006" s="113">
        <f t="shared" si="209"/>
        <v>1.4242499999999998</v>
      </c>
      <c r="R1006" s="92">
        <f t="shared" si="210"/>
        <v>1.10775</v>
      </c>
      <c r="S1006" s="121"/>
      <c r="T1006" s="93">
        <f t="shared" si="211"/>
        <v>-3.3306690738754696E-15</v>
      </c>
      <c r="U1006" s="122"/>
      <c r="V1006" s="94">
        <f t="shared" ca="1" si="212"/>
        <v>291.4644447916653</v>
      </c>
      <c r="W1006" s="89"/>
    </row>
    <row r="1007" spans="1:23" s="312" customFormat="1" ht="18">
      <c r="A1007" s="260"/>
      <c r="B1007" s="90" t="s">
        <v>505</v>
      </c>
      <c r="C1007" s="130" t="s">
        <v>55</v>
      </c>
      <c r="D1007" s="131" t="s">
        <v>2333</v>
      </c>
      <c r="E1007" s="360">
        <v>514</v>
      </c>
      <c r="F1007" s="138">
        <v>45229</v>
      </c>
      <c r="G1007" s="252">
        <v>31.64</v>
      </c>
      <c r="H1007" s="150">
        <v>1663631.2</v>
      </c>
      <c r="I1007" s="106">
        <f t="shared" si="207"/>
        <v>52580</v>
      </c>
      <c r="J1007" s="122"/>
      <c r="K1007" s="157" t="s">
        <v>2491</v>
      </c>
      <c r="L1007" s="166">
        <f t="shared" si="213"/>
        <v>514</v>
      </c>
      <c r="M1007" s="119" t="s">
        <v>2492</v>
      </c>
      <c r="N1007" s="135">
        <f>19.404+9.705</f>
        <v>29.109000000000002</v>
      </c>
      <c r="O1007" s="122"/>
      <c r="P1007" s="92">
        <f t="shared" si="208"/>
        <v>29.108800000000002</v>
      </c>
      <c r="Q1007" s="113">
        <f t="shared" si="209"/>
        <v>1.4238</v>
      </c>
      <c r="R1007" s="92">
        <f t="shared" si="210"/>
        <v>1.1074000000000002</v>
      </c>
      <c r="S1007" s="121"/>
      <c r="T1007" s="93">
        <f t="shared" si="211"/>
        <v>-2.0000000000131024E-4</v>
      </c>
      <c r="U1007" s="122"/>
      <c r="V1007" s="94">
        <f t="shared" ca="1" si="212"/>
        <v>291.4644447916653</v>
      </c>
      <c r="W1007" s="89"/>
    </row>
    <row r="1008" spans="1:23" s="312" customFormat="1" ht="18">
      <c r="A1008" s="260"/>
      <c r="B1008" s="90" t="s">
        <v>505</v>
      </c>
      <c r="C1008" s="130" t="s">
        <v>55</v>
      </c>
      <c r="D1008" s="131" t="s">
        <v>2333</v>
      </c>
      <c r="E1008" s="360">
        <v>515</v>
      </c>
      <c r="F1008" s="138">
        <v>45229</v>
      </c>
      <c r="G1008" s="252">
        <v>31.68</v>
      </c>
      <c r="H1008" s="150">
        <v>1665734.4</v>
      </c>
      <c r="I1008" s="106">
        <f t="shared" si="207"/>
        <v>52580</v>
      </c>
      <c r="J1008" s="122"/>
      <c r="K1008" s="157" t="s">
        <v>2493</v>
      </c>
      <c r="L1008" s="166">
        <f t="shared" si="213"/>
        <v>515</v>
      </c>
      <c r="M1008" s="119" t="s">
        <v>2494</v>
      </c>
      <c r="N1008" s="135">
        <f>14.553+14.593</f>
        <v>29.146000000000001</v>
      </c>
      <c r="O1008" s="122"/>
      <c r="P1008" s="92">
        <f t="shared" si="208"/>
        <v>29.145600000000002</v>
      </c>
      <c r="Q1008" s="113">
        <f t="shared" si="209"/>
        <v>1.4256</v>
      </c>
      <c r="R1008" s="92">
        <f t="shared" si="210"/>
        <v>1.1088</v>
      </c>
      <c r="S1008" s="121"/>
      <c r="T1008" s="93">
        <f t="shared" si="211"/>
        <v>-4.0000000000106617E-4</v>
      </c>
      <c r="U1008" s="122"/>
      <c r="V1008" s="94">
        <f t="shared" ca="1" si="212"/>
        <v>291.4644447916653</v>
      </c>
      <c r="W1008" s="89"/>
    </row>
    <row r="1009" spans="1:23" s="312" customFormat="1" ht="18">
      <c r="A1009" s="260"/>
      <c r="B1009" s="90" t="s">
        <v>505</v>
      </c>
      <c r="C1009" s="130" t="s">
        <v>55</v>
      </c>
      <c r="D1009" s="131" t="s">
        <v>2333</v>
      </c>
      <c r="E1009" s="360">
        <v>516</v>
      </c>
      <c r="F1009" s="138">
        <v>45229</v>
      </c>
      <c r="G1009" s="252">
        <v>31.62</v>
      </c>
      <c r="H1009" s="150">
        <v>1662579.6</v>
      </c>
      <c r="I1009" s="106">
        <f t="shared" si="207"/>
        <v>52580</v>
      </c>
      <c r="J1009" s="122"/>
      <c r="K1009" s="157" t="s">
        <v>2501</v>
      </c>
      <c r="L1009" s="166">
        <f t="shared" si="213"/>
        <v>516</v>
      </c>
      <c r="M1009" s="119" t="s">
        <v>2494</v>
      </c>
      <c r="N1009" s="135">
        <f>17.997+11.093</f>
        <v>29.09</v>
      </c>
      <c r="O1009" s="122"/>
      <c r="P1009" s="92">
        <f t="shared" si="208"/>
        <v>29.090400000000002</v>
      </c>
      <c r="Q1009" s="113">
        <f t="shared" si="209"/>
        <v>1.4229000000000001</v>
      </c>
      <c r="R1009" s="92">
        <f t="shared" si="210"/>
        <v>1.1067000000000002</v>
      </c>
      <c r="S1009" s="121"/>
      <c r="T1009" s="93">
        <f t="shared" si="211"/>
        <v>4.0000000000084412E-4</v>
      </c>
      <c r="U1009" s="122"/>
      <c r="V1009" s="94">
        <f t="shared" ca="1" si="212"/>
        <v>291.4644447916653</v>
      </c>
      <c r="W1009" s="89"/>
    </row>
    <row r="1010" spans="1:23" s="312" customFormat="1" ht="18">
      <c r="A1010" s="260"/>
      <c r="B1010" s="90" t="s">
        <v>505</v>
      </c>
      <c r="C1010" s="130" t="s">
        <v>55</v>
      </c>
      <c r="D1010" s="131" t="s">
        <v>2333</v>
      </c>
      <c r="E1010" s="360">
        <v>517</v>
      </c>
      <c r="F1010" s="138">
        <v>45229</v>
      </c>
      <c r="G1010" s="252">
        <v>31.6</v>
      </c>
      <c r="H1010" s="150">
        <v>1661528</v>
      </c>
      <c r="I1010" s="106">
        <f t="shared" si="207"/>
        <v>52580</v>
      </c>
      <c r="J1010" s="122"/>
      <c r="K1010" s="157" t="s">
        <v>2580</v>
      </c>
      <c r="L1010" s="166">
        <f t="shared" si="213"/>
        <v>517</v>
      </c>
      <c r="M1010" s="119" t="s">
        <v>2503</v>
      </c>
      <c r="N1010" s="135">
        <f>21.538+7.534</f>
        <v>29.071999999999999</v>
      </c>
      <c r="O1010" s="122"/>
      <c r="P1010" s="92">
        <f t="shared" si="208"/>
        <v>29.072000000000003</v>
      </c>
      <c r="Q1010" s="113">
        <f t="shared" si="209"/>
        <v>1.4219999999999999</v>
      </c>
      <c r="R1010" s="92">
        <f t="shared" si="210"/>
        <v>1.1060000000000001</v>
      </c>
      <c r="S1010" s="121"/>
      <c r="T1010" s="93">
        <f t="shared" si="211"/>
        <v>2.2204460492503131E-15</v>
      </c>
      <c r="U1010" s="122"/>
      <c r="V1010" s="94">
        <f t="shared" ca="1" si="212"/>
        <v>291.4644447916653</v>
      </c>
      <c r="W1010" s="89"/>
    </row>
    <row r="1011" spans="1:23" s="312" customFormat="1" ht="18">
      <c r="A1011" s="260"/>
      <c r="B1011" s="90" t="s">
        <v>505</v>
      </c>
      <c r="C1011" s="130" t="s">
        <v>55</v>
      </c>
      <c r="D1011" s="131" t="s">
        <v>2333</v>
      </c>
      <c r="E1011" s="360">
        <v>518</v>
      </c>
      <c r="F1011" s="138">
        <v>45229</v>
      </c>
      <c r="G1011" s="252">
        <f>6.3+0.79</f>
        <v>7.09</v>
      </c>
      <c r="H1011" s="150">
        <v>372792.2</v>
      </c>
      <c r="I1011" s="106">
        <f t="shared" si="207"/>
        <v>52580</v>
      </c>
      <c r="J1011" s="122"/>
      <c r="K1011" s="157">
        <v>1395</v>
      </c>
      <c r="L1011" s="166">
        <f t="shared" si="213"/>
        <v>518</v>
      </c>
      <c r="M1011" s="119" t="s">
        <v>2581</v>
      </c>
      <c r="N1011" s="135">
        <v>6.5229999999999997</v>
      </c>
      <c r="O1011" s="122"/>
      <c r="P1011" s="92">
        <f t="shared" si="208"/>
        <v>6.5228000000000002</v>
      </c>
      <c r="Q1011" s="113">
        <f t="shared" si="209"/>
        <v>0.31905</v>
      </c>
      <c r="R1011" s="92">
        <f t="shared" si="210"/>
        <v>0.24815000000000001</v>
      </c>
      <c r="S1011" s="121"/>
      <c r="T1011" s="93">
        <f t="shared" si="211"/>
        <v>-1.999999999998392E-4</v>
      </c>
      <c r="U1011" s="122"/>
      <c r="V1011" s="94">
        <f t="shared" ca="1" si="212"/>
        <v>291.4644447916653</v>
      </c>
      <c r="W1011" s="89"/>
    </row>
    <row r="1012" spans="1:23" s="312" customFormat="1" ht="18">
      <c r="A1012" s="260"/>
      <c r="B1012" s="90" t="s">
        <v>505</v>
      </c>
      <c r="C1012" s="130" t="s">
        <v>2334</v>
      </c>
      <c r="D1012" s="131" t="s">
        <v>2335</v>
      </c>
      <c r="E1012" s="360">
        <v>519</v>
      </c>
      <c r="F1012" s="138">
        <v>45229</v>
      </c>
      <c r="G1012" s="252">
        <v>39.549999999999997</v>
      </c>
      <c r="H1012" s="150">
        <v>2184939.75</v>
      </c>
      <c r="I1012" s="106">
        <f t="shared" si="207"/>
        <v>55245.000000000007</v>
      </c>
      <c r="J1012" s="122"/>
      <c r="K1012" s="157" t="s">
        <v>2582</v>
      </c>
      <c r="L1012" s="166">
        <f t="shared" si="213"/>
        <v>519</v>
      </c>
      <c r="M1012" s="119" t="s">
        <v>2585</v>
      </c>
      <c r="N1012" s="135">
        <f>18.404+17.982</f>
        <v>36.385999999999996</v>
      </c>
      <c r="O1012" s="122"/>
      <c r="P1012" s="92">
        <f t="shared" si="208"/>
        <v>36.385999999999996</v>
      </c>
      <c r="Q1012" s="113">
        <f t="shared" si="209"/>
        <v>1.7797499999999997</v>
      </c>
      <c r="R1012" s="92">
        <f t="shared" si="210"/>
        <v>1.38425</v>
      </c>
      <c r="S1012" s="121"/>
      <c r="T1012" s="93">
        <f t="shared" si="211"/>
        <v>1.7763568394002505E-15</v>
      </c>
      <c r="U1012" s="122"/>
      <c r="V1012" s="94">
        <f t="shared" ca="1" si="212"/>
        <v>291.4644447916653</v>
      </c>
      <c r="W1012" s="89"/>
    </row>
    <row r="1013" spans="1:23" s="312" customFormat="1" ht="18">
      <c r="A1013" s="260"/>
      <c r="B1013" s="90" t="s">
        <v>505</v>
      </c>
      <c r="C1013" s="130" t="s">
        <v>2334</v>
      </c>
      <c r="D1013" s="131" t="s">
        <v>2335</v>
      </c>
      <c r="E1013" s="360">
        <v>520</v>
      </c>
      <c r="F1013" s="138">
        <v>45229</v>
      </c>
      <c r="G1013" s="252">
        <v>31.69</v>
      </c>
      <c r="H1013" s="150">
        <v>1750714.05</v>
      </c>
      <c r="I1013" s="106">
        <f t="shared" si="207"/>
        <v>55245</v>
      </c>
      <c r="J1013" s="122"/>
      <c r="K1013" s="157" t="s">
        <v>2583</v>
      </c>
      <c r="L1013" s="166">
        <f t="shared" si="213"/>
        <v>520</v>
      </c>
      <c r="M1013" s="119" t="s">
        <v>2584</v>
      </c>
      <c r="N1013" s="135">
        <f>14.618+14.537</f>
        <v>29.155000000000001</v>
      </c>
      <c r="O1013" s="122"/>
      <c r="P1013" s="92">
        <f t="shared" si="208"/>
        <v>29.154800000000002</v>
      </c>
      <c r="Q1013" s="113">
        <f t="shared" si="209"/>
        <v>1.42605</v>
      </c>
      <c r="R1013" s="92">
        <f t="shared" si="210"/>
        <v>1.1091500000000001</v>
      </c>
      <c r="S1013" s="121"/>
      <c r="T1013" s="93">
        <f t="shared" si="211"/>
        <v>-1.9999999999997797E-4</v>
      </c>
      <c r="U1013" s="122"/>
      <c r="V1013" s="94">
        <f t="shared" ca="1" si="212"/>
        <v>291.4644447916653</v>
      </c>
      <c r="W1013" s="89"/>
    </row>
    <row r="1014" spans="1:23" s="312" customFormat="1" ht="18">
      <c r="A1014" s="260"/>
      <c r="B1014" s="90" t="s">
        <v>505</v>
      </c>
      <c r="C1014" s="130" t="s">
        <v>2334</v>
      </c>
      <c r="D1014" s="131" t="s">
        <v>2335</v>
      </c>
      <c r="E1014" s="360">
        <v>521</v>
      </c>
      <c r="F1014" s="138">
        <v>45229</v>
      </c>
      <c r="G1014" s="252">
        <v>31.57</v>
      </c>
      <c r="H1014" s="150">
        <v>1744084.65</v>
      </c>
      <c r="I1014" s="106">
        <f t="shared" ref="I1014:I1142" si="214">H1014/G1014</f>
        <v>55245</v>
      </c>
      <c r="J1014" s="122"/>
      <c r="K1014" s="157" t="s">
        <v>2586</v>
      </c>
      <c r="L1014" s="166">
        <f t="shared" si="213"/>
        <v>521</v>
      </c>
      <c r="M1014" s="119" t="s">
        <v>2587</v>
      </c>
      <c r="N1014" s="135">
        <f>17.287+11.757</f>
        <v>29.043999999999997</v>
      </c>
      <c r="O1014" s="122"/>
      <c r="P1014" s="92">
        <f t="shared" ref="P1014:P1142" si="215">G1014*0.92</f>
        <v>29.044400000000003</v>
      </c>
      <c r="Q1014" s="113">
        <f t="shared" ref="Q1014:Q1142" si="216">G1014*4.5%</f>
        <v>1.42065</v>
      </c>
      <c r="R1014" s="92">
        <f t="shared" ref="R1014:R1142" si="217">G1014*3.5%</f>
        <v>1.1049500000000001</v>
      </c>
      <c r="S1014" s="121"/>
      <c r="T1014" s="93">
        <f t="shared" ref="T1014:T1142" si="218">G1014-N1014-Q1014-R1014</f>
        <v>4.0000000000328662E-4</v>
      </c>
      <c r="U1014" s="122"/>
      <c r="V1014" s="94">
        <f t="shared" ref="V1014:V1142" ca="1" si="219">360-($V$3-F1014)</f>
        <v>291.4644447916653</v>
      </c>
      <c r="W1014" s="89"/>
    </row>
    <row r="1015" spans="1:23" s="312" customFormat="1" ht="18">
      <c r="A1015" s="260"/>
      <c r="B1015" s="90" t="s">
        <v>505</v>
      </c>
      <c r="C1015" s="130" t="s">
        <v>2334</v>
      </c>
      <c r="D1015" s="131" t="s">
        <v>2335</v>
      </c>
      <c r="E1015" s="360">
        <v>522</v>
      </c>
      <c r="F1015" s="138">
        <v>45229</v>
      </c>
      <c r="G1015" s="252">
        <v>31.6</v>
      </c>
      <c r="H1015" s="150">
        <v>1745742</v>
      </c>
      <c r="I1015" s="106">
        <f t="shared" si="214"/>
        <v>55245</v>
      </c>
      <c r="J1015" s="122"/>
      <c r="K1015" s="157" t="s">
        <v>2588</v>
      </c>
      <c r="L1015" s="166">
        <f t="shared" si="213"/>
        <v>522</v>
      </c>
      <c r="M1015" s="119" t="s">
        <v>2587</v>
      </c>
      <c r="N1015" s="135">
        <f>20.455+8.617</f>
        <v>29.071999999999999</v>
      </c>
      <c r="O1015" s="122"/>
      <c r="P1015" s="92">
        <f t="shared" si="215"/>
        <v>29.072000000000003</v>
      </c>
      <c r="Q1015" s="113">
        <f t="shared" si="216"/>
        <v>1.4219999999999999</v>
      </c>
      <c r="R1015" s="92">
        <f t="shared" si="217"/>
        <v>1.1060000000000001</v>
      </c>
      <c r="S1015" s="121"/>
      <c r="T1015" s="93">
        <f t="shared" si="218"/>
        <v>2.2204460492503131E-15</v>
      </c>
      <c r="U1015" s="122"/>
      <c r="V1015" s="94">
        <f t="shared" ca="1" si="219"/>
        <v>291.4644447916653</v>
      </c>
      <c r="W1015" s="89"/>
    </row>
    <row r="1016" spans="1:23" s="312" customFormat="1" ht="18">
      <c r="A1016" s="260"/>
      <c r="B1016" s="90" t="s">
        <v>505</v>
      </c>
      <c r="C1016" s="130" t="s">
        <v>2334</v>
      </c>
      <c r="D1016" s="131" t="s">
        <v>2335</v>
      </c>
      <c r="E1016" s="360">
        <v>523</v>
      </c>
      <c r="F1016" s="138">
        <v>45229</v>
      </c>
      <c r="G1016" s="252">
        <v>31.62</v>
      </c>
      <c r="H1016" s="150">
        <v>1746846.9000000001</v>
      </c>
      <c r="I1016" s="106">
        <f t="shared" si="214"/>
        <v>55245</v>
      </c>
      <c r="J1016" s="122"/>
      <c r="K1016" s="157" t="s">
        <v>2589</v>
      </c>
      <c r="L1016" s="166">
        <f t="shared" si="213"/>
        <v>523</v>
      </c>
      <c r="M1016" s="119" t="s">
        <v>2587</v>
      </c>
      <c r="N1016" s="135">
        <f>24.178+4.912</f>
        <v>29.09</v>
      </c>
      <c r="O1016" s="122"/>
      <c r="P1016" s="92">
        <f t="shared" si="215"/>
        <v>29.090400000000002</v>
      </c>
      <c r="Q1016" s="113">
        <f t="shared" si="216"/>
        <v>1.4229000000000001</v>
      </c>
      <c r="R1016" s="92">
        <f t="shared" si="217"/>
        <v>1.1067000000000002</v>
      </c>
      <c r="S1016" s="121"/>
      <c r="T1016" s="93">
        <f t="shared" si="218"/>
        <v>4.0000000000084412E-4</v>
      </c>
      <c r="U1016" s="122"/>
      <c r="V1016" s="94">
        <f t="shared" ca="1" si="219"/>
        <v>291.4644447916653</v>
      </c>
      <c r="W1016" s="89"/>
    </row>
    <row r="1017" spans="1:23" s="312" customFormat="1" ht="18">
      <c r="A1017" s="260"/>
      <c r="B1017" s="90" t="s">
        <v>505</v>
      </c>
      <c r="C1017" s="130" t="s">
        <v>2334</v>
      </c>
      <c r="D1017" s="131" t="s">
        <v>2335</v>
      </c>
      <c r="E1017" s="360">
        <v>524</v>
      </c>
      <c r="F1017" s="138">
        <v>45229</v>
      </c>
      <c r="G1017" s="252">
        <v>41.19</v>
      </c>
      <c r="H1017" s="150">
        <v>2275541.5499999998</v>
      </c>
      <c r="I1017" s="106">
        <f t="shared" si="214"/>
        <v>55245</v>
      </c>
      <c r="J1017" s="122"/>
      <c r="K1017" s="157" t="s">
        <v>2590</v>
      </c>
      <c r="L1017" s="166">
        <f t="shared" si="213"/>
        <v>524</v>
      </c>
      <c r="M1017" s="119" t="s">
        <v>2591</v>
      </c>
      <c r="N1017" s="135">
        <f>27.572+10.323</f>
        <v>37.894999999999996</v>
      </c>
      <c r="O1017" s="122"/>
      <c r="P1017" s="92">
        <f t="shared" si="215"/>
        <v>37.894799999999996</v>
      </c>
      <c r="Q1017" s="113">
        <f t="shared" si="216"/>
        <v>1.8535499999999998</v>
      </c>
      <c r="R1017" s="92">
        <f t="shared" si="217"/>
        <v>1.4416500000000001</v>
      </c>
      <c r="S1017" s="121"/>
      <c r="T1017" s="93">
        <f t="shared" si="218"/>
        <v>-1.9999999999820162E-4</v>
      </c>
      <c r="U1017" s="122"/>
      <c r="V1017" s="94">
        <f t="shared" ca="1" si="219"/>
        <v>291.4644447916653</v>
      </c>
      <c r="W1017" s="89"/>
    </row>
    <row r="1018" spans="1:23" s="312" customFormat="1" ht="18">
      <c r="A1018" s="260"/>
      <c r="B1018" s="90" t="s">
        <v>505</v>
      </c>
      <c r="C1018" s="130" t="s">
        <v>2334</v>
      </c>
      <c r="D1018" s="131" t="s">
        <v>2335</v>
      </c>
      <c r="E1018" s="360">
        <v>525</v>
      </c>
      <c r="F1018" s="138">
        <v>45229</v>
      </c>
      <c r="G1018" s="252">
        <v>31.73</v>
      </c>
      <c r="H1018" s="150">
        <v>1752923.85</v>
      </c>
      <c r="I1018" s="106">
        <f t="shared" si="214"/>
        <v>55245</v>
      </c>
      <c r="J1018" s="122"/>
      <c r="K1018" s="157" t="s">
        <v>2596</v>
      </c>
      <c r="L1018" s="166">
        <f t="shared" si="213"/>
        <v>525</v>
      </c>
      <c r="M1018" s="119" t="s">
        <v>2597</v>
      </c>
      <c r="N1018" s="135">
        <f>22.232+6.96</f>
        <v>29.192</v>
      </c>
      <c r="O1018" s="122"/>
      <c r="P1018" s="92">
        <f t="shared" si="215"/>
        <v>29.191600000000001</v>
      </c>
      <c r="Q1018" s="113">
        <f t="shared" si="216"/>
        <v>1.4278500000000001</v>
      </c>
      <c r="R1018" s="92">
        <f t="shared" si="217"/>
        <v>1.1105500000000001</v>
      </c>
      <c r="S1018" s="121"/>
      <c r="T1018" s="93">
        <f t="shared" si="218"/>
        <v>-3.9999999999995595E-4</v>
      </c>
      <c r="U1018" s="122"/>
      <c r="V1018" s="94">
        <f t="shared" ca="1" si="219"/>
        <v>291.4644447916653</v>
      </c>
      <c r="W1018" s="89"/>
    </row>
    <row r="1019" spans="1:23" s="312" customFormat="1" ht="18">
      <c r="A1019" s="260"/>
      <c r="B1019" s="90" t="s">
        <v>505</v>
      </c>
      <c r="C1019" s="130" t="s">
        <v>2334</v>
      </c>
      <c r="D1019" s="131" t="s">
        <v>2335</v>
      </c>
      <c r="E1019" s="360">
        <v>526</v>
      </c>
      <c r="F1019" s="138">
        <v>45229</v>
      </c>
      <c r="G1019" s="252">
        <v>31.74</v>
      </c>
      <c r="H1019" s="150">
        <v>1753476.2999999998</v>
      </c>
      <c r="I1019" s="106">
        <f t="shared" si="214"/>
        <v>55245</v>
      </c>
      <c r="J1019" s="122"/>
      <c r="K1019" s="157" t="s">
        <v>2598</v>
      </c>
      <c r="L1019" s="166">
        <f t="shared" si="213"/>
        <v>526</v>
      </c>
      <c r="M1019" s="119" t="s">
        <v>2601</v>
      </c>
      <c r="N1019" s="135">
        <f>26.041+3.16</f>
        <v>29.201000000000001</v>
      </c>
      <c r="O1019" s="122"/>
      <c r="P1019" s="92">
        <f t="shared" si="215"/>
        <v>29.200800000000001</v>
      </c>
      <c r="Q1019" s="113">
        <f t="shared" si="216"/>
        <v>1.4282999999999999</v>
      </c>
      <c r="R1019" s="92">
        <f t="shared" si="217"/>
        <v>1.1109</v>
      </c>
      <c r="S1019" s="121"/>
      <c r="T1019" s="93">
        <f t="shared" si="218"/>
        <v>-2.0000000000197637E-4</v>
      </c>
      <c r="U1019" s="122"/>
      <c r="V1019" s="94">
        <f t="shared" ca="1" si="219"/>
        <v>291.4644447916653</v>
      </c>
      <c r="W1019" s="89"/>
    </row>
    <row r="1020" spans="1:23" s="312" customFormat="1" ht="18">
      <c r="A1020" s="260"/>
      <c r="B1020" s="90" t="s">
        <v>505</v>
      </c>
      <c r="C1020" s="130" t="s">
        <v>2334</v>
      </c>
      <c r="D1020" s="131" t="s">
        <v>2335</v>
      </c>
      <c r="E1020" s="360">
        <v>527</v>
      </c>
      <c r="F1020" s="138">
        <v>45229</v>
      </c>
      <c r="G1020" s="252">
        <v>41.15</v>
      </c>
      <c r="H1020" s="150">
        <v>2273331.75</v>
      </c>
      <c r="I1020" s="106">
        <f t="shared" si="214"/>
        <v>55245</v>
      </c>
      <c r="J1020" s="122"/>
      <c r="K1020" s="157" t="s">
        <v>2599</v>
      </c>
      <c r="L1020" s="166">
        <f t="shared" si="213"/>
        <v>527</v>
      </c>
      <c r="M1020" s="119" t="s">
        <v>2601</v>
      </c>
      <c r="N1020" s="135">
        <f>32.468+5.39</f>
        <v>37.858000000000004</v>
      </c>
      <c r="O1020" s="122"/>
      <c r="P1020" s="92">
        <f t="shared" si="215"/>
        <v>37.857999999999997</v>
      </c>
      <c r="Q1020" s="113">
        <f t="shared" si="216"/>
        <v>1.8517499999999998</v>
      </c>
      <c r="R1020" s="92">
        <f t="shared" si="217"/>
        <v>1.44025</v>
      </c>
      <c r="S1020" s="121"/>
      <c r="T1020" s="93">
        <f t="shared" si="218"/>
        <v>-5.3290705182007514E-15</v>
      </c>
      <c r="U1020" s="122"/>
      <c r="V1020" s="94">
        <f t="shared" ca="1" si="219"/>
        <v>291.4644447916653</v>
      </c>
      <c r="W1020" s="89"/>
    </row>
    <row r="1021" spans="1:23" s="312" customFormat="1" ht="18">
      <c r="A1021" s="260"/>
      <c r="B1021" s="90" t="s">
        <v>505</v>
      </c>
      <c r="C1021" s="130" t="s">
        <v>2334</v>
      </c>
      <c r="D1021" s="131" t="s">
        <v>2335</v>
      </c>
      <c r="E1021" s="360">
        <v>528</v>
      </c>
      <c r="F1021" s="138">
        <v>45229</v>
      </c>
      <c r="G1021" s="252">
        <v>41.12</v>
      </c>
      <c r="H1021" s="150">
        <v>2271674.4</v>
      </c>
      <c r="I1021" s="106">
        <f t="shared" si="214"/>
        <v>55245</v>
      </c>
      <c r="J1021" s="122"/>
      <c r="K1021" s="157" t="s">
        <v>2600</v>
      </c>
      <c r="L1021" s="166">
        <f t="shared" si="213"/>
        <v>528</v>
      </c>
      <c r="M1021" s="119" t="s">
        <v>2601</v>
      </c>
      <c r="N1021" s="135">
        <f>31.292+6.538</f>
        <v>37.83</v>
      </c>
      <c r="O1021" s="122"/>
      <c r="P1021" s="92">
        <f t="shared" si="215"/>
        <v>37.830399999999997</v>
      </c>
      <c r="Q1021" s="113">
        <f t="shared" si="216"/>
        <v>1.8503999999999998</v>
      </c>
      <c r="R1021" s="92">
        <f t="shared" si="217"/>
        <v>1.4392</v>
      </c>
      <c r="S1021" s="121"/>
      <c r="T1021" s="93">
        <f t="shared" si="218"/>
        <v>3.9999999999928981E-4</v>
      </c>
      <c r="U1021" s="122"/>
      <c r="V1021" s="94">
        <f t="shared" ca="1" si="219"/>
        <v>291.4644447916653</v>
      </c>
      <c r="W1021" s="89"/>
    </row>
    <row r="1022" spans="1:23" s="312" customFormat="1" ht="18">
      <c r="A1022" s="260"/>
      <c r="B1022" s="90" t="s">
        <v>505</v>
      </c>
      <c r="C1022" s="130" t="s">
        <v>2334</v>
      </c>
      <c r="D1022" s="131" t="s">
        <v>2335</v>
      </c>
      <c r="E1022" s="360">
        <v>529</v>
      </c>
      <c r="F1022" s="138">
        <v>45229</v>
      </c>
      <c r="G1022" s="252">
        <f>26.944-1.624</f>
        <v>25.32</v>
      </c>
      <c r="H1022" s="150">
        <v>1398803.4</v>
      </c>
      <c r="I1022" s="106">
        <f t="shared" si="214"/>
        <v>55244.999999999993</v>
      </c>
      <c r="J1022" s="122"/>
      <c r="K1022" s="157" t="s">
        <v>2603</v>
      </c>
      <c r="L1022" s="166">
        <f t="shared" si="213"/>
        <v>529</v>
      </c>
      <c r="M1022" s="119" t="s">
        <v>2604</v>
      </c>
      <c r="N1022" s="135">
        <f>9.421+13.873</f>
        <v>23.293999999999997</v>
      </c>
      <c r="O1022" s="122"/>
      <c r="P1022" s="92">
        <f t="shared" si="215"/>
        <v>23.2944</v>
      </c>
      <c r="Q1022" s="113">
        <f t="shared" si="216"/>
        <v>1.1394</v>
      </c>
      <c r="R1022" s="92">
        <f t="shared" si="217"/>
        <v>0.8862000000000001</v>
      </c>
      <c r="S1022" s="121"/>
      <c r="T1022" s="93">
        <f t="shared" si="218"/>
        <v>4.0000000000328662E-4</v>
      </c>
      <c r="U1022" s="122"/>
      <c r="V1022" s="94">
        <f t="shared" ca="1" si="219"/>
        <v>291.4644447916653</v>
      </c>
      <c r="W1022" s="89"/>
    </row>
    <row r="1023" spans="1:23" s="312" customFormat="1" ht="18">
      <c r="A1023" s="260"/>
      <c r="B1023" s="90" t="s">
        <v>505</v>
      </c>
      <c r="C1023" s="130" t="s">
        <v>2334</v>
      </c>
      <c r="D1023" s="131" t="s">
        <v>2336</v>
      </c>
      <c r="E1023" s="360">
        <v>530</v>
      </c>
      <c r="F1023" s="138">
        <v>45229</v>
      </c>
      <c r="G1023" s="252">
        <f>28.54-15.3</f>
        <v>13.239999999999998</v>
      </c>
      <c r="H1023" s="150">
        <v>731443.79999999993</v>
      </c>
      <c r="I1023" s="106">
        <f t="shared" si="214"/>
        <v>55245</v>
      </c>
      <c r="J1023" s="122"/>
      <c r="K1023" s="157" t="s">
        <v>2605</v>
      </c>
      <c r="L1023" s="166">
        <f t="shared" si="213"/>
        <v>530</v>
      </c>
      <c r="M1023" s="119" t="s">
        <v>2604</v>
      </c>
      <c r="N1023" s="135">
        <f>11.257+0.924</f>
        <v>12.180999999999999</v>
      </c>
      <c r="O1023" s="122"/>
      <c r="P1023" s="92">
        <f t="shared" si="215"/>
        <v>12.1808</v>
      </c>
      <c r="Q1023" s="113">
        <f t="shared" si="216"/>
        <v>0.59579999999999989</v>
      </c>
      <c r="R1023" s="92">
        <f t="shared" si="217"/>
        <v>0.46339999999999998</v>
      </c>
      <c r="S1023" s="121"/>
      <c r="T1023" s="93">
        <f t="shared" si="218"/>
        <v>-2.000000000005886E-4</v>
      </c>
      <c r="U1023" s="122"/>
      <c r="V1023" s="94">
        <f t="shared" ca="1" si="219"/>
        <v>291.4644447916653</v>
      </c>
      <c r="W1023" s="89"/>
    </row>
    <row r="1024" spans="1:23" s="312" customFormat="1" ht="18">
      <c r="A1024" s="260"/>
      <c r="B1024" s="90" t="s">
        <v>505</v>
      </c>
      <c r="C1024" s="130" t="s">
        <v>2334</v>
      </c>
      <c r="D1024" s="131" t="s">
        <v>2336</v>
      </c>
      <c r="E1024" s="360">
        <v>531</v>
      </c>
      <c r="F1024" s="138">
        <v>45229</v>
      </c>
      <c r="G1024" s="252">
        <v>15.3</v>
      </c>
      <c r="H1024" s="150">
        <v>845248.5</v>
      </c>
      <c r="I1024" s="106">
        <f t="shared" si="214"/>
        <v>55245</v>
      </c>
      <c r="J1024" s="122"/>
      <c r="K1024" s="157">
        <v>1425</v>
      </c>
      <c r="L1024" s="166">
        <f t="shared" si="213"/>
        <v>531</v>
      </c>
      <c r="M1024" s="119" t="s">
        <v>2602</v>
      </c>
      <c r="N1024" s="135">
        <v>14.076000000000001</v>
      </c>
      <c r="O1024" s="122"/>
      <c r="P1024" s="92">
        <f t="shared" si="215"/>
        <v>14.076000000000001</v>
      </c>
      <c r="Q1024" s="113">
        <f t="shared" si="216"/>
        <v>0.6885</v>
      </c>
      <c r="R1024" s="92">
        <f t="shared" si="217"/>
        <v>0.53550000000000009</v>
      </c>
      <c r="S1024" s="121"/>
      <c r="T1024" s="93">
        <f t="shared" si="218"/>
        <v>0</v>
      </c>
      <c r="U1024" s="122"/>
      <c r="V1024" s="94">
        <f t="shared" ca="1" si="219"/>
        <v>291.4644447916653</v>
      </c>
      <c r="W1024" s="89"/>
    </row>
    <row r="1025" spans="1:23" s="312" customFormat="1" ht="18">
      <c r="A1025" s="260"/>
      <c r="B1025" s="90" t="s">
        <v>505</v>
      </c>
      <c r="C1025" s="130" t="s">
        <v>2334</v>
      </c>
      <c r="D1025" s="131" t="s">
        <v>2337</v>
      </c>
      <c r="E1025" s="360">
        <v>532</v>
      </c>
      <c r="F1025" s="138">
        <v>45229</v>
      </c>
      <c r="G1025" s="252">
        <v>31.62</v>
      </c>
      <c r="H1025" s="150">
        <v>1746846.9000000001</v>
      </c>
      <c r="I1025" s="106">
        <f t="shared" si="214"/>
        <v>55245</v>
      </c>
      <c r="J1025" s="122"/>
      <c r="K1025" s="157" t="s">
        <v>2606</v>
      </c>
      <c r="L1025" s="166">
        <f t="shared" si="213"/>
        <v>532</v>
      </c>
      <c r="M1025" s="119" t="s">
        <v>2604</v>
      </c>
      <c r="N1025" s="135">
        <f>17.02+12.07</f>
        <v>29.09</v>
      </c>
      <c r="O1025" s="122"/>
      <c r="P1025" s="92">
        <f t="shared" si="215"/>
        <v>29.090400000000002</v>
      </c>
      <c r="Q1025" s="113">
        <f t="shared" si="216"/>
        <v>1.4229000000000001</v>
      </c>
      <c r="R1025" s="92">
        <f t="shared" si="217"/>
        <v>1.1067000000000002</v>
      </c>
      <c r="S1025" s="121"/>
      <c r="T1025" s="93">
        <f t="shared" si="218"/>
        <v>4.0000000000084412E-4</v>
      </c>
      <c r="U1025" s="122"/>
      <c r="V1025" s="94">
        <f t="shared" ca="1" si="219"/>
        <v>291.4644447916653</v>
      </c>
      <c r="W1025" s="89"/>
    </row>
    <row r="1026" spans="1:23" s="312" customFormat="1" ht="18">
      <c r="A1026" s="260"/>
      <c r="B1026" s="90" t="s">
        <v>505</v>
      </c>
      <c r="C1026" s="130" t="s">
        <v>2334</v>
      </c>
      <c r="D1026" s="131" t="s">
        <v>2337</v>
      </c>
      <c r="E1026" s="360">
        <v>533</v>
      </c>
      <c r="F1026" s="138">
        <v>45229</v>
      </c>
      <c r="G1026" s="252">
        <f>31.59-0.29</f>
        <v>31.3</v>
      </c>
      <c r="H1026" s="150">
        <v>1729168.5</v>
      </c>
      <c r="I1026" s="106">
        <f t="shared" si="214"/>
        <v>55245</v>
      </c>
      <c r="J1026" s="122"/>
      <c r="K1026" s="157" t="s">
        <v>2609</v>
      </c>
      <c r="L1026" s="166">
        <f t="shared" si="213"/>
        <v>533</v>
      </c>
      <c r="M1026" s="119" t="s">
        <v>2607</v>
      </c>
      <c r="N1026" s="135">
        <f>20.617+8.179</f>
        <v>28.795999999999999</v>
      </c>
      <c r="O1026" s="122"/>
      <c r="P1026" s="92">
        <f t="shared" si="215"/>
        <v>28.796000000000003</v>
      </c>
      <c r="Q1026" s="113">
        <f t="shared" si="216"/>
        <v>1.4085000000000001</v>
      </c>
      <c r="R1026" s="92">
        <f t="shared" si="217"/>
        <v>1.0955000000000001</v>
      </c>
      <c r="S1026" s="121"/>
      <c r="T1026" s="93">
        <f t="shared" si="218"/>
        <v>0</v>
      </c>
      <c r="U1026" s="122"/>
      <c r="V1026" s="94">
        <f t="shared" ca="1" si="219"/>
        <v>291.4644447916653</v>
      </c>
      <c r="W1026" s="89"/>
    </row>
    <row r="1027" spans="1:23" s="312" customFormat="1" ht="18">
      <c r="A1027" s="260"/>
      <c r="B1027" s="90" t="s">
        <v>505</v>
      </c>
      <c r="C1027" s="130" t="s">
        <v>2334</v>
      </c>
      <c r="D1027" s="131" t="s">
        <v>2579</v>
      </c>
      <c r="E1027" s="360">
        <v>534</v>
      </c>
      <c r="F1027" s="138">
        <v>45229</v>
      </c>
      <c r="G1027" s="252">
        <v>23.74</v>
      </c>
      <c r="H1027" s="150">
        <v>1311516.2999999998</v>
      </c>
      <c r="I1027" s="106">
        <f t="shared" si="214"/>
        <v>55244.999999999993</v>
      </c>
      <c r="J1027" s="122"/>
      <c r="K1027" s="157">
        <v>1430</v>
      </c>
      <c r="L1027" s="166">
        <f t="shared" ref="L1027:L1093" si="220">E1027</f>
        <v>534</v>
      </c>
      <c r="M1027" s="119" t="s">
        <v>2608</v>
      </c>
      <c r="N1027" s="135">
        <v>21.841000000000001</v>
      </c>
      <c r="O1027" s="122"/>
      <c r="P1027" s="92">
        <f t="shared" si="215"/>
        <v>21.840799999999998</v>
      </c>
      <c r="Q1027" s="113">
        <f t="shared" si="216"/>
        <v>1.0682999999999998</v>
      </c>
      <c r="R1027" s="92">
        <f t="shared" si="217"/>
        <v>0.83089999999999997</v>
      </c>
      <c r="S1027" s="121"/>
      <c r="T1027" s="93">
        <f t="shared" si="218"/>
        <v>-2.0000000000242046E-4</v>
      </c>
      <c r="U1027" s="122"/>
      <c r="V1027" s="94">
        <f t="shared" ca="1" si="219"/>
        <v>291.4644447916653</v>
      </c>
      <c r="W1027" s="89"/>
    </row>
    <row r="1028" spans="1:23" s="312" customFormat="1" ht="18">
      <c r="A1028" s="260"/>
      <c r="B1028" s="90"/>
      <c r="C1028" s="130"/>
      <c r="D1028" s="131"/>
      <c r="E1028" s="360"/>
      <c r="F1028" s="138"/>
      <c r="G1028" s="252"/>
      <c r="H1028" s="150"/>
      <c r="I1028" s="106"/>
      <c r="J1028" s="122"/>
      <c r="K1028" s="157"/>
      <c r="L1028" s="166"/>
      <c r="M1028" s="119"/>
      <c r="N1028" s="135"/>
      <c r="O1028" s="122"/>
      <c r="P1028" s="92"/>
      <c r="Q1028" s="113"/>
      <c r="R1028" s="92"/>
      <c r="S1028" s="121"/>
      <c r="T1028" s="93"/>
      <c r="U1028" s="122"/>
      <c r="V1028" s="94"/>
      <c r="W1028" s="89"/>
    </row>
    <row r="1029" spans="1:23" s="312" customFormat="1" ht="18">
      <c r="A1029" s="260"/>
      <c r="B1029" s="260" t="s">
        <v>505</v>
      </c>
      <c r="C1029" s="130" t="s">
        <v>94</v>
      </c>
      <c r="D1029" s="131" t="s">
        <v>2504</v>
      </c>
      <c r="E1029" s="361">
        <v>537</v>
      </c>
      <c r="F1029" s="138">
        <v>45241</v>
      </c>
      <c r="G1029" s="252">
        <v>10.66</v>
      </c>
      <c r="H1029" s="150">
        <v>538116.80000000005</v>
      </c>
      <c r="I1029" s="106">
        <f t="shared" ref="I1029:I1068" si="221">H1029/G1029</f>
        <v>50480.000000000007</v>
      </c>
      <c r="J1029" s="122"/>
      <c r="K1029" s="158" t="s">
        <v>2610</v>
      </c>
      <c r="L1029" s="166">
        <f t="shared" si="220"/>
        <v>537</v>
      </c>
      <c r="M1029" s="119" t="s">
        <v>2608</v>
      </c>
      <c r="N1029" s="135">
        <f>2.265+7.542</f>
        <v>9.8070000000000004</v>
      </c>
      <c r="O1029" s="122"/>
      <c r="P1029" s="92">
        <f t="shared" ref="P1029:P1068" si="222">G1029*0.92</f>
        <v>9.8071999999999999</v>
      </c>
      <c r="Q1029" s="113">
        <f t="shared" ref="Q1029:Q1068" si="223">G1029*4.5%</f>
        <v>0.47970000000000002</v>
      </c>
      <c r="R1029" s="92">
        <f t="shared" ref="R1029:R1068" si="224">G1029*3.5%</f>
        <v>0.37310000000000004</v>
      </c>
      <c r="S1029" s="121"/>
      <c r="T1029" s="93">
        <f t="shared" ref="T1029:T1068" si="225">G1029-N1029-Q1029-R1029</f>
        <v>1.9999999999970042E-4</v>
      </c>
      <c r="U1029" s="122"/>
      <c r="V1029" s="94">
        <f t="shared" ref="V1029:V1068" ca="1" si="226">360-($V$3-F1029)</f>
        <v>303.4644447916653</v>
      </c>
      <c r="W1029" s="89"/>
    </row>
    <row r="1030" spans="1:23" s="312" customFormat="1" ht="18">
      <c r="A1030" s="260"/>
      <c r="B1030" s="260" t="s">
        <v>505</v>
      </c>
      <c r="C1030" s="130" t="s">
        <v>94</v>
      </c>
      <c r="D1030" s="131" t="s">
        <v>2505</v>
      </c>
      <c r="E1030" s="361">
        <v>538</v>
      </c>
      <c r="F1030" s="138">
        <v>45241</v>
      </c>
      <c r="G1030" s="252">
        <v>27.64</v>
      </c>
      <c r="H1030" s="150">
        <v>1445572</v>
      </c>
      <c r="I1030" s="106">
        <f t="shared" si="221"/>
        <v>52300</v>
      </c>
      <c r="J1030" s="122"/>
      <c r="K1030" s="157" t="s">
        <v>2611</v>
      </c>
      <c r="L1030" s="166">
        <f t="shared" si="220"/>
        <v>538</v>
      </c>
      <c r="M1030" s="119" t="s">
        <v>2613</v>
      </c>
      <c r="N1030" s="135">
        <f>25.371+0.058</f>
        <v>25.428999999999998</v>
      </c>
      <c r="O1030" s="122"/>
      <c r="P1030" s="92">
        <f t="shared" si="222"/>
        <v>25.428800000000003</v>
      </c>
      <c r="Q1030" s="113">
        <f t="shared" si="223"/>
        <v>1.2438</v>
      </c>
      <c r="R1030" s="92">
        <f t="shared" si="224"/>
        <v>0.96740000000000015</v>
      </c>
      <c r="S1030" s="121"/>
      <c r="T1030" s="93">
        <f t="shared" si="225"/>
        <v>-1.9999999999809059E-4</v>
      </c>
      <c r="U1030" s="122"/>
      <c r="V1030" s="94">
        <f t="shared" ca="1" si="226"/>
        <v>303.4644447916653</v>
      </c>
      <c r="W1030" s="89"/>
    </row>
    <row r="1031" spans="1:23" s="312" customFormat="1" ht="18">
      <c r="A1031" s="260"/>
      <c r="B1031" s="260" t="s">
        <v>505</v>
      </c>
      <c r="C1031" s="130" t="s">
        <v>94</v>
      </c>
      <c r="D1031" s="131" t="s">
        <v>2506</v>
      </c>
      <c r="E1031" s="361">
        <v>539</v>
      </c>
      <c r="F1031" s="138">
        <v>45241</v>
      </c>
      <c r="G1031" s="362">
        <v>27.58</v>
      </c>
      <c r="H1031" s="150">
        <v>1442434</v>
      </c>
      <c r="I1031" s="106">
        <f t="shared" si="221"/>
        <v>52300</v>
      </c>
      <c r="J1031" s="122"/>
      <c r="K1031" s="157">
        <v>1437</v>
      </c>
      <c r="L1031" s="166">
        <f t="shared" si="220"/>
        <v>539</v>
      </c>
      <c r="M1031" s="119" t="s">
        <v>2614</v>
      </c>
      <c r="N1031" s="135">
        <v>25.373999999999999</v>
      </c>
      <c r="O1031" s="122"/>
      <c r="P1031" s="92">
        <f t="shared" si="222"/>
        <v>25.3736</v>
      </c>
      <c r="Q1031" s="113">
        <f t="shared" si="223"/>
        <v>1.2410999999999999</v>
      </c>
      <c r="R1031" s="92">
        <f t="shared" si="224"/>
        <v>0.96530000000000005</v>
      </c>
      <c r="S1031" s="121"/>
      <c r="T1031" s="93">
        <f t="shared" si="225"/>
        <v>-4.0000000000040004E-4</v>
      </c>
      <c r="U1031" s="122"/>
      <c r="V1031" s="94">
        <f t="shared" ca="1" si="226"/>
        <v>303.4644447916653</v>
      </c>
      <c r="W1031" s="89"/>
    </row>
    <row r="1032" spans="1:23" s="312" customFormat="1" ht="18">
      <c r="A1032" s="260"/>
      <c r="B1032" s="260" t="s">
        <v>505</v>
      </c>
      <c r="C1032" s="130" t="s">
        <v>94</v>
      </c>
      <c r="D1032" s="131" t="s">
        <v>2507</v>
      </c>
      <c r="E1032" s="361">
        <v>540</v>
      </c>
      <c r="F1032" s="138">
        <v>45241</v>
      </c>
      <c r="G1032" s="362">
        <v>27.72</v>
      </c>
      <c r="H1032" s="150">
        <v>1449756</v>
      </c>
      <c r="I1032" s="106">
        <f t="shared" si="221"/>
        <v>52300</v>
      </c>
      <c r="J1032" s="122"/>
      <c r="K1032" s="157" t="s">
        <v>2612</v>
      </c>
      <c r="L1032" s="166">
        <f t="shared" si="220"/>
        <v>540</v>
      </c>
      <c r="M1032" s="119" t="s">
        <v>2615</v>
      </c>
      <c r="N1032" s="135">
        <f>7.98+17.522</f>
        <v>25.501999999999999</v>
      </c>
      <c r="O1032" s="122"/>
      <c r="P1032" s="92">
        <f t="shared" si="222"/>
        <v>25.502400000000002</v>
      </c>
      <c r="Q1032" s="113">
        <f t="shared" si="223"/>
        <v>1.2473999999999998</v>
      </c>
      <c r="R1032" s="92">
        <f t="shared" si="224"/>
        <v>0.97020000000000006</v>
      </c>
      <c r="S1032" s="121"/>
      <c r="T1032" s="93">
        <f t="shared" si="225"/>
        <v>4.0000000000006697E-4</v>
      </c>
      <c r="U1032" s="122"/>
      <c r="V1032" s="94">
        <f t="shared" ca="1" si="226"/>
        <v>303.4644447916653</v>
      </c>
      <c r="W1032" s="89"/>
    </row>
    <row r="1033" spans="1:23" s="312" customFormat="1" ht="18">
      <c r="A1033" s="260"/>
      <c r="B1033" s="260" t="s">
        <v>505</v>
      </c>
      <c r="C1033" s="130" t="s">
        <v>94</v>
      </c>
      <c r="D1033" s="131" t="s">
        <v>2508</v>
      </c>
      <c r="E1033" s="361">
        <v>541</v>
      </c>
      <c r="F1033" s="138">
        <v>45241</v>
      </c>
      <c r="G1033" s="362">
        <v>27.72</v>
      </c>
      <c r="H1033" s="150">
        <v>1449756</v>
      </c>
      <c r="I1033" s="106">
        <f t="shared" si="221"/>
        <v>52300</v>
      </c>
      <c r="J1033" s="122"/>
      <c r="K1033" s="157" t="s">
        <v>2616</v>
      </c>
      <c r="L1033" s="166">
        <f t="shared" si="220"/>
        <v>541</v>
      </c>
      <c r="M1033" s="119" t="s">
        <v>2615</v>
      </c>
      <c r="N1033" s="135">
        <f>13.711+11.791</f>
        <v>25.502000000000002</v>
      </c>
      <c r="O1033" s="122"/>
      <c r="P1033" s="92">
        <f t="shared" si="222"/>
        <v>25.502400000000002</v>
      </c>
      <c r="Q1033" s="113">
        <f t="shared" si="223"/>
        <v>1.2473999999999998</v>
      </c>
      <c r="R1033" s="92">
        <f t="shared" si="224"/>
        <v>0.97020000000000006</v>
      </c>
      <c r="S1033" s="121"/>
      <c r="T1033" s="93">
        <f t="shared" si="225"/>
        <v>3.9999999999651425E-4</v>
      </c>
      <c r="U1033" s="122"/>
      <c r="V1033" s="94">
        <f t="shared" ca="1" si="226"/>
        <v>303.4644447916653</v>
      </c>
      <c r="W1033" s="89"/>
    </row>
    <row r="1034" spans="1:23" s="312" customFormat="1" ht="18">
      <c r="A1034" s="260"/>
      <c r="B1034" s="260" t="s">
        <v>505</v>
      </c>
      <c r="C1034" s="130" t="s">
        <v>94</v>
      </c>
      <c r="D1034" s="131" t="s">
        <v>2509</v>
      </c>
      <c r="E1034" s="361">
        <v>542</v>
      </c>
      <c r="F1034" s="138">
        <v>45241</v>
      </c>
      <c r="G1034" s="362">
        <v>31.84</v>
      </c>
      <c r="H1034" s="150">
        <v>1665232</v>
      </c>
      <c r="I1034" s="106">
        <f t="shared" si="221"/>
        <v>52300</v>
      </c>
      <c r="J1034" s="122"/>
      <c r="K1034" s="157" t="s">
        <v>2617</v>
      </c>
      <c r="L1034" s="166">
        <f t="shared" si="220"/>
        <v>542</v>
      </c>
      <c r="M1034" s="119" t="s">
        <v>2615</v>
      </c>
      <c r="N1034" s="135">
        <f>20.584+8.709</f>
        <v>29.292999999999999</v>
      </c>
      <c r="O1034" s="122"/>
      <c r="P1034" s="92">
        <f t="shared" si="222"/>
        <v>29.2928</v>
      </c>
      <c r="Q1034" s="113">
        <f t="shared" si="223"/>
        <v>1.4327999999999999</v>
      </c>
      <c r="R1034" s="92">
        <f t="shared" si="224"/>
        <v>1.1144000000000001</v>
      </c>
      <c r="S1034" s="121"/>
      <c r="T1034" s="93">
        <f t="shared" si="225"/>
        <v>-1.9999999999931184E-4</v>
      </c>
      <c r="U1034" s="122"/>
      <c r="V1034" s="94">
        <f t="shared" ca="1" si="226"/>
        <v>303.4644447916653</v>
      </c>
      <c r="W1034" s="89"/>
    </row>
    <row r="1035" spans="1:23" s="312" customFormat="1" ht="18">
      <c r="A1035" s="260"/>
      <c r="B1035" s="260" t="s">
        <v>505</v>
      </c>
      <c r="C1035" s="130" t="s">
        <v>94</v>
      </c>
      <c r="D1035" s="131" t="s">
        <v>2510</v>
      </c>
      <c r="E1035" s="361">
        <v>543</v>
      </c>
      <c r="F1035" s="138">
        <v>45241</v>
      </c>
      <c r="G1035" s="362">
        <v>27.54</v>
      </c>
      <c r="H1035" s="150">
        <v>1440342</v>
      </c>
      <c r="I1035" s="106">
        <f t="shared" si="221"/>
        <v>52300</v>
      </c>
      <c r="J1035" s="122"/>
      <c r="K1035" s="157" t="s">
        <v>2618</v>
      </c>
      <c r="L1035" s="166">
        <f t="shared" si="220"/>
        <v>543</v>
      </c>
      <c r="M1035" s="119" t="s">
        <v>2615</v>
      </c>
      <c r="N1035" s="135">
        <f>22.441+2.896</f>
        <v>25.337</v>
      </c>
      <c r="O1035" s="122"/>
      <c r="P1035" s="92">
        <f t="shared" si="222"/>
        <v>25.3368</v>
      </c>
      <c r="Q1035" s="113">
        <f t="shared" si="223"/>
        <v>1.2392999999999998</v>
      </c>
      <c r="R1035" s="92">
        <f t="shared" si="224"/>
        <v>0.96390000000000009</v>
      </c>
      <c r="S1035" s="121"/>
      <c r="T1035" s="93">
        <f t="shared" si="225"/>
        <v>-2.0000000000053308E-4</v>
      </c>
      <c r="U1035" s="122"/>
      <c r="V1035" s="94">
        <f t="shared" ca="1" si="226"/>
        <v>303.4644447916653</v>
      </c>
      <c r="W1035" s="89"/>
    </row>
    <row r="1036" spans="1:23" s="312" customFormat="1" ht="18">
      <c r="A1036" s="260"/>
      <c r="B1036" s="260" t="s">
        <v>505</v>
      </c>
      <c r="C1036" s="130" t="s">
        <v>94</v>
      </c>
      <c r="D1036" s="131" t="s">
        <v>2511</v>
      </c>
      <c r="E1036" s="361">
        <v>544</v>
      </c>
      <c r="F1036" s="138">
        <v>45241</v>
      </c>
      <c r="G1036" s="362">
        <v>40.380000000000003</v>
      </c>
      <c r="H1036" s="150">
        <v>2111874</v>
      </c>
      <c r="I1036" s="106">
        <f t="shared" si="221"/>
        <v>52300</v>
      </c>
      <c r="J1036" s="122"/>
      <c r="K1036" s="157" t="s">
        <v>2619</v>
      </c>
      <c r="L1036" s="166">
        <f t="shared" si="220"/>
        <v>544</v>
      </c>
      <c r="M1036" s="119" t="s">
        <v>2613</v>
      </c>
      <c r="N1036" s="135">
        <f>31.561+5.589</f>
        <v>37.15</v>
      </c>
      <c r="O1036" s="122"/>
      <c r="P1036" s="92">
        <f t="shared" si="222"/>
        <v>37.149600000000007</v>
      </c>
      <c r="Q1036" s="113">
        <f t="shared" si="223"/>
        <v>1.8170999999999999</v>
      </c>
      <c r="R1036" s="92">
        <f t="shared" si="224"/>
        <v>1.4133000000000002</v>
      </c>
      <c r="S1036" s="121"/>
      <c r="T1036" s="93">
        <f t="shared" si="225"/>
        <v>-3.9999999999618119E-4</v>
      </c>
      <c r="U1036" s="122"/>
      <c r="V1036" s="94">
        <f t="shared" ca="1" si="226"/>
        <v>303.4644447916653</v>
      </c>
      <c r="W1036" s="89"/>
    </row>
    <row r="1037" spans="1:23" s="312" customFormat="1" ht="18">
      <c r="A1037" s="260"/>
      <c r="B1037" s="260" t="s">
        <v>505</v>
      </c>
      <c r="C1037" s="130" t="s">
        <v>94</v>
      </c>
      <c r="D1037" s="131" t="s">
        <v>2512</v>
      </c>
      <c r="E1037" s="361">
        <v>545</v>
      </c>
      <c r="F1037" s="138">
        <v>45241</v>
      </c>
      <c r="G1037" s="362">
        <v>28.64</v>
      </c>
      <c r="H1037" s="150">
        <v>1497872</v>
      </c>
      <c r="I1037" s="106">
        <f t="shared" ref="I1037:I1048" si="227">H1037/G1037</f>
        <v>52300</v>
      </c>
      <c r="J1037" s="122"/>
      <c r="K1037" s="157" t="s">
        <v>2620</v>
      </c>
      <c r="L1037" s="166">
        <f t="shared" si="220"/>
        <v>545</v>
      </c>
      <c r="M1037" s="119" t="s">
        <v>2622</v>
      </c>
      <c r="N1037" s="135">
        <f>24.251+2.098</f>
        <v>26.349</v>
      </c>
      <c r="O1037" s="122"/>
      <c r="P1037" s="92">
        <f t="shared" ref="P1037:P1048" si="228">G1037*0.92</f>
        <v>26.348800000000001</v>
      </c>
      <c r="Q1037" s="113">
        <f t="shared" ref="Q1037:Q1048" si="229">G1037*4.5%</f>
        <v>1.2887999999999999</v>
      </c>
      <c r="R1037" s="92">
        <f t="shared" ref="R1037:R1048" si="230">G1037*3.5%</f>
        <v>1.0024000000000002</v>
      </c>
      <c r="S1037" s="121"/>
      <c r="T1037" s="93">
        <f t="shared" ref="T1037:T1048" si="231">G1037-N1037-Q1037-R1037</f>
        <v>-1.9999999999975593E-4</v>
      </c>
      <c r="U1037" s="122"/>
      <c r="V1037" s="94">
        <f t="shared" ref="V1037:V1048" ca="1" si="232">360-($V$3-F1037)</f>
        <v>303.4644447916653</v>
      </c>
      <c r="W1037" s="89"/>
    </row>
    <row r="1038" spans="1:23" s="312" customFormat="1" ht="18">
      <c r="A1038" s="260"/>
      <c r="B1038" s="260" t="s">
        <v>505</v>
      </c>
      <c r="C1038" s="130" t="s">
        <v>94</v>
      </c>
      <c r="D1038" s="131" t="s">
        <v>2513</v>
      </c>
      <c r="E1038" s="361">
        <v>546</v>
      </c>
      <c r="F1038" s="138">
        <v>45241</v>
      </c>
      <c r="G1038" s="252">
        <v>31.88</v>
      </c>
      <c r="H1038" s="150">
        <v>1667324</v>
      </c>
      <c r="I1038" s="106">
        <f t="shared" si="227"/>
        <v>52300</v>
      </c>
      <c r="J1038" s="122"/>
      <c r="K1038" s="157" t="s">
        <v>2626</v>
      </c>
      <c r="L1038" s="166">
        <f t="shared" si="220"/>
        <v>546</v>
      </c>
      <c r="M1038" s="119" t="s">
        <v>2627</v>
      </c>
      <c r="N1038" s="135">
        <f>16.243+13.087</f>
        <v>29.33</v>
      </c>
      <c r="O1038" s="122"/>
      <c r="P1038" s="92">
        <f t="shared" si="228"/>
        <v>29.329599999999999</v>
      </c>
      <c r="Q1038" s="113">
        <f t="shared" si="229"/>
        <v>1.4345999999999999</v>
      </c>
      <c r="R1038" s="92">
        <f t="shared" si="230"/>
        <v>1.1158000000000001</v>
      </c>
      <c r="S1038" s="121"/>
      <c r="T1038" s="93">
        <f t="shared" si="231"/>
        <v>-3.9999999999928981E-4</v>
      </c>
      <c r="U1038" s="122"/>
      <c r="V1038" s="94">
        <f t="shared" ca="1" si="232"/>
        <v>303.4644447916653</v>
      </c>
      <c r="W1038" s="89"/>
    </row>
    <row r="1039" spans="1:23" s="312" customFormat="1" ht="18">
      <c r="A1039" s="260"/>
      <c r="B1039" s="260" t="s">
        <v>505</v>
      </c>
      <c r="C1039" s="130" t="s">
        <v>94</v>
      </c>
      <c r="D1039" s="131" t="s">
        <v>2514</v>
      </c>
      <c r="E1039" s="361">
        <v>547</v>
      </c>
      <c r="F1039" s="138">
        <v>45241</v>
      </c>
      <c r="G1039" s="252">
        <v>42.6</v>
      </c>
      <c r="H1039" s="150">
        <v>2227980</v>
      </c>
      <c r="I1039" s="106">
        <f t="shared" si="227"/>
        <v>52300</v>
      </c>
      <c r="J1039" s="122"/>
      <c r="K1039" s="157" t="s">
        <v>2621</v>
      </c>
      <c r="L1039" s="166">
        <f t="shared" si="220"/>
        <v>547</v>
      </c>
      <c r="M1039" s="119" t="s">
        <v>2623</v>
      </c>
      <c r="N1039" s="135">
        <f>31.927+7.265</f>
        <v>39.192</v>
      </c>
      <c r="O1039" s="122"/>
      <c r="P1039" s="92">
        <f t="shared" si="228"/>
        <v>39.192</v>
      </c>
      <c r="Q1039" s="113">
        <f t="shared" si="229"/>
        <v>1.917</v>
      </c>
      <c r="R1039" s="92">
        <f t="shared" si="230"/>
        <v>1.4910000000000001</v>
      </c>
      <c r="S1039" s="121"/>
      <c r="T1039" s="93">
        <f t="shared" si="231"/>
        <v>0</v>
      </c>
      <c r="U1039" s="122"/>
      <c r="V1039" s="94">
        <f t="shared" ca="1" si="232"/>
        <v>303.4644447916653</v>
      </c>
      <c r="W1039" s="89"/>
    </row>
    <row r="1040" spans="1:23" s="312" customFormat="1" ht="18">
      <c r="A1040" s="260"/>
      <c r="B1040" s="260" t="s">
        <v>505</v>
      </c>
      <c r="C1040" s="130" t="s">
        <v>94</v>
      </c>
      <c r="D1040" s="131" t="s">
        <v>2515</v>
      </c>
      <c r="E1040" s="361">
        <v>548</v>
      </c>
      <c r="F1040" s="138">
        <v>45241</v>
      </c>
      <c r="G1040" s="252">
        <v>8.1880000000000006</v>
      </c>
      <c r="H1040" s="150">
        <v>428232.4</v>
      </c>
      <c r="I1040" s="106">
        <f t="shared" si="227"/>
        <v>52300</v>
      </c>
      <c r="J1040" s="122"/>
      <c r="K1040" s="157" t="s">
        <v>2625</v>
      </c>
      <c r="L1040" s="166">
        <f t="shared" si="220"/>
        <v>548</v>
      </c>
      <c r="M1040" s="119" t="s">
        <v>2624</v>
      </c>
      <c r="N1040" s="135">
        <v>7.5330000000000004</v>
      </c>
      <c r="O1040" s="122"/>
      <c r="P1040" s="92">
        <f t="shared" si="228"/>
        <v>7.532960000000001</v>
      </c>
      <c r="Q1040" s="113">
        <f t="shared" si="229"/>
        <v>0.36846000000000001</v>
      </c>
      <c r="R1040" s="92">
        <f t="shared" si="230"/>
        <v>0.28658000000000006</v>
      </c>
      <c r="S1040" s="121"/>
      <c r="T1040" s="93">
        <f t="shared" si="231"/>
        <v>-3.9999999999817959E-5</v>
      </c>
      <c r="U1040" s="122"/>
      <c r="V1040" s="94">
        <f t="shared" ca="1" si="232"/>
        <v>303.4644447916653</v>
      </c>
      <c r="W1040" s="89"/>
    </row>
    <row r="1041" spans="1:23" s="312" customFormat="1" ht="18">
      <c r="A1041" s="260"/>
      <c r="B1041" s="260" t="s">
        <v>505</v>
      </c>
      <c r="C1041" s="358" t="s">
        <v>506</v>
      </c>
      <c r="D1041" s="131" t="s">
        <v>2516</v>
      </c>
      <c r="E1041" s="156">
        <v>549</v>
      </c>
      <c r="F1041" s="138">
        <v>45241</v>
      </c>
      <c r="G1041" s="252">
        <v>33.799999999999997</v>
      </c>
      <c r="H1041" s="150">
        <v>1777203.9999999998</v>
      </c>
      <c r="I1041" s="106">
        <f t="shared" si="227"/>
        <v>52580</v>
      </c>
      <c r="J1041" s="122"/>
      <c r="K1041" s="157" t="s">
        <v>2628</v>
      </c>
      <c r="L1041" s="166">
        <f t="shared" si="220"/>
        <v>549</v>
      </c>
      <c r="M1041" s="119" t="s">
        <v>2627</v>
      </c>
      <c r="N1041" s="135">
        <f>18.945+12.151</f>
        <v>31.096</v>
      </c>
      <c r="O1041" s="122"/>
      <c r="P1041" s="92">
        <f t="shared" si="228"/>
        <v>31.096</v>
      </c>
      <c r="Q1041" s="113">
        <f t="shared" si="229"/>
        <v>1.5209999999999999</v>
      </c>
      <c r="R1041" s="92">
        <f t="shared" si="230"/>
        <v>1.1830000000000001</v>
      </c>
      <c r="S1041" s="121"/>
      <c r="T1041" s="93">
        <f t="shared" si="231"/>
        <v>-2.886579864025407E-15</v>
      </c>
      <c r="U1041" s="122"/>
      <c r="V1041" s="94">
        <f t="shared" ca="1" si="232"/>
        <v>303.4644447916653</v>
      </c>
      <c r="W1041" s="89"/>
    </row>
    <row r="1042" spans="1:23" s="312" customFormat="1" ht="18">
      <c r="A1042" s="260"/>
      <c r="B1042" s="260" t="s">
        <v>505</v>
      </c>
      <c r="C1042" s="358" t="s">
        <v>506</v>
      </c>
      <c r="D1042" s="131" t="s">
        <v>2516</v>
      </c>
      <c r="E1042" s="156">
        <v>550</v>
      </c>
      <c r="F1042" s="138">
        <v>45241</v>
      </c>
      <c r="G1042" s="252">
        <v>33.65</v>
      </c>
      <c r="H1042" s="150">
        <v>1769317</v>
      </c>
      <c r="I1042" s="106">
        <f t="shared" si="227"/>
        <v>52580</v>
      </c>
      <c r="J1042" s="122"/>
      <c r="K1042" s="157" t="s">
        <v>2629</v>
      </c>
      <c r="L1042" s="166">
        <f t="shared" si="220"/>
        <v>550</v>
      </c>
      <c r="M1042" s="119" t="s">
        <v>2627</v>
      </c>
      <c r="N1042" s="135">
        <f>20.853+10.105</f>
        <v>30.958000000000002</v>
      </c>
      <c r="O1042" s="122"/>
      <c r="P1042" s="92">
        <f t="shared" si="228"/>
        <v>30.957999999999998</v>
      </c>
      <c r="Q1042" s="113">
        <f t="shared" si="229"/>
        <v>1.5142499999999999</v>
      </c>
      <c r="R1042" s="92">
        <f t="shared" si="230"/>
        <v>1.1777500000000001</v>
      </c>
      <c r="S1042" s="121"/>
      <c r="T1042" s="93">
        <f t="shared" si="231"/>
        <v>-3.3306690738754696E-15</v>
      </c>
      <c r="U1042" s="122"/>
      <c r="V1042" s="94">
        <f t="shared" ca="1" si="232"/>
        <v>303.4644447916653</v>
      </c>
      <c r="W1042" s="89"/>
    </row>
    <row r="1043" spans="1:23" s="312" customFormat="1" ht="18">
      <c r="A1043" s="260"/>
      <c r="B1043" s="260" t="s">
        <v>505</v>
      </c>
      <c r="C1043" s="358" t="s">
        <v>506</v>
      </c>
      <c r="D1043" s="131" t="s">
        <v>2516</v>
      </c>
      <c r="E1043" s="156">
        <v>551</v>
      </c>
      <c r="F1043" s="138">
        <v>45241</v>
      </c>
      <c r="G1043" s="252">
        <v>33.729999999999997</v>
      </c>
      <c r="H1043" s="150">
        <v>1773523.4</v>
      </c>
      <c r="I1043" s="106">
        <f t="shared" si="227"/>
        <v>52580</v>
      </c>
      <c r="J1043" s="122"/>
      <c r="K1043" s="157" t="s">
        <v>2630</v>
      </c>
      <c r="L1043" s="166">
        <f t="shared" si="220"/>
        <v>551</v>
      </c>
      <c r="M1043" s="119" t="s">
        <v>2631</v>
      </c>
      <c r="N1043" s="135">
        <f>23.015+8.017</f>
        <v>31.032</v>
      </c>
      <c r="O1043" s="122"/>
      <c r="P1043" s="92">
        <f t="shared" si="228"/>
        <v>31.031599999999997</v>
      </c>
      <c r="Q1043" s="113">
        <f t="shared" si="229"/>
        <v>1.5178499999999997</v>
      </c>
      <c r="R1043" s="92">
        <f t="shared" si="230"/>
        <v>1.18055</v>
      </c>
      <c r="S1043" s="121"/>
      <c r="T1043" s="93">
        <f t="shared" si="231"/>
        <v>-4.0000000000284253E-4</v>
      </c>
      <c r="U1043" s="122"/>
      <c r="V1043" s="94">
        <f t="shared" ca="1" si="232"/>
        <v>303.4644447916653</v>
      </c>
      <c r="W1043" s="89"/>
    </row>
    <row r="1044" spans="1:23" s="312" customFormat="1" ht="18">
      <c r="A1044" s="260"/>
      <c r="B1044" s="260" t="s">
        <v>505</v>
      </c>
      <c r="C1044" s="358" t="s">
        <v>506</v>
      </c>
      <c r="D1044" s="131" t="s">
        <v>2516</v>
      </c>
      <c r="E1044" s="156">
        <v>552</v>
      </c>
      <c r="F1044" s="138">
        <v>45241</v>
      </c>
      <c r="G1044" s="252">
        <v>33.869999999999997</v>
      </c>
      <c r="H1044" s="150">
        <v>1780884.5999999999</v>
      </c>
      <c r="I1044" s="106">
        <f t="shared" si="227"/>
        <v>52580</v>
      </c>
      <c r="J1044" s="122"/>
      <c r="K1044" s="157" t="s">
        <v>2632</v>
      </c>
      <c r="L1044" s="166">
        <f t="shared" si="220"/>
        <v>552</v>
      </c>
      <c r="M1044" s="119" t="s">
        <v>2634</v>
      </c>
      <c r="N1044" s="135">
        <f>24.147+7.013</f>
        <v>31.159999999999997</v>
      </c>
      <c r="O1044" s="122"/>
      <c r="P1044" s="92">
        <f t="shared" si="228"/>
        <v>31.160399999999999</v>
      </c>
      <c r="Q1044" s="113">
        <f t="shared" si="229"/>
        <v>1.5241499999999999</v>
      </c>
      <c r="R1044" s="92">
        <f t="shared" si="230"/>
        <v>1.1854500000000001</v>
      </c>
      <c r="S1044" s="121"/>
      <c r="T1044" s="93">
        <f t="shared" si="231"/>
        <v>4.0000000000084412E-4</v>
      </c>
      <c r="U1044" s="122"/>
      <c r="V1044" s="94">
        <f t="shared" ca="1" si="232"/>
        <v>303.4644447916653</v>
      </c>
      <c r="W1044" s="89"/>
    </row>
    <row r="1045" spans="1:23" s="312" customFormat="1" ht="18">
      <c r="A1045" s="260"/>
      <c r="B1045" s="260" t="s">
        <v>505</v>
      </c>
      <c r="C1045" s="358" t="s">
        <v>506</v>
      </c>
      <c r="D1045" s="131" t="s">
        <v>2516</v>
      </c>
      <c r="E1045" s="156">
        <v>553</v>
      </c>
      <c r="F1045" s="138">
        <v>45241</v>
      </c>
      <c r="G1045" s="252">
        <v>30.02</v>
      </c>
      <c r="H1045" s="150">
        <v>1578451.6</v>
      </c>
      <c r="I1045" s="106">
        <f t="shared" si="227"/>
        <v>52580.000000000007</v>
      </c>
      <c r="J1045" s="122"/>
      <c r="K1045" s="157" t="s">
        <v>2633</v>
      </c>
      <c r="L1045" s="166">
        <f t="shared" si="220"/>
        <v>553</v>
      </c>
      <c r="M1045" s="119" t="s">
        <v>2634</v>
      </c>
      <c r="N1045" s="135">
        <f>24.978+2.64</f>
        <v>27.618000000000002</v>
      </c>
      <c r="O1045" s="122"/>
      <c r="P1045" s="92">
        <f t="shared" si="228"/>
        <v>27.618400000000001</v>
      </c>
      <c r="Q1045" s="113">
        <f t="shared" si="229"/>
        <v>1.3509</v>
      </c>
      <c r="R1045" s="92">
        <f t="shared" si="230"/>
        <v>1.0507000000000002</v>
      </c>
      <c r="S1045" s="121"/>
      <c r="T1045" s="93">
        <f t="shared" si="231"/>
        <v>3.9999999999729141E-4</v>
      </c>
      <c r="U1045" s="122"/>
      <c r="V1045" s="94">
        <f t="shared" ca="1" si="232"/>
        <v>303.4644447916653</v>
      </c>
      <c r="W1045" s="89"/>
    </row>
    <row r="1046" spans="1:23" s="312" customFormat="1" ht="18">
      <c r="A1046" s="260"/>
      <c r="B1046" s="260" t="s">
        <v>505</v>
      </c>
      <c r="C1046" s="358" t="s">
        <v>506</v>
      </c>
      <c r="D1046" s="131" t="s">
        <v>2516</v>
      </c>
      <c r="E1046" s="156">
        <v>554</v>
      </c>
      <c r="F1046" s="138">
        <v>45241</v>
      </c>
      <c r="G1046" s="252">
        <v>30.06</v>
      </c>
      <c r="H1046" s="150">
        <v>1580554.8</v>
      </c>
      <c r="I1046" s="106">
        <f t="shared" si="227"/>
        <v>52580.000000000007</v>
      </c>
      <c r="J1046" s="122"/>
      <c r="K1046" s="157">
        <v>1463</v>
      </c>
      <c r="L1046" s="166">
        <f t="shared" si="220"/>
        <v>554</v>
      </c>
      <c r="M1046" s="119" t="s">
        <v>2635</v>
      </c>
      <c r="N1046" s="135">
        <v>27.655000000000001</v>
      </c>
      <c r="O1046" s="122"/>
      <c r="P1046" s="92">
        <f t="shared" si="228"/>
        <v>27.655200000000001</v>
      </c>
      <c r="Q1046" s="113">
        <f t="shared" si="229"/>
        <v>1.3526999999999998</v>
      </c>
      <c r="R1046" s="92">
        <f t="shared" si="230"/>
        <v>1.0521</v>
      </c>
      <c r="S1046" s="121"/>
      <c r="T1046" s="93">
        <f t="shared" si="231"/>
        <v>1.9999999999775753E-4</v>
      </c>
      <c r="U1046" s="122"/>
      <c r="V1046" s="94">
        <f t="shared" ca="1" si="232"/>
        <v>303.4644447916653</v>
      </c>
      <c r="W1046" s="89"/>
    </row>
    <row r="1047" spans="1:23" s="312" customFormat="1" ht="18">
      <c r="A1047" s="260"/>
      <c r="B1047" s="260" t="s">
        <v>505</v>
      </c>
      <c r="C1047" s="358" t="s">
        <v>506</v>
      </c>
      <c r="D1047" s="131" t="s">
        <v>2516</v>
      </c>
      <c r="E1047" s="156">
        <v>555</v>
      </c>
      <c r="F1047" s="138">
        <v>45241</v>
      </c>
      <c r="G1047" s="252">
        <v>37.64</v>
      </c>
      <c r="H1047" s="150">
        <v>1979111.2</v>
      </c>
      <c r="I1047" s="106">
        <f t="shared" si="227"/>
        <v>52580</v>
      </c>
      <c r="J1047" s="122"/>
      <c r="K1047" s="157" t="s">
        <v>2636</v>
      </c>
      <c r="L1047" s="166">
        <f t="shared" si="220"/>
        <v>555</v>
      </c>
      <c r="M1047" s="119" t="s">
        <v>2634</v>
      </c>
      <c r="N1047" s="135">
        <f>2.237+32.208+0.184</f>
        <v>34.628999999999998</v>
      </c>
      <c r="O1047" s="122"/>
      <c r="P1047" s="92">
        <f t="shared" si="228"/>
        <v>34.628800000000005</v>
      </c>
      <c r="Q1047" s="113">
        <f t="shared" si="229"/>
        <v>1.6938</v>
      </c>
      <c r="R1047" s="92">
        <f t="shared" si="230"/>
        <v>1.3174000000000001</v>
      </c>
      <c r="S1047" s="121"/>
      <c r="T1047" s="93">
        <f t="shared" si="231"/>
        <v>-1.9999999999731344E-4</v>
      </c>
      <c r="U1047" s="122"/>
      <c r="V1047" s="94">
        <f t="shared" ca="1" si="232"/>
        <v>303.4644447916653</v>
      </c>
      <c r="W1047" s="89"/>
    </row>
    <row r="1048" spans="1:23" s="312" customFormat="1" ht="18">
      <c r="A1048" s="260"/>
      <c r="B1048" s="260" t="s">
        <v>505</v>
      </c>
      <c r="C1048" s="358" t="s">
        <v>506</v>
      </c>
      <c r="D1048" s="131" t="s">
        <v>2516</v>
      </c>
      <c r="E1048" s="156">
        <v>556</v>
      </c>
      <c r="F1048" s="138">
        <v>45241</v>
      </c>
      <c r="G1048" s="252">
        <v>33.799999999999997</v>
      </c>
      <c r="H1048" s="150">
        <v>1777203.9999999998</v>
      </c>
      <c r="I1048" s="106">
        <f t="shared" si="227"/>
        <v>52580</v>
      </c>
      <c r="J1048" s="122"/>
      <c r="K1048" s="157">
        <v>1467</v>
      </c>
      <c r="L1048" s="166">
        <f t="shared" si="220"/>
        <v>556</v>
      </c>
      <c r="M1048" s="119" t="s">
        <v>2635</v>
      </c>
      <c r="N1048" s="135">
        <v>31.096</v>
      </c>
      <c r="O1048" s="122"/>
      <c r="P1048" s="92">
        <f t="shared" si="228"/>
        <v>31.096</v>
      </c>
      <c r="Q1048" s="113">
        <f t="shared" si="229"/>
        <v>1.5209999999999999</v>
      </c>
      <c r="R1048" s="92">
        <f t="shared" si="230"/>
        <v>1.1830000000000001</v>
      </c>
      <c r="S1048" s="121"/>
      <c r="T1048" s="93">
        <f t="shared" si="231"/>
        <v>-2.886579864025407E-15</v>
      </c>
      <c r="U1048" s="122"/>
      <c r="V1048" s="94">
        <f t="shared" ca="1" si="232"/>
        <v>303.4644447916653</v>
      </c>
      <c r="W1048" s="89"/>
    </row>
    <row r="1049" spans="1:23" s="312" customFormat="1" ht="18">
      <c r="A1049" s="260"/>
      <c r="B1049" s="260" t="s">
        <v>505</v>
      </c>
      <c r="C1049" s="358" t="s">
        <v>506</v>
      </c>
      <c r="D1049" s="131" t="s">
        <v>2516</v>
      </c>
      <c r="E1049" s="156">
        <v>557</v>
      </c>
      <c r="F1049" s="138">
        <v>45241</v>
      </c>
      <c r="G1049" s="252">
        <v>30.1</v>
      </c>
      <c r="H1049" s="150">
        <v>1582658</v>
      </c>
      <c r="I1049" s="106">
        <f t="shared" si="221"/>
        <v>52580</v>
      </c>
      <c r="J1049" s="122"/>
      <c r="K1049" s="157" t="s">
        <v>2637</v>
      </c>
      <c r="L1049" s="166">
        <f t="shared" si="220"/>
        <v>557</v>
      </c>
      <c r="M1049" s="119" t="s">
        <v>2634</v>
      </c>
      <c r="N1049" s="135">
        <f>0.799+26.893</f>
        <v>27.692</v>
      </c>
      <c r="O1049" s="122"/>
      <c r="P1049" s="92">
        <f t="shared" si="222"/>
        <v>27.692000000000004</v>
      </c>
      <c r="Q1049" s="113">
        <f t="shared" si="223"/>
        <v>1.3545</v>
      </c>
      <c r="R1049" s="92">
        <f t="shared" si="224"/>
        <v>1.0535000000000001</v>
      </c>
      <c r="S1049" s="121"/>
      <c r="T1049" s="93">
        <f t="shared" si="225"/>
        <v>0</v>
      </c>
      <c r="U1049" s="122"/>
      <c r="V1049" s="94">
        <f t="shared" ca="1" si="226"/>
        <v>303.4644447916653</v>
      </c>
      <c r="W1049" s="89"/>
    </row>
    <row r="1050" spans="1:23" s="312" customFormat="1" ht="18">
      <c r="A1050" s="260"/>
      <c r="B1050" s="260" t="s">
        <v>505</v>
      </c>
      <c r="C1050" s="358" t="s">
        <v>506</v>
      </c>
      <c r="D1050" s="131" t="s">
        <v>2516</v>
      </c>
      <c r="E1050" s="156">
        <v>558</v>
      </c>
      <c r="F1050" s="138">
        <v>45241</v>
      </c>
      <c r="G1050" s="252">
        <v>29.93</v>
      </c>
      <c r="H1050" s="150">
        <v>1573719.4</v>
      </c>
      <c r="I1050" s="106">
        <f t="shared" si="221"/>
        <v>52580</v>
      </c>
      <c r="J1050" s="122"/>
      <c r="K1050" s="157" t="s">
        <v>2641</v>
      </c>
      <c r="L1050" s="166">
        <f t="shared" si="220"/>
        <v>558</v>
      </c>
      <c r="M1050" s="119" t="s">
        <v>2642</v>
      </c>
      <c r="N1050" s="135">
        <f>4.571+22.965</f>
        <v>27.536000000000001</v>
      </c>
      <c r="O1050" s="122"/>
      <c r="P1050" s="92">
        <f t="shared" si="222"/>
        <v>27.535600000000002</v>
      </c>
      <c r="Q1050" s="113">
        <f t="shared" si="223"/>
        <v>1.3468499999999999</v>
      </c>
      <c r="R1050" s="92">
        <f t="shared" si="224"/>
        <v>1.04755</v>
      </c>
      <c r="S1050" s="121"/>
      <c r="T1050" s="93">
        <f t="shared" si="225"/>
        <v>-4.0000000000151026E-4</v>
      </c>
      <c r="U1050" s="122"/>
      <c r="V1050" s="94">
        <f t="shared" ca="1" si="226"/>
        <v>303.4644447916653</v>
      </c>
      <c r="W1050" s="89"/>
    </row>
    <row r="1051" spans="1:23" s="312" customFormat="1" ht="18">
      <c r="A1051" s="260"/>
      <c r="B1051" s="260" t="s">
        <v>505</v>
      </c>
      <c r="C1051" s="358" t="s">
        <v>506</v>
      </c>
      <c r="D1051" s="131" t="s">
        <v>2516</v>
      </c>
      <c r="E1051" s="156">
        <v>559</v>
      </c>
      <c r="F1051" s="138">
        <v>45241</v>
      </c>
      <c r="G1051" s="252">
        <v>33.81</v>
      </c>
      <c r="H1051" s="150">
        <v>1777729.8</v>
      </c>
      <c r="I1051" s="106">
        <f t="shared" si="221"/>
        <v>52580</v>
      </c>
      <c r="J1051" s="122"/>
      <c r="K1051" s="157" t="s">
        <v>2644</v>
      </c>
      <c r="L1051" s="166">
        <f t="shared" si="220"/>
        <v>559</v>
      </c>
      <c r="M1051" s="119" t="s">
        <v>2645</v>
      </c>
      <c r="N1051" s="135">
        <f>9.322+21.783</f>
        <v>31.105</v>
      </c>
      <c r="O1051" s="122"/>
      <c r="P1051" s="92">
        <f t="shared" si="222"/>
        <v>31.105200000000004</v>
      </c>
      <c r="Q1051" s="113">
        <f t="shared" si="223"/>
        <v>1.52145</v>
      </c>
      <c r="R1051" s="92">
        <f t="shared" si="224"/>
        <v>1.1833500000000001</v>
      </c>
      <c r="S1051" s="121"/>
      <c r="T1051" s="93">
        <f t="shared" si="225"/>
        <v>2.0000000000175433E-4</v>
      </c>
      <c r="U1051" s="122"/>
      <c r="V1051" s="94">
        <f t="shared" ca="1" si="226"/>
        <v>303.4644447916653</v>
      </c>
      <c r="W1051" s="89"/>
    </row>
    <row r="1052" spans="1:23" s="312" customFormat="1" ht="18">
      <c r="A1052" s="260"/>
      <c r="B1052" s="260" t="s">
        <v>505</v>
      </c>
      <c r="C1052" s="358" t="s">
        <v>506</v>
      </c>
      <c r="D1052" s="131" t="s">
        <v>2516</v>
      </c>
      <c r="E1052" s="156">
        <v>560</v>
      </c>
      <c r="F1052" s="138">
        <v>45241</v>
      </c>
      <c r="G1052" s="252">
        <v>30.13</v>
      </c>
      <c r="H1052" s="150">
        <v>1584235.4</v>
      </c>
      <c r="I1052" s="106">
        <f t="shared" si="221"/>
        <v>52580</v>
      </c>
      <c r="J1052" s="122"/>
      <c r="K1052" s="157" t="s">
        <v>2646</v>
      </c>
      <c r="L1052" s="166">
        <f t="shared" si="220"/>
        <v>560</v>
      </c>
      <c r="M1052" s="119" t="s">
        <v>2645</v>
      </c>
      <c r="N1052" s="135">
        <f>10.438+17.282</f>
        <v>27.72</v>
      </c>
      <c r="O1052" s="122"/>
      <c r="P1052" s="92">
        <f t="shared" si="222"/>
        <v>27.7196</v>
      </c>
      <c r="Q1052" s="113">
        <f t="shared" si="223"/>
        <v>1.35585</v>
      </c>
      <c r="R1052" s="92">
        <f t="shared" si="224"/>
        <v>1.0545500000000001</v>
      </c>
      <c r="S1052" s="121"/>
      <c r="T1052" s="93">
        <f t="shared" si="225"/>
        <v>-3.9999999999995595E-4</v>
      </c>
      <c r="U1052" s="122"/>
      <c r="V1052" s="94">
        <f t="shared" ca="1" si="226"/>
        <v>303.4644447916653</v>
      </c>
      <c r="W1052" s="89"/>
    </row>
    <row r="1053" spans="1:23" s="312" customFormat="1" ht="18">
      <c r="A1053" s="260"/>
      <c r="B1053" s="260" t="s">
        <v>505</v>
      </c>
      <c r="C1053" s="358" t="s">
        <v>506</v>
      </c>
      <c r="D1053" s="131" t="s">
        <v>2516</v>
      </c>
      <c r="E1053" s="156">
        <v>561</v>
      </c>
      <c r="F1053" s="138">
        <v>45241</v>
      </c>
      <c r="G1053" s="252">
        <v>30.09</v>
      </c>
      <c r="H1053" s="150">
        <v>1582132.2</v>
      </c>
      <c r="I1053" s="106">
        <f t="shared" si="221"/>
        <v>52580</v>
      </c>
      <c r="J1053" s="122"/>
      <c r="K1053" s="157" t="s">
        <v>2647</v>
      </c>
      <c r="L1053" s="166">
        <f t="shared" si="220"/>
        <v>561</v>
      </c>
      <c r="M1053" s="119" t="s">
        <v>2645</v>
      </c>
      <c r="N1053" s="135">
        <f>14.634+13.049</f>
        <v>27.683</v>
      </c>
      <c r="O1053" s="122"/>
      <c r="P1053" s="92">
        <f t="shared" si="222"/>
        <v>27.6828</v>
      </c>
      <c r="Q1053" s="113">
        <f t="shared" si="223"/>
        <v>1.35405</v>
      </c>
      <c r="R1053" s="92">
        <f t="shared" si="224"/>
        <v>1.05315</v>
      </c>
      <c r="S1053" s="121"/>
      <c r="T1053" s="93">
        <f t="shared" si="225"/>
        <v>-1.9999999999997797E-4</v>
      </c>
      <c r="U1053" s="122"/>
      <c r="V1053" s="94">
        <f t="shared" ca="1" si="226"/>
        <v>303.4644447916653</v>
      </c>
      <c r="W1053" s="89"/>
    </row>
    <row r="1054" spans="1:23" s="312" customFormat="1" ht="18">
      <c r="A1054" s="260"/>
      <c r="B1054" s="260" t="s">
        <v>505</v>
      </c>
      <c r="C1054" s="358" t="s">
        <v>506</v>
      </c>
      <c r="D1054" s="131" t="s">
        <v>2516</v>
      </c>
      <c r="E1054" s="156">
        <v>562</v>
      </c>
      <c r="F1054" s="138">
        <v>45241</v>
      </c>
      <c r="G1054" s="252">
        <v>33.57</v>
      </c>
      <c r="H1054" s="150">
        <v>1765110.6</v>
      </c>
      <c r="I1054" s="106">
        <f t="shared" si="221"/>
        <v>52580</v>
      </c>
      <c r="J1054" s="122"/>
      <c r="K1054" s="157" t="s">
        <v>2648</v>
      </c>
      <c r="L1054" s="166">
        <f t="shared" si="220"/>
        <v>562</v>
      </c>
      <c r="M1054" s="119" t="s">
        <v>2645</v>
      </c>
      <c r="N1054" s="135">
        <f>19.223+11.661</f>
        <v>30.884</v>
      </c>
      <c r="O1054" s="122"/>
      <c r="P1054" s="92">
        <f t="shared" si="222"/>
        <v>30.884400000000003</v>
      </c>
      <c r="Q1054" s="113">
        <f t="shared" si="223"/>
        <v>1.51065</v>
      </c>
      <c r="R1054" s="92">
        <f t="shared" si="224"/>
        <v>1.1749500000000002</v>
      </c>
      <c r="S1054" s="121"/>
      <c r="T1054" s="93">
        <f t="shared" si="225"/>
        <v>3.999999999997339E-4</v>
      </c>
      <c r="U1054" s="122"/>
      <c r="V1054" s="94">
        <f t="shared" ca="1" si="226"/>
        <v>303.4644447916653</v>
      </c>
      <c r="W1054" s="89"/>
    </row>
    <row r="1055" spans="1:23" s="312" customFormat="1" ht="18">
      <c r="A1055" s="260"/>
      <c r="B1055" s="260" t="s">
        <v>505</v>
      </c>
      <c r="C1055" s="358" t="s">
        <v>506</v>
      </c>
      <c r="D1055" s="131" t="s">
        <v>2516</v>
      </c>
      <c r="E1055" s="156">
        <v>563</v>
      </c>
      <c r="F1055" s="138">
        <v>45241</v>
      </c>
      <c r="G1055" s="252">
        <v>33.74</v>
      </c>
      <c r="H1055" s="150">
        <v>1774049.2000000002</v>
      </c>
      <c r="I1055" s="106">
        <f t="shared" si="221"/>
        <v>52580</v>
      </c>
      <c r="J1055" s="122"/>
      <c r="K1055" s="157" t="s">
        <v>2649</v>
      </c>
      <c r="L1055" s="166">
        <f t="shared" si="220"/>
        <v>563</v>
      </c>
      <c r="M1055" s="119" t="s">
        <v>2645</v>
      </c>
      <c r="N1055" s="135">
        <f>21.594+9.447</f>
        <v>31.041</v>
      </c>
      <c r="O1055" s="122"/>
      <c r="P1055" s="92">
        <f t="shared" si="222"/>
        <v>31.040800000000004</v>
      </c>
      <c r="Q1055" s="113">
        <f t="shared" si="223"/>
        <v>1.5183</v>
      </c>
      <c r="R1055" s="92">
        <f t="shared" si="224"/>
        <v>1.1809000000000003</v>
      </c>
      <c r="S1055" s="121"/>
      <c r="T1055" s="93">
        <f t="shared" si="225"/>
        <v>-1.9999999999864571E-4</v>
      </c>
      <c r="U1055" s="122"/>
      <c r="V1055" s="94">
        <f t="shared" ca="1" si="226"/>
        <v>303.4644447916653</v>
      </c>
      <c r="W1055" s="89"/>
    </row>
    <row r="1056" spans="1:23" s="312" customFormat="1" ht="18">
      <c r="A1056" s="260"/>
      <c r="B1056" s="260" t="s">
        <v>505</v>
      </c>
      <c r="C1056" s="358" t="s">
        <v>506</v>
      </c>
      <c r="D1056" s="131" t="s">
        <v>2516</v>
      </c>
      <c r="E1056" s="156">
        <v>564</v>
      </c>
      <c r="F1056" s="138">
        <v>45241</v>
      </c>
      <c r="G1056" s="252">
        <v>3.29</v>
      </c>
      <c r="H1056" s="150">
        <v>172988.2</v>
      </c>
      <c r="I1056" s="106">
        <f t="shared" si="221"/>
        <v>52580</v>
      </c>
      <c r="J1056" s="122"/>
      <c r="K1056" s="157">
        <v>1485</v>
      </c>
      <c r="L1056" s="166">
        <f t="shared" si="220"/>
        <v>564</v>
      </c>
      <c r="M1056" s="119" t="s">
        <v>2643</v>
      </c>
      <c r="N1056" s="135">
        <v>3.0270000000000001</v>
      </c>
      <c r="O1056" s="122"/>
      <c r="P1056" s="92">
        <f t="shared" si="222"/>
        <v>3.0268000000000002</v>
      </c>
      <c r="Q1056" s="113">
        <f t="shared" si="223"/>
        <v>0.14804999999999999</v>
      </c>
      <c r="R1056" s="92">
        <f t="shared" si="224"/>
        <v>0.11515000000000002</v>
      </c>
      <c r="S1056" s="121"/>
      <c r="T1056" s="93">
        <f t="shared" si="225"/>
        <v>-2.0000000000010287E-4</v>
      </c>
      <c r="U1056" s="122"/>
      <c r="V1056" s="94">
        <f t="shared" ca="1" si="226"/>
        <v>303.4644447916653</v>
      </c>
      <c r="W1056" s="89"/>
    </row>
    <row r="1057" spans="1:23" s="312" customFormat="1" ht="18">
      <c r="A1057" s="260"/>
      <c r="B1057" s="260" t="s">
        <v>505</v>
      </c>
      <c r="C1057" s="358" t="s">
        <v>506</v>
      </c>
      <c r="D1057" s="131" t="s">
        <v>2516</v>
      </c>
      <c r="E1057" s="156">
        <v>565</v>
      </c>
      <c r="F1057" s="138">
        <v>45241</v>
      </c>
      <c r="G1057" s="252">
        <f>19.605+2.578</f>
        <v>22.183</v>
      </c>
      <c r="H1057" s="150">
        <v>1166382.1399999999</v>
      </c>
      <c r="I1057" s="106">
        <f t="shared" si="221"/>
        <v>52579.999999999993</v>
      </c>
      <c r="J1057" s="122"/>
      <c r="K1057" s="157" t="s">
        <v>2652</v>
      </c>
      <c r="L1057" s="166">
        <f t="shared" si="220"/>
        <v>565</v>
      </c>
      <c r="M1057" s="119" t="s">
        <v>2650</v>
      </c>
      <c r="N1057" s="135">
        <f>18.942+1.466</f>
        <v>20.408000000000001</v>
      </c>
      <c r="O1057" s="122"/>
      <c r="P1057" s="92">
        <f t="shared" si="222"/>
        <v>20.408360000000002</v>
      </c>
      <c r="Q1057" s="113">
        <f t="shared" si="223"/>
        <v>0.99823499999999998</v>
      </c>
      <c r="R1057" s="92">
        <f t="shared" si="224"/>
        <v>0.77640500000000012</v>
      </c>
      <c r="S1057" s="121"/>
      <c r="T1057" s="93">
        <f t="shared" si="225"/>
        <v>3.5999999999847265E-4</v>
      </c>
      <c r="U1057" s="122"/>
      <c r="V1057" s="94">
        <f t="shared" ca="1" si="226"/>
        <v>303.4644447916653</v>
      </c>
      <c r="W1057" s="89"/>
    </row>
    <row r="1058" spans="1:23" s="312" customFormat="1" ht="18">
      <c r="A1058" s="260"/>
      <c r="B1058" s="260"/>
      <c r="C1058" s="358"/>
      <c r="D1058" s="131"/>
      <c r="E1058" s="156"/>
      <c r="F1058" s="138"/>
      <c r="G1058" s="252"/>
      <c r="H1058" s="150"/>
      <c r="I1058" s="106"/>
      <c r="J1058" s="122"/>
      <c r="K1058" s="157"/>
      <c r="L1058" s="166"/>
      <c r="M1058" s="119"/>
      <c r="N1058" s="135"/>
      <c r="O1058" s="122"/>
      <c r="P1058" s="92"/>
      <c r="Q1058" s="113"/>
      <c r="R1058" s="92"/>
      <c r="S1058" s="121"/>
      <c r="T1058" s="93"/>
      <c r="U1058" s="122"/>
      <c r="V1058" s="94"/>
      <c r="W1058" s="89"/>
    </row>
    <row r="1059" spans="1:23" s="312" customFormat="1" ht="18">
      <c r="A1059" s="260"/>
      <c r="B1059" s="260" t="s">
        <v>505</v>
      </c>
      <c r="C1059" s="358" t="s">
        <v>506</v>
      </c>
      <c r="D1059" s="345" t="s">
        <v>2517</v>
      </c>
      <c r="E1059" s="156">
        <v>566</v>
      </c>
      <c r="F1059" s="138">
        <v>45241</v>
      </c>
      <c r="G1059" s="252">
        <v>30.03</v>
      </c>
      <c r="H1059" s="150">
        <v>1630629</v>
      </c>
      <c r="I1059" s="106">
        <f t="shared" si="221"/>
        <v>54300</v>
      </c>
      <c r="J1059" s="122"/>
      <c r="K1059" s="157">
        <v>1487</v>
      </c>
      <c r="L1059" s="166">
        <f t="shared" si="220"/>
        <v>566</v>
      </c>
      <c r="M1059" s="119" t="s">
        <v>2643</v>
      </c>
      <c r="N1059" s="135">
        <v>27.628</v>
      </c>
      <c r="O1059" s="122"/>
      <c r="P1059" s="92">
        <f t="shared" si="222"/>
        <v>27.627600000000001</v>
      </c>
      <c r="Q1059" s="113">
        <f t="shared" si="223"/>
        <v>1.3513500000000001</v>
      </c>
      <c r="R1059" s="92">
        <f t="shared" si="224"/>
        <v>1.05105</v>
      </c>
      <c r="S1059" s="121"/>
      <c r="T1059" s="93">
        <f t="shared" si="225"/>
        <v>-3.9999999999906777E-4</v>
      </c>
      <c r="U1059" s="122"/>
      <c r="V1059" s="94">
        <f t="shared" ca="1" si="226"/>
        <v>303.4644447916653</v>
      </c>
      <c r="W1059" s="89"/>
    </row>
    <row r="1060" spans="1:23" s="312" customFormat="1" ht="18">
      <c r="A1060" s="260"/>
      <c r="B1060" s="260" t="s">
        <v>505</v>
      </c>
      <c r="C1060" s="358" t="s">
        <v>506</v>
      </c>
      <c r="D1060" s="131" t="s">
        <v>2517</v>
      </c>
      <c r="E1060" s="156">
        <v>567</v>
      </c>
      <c r="F1060" s="138">
        <v>45241</v>
      </c>
      <c r="G1060" s="252">
        <v>30.02</v>
      </c>
      <c r="H1060" s="150">
        <v>1630086</v>
      </c>
      <c r="I1060" s="106">
        <f t="shared" si="221"/>
        <v>54300</v>
      </c>
      <c r="J1060" s="122"/>
      <c r="K1060" s="157" t="s">
        <v>2651</v>
      </c>
      <c r="L1060" s="166">
        <f t="shared" si="220"/>
        <v>567</v>
      </c>
      <c r="M1060" s="119" t="s">
        <v>2650</v>
      </c>
      <c r="N1060" s="135">
        <f>4.048+23.57</f>
        <v>27.618000000000002</v>
      </c>
      <c r="O1060" s="122"/>
      <c r="P1060" s="92">
        <f t="shared" si="222"/>
        <v>27.618400000000001</v>
      </c>
      <c r="Q1060" s="113">
        <f t="shared" si="223"/>
        <v>1.3509</v>
      </c>
      <c r="R1060" s="92">
        <f t="shared" si="224"/>
        <v>1.0507000000000002</v>
      </c>
      <c r="S1060" s="121"/>
      <c r="T1060" s="93">
        <f t="shared" si="225"/>
        <v>3.9999999999729141E-4</v>
      </c>
      <c r="U1060" s="122"/>
      <c r="V1060" s="94">
        <f t="shared" ca="1" si="226"/>
        <v>303.4644447916653</v>
      </c>
      <c r="W1060" s="89"/>
    </row>
    <row r="1061" spans="1:23" s="312" customFormat="1" ht="18">
      <c r="A1061" s="260"/>
      <c r="B1061" s="260" t="s">
        <v>505</v>
      </c>
      <c r="C1061" s="358" t="s">
        <v>506</v>
      </c>
      <c r="D1061" s="345" t="s">
        <v>2517</v>
      </c>
      <c r="E1061" s="156">
        <v>568</v>
      </c>
      <c r="F1061" s="138">
        <v>45241</v>
      </c>
      <c r="G1061" s="252">
        <v>11.274999999999999</v>
      </c>
      <c r="H1061" s="150">
        <v>612232.49999999988</v>
      </c>
      <c r="I1061" s="106">
        <f t="shared" si="221"/>
        <v>54300</v>
      </c>
      <c r="J1061" s="122"/>
      <c r="K1061" s="157" t="s">
        <v>2654</v>
      </c>
      <c r="L1061" s="166">
        <f t="shared" si="220"/>
        <v>568</v>
      </c>
      <c r="M1061" s="119" t="s">
        <v>2655</v>
      </c>
      <c r="N1061" s="135">
        <f>6.98+3.393</f>
        <v>10.373000000000001</v>
      </c>
      <c r="O1061" s="122"/>
      <c r="P1061" s="92">
        <f t="shared" si="222"/>
        <v>10.372999999999999</v>
      </c>
      <c r="Q1061" s="113">
        <f t="shared" si="223"/>
        <v>0.50737499999999991</v>
      </c>
      <c r="R1061" s="92">
        <f t="shared" si="224"/>
        <v>0.394625</v>
      </c>
      <c r="S1061" s="121"/>
      <c r="T1061" s="93">
        <f t="shared" si="225"/>
        <v>-2.4424906541753444E-15</v>
      </c>
      <c r="U1061" s="122"/>
      <c r="V1061" s="94">
        <f t="shared" ca="1" si="226"/>
        <v>303.4644447916653</v>
      </c>
      <c r="W1061" s="89"/>
    </row>
    <row r="1062" spans="1:23" s="312" customFormat="1" ht="18">
      <c r="A1062" s="260"/>
      <c r="B1062" s="260" t="s">
        <v>505</v>
      </c>
      <c r="C1062" s="358" t="s">
        <v>506</v>
      </c>
      <c r="D1062" s="131" t="s">
        <v>2517</v>
      </c>
      <c r="E1062" s="156">
        <v>569</v>
      </c>
      <c r="F1062" s="138">
        <v>45241</v>
      </c>
      <c r="G1062" s="252">
        <v>33.81</v>
      </c>
      <c r="H1062" s="150">
        <v>1835883.0000000002</v>
      </c>
      <c r="I1062" s="106">
        <f t="shared" si="221"/>
        <v>54300</v>
      </c>
      <c r="J1062" s="122"/>
      <c r="K1062" s="157" t="s">
        <v>2656</v>
      </c>
      <c r="L1062" s="166">
        <f t="shared" si="220"/>
        <v>569</v>
      </c>
      <c r="M1062" s="119" t="s">
        <v>2655</v>
      </c>
      <c r="N1062" s="135">
        <f>28.691+2.414</f>
        <v>31.105</v>
      </c>
      <c r="O1062" s="122"/>
      <c r="P1062" s="92">
        <f t="shared" si="222"/>
        <v>31.105200000000004</v>
      </c>
      <c r="Q1062" s="113">
        <f t="shared" si="223"/>
        <v>1.52145</v>
      </c>
      <c r="R1062" s="92">
        <f t="shared" si="224"/>
        <v>1.1833500000000001</v>
      </c>
      <c r="S1062" s="121"/>
      <c r="T1062" s="93">
        <f t="shared" si="225"/>
        <v>2.0000000000175433E-4</v>
      </c>
      <c r="U1062" s="122"/>
      <c r="V1062" s="94">
        <f t="shared" ca="1" si="226"/>
        <v>303.4644447916653</v>
      </c>
      <c r="W1062" s="89"/>
    </row>
    <row r="1063" spans="1:23" s="312" customFormat="1" ht="18">
      <c r="A1063" s="260"/>
      <c r="B1063" s="260" t="s">
        <v>505</v>
      </c>
      <c r="C1063" s="358" t="s">
        <v>506</v>
      </c>
      <c r="D1063" s="131" t="s">
        <v>2517</v>
      </c>
      <c r="E1063" s="156">
        <v>570</v>
      </c>
      <c r="F1063" s="138">
        <v>45241</v>
      </c>
      <c r="G1063" s="252">
        <v>29.97</v>
      </c>
      <c r="H1063" s="150">
        <v>1627371</v>
      </c>
      <c r="I1063" s="106">
        <f t="shared" si="221"/>
        <v>54300</v>
      </c>
      <c r="J1063" s="122"/>
      <c r="K1063" s="157">
        <v>1495</v>
      </c>
      <c r="L1063" s="166">
        <f t="shared" si="220"/>
        <v>570</v>
      </c>
      <c r="M1063" s="119" t="s">
        <v>2653</v>
      </c>
      <c r="N1063" s="135">
        <v>27.571999999999999</v>
      </c>
      <c r="O1063" s="122"/>
      <c r="P1063" s="92">
        <f t="shared" si="222"/>
        <v>27.572400000000002</v>
      </c>
      <c r="Q1063" s="113">
        <f t="shared" si="223"/>
        <v>1.3486499999999999</v>
      </c>
      <c r="R1063" s="92">
        <f t="shared" si="224"/>
        <v>1.04895</v>
      </c>
      <c r="S1063" s="121"/>
      <c r="T1063" s="93">
        <f t="shared" si="225"/>
        <v>3.999999999997339E-4</v>
      </c>
      <c r="U1063" s="122"/>
      <c r="V1063" s="94">
        <f t="shared" ca="1" si="226"/>
        <v>303.4644447916653</v>
      </c>
      <c r="W1063" s="89"/>
    </row>
    <row r="1064" spans="1:23" s="312" customFormat="1" ht="18">
      <c r="A1064" s="260"/>
      <c r="B1064" s="260" t="s">
        <v>505</v>
      </c>
      <c r="C1064" s="358" t="s">
        <v>506</v>
      </c>
      <c r="D1064" s="131" t="s">
        <v>2517</v>
      </c>
      <c r="E1064" s="156">
        <v>571</v>
      </c>
      <c r="F1064" s="138">
        <v>45241</v>
      </c>
      <c r="G1064" s="252">
        <v>29.93</v>
      </c>
      <c r="H1064" s="150">
        <v>1625199</v>
      </c>
      <c r="I1064" s="106">
        <f t="shared" si="221"/>
        <v>54300</v>
      </c>
      <c r="J1064" s="122"/>
      <c r="K1064" s="157" t="s">
        <v>2657</v>
      </c>
      <c r="L1064" s="166">
        <f t="shared" si="220"/>
        <v>571</v>
      </c>
      <c r="M1064" s="119" t="s">
        <v>2655</v>
      </c>
      <c r="N1064" s="135">
        <f>1.633+25.903</f>
        <v>27.535999999999998</v>
      </c>
      <c r="O1064" s="122"/>
      <c r="P1064" s="92">
        <f t="shared" si="222"/>
        <v>27.535600000000002</v>
      </c>
      <c r="Q1064" s="113">
        <f t="shared" si="223"/>
        <v>1.3468499999999999</v>
      </c>
      <c r="R1064" s="92">
        <f t="shared" si="224"/>
        <v>1.04755</v>
      </c>
      <c r="S1064" s="121"/>
      <c r="T1064" s="93">
        <f t="shared" si="225"/>
        <v>-3.9999999999795754E-4</v>
      </c>
      <c r="U1064" s="122"/>
      <c r="V1064" s="94">
        <f t="shared" ca="1" si="226"/>
        <v>303.4644447916653</v>
      </c>
      <c r="W1064" s="89"/>
    </row>
    <row r="1065" spans="1:23" s="312" customFormat="1" ht="18">
      <c r="A1065" s="260"/>
      <c r="B1065" s="260" t="s">
        <v>505</v>
      </c>
      <c r="C1065" s="358" t="s">
        <v>506</v>
      </c>
      <c r="D1065" s="131" t="s">
        <v>2517</v>
      </c>
      <c r="E1065" s="156">
        <v>572</v>
      </c>
      <c r="F1065" s="138">
        <v>45241</v>
      </c>
      <c r="G1065" s="252">
        <v>29.86</v>
      </c>
      <c r="H1065" s="150">
        <v>1621398</v>
      </c>
      <c r="I1065" s="106">
        <f t="shared" si="221"/>
        <v>54300</v>
      </c>
      <c r="J1065" s="122"/>
      <c r="K1065" s="157" t="s">
        <v>2658</v>
      </c>
      <c r="L1065" s="166">
        <f t="shared" si="220"/>
        <v>572</v>
      </c>
      <c r="M1065" s="119" t="s">
        <v>2655</v>
      </c>
      <c r="N1065" s="135">
        <f>7.089+20.382</f>
        <v>27.471000000000004</v>
      </c>
      <c r="O1065" s="122"/>
      <c r="P1065" s="92">
        <f t="shared" si="222"/>
        <v>27.4712</v>
      </c>
      <c r="Q1065" s="113">
        <f t="shared" si="223"/>
        <v>1.3436999999999999</v>
      </c>
      <c r="R1065" s="92">
        <f t="shared" si="224"/>
        <v>1.0451000000000001</v>
      </c>
      <c r="S1065" s="121"/>
      <c r="T1065" s="93">
        <f t="shared" si="225"/>
        <v>1.9999999999575913E-4</v>
      </c>
      <c r="U1065" s="122"/>
      <c r="V1065" s="94">
        <f t="shared" ca="1" si="226"/>
        <v>303.4644447916653</v>
      </c>
      <c r="W1065" s="89"/>
    </row>
    <row r="1066" spans="1:23" s="312" customFormat="1" ht="18">
      <c r="A1066" s="260"/>
      <c r="B1066" s="260" t="s">
        <v>505</v>
      </c>
      <c r="C1066" s="358" t="s">
        <v>506</v>
      </c>
      <c r="D1066" s="131" t="s">
        <v>2517</v>
      </c>
      <c r="E1066" s="156">
        <v>573</v>
      </c>
      <c r="F1066" s="138">
        <v>45241</v>
      </c>
      <c r="G1066" s="252">
        <v>30.03</v>
      </c>
      <c r="H1066" s="150">
        <v>1630629</v>
      </c>
      <c r="I1066" s="106">
        <f t="shared" si="221"/>
        <v>54300</v>
      </c>
      <c r="J1066" s="122"/>
      <c r="K1066" s="157" t="s">
        <v>2659</v>
      </c>
      <c r="L1066" s="166">
        <f t="shared" si="220"/>
        <v>573</v>
      </c>
      <c r="M1066" s="119" t="s">
        <v>2655</v>
      </c>
      <c r="N1066" s="135">
        <f>12.008+15.62</f>
        <v>27.628</v>
      </c>
      <c r="O1066" s="122"/>
      <c r="P1066" s="92">
        <f t="shared" si="222"/>
        <v>27.627600000000001</v>
      </c>
      <c r="Q1066" s="113">
        <f t="shared" si="223"/>
        <v>1.3513500000000001</v>
      </c>
      <c r="R1066" s="92">
        <f t="shared" si="224"/>
        <v>1.05105</v>
      </c>
      <c r="S1066" s="121"/>
      <c r="T1066" s="93">
        <f t="shared" si="225"/>
        <v>-3.9999999999906777E-4</v>
      </c>
      <c r="U1066" s="122"/>
      <c r="V1066" s="94">
        <f t="shared" ca="1" si="226"/>
        <v>303.4644447916653</v>
      </c>
      <c r="W1066" s="89"/>
    </row>
    <row r="1067" spans="1:23" s="312" customFormat="1" ht="18">
      <c r="A1067" s="260"/>
      <c r="B1067" s="260" t="s">
        <v>505</v>
      </c>
      <c r="C1067" s="358" t="s">
        <v>506</v>
      </c>
      <c r="D1067" s="131" t="s">
        <v>2517</v>
      </c>
      <c r="E1067" s="156">
        <v>574</v>
      </c>
      <c r="F1067" s="138">
        <v>45241</v>
      </c>
      <c r="G1067" s="252">
        <v>33.74</v>
      </c>
      <c r="H1067" s="150">
        <v>1832082</v>
      </c>
      <c r="I1067" s="106">
        <f t="shared" si="221"/>
        <v>54300</v>
      </c>
      <c r="J1067" s="122"/>
      <c r="K1067" s="157" t="s">
        <v>2660</v>
      </c>
      <c r="L1067" s="166">
        <f t="shared" si="220"/>
        <v>574</v>
      </c>
      <c r="M1067" s="119" t="s">
        <v>2655</v>
      </c>
      <c r="N1067" s="135">
        <f>16.049+14.992</f>
        <v>31.041</v>
      </c>
      <c r="O1067" s="122"/>
      <c r="P1067" s="92">
        <f t="shared" si="222"/>
        <v>31.040800000000004</v>
      </c>
      <c r="Q1067" s="113">
        <f t="shared" si="223"/>
        <v>1.5183</v>
      </c>
      <c r="R1067" s="92">
        <f t="shared" si="224"/>
        <v>1.1809000000000003</v>
      </c>
      <c r="S1067" s="121"/>
      <c r="T1067" s="93">
        <f t="shared" si="225"/>
        <v>-1.9999999999864571E-4</v>
      </c>
      <c r="U1067" s="122"/>
      <c r="V1067" s="94">
        <f t="shared" ca="1" si="226"/>
        <v>303.4644447916653</v>
      </c>
      <c r="W1067" s="89"/>
    </row>
    <row r="1068" spans="1:23" s="312" customFormat="1" ht="18">
      <c r="A1068" s="260"/>
      <c r="B1068" s="260" t="s">
        <v>505</v>
      </c>
      <c r="C1068" s="358" t="s">
        <v>506</v>
      </c>
      <c r="D1068" s="131" t="s">
        <v>2517</v>
      </c>
      <c r="E1068" s="156">
        <v>575</v>
      </c>
      <c r="F1068" s="138">
        <v>45241</v>
      </c>
      <c r="G1068" s="252">
        <v>33.75</v>
      </c>
      <c r="H1068" s="150">
        <v>1832625</v>
      </c>
      <c r="I1068" s="106">
        <f t="shared" si="221"/>
        <v>54300</v>
      </c>
      <c r="J1068" s="122"/>
      <c r="K1068" s="157" t="s">
        <v>2663</v>
      </c>
      <c r="L1068" s="166">
        <f t="shared" si="220"/>
        <v>575</v>
      </c>
      <c r="M1068" s="119" t="s">
        <v>2664</v>
      </c>
      <c r="N1068" s="135">
        <f>17.964+13.086</f>
        <v>31.049999999999997</v>
      </c>
      <c r="O1068" s="122"/>
      <c r="P1068" s="92">
        <f t="shared" si="222"/>
        <v>31.05</v>
      </c>
      <c r="Q1068" s="113">
        <f t="shared" si="223"/>
        <v>1.51875</v>
      </c>
      <c r="R1068" s="92">
        <f t="shared" si="224"/>
        <v>1.1812500000000001</v>
      </c>
      <c r="S1068" s="121"/>
      <c r="T1068" s="93">
        <f t="shared" si="225"/>
        <v>2.6645352591003757E-15</v>
      </c>
      <c r="U1068" s="122"/>
      <c r="V1068" s="94">
        <f t="shared" ca="1" si="226"/>
        <v>303.4644447916653</v>
      </c>
      <c r="W1068" s="89"/>
    </row>
    <row r="1069" spans="1:23" s="312" customFormat="1" ht="18">
      <c r="A1069" s="260"/>
      <c r="B1069" s="260" t="s">
        <v>505</v>
      </c>
      <c r="C1069" s="358" t="s">
        <v>506</v>
      </c>
      <c r="D1069" s="131" t="s">
        <v>2517</v>
      </c>
      <c r="E1069" s="156">
        <v>576</v>
      </c>
      <c r="F1069" s="138">
        <v>45241</v>
      </c>
      <c r="G1069" s="252">
        <v>41.34</v>
      </c>
      <c r="H1069" s="150">
        <v>2244762</v>
      </c>
      <c r="I1069" s="106">
        <f t="shared" si="214"/>
        <v>54299.999999999993</v>
      </c>
      <c r="J1069" s="122"/>
      <c r="K1069" s="157" t="s">
        <v>2665</v>
      </c>
      <c r="L1069" s="166">
        <f t="shared" si="220"/>
        <v>576</v>
      </c>
      <c r="M1069" s="119" t="s">
        <v>2666</v>
      </c>
      <c r="N1069" s="135">
        <f>32.704+5.329</f>
        <v>38.033000000000001</v>
      </c>
      <c r="O1069" s="122"/>
      <c r="P1069" s="92">
        <f t="shared" si="215"/>
        <v>38.032800000000002</v>
      </c>
      <c r="Q1069" s="113">
        <f t="shared" si="216"/>
        <v>1.8603000000000001</v>
      </c>
      <c r="R1069" s="92">
        <f t="shared" si="217"/>
        <v>1.4469000000000003</v>
      </c>
      <c r="S1069" s="121"/>
      <c r="T1069" s="93">
        <f t="shared" si="218"/>
        <v>-1.9999999999820162E-4</v>
      </c>
      <c r="U1069" s="122"/>
      <c r="V1069" s="94">
        <f t="shared" ca="1" si="219"/>
        <v>303.4644447916653</v>
      </c>
      <c r="W1069" s="89"/>
    </row>
    <row r="1070" spans="1:23" s="312" customFormat="1" ht="18">
      <c r="A1070" s="260"/>
      <c r="B1070" s="260" t="s">
        <v>505</v>
      </c>
      <c r="C1070" s="358" t="s">
        <v>506</v>
      </c>
      <c r="D1070" s="131" t="s">
        <v>2517</v>
      </c>
      <c r="E1070" s="156">
        <v>577</v>
      </c>
      <c r="F1070" s="138">
        <v>45241</v>
      </c>
      <c r="G1070" s="252">
        <v>33.85</v>
      </c>
      <c r="H1070" s="150">
        <v>1838055</v>
      </c>
      <c r="I1070" s="106">
        <f t="shared" si="214"/>
        <v>54300</v>
      </c>
      <c r="J1070" s="122"/>
      <c r="K1070" s="157" t="s">
        <v>2667</v>
      </c>
      <c r="L1070" s="166">
        <f t="shared" si="220"/>
        <v>577</v>
      </c>
      <c r="M1070" s="119" t="s">
        <v>2666</v>
      </c>
      <c r="N1070" s="135">
        <f>19.156+11.986</f>
        <v>31.141999999999999</v>
      </c>
      <c r="O1070" s="122"/>
      <c r="P1070" s="92">
        <f t="shared" si="215"/>
        <v>31.142000000000003</v>
      </c>
      <c r="Q1070" s="113">
        <f t="shared" si="216"/>
        <v>1.52325</v>
      </c>
      <c r="R1070" s="92">
        <f t="shared" si="217"/>
        <v>1.1847500000000002</v>
      </c>
      <c r="S1070" s="121"/>
      <c r="T1070" s="93">
        <f t="shared" si="218"/>
        <v>1.7763568394002505E-15</v>
      </c>
      <c r="U1070" s="122"/>
      <c r="V1070" s="94">
        <f t="shared" ca="1" si="219"/>
        <v>303.4644447916653</v>
      </c>
      <c r="W1070" s="89"/>
    </row>
    <row r="1071" spans="1:23" s="312" customFormat="1" ht="18">
      <c r="A1071" s="260"/>
      <c r="B1071" s="260" t="s">
        <v>505</v>
      </c>
      <c r="C1071" s="358" t="s">
        <v>506</v>
      </c>
      <c r="D1071" s="131" t="s">
        <v>2517</v>
      </c>
      <c r="E1071" s="156">
        <v>578</v>
      </c>
      <c r="F1071" s="138">
        <v>45241</v>
      </c>
      <c r="G1071" s="252">
        <v>60.07</v>
      </c>
      <c r="H1071" s="150">
        <v>3261801</v>
      </c>
      <c r="I1071" s="106">
        <f t="shared" si="214"/>
        <v>54300</v>
      </c>
      <c r="J1071" s="122"/>
      <c r="K1071" s="157" t="s">
        <v>2668</v>
      </c>
      <c r="L1071" s="166">
        <f t="shared" si="220"/>
        <v>578</v>
      </c>
      <c r="M1071" s="119" t="s">
        <v>2666</v>
      </c>
      <c r="N1071" s="135">
        <f>31.371+23.893</f>
        <v>55.263999999999996</v>
      </c>
      <c r="O1071" s="122"/>
      <c r="P1071" s="92">
        <f t="shared" si="215"/>
        <v>55.264400000000002</v>
      </c>
      <c r="Q1071" s="113">
        <f t="shared" si="216"/>
        <v>2.7031499999999999</v>
      </c>
      <c r="R1071" s="92">
        <f t="shared" si="217"/>
        <v>2.1024500000000002</v>
      </c>
      <c r="S1071" s="121"/>
      <c r="T1071" s="93">
        <f t="shared" si="218"/>
        <v>4.0000000000439684E-4</v>
      </c>
      <c r="U1071" s="122"/>
      <c r="V1071" s="94">
        <f t="shared" ca="1" si="219"/>
        <v>303.4644447916653</v>
      </c>
      <c r="W1071" s="89"/>
    </row>
    <row r="1072" spans="1:23" s="312" customFormat="1" ht="18">
      <c r="A1072" s="260"/>
      <c r="B1072" s="260" t="s">
        <v>505</v>
      </c>
      <c r="C1072" s="358" t="s">
        <v>506</v>
      </c>
      <c r="D1072" s="131" t="s">
        <v>2517</v>
      </c>
      <c r="E1072" s="156">
        <v>579</v>
      </c>
      <c r="F1072" s="138">
        <v>45241</v>
      </c>
      <c r="G1072" s="252">
        <v>41.36</v>
      </c>
      <c r="H1072" s="150">
        <v>2245848</v>
      </c>
      <c r="I1072" s="106">
        <f t="shared" si="214"/>
        <v>54300</v>
      </c>
      <c r="J1072" s="122"/>
      <c r="K1072" s="157" t="s">
        <v>2669</v>
      </c>
      <c r="L1072" s="166">
        <f t="shared" si="220"/>
        <v>579</v>
      </c>
      <c r="M1072" s="119" t="s">
        <v>2666</v>
      </c>
      <c r="N1072" s="135">
        <f>32.021+6.03</f>
        <v>38.051000000000002</v>
      </c>
      <c r="O1072" s="122"/>
      <c r="P1072" s="92">
        <f t="shared" si="215"/>
        <v>38.051200000000001</v>
      </c>
      <c r="Q1072" s="113">
        <f t="shared" si="216"/>
        <v>1.8612</v>
      </c>
      <c r="R1072" s="92">
        <f t="shared" si="217"/>
        <v>1.4476000000000002</v>
      </c>
      <c r="S1072" s="121"/>
      <c r="T1072" s="93">
        <f t="shared" si="218"/>
        <v>1.9999999999731344E-4</v>
      </c>
      <c r="U1072" s="122"/>
      <c r="V1072" s="94">
        <f t="shared" ca="1" si="219"/>
        <v>303.4644447916653</v>
      </c>
      <c r="W1072" s="89"/>
    </row>
    <row r="1073" spans="1:23" s="312" customFormat="1" ht="18">
      <c r="A1073" s="260"/>
      <c r="B1073" s="260" t="s">
        <v>505</v>
      </c>
      <c r="C1073" s="358" t="s">
        <v>506</v>
      </c>
      <c r="D1073" s="131" t="s">
        <v>2517</v>
      </c>
      <c r="E1073" s="156">
        <v>580</v>
      </c>
      <c r="F1073" s="138">
        <v>45241</v>
      </c>
      <c r="G1073" s="252">
        <v>33.81</v>
      </c>
      <c r="H1073" s="150">
        <v>1835883.0000000002</v>
      </c>
      <c r="I1073" s="106">
        <f t="shared" si="214"/>
        <v>54300</v>
      </c>
      <c r="J1073" s="122"/>
      <c r="K1073" s="157" t="s">
        <v>2673</v>
      </c>
      <c r="L1073" s="166">
        <f t="shared" si="220"/>
        <v>580</v>
      </c>
      <c r="M1073" s="119" t="s">
        <v>2671</v>
      </c>
      <c r="N1073" s="135">
        <f>15.73+7.745+7.63</f>
        <v>31.105</v>
      </c>
      <c r="O1073" s="122"/>
      <c r="P1073" s="92">
        <f t="shared" si="215"/>
        <v>31.105200000000004</v>
      </c>
      <c r="Q1073" s="113">
        <f t="shared" si="216"/>
        <v>1.52145</v>
      </c>
      <c r="R1073" s="92">
        <f t="shared" si="217"/>
        <v>1.1833500000000001</v>
      </c>
      <c r="S1073" s="121"/>
      <c r="T1073" s="93">
        <f t="shared" si="218"/>
        <v>2.0000000000175433E-4</v>
      </c>
      <c r="U1073" s="122"/>
      <c r="V1073" s="94">
        <f t="shared" ca="1" si="219"/>
        <v>303.4644447916653</v>
      </c>
      <c r="W1073" s="89"/>
    </row>
    <row r="1074" spans="1:23" s="312" customFormat="1" ht="18">
      <c r="A1074" s="260"/>
      <c r="B1074" s="260" t="s">
        <v>505</v>
      </c>
      <c r="C1074" s="358" t="s">
        <v>506</v>
      </c>
      <c r="D1074" s="131" t="s">
        <v>2517</v>
      </c>
      <c r="E1074" s="156">
        <v>581</v>
      </c>
      <c r="F1074" s="138">
        <v>45241</v>
      </c>
      <c r="G1074" s="252">
        <v>33.79</v>
      </c>
      <c r="H1074" s="150">
        <v>1834797</v>
      </c>
      <c r="I1074" s="106">
        <f t="shared" si="214"/>
        <v>54300</v>
      </c>
      <c r="J1074" s="122"/>
      <c r="K1074" s="157" t="s">
        <v>2674</v>
      </c>
      <c r="L1074" s="166">
        <f t="shared" si="220"/>
        <v>581</v>
      </c>
      <c r="M1074" s="119" t="s">
        <v>2670</v>
      </c>
      <c r="N1074" s="135">
        <f>25.27+5.817</f>
        <v>31.087</v>
      </c>
      <c r="O1074" s="122"/>
      <c r="P1074" s="92">
        <f t="shared" si="215"/>
        <v>31.0868</v>
      </c>
      <c r="Q1074" s="113">
        <f t="shared" si="216"/>
        <v>1.5205499999999998</v>
      </c>
      <c r="R1074" s="92">
        <f t="shared" si="217"/>
        <v>1.18265</v>
      </c>
      <c r="S1074" s="121"/>
      <c r="T1074" s="93">
        <f t="shared" si="218"/>
        <v>-2.0000000000042206E-4</v>
      </c>
      <c r="U1074" s="122"/>
      <c r="V1074" s="94">
        <f t="shared" ca="1" si="219"/>
        <v>303.4644447916653</v>
      </c>
      <c r="W1074" s="89"/>
    </row>
    <row r="1075" spans="1:23" s="312" customFormat="1" ht="18">
      <c r="A1075" s="260"/>
      <c r="B1075" s="260" t="s">
        <v>505</v>
      </c>
      <c r="C1075" s="358" t="s">
        <v>506</v>
      </c>
      <c r="D1075" s="131" t="s">
        <v>2517</v>
      </c>
      <c r="E1075" s="156">
        <v>582</v>
      </c>
      <c r="F1075" s="138">
        <v>45241</v>
      </c>
      <c r="G1075" s="252">
        <v>37.659999999999997</v>
      </c>
      <c r="H1075" s="150">
        <v>2044937.9999999998</v>
      </c>
      <c r="I1075" s="106">
        <f t="shared" si="214"/>
        <v>54300</v>
      </c>
      <c r="J1075" s="122"/>
      <c r="K1075" s="157" t="s">
        <v>2679</v>
      </c>
      <c r="L1075" s="166">
        <f t="shared" si="220"/>
        <v>582</v>
      </c>
      <c r="M1075" s="119" t="s">
        <v>2675</v>
      </c>
      <c r="N1075" s="135">
        <f>18.805+15.842</f>
        <v>34.646999999999998</v>
      </c>
      <c r="O1075" s="122"/>
      <c r="P1075" s="92">
        <f t="shared" si="215"/>
        <v>34.647199999999998</v>
      </c>
      <c r="Q1075" s="113">
        <f t="shared" si="216"/>
        <v>1.6946999999999999</v>
      </c>
      <c r="R1075" s="92">
        <f t="shared" si="217"/>
        <v>1.3181</v>
      </c>
      <c r="S1075" s="121"/>
      <c r="T1075" s="93">
        <f t="shared" si="218"/>
        <v>1.9999999999820162E-4</v>
      </c>
      <c r="U1075" s="122"/>
      <c r="V1075" s="94">
        <f t="shared" ca="1" si="219"/>
        <v>303.4644447916653</v>
      </c>
      <c r="W1075" s="89"/>
    </row>
    <row r="1076" spans="1:23" s="312" customFormat="1" ht="18">
      <c r="A1076" s="260"/>
      <c r="B1076" s="260" t="s">
        <v>505</v>
      </c>
      <c r="C1076" s="358" t="s">
        <v>506</v>
      </c>
      <c r="D1076" s="131" t="s">
        <v>2517</v>
      </c>
      <c r="E1076" s="156">
        <v>583</v>
      </c>
      <c r="F1076" s="138">
        <v>45241</v>
      </c>
      <c r="G1076" s="252">
        <v>33.909999999999997</v>
      </c>
      <c r="H1076" s="150">
        <v>1841312.9999999998</v>
      </c>
      <c r="I1076" s="106">
        <f t="shared" si="214"/>
        <v>54300</v>
      </c>
      <c r="J1076" s="122"/>
      <c r="K1076" s="157">
        <v>1523</v>
      </c>
      <c r="L1076" s="166">
        <f t="shared" si="220"/>
        <v>583</v>
      </c>
      <c r="M1076" s="119" t="s">
        <v>2672</v>
      </c>
      <c r="N1076" s="135">
        <v>31.233000000000001</v>
      </c>
      <c r="O1076" s="122"/>
      <c r="P1076" s="92">
        <f>G1076*0.92+0.036</f>
        <v>31.2332</v>
      </c>
      <c r="Q1076" s="113">
        <v>1.508</v>
      </c>
      <c r="R1076" s="92">
        <v>1.169</v>
      </c>
      <c r="S1076" s="121"/>
      <c r="T1076" s="93">
        <f t="shared" si="218"/>
        <v>-3.9968028886505635E-15</v>
      </c>
      <c r="U1076" s="122"/>
      <c r="V1076" s="94">
        <f t="shared" ca="1" si="219"/>
        <v>303.4644447916653</v>
      </c>
      <c r="W1076" s="89"/>
    </row>
    <row r="1077" spans="1:23" s="312" customFormat="1" ht="18">
      <c r="A1077" s="260"/>
      <c r="B1077" s="260" t="s">
        <v>505</v>
      </c>
      <c r="C1077" s="358" t="s">
        <v>506</v>
      </c>
      <c r="D1077" s="131" t="s">
        <v>2517</v>
      </c>
      <c r="E1077" s="156">
        <v>584</v>
      </c>
      <c r="F1077" s="138">
        <v>45241</v>
      </c>
      <c r="G1077" s="252">
        <v>30.13</v>
      </c>
      <c r="H1077" s="150">
        <v>1636059</v>
      </c>
      <c r="I1077" s="106">
        <f t="shared" si="214"/>
        <v>54300</v>
      </c>
      <c r="J1077" s="122"/>
      <c r="K1077" s="157" t="s">
        <v>2680</v>
      </c>
      <c r="L1077" s="166">
        <f t="shared" si="220"/>
        <v>584</v>
      </c>
      <c r="M1077" s="119" t="s">
        <v>2675</v>
      </c>
      <c r="N1077" s="135">
        <f>16.332+11.388</f>
        <v>27.72</v>
      </c>
      <c r="O1077" s="122"/>
      <c r="P1077" s="92">
        <f t="shared" si="215"/>
        <v>27.7196</v>
      </c>
      <c r="Q1077" s="113">
        <f t="shared" si="216"/>
        <v>1.35585</v>
      </c>
      <c r="R1077" s="92">
        <f t="shared" si="217"/>
        <v>1.0545500000000001</v>
      </c>
      <c r="S1077" s="121"/>
      <c r="T1077" s="93">
        <f t="shared" si="218"/>
        <v>-3.9999999999995595E-4</v>
      </c>
      <c r="U1077" s="122"/>
      <c r="V1077" s="94">
        <f t="shared" ca="1" si="219"/>
        <v>303.4644447916653</v>
      </c>
      <c r="W1077" s="89"/>
    </row>
    <row r="1078" spans="1:23" s="312" customFormat="1" ht="18">
      <c r="A1078" s="260"/>
      <c r="B1078" s="260" t="s">
        <v>505</v>
      </c>
      <c r="C1078" s="358" t="s">
        <v>506</v>
      </c>
      <c r="D1078" s="131" t="s">
        <v>2517</v>
      </c>
      <c r="E1078" s="156">
        <v>585</v>
      </c>
      <c r="F1078" s="138">
        <v>45241</v>
      </c>
      <c r="G1078" s="252">
        <v>41.43</v>
      </c>
      <c r="H1078" s="150">
        <v>2249649</v>
      </c>
      <c r="I1078" s="106">
        <f t="shared" si="214"/>
        <v>54300</v>
      </c>
      <c r="J1078" s="122"/>
      <c r="K1078" s="157" t="s">
        <v>2681</v>
      </c>
      <c r="L1078" s="166">
        <f t="shared" si="220"/>
        <v>585</v>
      </c>
      <c r="M1078" s="119" t="s">
        <v>2675</v>
      </c>
      <c r="N1078" s="135">
        <f>20.927+17.189</f>
        <v>38.116</v>
      </c>
      <c r="O1078" s="122"/>
      <c r="P1078" s="92">
        <f t="shared" si="215"/>
        <v>38.115600000000001</v>
      </c>
      <c r="Q1078" s="113">
        <f t="shared" si="216"/>
        <v>1.86435</v>
      </c>
      <c r="R1078" s="92">
        <f t="shared" si="217"/>
        <v>1.4500500000000001</v>
      </c>
      <c r="S1078" s="121"/>
      <c r="T1078" s="93">
        <f t="shared" si="218"/>
        <v>-3.9999999999995595E-4</v>
      </c>
      <c r="U1078" s="122"/>
      <c r="V1078" s="94">
        <f t="shared" ca="1" si="219"/>
        <v>303.4644447916653</v>
      </c>
      <c r="W1078" s="89"/>
    </row>
    <row r="1079" spans="1:23" s="312" customFormat="1" ht="18">
      <c r="A1079" s="260"/>
      <c r="B1079" s="260" t="s">
        <v>505</v>
      </c>
      <c r="C1079" s="358" t="s">
        <v>506</v>
      </c>
      <c r="D1079" s="131" t="s">
        <v>2517</v>
      </c>
      <c r="E1079" s="156">
        <v>586</v>
      </c>
      <c r="F1079" s="138">
        <v>45241</v>
      </c>
      <c r="G1079" s="252">
        <v>33.770000000000003</v>
      </c>
      <c r="H1079" s="150">
        <v>1833711.0000000002</v>
      </c>
      <c r="I1079" s="106">
        <f t="shared" si="214"/>
        <v>54300</v>
      </c>
      <c r="J1079" s="122"/>
      <c r="K1079" s="157" t="s">
        <v>2682</v>
      </c>
      <c r="L1079" s="166">
        <f t="shared" si="220"/>
        <v>586</v>
      </c>
      <c r="M1079" s="119" t="s">
        <v>2675</v>
      </c>
      <c r="N1079" s="135">
        <f>13.931+17.137</f>
        <v>31.067999999999998</v>
      </c>
      <c r="O1079" s="122"/>
      <c r="P1079" s="92">
        <f t="shared" si="215"/>
        <v>31.068400000000004</v>
      </c>
      <c r="Q1079" s="113">
        <f t="shared" si="216"/>
        <v>1.5196500000000002</v>
      </c>
      <c r="R1079" s="92">
        <f t="shared" si="217"/>
        <v>1.1819500000000003</v>
      </c>
      <c r="S1079" s="121"/>
      <c r="T1079" s="93">
        <f t="shared" si="218"/>
        <v>4.0000000000484093E-4</v>
      </c>
      <c r="U1079" s="122"/>
      <c r="V1079" s="94">
        <f t="shared" ca="1" si="219"/>
        <v>303.4644447916653</v>
      </c>
      <c r="W1079" s="89"/>
    </row>
    <row r="1080" spans="1:23" s="312" customFormat="1" ht="18">
      <c r="A1080" s="260"/>
      <c r="B1080" s="260" t="s">
        <v>505</v>
      </c>
      <c r="C1080" s="358" t="s">
        <v>506</v>
      </c>
      <c r="D1080" s="131" t="s">
        <v>2517</v>
      </c>
      <c r="E1080" s="156">
        <v>587</v>
      </c>
      <c r="F1080" s="138">
        <v>45241</v>
      </c>
      <c r="G1080" s="252">
        <v>30.15</v>
      </c>
      <c r="H1080" s="150">
        <v>1637145</v>
      </c>
      <c r="I1080" s="106">
        <f t="shared" si="214"/>
        <v>54300</v>
      </c>
      <c r="J1080" s="122"/>
      <c r="K1080" s="157" t="s">
        <v>2683</v>
      </c>
      <c r="L1080" s="166">
        <f t="shared" si="220"/>
        <v>587</v>
      </c>
      <c r="M1080" s="119" t="s">
        <v>2684</v>
      </c>
      <c r="N1080" s="135">
        <f>14.05+13.688</f>
        <v>27.738</v>
      </c>
      <c r="O1080" s="122"/>
      <c r="P1080" s="92">
        <f t="shared" si="215"/>
        <v>27.738</v>
      </c>
      <c r="Q1080" s="113">
        <f t="shared" si="216"/>
        <v>1.3567499999999999</v>
      </c>
      <c r="R1080" s="92">
        <f t="shared" si="217"/>
        <v>1.05525</v>
      </c>
      <c r="S1080" s="121"/>
      <c r="T1080" s="93">
        <f t="shared" si="218"/>
        <v>0</v>
      </c>
      <c r="U1080" s="122"/>
      <c r="V1080" s="94">
        <f t="shared" ca="1" si="219"/>
        <v>303.4644447916653</v>
      </c>
      <c r="W1080" s="89"/>
    </row>
    <row r="1081" spans="1:23" s="312" customFormat="1" ht="18">
      <c r="A1081" s="260"/>
      <c r="B1081" s="260" t="s">
        <v>505</v>
      </c>
      <c r="C1081" s="358" t="s">
        <v>506</v>
      </c>
      <c r="D1081" s="131" t="s">
        <v>2517</v>
      </c>
      <c r="E1081" s="156">
        <v>588</v>
      </c>
      <c r="F1081" s="138">
        <v>45241</v>
      </c>
      <c r="G1081" s="252">
        <f>33.8+3.122</f>
        <v>36.921999999999997</v>
      </c>
      <c r="H1081" s="150">
        <v>2004864.5999999999</v>
      </c>
      <c r="I1081" s="106">
        <f t="shared" si="214"/>
        <v>54300</v>
      </c>
      <c r="J1081" s="122"/>
      <c r="K1081" s="157" t="s">
        <v>2686</v>
      </c>
      <c r="L1081" s="166">
        <f t="shared" si="220"/>
        <v>588</v>
      </c>
      <c r="M1081" s="119" t="s">
        <v>2687</v>
      </c>
      <c r="N1081" s="135">
        <f>18.343+15.625</f>
        <v>33.968000000000004</v>
      </c>
      <c r="O1081" s="122"/>
      <c r="P1081" s="92">
        <f t="shared" si="215"/>
        <v>33.968240000000002</v>
      </c>
      <c r="Q1081" s="113">
        <f t="shared" si="216"/>
        <v>1.6614899999999999</v>
      </c>
      <c r="R1081" s="92">
        <f t="shared" si="217"/>
        <v>1.29227</v>
      </c>
      <c r="S1081" s="121"/>
      <c r="T1081" s="93">
        <f t="shared" si="218"/>
        <v>2.3999999999357868E-4</v>
      </c>
      <c r="U1081" s="122"/>
      <c r="V1081" s="94">
        <f t="shared" ca="1" si="219"/>
        <v>303.4644447916653</v>
      </c>
      <c r="W1081" s="89"/>
    </row>
    <row r="1082" spans="1:23" s="312" customFormat="1" ht="18">
      <c r="A1082" s="260"/>
      <c r="B1082" s="260"/>
      <c r="C1082" s="358"/>
      <c r="D1082" s="131"/>
      <c r="E1082" s="156"/>
      <c r="F1082" s="138"/>
      <c r="G1082" s="252"/>
      <c r="H1082" s="150"/>
      <c r="I1082" s="106"/>
      <c r="J1082" s="122"/>
      <c r="K1082" s="157"/>
      <c r="L1082" s="166"/>
      <c r="M1082" s="119"/>
      <c r="N1082" s="135"/>
      <c r="O1082" s="122"/>
      <c r="P1082" s="92"/>
      <c r="Q1082" s="113"/>
      <c r="R1082" s="92"/>
      <c r="S1082" s="121"/>
      <c r="T1082" s="93"/>
      <c r="U1082" s="122"/>
      <c r="V1082" s="94"/>
      <c r="W1082" s="89"/>
    </row>
    <row r="1083" spans="1:23" s="312" customFormat="1" ht="18">
      <c r="A1083" s="260"/>
      <c r="B1083" s="260" t="s">
        <v>2578</v>
      </c>
      <c r="C1083" s="175" t="s">
        <v>1379</v>
      </c>
      <c r="D1083" s="131" t="s">
        <v>2518</v>
      </c>
      <c r="E1083" s="156">
        <v>589</v>
      </c>
      <c r="F1083" s="138">
        <v>45241</v>
      </c>
      <c r="G1083" s="252">
        <v>4.3940000000000001</v>
      </c>
      <c r="H1083" s="150">
        <v>227389.5</v>
      </c>
      <c r="I1083" s="106">
        <f t="shared" si="214"/>
        <v>51750</v>
      </c>
      <c r="J1083" s="122"/>
      <c r="K1083" s="157">
        <v>1539</v>
      </c>
      <c r="L1083" s="166">
        <f t="shared" si="220"/>
        <v>589</v>
      </c>
      <c r="M1083" s="119" t="s">
        <v>2685</v>
      </c>
      <c r="N1083" s="135">
        <v>4.0419999999999998</v>
      </c>
      <c r="O1083" s="122"/>
      <c r="P1083" s="92">
        <f t="shared" si="215"/>
        <v>4.0424800000000003</v>
      </c>
      <c r="Q1083" s="113">
        <f t="shared" si="216"/>
        <v>0.19772999999999999</v>
      </c>
      <c r="R1083" s="92">
        <f t="shared" si="217"/>
        <v>0.15379000000000001</v>
      </c>
      <c r="S1083" s="121"/>
      <c r="T1083" s="93">
        <f t="shared" si="218"/>
        <v>4.8000000000031351E-4</v>
      </c>
      <c r="U1083" s="122"/>
      <c r="V1083" s="94">
        <f t="shared" ca="1" si="219"/>
        <v>303.4644447916653</v>
      </c>
      <c r="W1083" s="89"/>
    </row>
    <row r="1084" spans="1:23" s="312" customFormat="1" ht="18">
      <c r="A1084" s="260"/>
      <c r="B1084" s="260" t="s">
        <v>2578</v>
      </c>
      <c r="C1084" s="175" t="s">
        <v>1379</v>
      </c>
      <c r="D1084" s="131" t="s">
        <v>2519</v>
      </c>
      <c r="E1084" s="156">
        <v>590</v>
      </c>
      <c r="F1084" s="138">
        <v>45241</v>
      </c>
      <c r="G1084" s="252">
        <v>36.405999999999999</v>
      </c>
      <c r="H1084" s="150">
        <v>1884010.5</v>
      </c>
      <c r="I1084" s="106">
        <f t="shared" si="214"/>
        <v>51750</v>
      </c>
      <c r="J1084" s="122"/>
      <c r="K1084" s="157" t="s">
        <v>2688</v>
      </c>
      <c r="L1084" s="166">
        <f t="shared" si="220"/>
        <v>590</v>
      </c>
      <c r="M1084" s="119" t="s">
        <v>2687</v>
      </c>
      <c r="N1084" s="135">
        <f>33.21+0.284</f>
        <v>33.494</v>
      </c>
      <c r="O1084" s="122"/>
      <c r="P1084" s="92">
        <f t="shared" si="215"/>
        <v>33.493520000000004</v>
      </c>
      <c r="Q1084" s="113">
        <f t="shared" si="216"/>
        <v>1.6382699999999999</v>
      </c>
      <c r="R1084" s="92">
        <f t="shared" si="217"/>
        <v>1.2742100000000001</v>
      </c>
      <c r="S1084" s="121"/>
      <c r="T1084" s="93">
        <f t="shared" si="218"/>
        <v>-4.8000000000092413E-4</v>
      </c>
      <c r="U1084" s="122"/>
      <c r="V1084" s="94">
        <f t="shared" ca="1" si="219"/>
        <v>303.4644447916653</v>
      </c>
      <c r="W1084" s="89"/>
    </row>
    <row r="1085" spans="1:23" s="312" customFormat="1" ht="18">
      <c r="A1085" s="260"/>
      <c r="B1085" s="260" t="s">
        <v>2578</v>
      </c>
      <c r="C1085" s="175" t="s">
        <v>1379</v>
      </c>
      <c r="D1085" s="131" t="s">
        <v>2520</v>
      </c>
      <c r="E1085" s="156">
        <v>591</v>
      </c>
      <c r="F1085" s="138">
        <v>45241</v>
      </c>
      <c r="G1085" s="252">
        <v>11.45</v>
      </c>
      <c r="H1085" s="150">
        <v>592537.5</v>
      </c>
      <c r="I1085" s="106">
        <f t="shared" si="214"/>
        <v>51750</v>
      </c>
      <c r="J1085" s="122"/>
      <c r="K1085" s="157">
        <v>1540</v>
      </c>
      <c r="L1085" s="166">
        <f t="shared" si="220"/>
        <v>591</v>
      </c>
      <c r="M1085" s="119" t="s">
        <v>2685</v>
      </c>
      <c r="N1085" s="135">
        <v>10.534000000000001</v>
      </c>
      <c r="O1085" s="122"/>
      <c r="P1085" s="92">
        <f t="shared" si="215"/>
        <v>10.533999999999999</v>
      </c>
      <c r="Q1085" s="113">
        <f t="shared" si="216"/>
        <v>0.51524999999999999</v>
      </c>
      <c r="R1085" s="92">
        <f t="shared" si="217"/>
        <v>0.40075</v>
      </c>
      <c r="S1085" s="121"/>
      <c r="T1085" s="93">
        <f t="shared" si="218"/>
        <v>-1.3877787807814457E-15</v>
      </c>
      <c r="U1085" s="122"/>
      <c r="V1085" s="94">
        <f t="shared" ca="1" si="219"/>
        <v>303.4644447916653</v>
      </c>
      <c r="W1085" s="89"/>
    </row>
    <row r="1086" spans="1:23" s="312" customFormat="1" ht="18">
      <c r="A1086" s="260"/>
      <c r="B1086" s="260" t="s">
        <v>2578</v>
      </c>
      <c r="C1086" s="175" t="s">
        <v>1379</v>
      </c>
      <c r="D1086" s="131" t="s">
        <v>2521</v>
      </c>
      <c r="E1086" s="156">
        <v>592</v>
      </c>
      <c r="F1086" s="138">
        <v>45241</v>
      </c>
      <c r="G1086" s="252">
        <v>11.45</v>
      </c>
      <c r="H1086" s="150">
        <v>592537.5</v>
      </c>
      <c r="I1086" s="106">
        <f t="shared" si="214"/>
        <v>51750</v>
      </c>
      <c r="J1086" s="122"/>
      <c r="K1086" s="157" t="s">
        <v>2689</v>
      </c>
      <c r="L1086" s="166">
        <f t="shared" si="220"/>
        <v>592</v>
      </c>
      <c r="M1086" s="119" t="s">
        <v>2687</v>
      </c>
      <c r="N1086" s="135">
        <f>2.454+8.08</f>
        <v>10.534000000000001</v>
      </c>
      <c r="O1086" s="122"/>
      <c r="P1086" s="92">
        <f t="shared" si="215"/>
        <v>10.533999999999999</v>
      </c>
      <c r="Q1086" s="113">
        <f t="shared" si="216"/>
        <v>0.51524999999999999</v>
      </c>
      <c r="R1086" s="92">
        <f t="shared" si="217"/>
        <v>0.40075</v>
      </c>
      <c r="S1086" s="121"/>
      <c r="T1086" s="93">
        <f t="shared" si="218"/>
        <v>-1.3877787807814457E-15</v>
      </c>
      <c r="U1086" s="122"/>
      <c r="V1086" s="94">
        <f t="shared" ca="1" si="219"/>
        <v>303.4644447916653</v>
      </c>
      <c r="W1086" s="89"/>
    </row>
    <row r="1087" spans="1:23" s="312" customFormat="1" ht="18">
      <c r="A1087" s="260"/>
      <c r="B1087" s="260" t="s">
        <v>2578</v>
      </c>
      <c r="C1087" s="175" t="s">
        <v>1379</v>
      </c>
      <c r="D1087" s="131" t="s">
        <v>2522</v>
      </c>
      <c r="E1087" s="156">
        <v>593</v>
      </c>
      <c r="F1087" s="138">
        <v>45241</v>
      </c>
      <c r="G1087" s="252">
        <v>17.850000000000001</v>
      </c>
      <c r="H1087" s="150">
        <v>923737.50000000012</v>
      </c>
      <c r="I1087" s="106">
        <f t="shared" si="214"/>
        <v>51750</v>
      </c>
      <c r="J1087" s="122"/>
      <c r="K1087" s="157">
        <v>1545</v>
      </c>
      <c r="L1087" s="166">
        <f t="shared" si="220"/>
        <v>593</v>
      </c>
      <c r="M1087" s="119" t="s">
        <v>2685</v>
      </c>
      <c r="N1087" s="135">
        <v>16.422000000000001</v>
      </c>
      <c r="O1087" s="122"/>
      <c r="P1087" s="92">
        <f t="shared" si="215"/>
        <v>16.422000000000001</v>
      </c>
      <c r="Q1087" s="113">
        <f t="shared" si="216"/>
        <v>0.80325000000000002</v>
      </c>
      <c r="R1087" s="92">
        <f t="shared" si="217"/>
        <v>0.62475000000000014</v>
      </c>
      <c r="S1087" s="121"/>
      <c r="T1087" s="93">
        <f t="shared" si="218"/>
        <v>0</v>
      </c>
      <c r="U1087" s="122"/>
      <c r="V1087" s="94">
        <f t="shared" ca="1" si="219"/>
        <v>303.4644447916653</v>
      </c>
      <c r="W1087" s="89"/>
    </row>
    <row r="1088" spans="1:23" s="312" customFormat="1" ht="18">
      <c r="A1088" s="260"/>
      <c r="B1088" s="260" t="s">
        <v>2578</v>
      </c>
      <c r="C1088" s="175" t="s">
        <v>1379</v>
      </c>
      <c r="D1088" s="131" t="s">
        <v>2523</v>
      </c>
      <c r="E1088" s="156">
        <v>594</v>
      </c>
      <c r="F1088" s="138">
        <v>45241</v>
      </c>
      <c r="G1088" s="252">
        <v>11.45</v>
      </c>
      <c r="H1088" s="150">
        <v>592537.5</v>
      </c>
      <c r="I1088" s="106">
        <f t="shared" si="214"/>
        <v>51750</v>
      </c>
      <c r="J1088" s="122"/>
      <c r="K1088" s="157" t="s">
        <v>2690</v>
      </c>
      <c r="L1088" s="166">
        <f t="shared" si="220"/>
        <v>594</v>
      </c>
      <c r="M1088" s="119" t="s">
        <v>2687</v>
      </c>
      <c r="N1088" s="135">
        <f>7.218+3.316</f>
        <v>10.533999999999999</v>
      </c>
      <c r="O1088" s="122"/>
      <c r="P1088" s="92">
        <f t="shared" si="215"/>
        <v>10.533999999999999</v>
      </c>
      <c r="Q1088" s="113">
        <f t="shared" si="216"/>
        <v>0.51524999999999999</v>
      </c>
      <c r="R1088" s="92">
        <f t="shared" si="217"/>
        <v>0.40075</v>
      </c>
      <c r="S1088" s="121"/>
      <c r="T1088" s="93">
        <f t="shared" si="218"/>
        <v>0</v>
      </c>
      <c r="U1088" s="122"/>
      <c r="V1088" s="94">
        <f t="shared" ca="1" si="219"/>
        <v>303.4644447916653</v>
      </c>
      <c r="W1088" s="89"/>
    </row>
    <row r="1089" spans="1:23" s="312" customFormat="1" ht="18">
      <c r="A1089" s="260"/>
      <c r="B1089" s="260" t="s">
        <v>2578</v>
      </c>
      <c r="C1089" s="175" t="s">
        <v>1379</v>
      </c>
      <c r="D1089" s="131" t="s">
        <v>2524</v>
      </c>
      <c r="E1089" s="156">
        <v>595</v>
      </c>
      <c r="F1089" s="138">
        <v>45241</v>
      </c>
      <c r="G1089" s="252">
        <v>29.37</v>
      </c>
      <c r="H1089" s="150">
        <v>1519897.5</v>
      </c>
      <c r="I1089" s="106">
        <f t="shared" si="214"/>
        <v>51750</v>
      </c>
      <c r="J1089" s="122"/>
      <c r="K1089" s="157">
        <v>1548</v>
      </c>
      <c r="L1089" s="166">
        <f t="shared" si="220"/>
        <v>595</v>
      </c>
      <c r="M1089" s="119" t="s">
        <v>2685</v>
      </c>
      <c r="N1089" s="135">
        <v>27.02</v>
      </c>
      <c r="O1089" s="122"/>
      <c r="P1089" s="92">
        <f t="shared" si="215"/>
        <v>27.020400000000002</v>
      </c>
      <c r="Q1089" s="113">
        <f t="shared" si="216"/>
        <v>1.32165</v>
      </c>
      <c r="R1089" s="92">
        <f t="shared" si="217"/>
        <v>1.0279500000000001</v>
      </c>
      <c r="S1089" s="121"/>
      <c r="T1089" s="93">
        <f t="shared" si="218"/>
        <v>4.0000000000128821E-4</v>
      </c>
      <c r="U1089" s="122"/>
      <c r="V1089" s="94">
        <f t="shared" ca="1" si="219"/>
        <v>303.4644447916653</v>
      </c>
      <c r="W1089" s="89"/>
    </row>
    <row r="1090" spans="1:23" s="312" customFormat="1" ht="18">
      <c r="A1090" s="260"/>
      <c r="B1090" s="260" t="s">
        <v>2578</v>
      </c>
      <c r="C1090" s="175" t="s">
        <v>1379</v>
      </c>
      <c r="D1090" s="131" t="s">
        <v>2525</v>
      </c>
      <c r="E1090" s="156">
        <v>596</v>
      </c>
      <c r="F1090" s="138">
        <v>45241</v>
      </c>
      <c r="G1090" s="252">
        <v>16.03</v>
      </c>
      <c r="H1090" s="150">
        <v>829552.50000000012</v>
      </c>
      <c r="I1090" s="106">
        <f t="shared" si="214"/>
        <v>51750</v>
      </c>
      <c r="J1090" s="122"/>
      <c r="K1090" s="157" t="s">
        <v>2691</v>
      </c>
      <c r="L1090" s="166">
        <f t="shared" si="220"/>
        <v>596</v>
      </c>
      <c r="M1090" s="119" t="s">
        <v>2687</v>
      </c>
      <c r="N1090" s="135">
        <f>2.779+11.969</f>
        <v>14.747999999999999</v>
      </c>
      <c r="O1090" s="122"/>
      <c r="P1090" s="92">
        <f t="shared" si="215"/>
        <v>14.747600000000002</v>
      </c>
      <c r="Q1090" s="113">
        <f t="shared" si="216"/>
        <v>0.72135000000000005</v>
      </c>
      <c r="R1090" s="92">
        <f t="shared" si="217"/>
        <v>0.56105000000000005</v>
      </c>
      <c r="S1090" s="121"/>
      <c r="T1090" s="93">
        <f t="shared" si="218"/>
        <v>-3.9999999999829061E-4</v>
      </c>
      <c r="U1090" s="122"/>
      <c r="V1090" s="94">
        <f t="shared" ca="1" si="219"/>
        <v>303.4644447916653</v>
      </c>
      <c r="W1090" s="89"/>
    </row>
    <row r="1091" spans="1:23" s="312" customFormat="1" ht="18">
      <c r="A1091" s="260"/>
      <c r="B1091" s="260" t="s">
        <v>2578</v>
      </c>
      <c r="C1091" s="175" t="s">
        <v>1379</v>
      </c>
      <c r="D1091" s="131" t="s">
        <v>2526</v>
      </c>
      <c r="E1091" s="156">
        <v>597</v>
      </c>
      <c r="F1091" s="138">
        <v>45241</v>
      </c>
      <c r="G1091" s="252">
        <v>24.71</v>
      </c>
      <c r="H1091" s="150">
        <v>1278742.5</v>
      </c>
      <c r="I1091" s="106">
        <f t="shared" si="214"/>
        <v>51750</v>
      </c>
      <c r="J1091" s="122"/>
      <c r="K1091" s="158" t="s">
        <v>2694</v>
      </c>
      <c r="L1091" s="166">
        <f t="shared" si="220"/>
        <v>597</v>
      </c>
      <c r="M1091" s="119" t="s">
        <v>2692</v>
      </c>
      <c r="N1091" s="135">
        <f>20.518+2.215</f>
        <v>22.733000000000001</v>
      </c>
      <c r="O1091" s="122"/>
      <c r="P1091" s="92">
        <f t="shared" si="215"/>
        <v>22.7332</v>
      </c>
      <c r="Q1091" s="113">
        <f t="shared" si="216"/>
        <v>1.11195</v>
      </c>
      <c r="R1091" s="92">
        <f t="shared" si="217"/>
        <v>0.86485000000000012</v>
      </c>
      <c r="S1091" s="121"/>
      <c r="T1091" s="93">
        <f t="shared" si="218"/>
        <v>2.0000000000020002E-4</v>
      </c>
      <c r="U1091" s="122"/>
      <c r="V1091" s="94">
        <f t="shared" ca="1" si="219"/>
        <v>303.4644447916653</v>
      </c>
      <c r="W1091" s="89"/>
    </row>
    <row r="1092" spans="1:23" s="312" customFormat="1" ht="18">
      <c r="A1092" s="260"/>
      <c r="B1092" s="260" t="s">
        <v>2578</v>
      </c>
      <c r="C1092" s="175" t="s">
        <v>1379</v>
      </c>
      <c r="D1092" s="131" t="s">
        <v>2527</v>
      </c>
      <c r="E1092" s="156">
        <v>598</v>
      </c>
      <c r="F1092" s="138">
        <v>45241</v>
      </c>
      <c r="G1092" s="252">
        <v>33.979999999999997</v>
      </c>
      <c r="H1092" s="150">
        <v>1758464.9999999998</v>
      </c>
      <c r="I1092" s="106">
        <f t="shared" si="214"/>
        <v>51750</v>
      </c>
      <c r="J1092" s="122"/>
      <c r="K1092" s="157" t="s">
        <v>2695</v>
      </c>
      <c r="L1092" s="166">
        <f t="shared" si="220"/>
        <v>598</v>
      </c>
      <c r="M1092" s="119" t="s">
        <v>2696</v>
      </c>
      <c r="N1092" s="135">
        <f>31.07+0.192</f>
        <v>31.262</v>
      </c>
      <c r="O1092" s="122"/>
      <c r="P1092" s="92">
        <f t="shared" si="215"/>
        <v>31.261599999999998</v>
      </c>
      <c r="Q1092" s="113">
        <f t="shared" si="216"/>
        <v>1.5290999999999999</v>
      </c>
      <c r="R1092" s="92">
        <f t="shared" si="217"/>
        <v>1.1893</v>
      </c>
      <c r="S1092" s="121"/>
      <c r="T1092" s="93">
        <f t="shared" si="218"/>
        <v>-4.0000000000350866E-4</v>
      </c>
      <c r="U1092" s="122"/>
      <c r="V1092" s="94">
        <f t="shared" ca="1" si="219"/>
        <v>303.4644447916653</v>
      </c>
      <c r="W1092" s="89"/>
    </row>
    <row r="1093" spans="1:23" s="312" customFormat="1" ht="18">
      <c r="A1093" s="260"/>
      <c r="B1093" s="260" t="s">
        <v>2578</v>
      </c>
      <c r="C1093" s="175" t="s">
        <v>1379</v>
      </c>
      <c r="D1093" s="131" t="s">
        <v>2528</v>
      </c>
      <c r="E1093" s="156">
        <v>599</v>
      </c>
      <c r="F1093" s="138">
        <v>45241</v>
      </c>
      <c r="G1093" s="252">
        <v>40.78</v>
      </c>
      <c r="H1093" s="150">
        <v>2110365</v>
      </c>
      <c r="I1093" s="106">
        <f t="shared" si="214"/>
        <v>51750</v>
      </c>
      <c r="J1093" s="122"/>
      <c r="K1093" s="157" t="s">
        <v>2702</v>
      </c>
      <c r="L1093" s="166">
        <f t="shared" si="220"/>
        <v>599</v>
      </c>
      <c r="M1093" s="119" t="s">
        <v>2696</v>
      </c>
      <c r="N1093" s="135">
        <f>32.6+4.918</f>
        <v>37.518000000000001</v>
      </c>
      <c r="O1093" s="122"/>
      <c r="P1093" s="92">
        <f t="shared" si="215"/>
        <v>37.517600000000002</v>
      </c>
      <c r="Q1093" s="113">
        <f t="shared" si="216"/>
        <v>1.8351</v>
      </c>
      <c r="R1093" s="92">
        <f t="shared" si="217"/>
        <v>1.4273000000000002</v>
      </c>
      <c r="S1093" s="121"/>
      <c r="T1093" s="93">
        <f t="shared" si="218"/>
        <v>-3.999999999997339E-4</v>
      </c>
      <c r="U1093" s="122"/>
      <c r="V1093" s="94">
        <f t="shared" ca="1" si="219"/>
        <v>303.4644447916653</v>
      </c>
      <c r="W1093" s="89"/>
    </row>
    <row r="1094" spans="1:23" s="312" customFormat="1" ht="18">
      <c r="A1094" s="260"/>
      <c r="B1094" s="260" t="s">
        <v>2578</v>
      </c>
      <c r="C1094" s="175" t="s">
        <v>1379</v>
      </c>
      <c r="D1094" s="131" t="s">
        <v>2529</v>
      </c>
      <c r="E1094" s="156">
        <v>600</v>
      </c>
      <c r="F1094" s="138">
        <v>45241</v>
      </c>
      <c r="G1094" s="252">
        <v>31.77</v>
      </c>
      <c r="H1094" s="150">
        <v>1644097.5</v>
      </c>
      <c r="I1094" s="106">
        <f t="shared" si="214"/>
        <v>51750</v>
      </c>
      <c r="J1094" s="122"/>
      <c r="K1094" s="157" t="s">
        <v>2704</v>
      </c>
      <c r="L1094" s="166">
        <f t="shared" ref="L1094:L1157" si="233">E1094</f>
        <v>600</v>
      </c>
      <c r="M1094" s="119" t="s">
        <v>2706</v>
      </c>
      <c r="N1094" s="135">
        <f>26.52+2.708</f>
        <v>29.228000000000002</v>
      </c>
      <c r="O1094" s="122"/>
      <c r="P1094" s="92">
        <f t="shared" si="215"/>
        <v>29.228400000000001</v>
      </c>
      <c r="Q1094" s="113">
        <f t="shared" si="216"/>
        <v>1.4296499999999999</v>
      </c>
      <c r="R1094" s="92">
        <f t="shared" si="217"/>
        <v>1.11195</v>
      </c>
      <c r="S1094" s="121"/>
      <c r="T1094" s="93">
        <f t="shared" si="218"/>
        <v>3.9999999999817959E-4</v>
      </c>
      <c r="U1094" s="122"/>
      <c r="V1094" s="94">
        <f t="shared" ca="1" si="219"/>
        <v>303.4644447916653</v>
      </c>
      <c r="W1094" s="89"/>
    </row>
    <row r="1095" spans="1:23" s="312" customFormat="1" ht="18">
      <c r="A1095" s="260"/>
      <c r="B1095" s="260" t="s">
        <v>2578</v>
      </c>
      <c r="C1095" s="175" t="s">
        <v>1379</v>
      </c>
      <c r="D1095" s="131" t="s">
        <v>2530</v>
      </c>
      <c r="E1095" s="156">
        <v>601</v>
      </c>
      <c r="F1095" s="138">
        <v>45241</v>
      </c>
      <c r="G1095" s="252">
        <v>38.56</v>
      </c>
      <c r="H1095" s="150">
        <v>1995480.0000000002</v>
      </c>
      <c r="I1095" s="106">
        <f t="shared" si="214"/>
        <v>51750</v>
      </c>
      <c r="J1095" s="122"/>
      <c r="K1095" s="157" t="s">
        <v>2705</v>
      </c>
      <c r="L1095" s="166">
        <f t="shared" si="233"/>
        <v>601</v>
      </c>
      <c r="M1095" s="119" t="s">
        <v>2706</v>
      </c>
      <c r="N1095" s="135">
        <f>32.232+3.243</f>
        <v>35.475000000000001</v>
      </c>
      <c r="O1095" s="122"/>
      <c r="P1095" s="92">
        <f t="shared" si="215"/>
        <v>35.475200000000001</v>
      </c>
      <c r="Q1095" s="113">
        <f t="shared" si="216"/>
        <v>1.7352000000000001</v>
      </c>
      <c r="R1095" s="92">
        <f t="shared" si="217"/>
        <v>1.3496000000000001</v>
      </c>
      <c r="S1095" s="121"/>
      <c r="T1095" s="93">
        <f t="shared" si="218"/>
        <v>2.0000000000064411E-4</v>
      </c>
      <c r="U1095" s="122"/>
      <c r="V1095" s="94">
        <f t="shared" ca="1" si="219"/>
        <v>303.4644447916653</v>
      </c>
      <c r="W1095" s="89"/>
    </row>
    <row r="1096" spans="1:23" s="312" customFormat="1" ht="18">
      <c r="A1096" s="260"/>
      <c r="B1096" s="260" t="s">
        <v>2578</v>
      </c>
      <c r="C1096" s="175" t="s">
        <v>1379</v>
      </c>
      <c r="D1096" s="131" t="s">
        <v>2531</v>
      </c>
      <c r="E1096" s="156">
        <v>602</v>
      </c>
      <c r="F1096" s="138">
        <v>45241</v>
      </c>
      <c r="G1096" s="252">
        <v>16.03</v>
      </c>
      <c r="H1096" s="150">
        <v>829552.50000000012</v>
      </c>
      <c r="I1096" s="106">
        <f t="shared" si="214"/>
        <v>51750</v>
      </c>
      <c r="J1096" s="122"/>
      <c r="K1096" s="157">
        <v>1570</v>
      </c>
      <c r="L1096" s="166">
        <f t="shared" si="233"/>
        <v>602</v>
      </c>
      <c r="M1096" s="119" t="s">
        <v>2707</v>
      </c>
      <c r="N1096" s="135">
        <v>14.747999999999999</v>
      </c>
      <c r="O1096" s="122"/>
      <c r="P1096" s="92">
        <f t="shared" si="215"/>
        <v>14.747600000000002</v>
      </c>
      <c r="Q1096" s="113">
        <f t="shared" si="216"/>
        <v>0.72135000000000005</v>
      </c>
      <c r="R1096" s="92">
        <f t="shared" si="217"/>
        <v>0.56105000000000005</v>
      </c>
      <c r="S1096" s="121"/>
      <c r="T1096" s="93">
        <f t="shared" si="218"/>
        <v>-3.9999999999829061E-4</v>
      </c>
      <c r="U1096" s="122"/>
      <c r="V1096" s="94">
        <f t="shared" ca="1" si="219"/>
        <v>303.4644447916653</v>
      </c>
      <c r="W1096" s="89"/>
    </row>
    <row r="1097" spans="1:23" s="312" customFormat="1" ht="18">
      <c r="A1097" s="260"/>
      <c r="B1097" s="260" t="s">
        <v>2578</v>
      </c>
      <c r="C1097" s="175" t="s">
        <v>1379</v>
      </c>
      <c r="D1097" s="131" t="s">
        <v>2532</v>
      </c>
      <c r="E1097" s="156">
        <v>603</v>
      </c>
      <c r="F1097" s="138">
        <v>45241</v>
      </c>
      <c r="G1097" s="252">
        <v>17.36</v>
      </c>
      <c r="H1097" s="150">
        <v>898380</v>
      </c>
      <c r="I1097" s="106">
        <f t="shared" si="214"/>
        <v>51750</v>
      </c>
      <c r="J1097" s="122"/>
      <c r="K1097" s="157" t="s">
        <v>2708</v>
      </c>
      <c r="L1097" s="166">
        <f t="shared" si="233"/>
        <v>603</v>
      </c>
      <c r="M1097" s="119" t="s">
        <v>2709</v>
      </c>
      <c r="N1097" s="135">
        <f>12.268+3.703</f>
        <v>15.971</v>
      </c>
      <c r="O1097" s="122"/>
      <c r="P1097" s="92">
        <f t="shared" si="215"/>
        <v>15.9712</v>
      </c>
      <c r="Q1097" s="113">
        <f t="shared" si="216"/>
        <v>0.78119999999999989</v>
      </c>
      <c r="R1097" s="92">
        <f t="shared" si="217"/>
        <v>0.60760000000000003</v>
      </c>
      <c r="S1097" s="121"/>
      <c r="T1097" s="93">
        <f t="shared" si="218"/>
        <v>1.9999999999942286E-4</v>
      </c>
      <c r="U1097" s="122"/>
      <c r="V1097" s="94">
        <f t="shared" ca="1" si="219"/>
        <v>303.4644447916653</v>
      </c>
      <c r="W1097" s="89"/>
    </row>
    <row r="1098" spans="1:23" s="312" customFormat="1" ht="18">
      <c r="A1098" s="260"/>
      <c r="B1098" s="260" t="s">
        <v>2578</v>
      </c>
      <c r="C1098" s="175" t="s">
        <v>1379</v>
      </c>
      <c r="D1098" s="131" t="s">
        <v>2533</v>
      </c>
      <c r="E1098" s="156">
        <v>604</v>
      </c>
      <c r="F1098" s="138">
        <v>45241</v>
      </c>
      <c r="G1098" s="252">
        <v>40.840000000000003</v>
      </c>
      <c r="H1098" s="150">
        <v>2113470</v>
      </c>
      <c r="I1098" s="106">
        <f t="shared" si="214"/>
        <v>51749.999999999993</v>
      </c>
      <c r="J1098" s="122"/>
      <c r="K1098" s="157" t="s">
        <v>2710</v>
      </c>
      <c r="L1098" s="166">
        <f t="shared" si="233"/>
        <v>604</v>
      </c>
      <c r="M1098" s="119" t="s">
        <v>2709</v>
      </c>
      <c r="N1098" s="135">
        <f>32.654+4.919</f>
        <v>37.573</v>
      </c>
      <c r="O1098" s="122"/>
      <c r="P1098" s="92">
        <f t="shared" si="215"/>
        <v>37.572800000000008</v>
      </c>
      <c r="Q1098" s="113">
        <f t="shared" si="216"/>
        <v>1.8378000000000001</v>
      </c>
      <c r="R1098" s="92">
        <f t="shared" si="217"/>
        <v>1.4294000000000002</v>
      </c>
      <c r="S1098" s="121"/>
      <c r="T1098" s="93">
        <f t="shared" si="218"/>
        <v>-1.9999999999731344E-4</v>
      </c>
      <c r="U1098" s="122"/>
      <c r="V1098" s="94">
        <f t="shared" ca="1" si="219"/>
        <v>303.4644447916653</v>
      </c>
      <c r="W1098" s="89"/>
    </row>
    <row r="1099" spans="1:23" s="312" customFormat="1" ht="18">
      <c r="A1099" s="260"/>
      <c r="B1099" s="260" t="s">
        <v>2578</v>
      </c>
      <c r="C1099" s="175" t="s">
        <v>1379</v>
      </c>
      <c r="D1099" s="131" t="s">
        <v>2534</v>
      </c>
      <c r="E1099" s="156">
        <v>605</v>
      </c>
      <c r="F1099" s="138">
        <v>45241</v>
      </c>
      <c r="G1099" s="252">
        <v>40.936</v>
      </c>
      <c r="H1099" s="150">
        <v>2118438</v>
      </c>
      <c r="I1099" s="106">
        <f t="shared" si="214"/>
        <v>51750</v>
      </c>
      <c r="J1099" s="122"/>
      <c r="K1099" s="157" t="s">
        <v>2713</v>
      </c>
      <c r="L1099" s="166">
        <f t="shared" si="233"/>
        <v>605</v>
      </c>
      <c r="M1099" s="119" t="s">
        <v>2715</v>
      </c>
      <c r="N1099" s="135">
        <f>32.38+5.281</f>
        <v>37.661000000000001</v>
      </c>
      <c r="O1099" s="122"/>
      <c r="P1099" s="92">
        <f t="shared" si="215"/>
        <v>37.661120000000004</v>
      </c>
      <c r="Q1099" s="113">
        <f t="shared" si="216"/>
        <v>1.84212</v>
      </c>
      <c r="R1099" s="92">
        <f t="shared" si="217"/>
        <v>1.43276</v>
      </c>
      <c r="S1099" s="121"/>
      <c r="T1099" s="93">
        <f t="shared" si="218"/>
        <v>1.199999999985657E-4</v>
      </c>
      <c r="U1099" s="122"/>
      <c r="V1099" s="94">
        <f t="shared" ca="1" si="219"/>
        <v>303.4644447916653</v>
      </c>
      <c r="W1099" s="89"/>
    </row>
    <row r="1100" spans="1:23" s="312" customFormat="1" ht="18">
      <c r="A1100" s="260"/>
      <c r="B1100" s="260" t="s">
        <v>2578</v>
      </c>
      <c r="C1100" s="175" t="s">
        <v>1379</v>
      </c>
      <c r="D1100" s="131" t="s">
        <v>2535</v>
      </c>
      <c r="E1100" s="156">
        <v>606</v>
      </c>
      <c r="F1100" s="138">
        <v>45241</v>
      </c>
      <c r="G1100" s="252">
        <v>2.3029999999999999</v>
      </c>
      <c r="H1100" s="150">
        <v>119180.25</v>
      </c>
      <c r="I1100" s="106">
        <f t="shared" si="214"/>
        <v>51750</v>
      </c>
      <c r="J1100" s="122"/>
      <c r="K1100" s="157">
        <v>1575</v>
      </c>
      <c r="L1100" s="166">
        <f t="shared" si="233"/>
        <v>606</v>
      </c>
      <c r="M1100" s="119" t="s">
        <v>2707</v>
      </c>
      <c r="N1100" s="135">
        <v>2.1190000000000002</v>
      </c>
      <c r="O1100" s="122"/>
      <c r="P1100" s="92">
        <f t="shared" si="215"/>
        <v>2.11876</v>
      </c>
      <c r="Q1100" s="113">
        <f t="shared" si="216"/>
        <v>0.10363499999999999</v>
      </c>
      <c r="R1100" s="92">
        <f t="shared" si="217"/>
        <v>8.060500000000001E-2</v>
      </c>
      <c r="S1100" s="121"/>
      <c r="T1100" s="93">
        <f t="shared" si="218"/>
        <v>-2.4000000000028165E-4</v>
      </c>
      <c r="U1100" s="122"/>
      <c r="V1100" s="94">
        <f t="shared" ca="1" si="219"/>
        <v>303.4644447916653</v>
      </c>
      <c r="W1100" s="89"/>
    </row>
    <row r="1101" spans="1:23" s="312" customFormat="1" ht="18">
      <c r="A1101" s="260"/>
      <c r="B1101" s="260" t="s">
        <v>2578</v>
      </c>
      <c r="C1101" s="175" t="s">
        <v>1379</v>
      </c>
      <c r="D1101" s="131" t="s">
        <v>2536</v>
      </c>
      <c r="E1101" s="156">
        <v>607</v>
      </c>
      <c r="F1101" s="138">
        <v>45241</v>
      </c>
      <c r="G1101" s="252">
        <v>29.376999999999999</v>
      </c>
      <c r="H1101" s="150">
        <v>1520259.75</v>
      </c>
      <c r="I1101" s="106">
        <f t="shared" si="214"/>
        <v>51750</v>
      </c>
      <c r="J1101" s="122"/>
      <c r="K1101" s="157" t="s">
        <v>2712</v>
      </c>
      <c r="L1101" s="166">
        <f t="shared" si="233"/>
        <v>607</v>
      </c>
      <c r="M1101" s="119" t="s">
        <v>2707</v>
      </c>
      <c r="N1101" s="135">
        <f>22.286+4.741</f>
        <v>27.027000000000001</v>
      </c>
      <c r="O1101" s="122"/>
      <c r="P1101" s="92">
        <f t="shared" si="215"/>
        <v>27.02684</v>
      </c>
      <c r="Q1101" s="113">
        <f t="shared" si="216"/>
        <v>1.3219649999999998</v>
      </c>
      <c r="R1101" s="92">
        <f t="shared" si="217"/>
        <v>1.028195</v>
      </c>
      <c r="S1101" s="121"/>
      <c r="T1101" s="93">
        <f t="shared" si="218"/>
        <v>-1.6000000000193637E-4</v>
      </c>
      <c r="U1101" s="122"/>
      <c r="V1101" s="94">
        <f t="shared" ca="1" si="219"/>
        <v>303.4644447916653</v>
      </c>
      <c r="W1101" s="89"/>
    </row>
    <row r="1102" spans="1:23" s="312" customFormat="1" ht="18">
      <c r="A1102" s="260"/>
      <c r="B1102" s="260" t="s">
        <v>2578</v>
      </c>
      <c r="C1102" s="175" t="s">
        <v>1379</v>
      </c>
      <c r="D1102" s="131" t="s">
        <v>2537</v>
      </c>
      <c r="E1102" s="156">
        <v>608</v>
      </c>
      <c r="F1102" s="138">
        <v>45241</v>
      </c>
      <c r="G1102" s="252">
        <v>24.58</v>
      </c>
      <c r="H1102" s="150">
        <v>1272015</v>
      </c>
      <c r="I1102" s="106">
        <f t="shared" si="214"/>
        <v>51750</v>
      </c>
      <c r="J1102" s="122"/>
      <c r="K1102" s="157">
        <v>1580</v>
      </c>
      <c r="L1102" s="166">
        <f t="shared" si="233"/>
        <v>608</v>
      </c>
      <c r="M1102" s="119" t="s">
        <v>2707</v>
      </c>
      <c r="N1102" s="135">
        <v>22.614000000000001</v>
      </c>
      <c r="O1102" s="122"/>
      <c r="P1102" s="92">
        <f t="shared" si="215"/>
        <v>22.613599999999998</v>
      </c>
      <c r="Q1102" s="113">
        <f t="shared" si="216"/>
        <v>1.1060999999999999</v>
      </c>
      <c r="R1102" s="92">
        <f t="shared" si="217"/>
        <v>0.86030000000000006</v>
      </c>
      <c r="S1102" s="121"/>
      <c r="T1102" s="93">
        <f t="shared" si="218"/>
        <v>-4.0000000000239844E-4</v>
      </c>
      <c r="U1102" s="122"/>
      <c r="V1102" s="94">
        <f t="shared" ca="1" si="219"/>
        <v>303.4644447916653</v>
      </c>
      <c r="W1102" s="89"/>
    </row>
    <row r="1103" spans="1:23" s="312" customFormat="1" ht="18">
      <c r="A1103" s="260"/>
      <c r="B1103" s="260" t="s">
        <v>2578</v>
      </c>
      <c r="C1103" s="175" t="s">
        <v>1379</v>
      </c>
      <c r="D1103" s="131" t="s">
        <v>2538</v>
      </c>
      <c r="E1103" s="156">
        <v>609</v>
      </c>
      <c r="F1103" s="138">
        <v>45241</v>
      </c>
      <c r="G1103" s="252">
        <v>16.03</v>
      </c>
      <c r="H1103" s="150">
        <v>829552.50000000012</v>
      </c>
      <c r="I1103" s="106">
        <f t="shared" si="214"/>
        <v>51750</v>
      </c>
      <c r="J1103" s="122"/>
      <c r="K1103" s="157" t="s">
        <v>2714</v>
      </c>
      <c r="L1103" s="166">
        <f t="shared" si="233"/>
        <v>609</v>
      </c>
      <c r="M1103" s="119" t="s">
        <v>2715</v>
      </c>
      <c r="N1103" s="135">
        <f>5.053+9.695</f>
        <v>14.748000000000001</v>
      </c>
      <c r="O1103" s="122"/>
      <c r="P1103" s="92">
        <f t="shared" si="215"/>
        <v>14.747600000000002</v>
      </c>
      <c r="Q1103" s="113">
        <f t="shared" si="216"/>
        <v>0.72135000000000005</v>
      </c>
      <c r="R1103" s="92">
        <f t="shared" si="217"/>
        <v>0.56105000000000005</v>
      </c>
      <c r="S1103" s="121"/>
      <c r="T1103" s="93">
        <f t="shared" si="218"/>
        <v>-4.0000000000006697E-4</v>
      </c>
      <c r="U1103" s="122"/>
      <c r="V1103" s="94">
        <f t="shared" ca="1" si="219"/>
        <v>303.4644447916653</v>
      </c>
      <c r="W1103" s="89"/>
    </row>
    <row r="1104" spans="1:23" s="312" customFormat="1" ht="18">
      <c r="A1104" s="260"/>
      <c r="B1104" s="260" t="s">
        <v>2578</v>
      </c>
      <c r="C1104" s="175" t="s">
        <v>1379</v>
      </c>
      <c r="D1104" s="131" t="s">
        <v>2539</v>
      </c>
      <c r="E1104" s="156">
        <v>610</v>
      </c>
      <c r="F1104" s="138">
        <v>45241</v>
      </c>
      <c r="G1104" s="252">
        <v>16.03</v>
      </c>
      <c r="H1104" s="150">
        <v>829552.50000000012</v>
      </c>
      <c r="I1104" s="106">
        <f t="shared" si="214"/>
        <v>51750</v>
      </c>
      <c r="J1104" s="122"/>
      <c r="K1104" s="157">
        <v>1586</v>
      </c>
      <c r="L1104" s="166">
        <f t="shared" si="233"/>
        <v>610</v>
      </c>
      <c r="M1104" s="119" t="s">
        <v>2716</v>
      </c>
      <c r="N1104" s="135">
        <v>14.747999999999999</v>
      </c>
      <c r="O1104" s="122"/>
      <c r="P1104" s="92">
        <f t="shared" si="215"/>
        <v>14.747600000000002</v>
      </c>
      <c r="Q1104" s="113">
        <f t="shared" si="216"/>
        <v>0.72135000000000005</v>
      </c>
      <c r="R1104" s="92">
        <f t="shared" si="217"/>
        <v>0.56105000000000005</v>
      </c>
      <c r="S1104" s="121"/>
      <c r="T1104" s="93">
        <f t="shared" si="218"/>
        <v>-3.9999999999829061E-4</v>
      </c>
      <c r="U1104" s="122"/>
      <c r="V1104" s="94">
        <f t="shared" ca="1" si="219"/>
        <v>303.4644447916653</v>
      </c>
      <c r="W1104" s="89"/>
    </row>
    <row r="1105" spans="1:23" s="312" customFormat="1" ht="18">
      <c r="A1105" s="260"/>
      <c r="B1105" s="260" t="s">
        <v>2578</v>
      </c>
      <c r="C1105" s="175" t="s">
        <v>1379</v>
      </c>
      <c r="D1105" s="131" t="s">
        <v>2540</v>
      </c>
      <c r="E1105" s="156">
        <v>611</v>
      </c>
      <c r="F1105" s="138">
        <v>45241</v>
      </c>
      <c r="G1105" s="252">
        <v>4.58</v>
      </c>
      <c r="H1105" s="150">
        <v>237015</v>
      </c>
      <c r="I1105" s="106">
        <f t="shared" si="214"/>
        <v>51750</v>
      </c>
      <c r="J1105" s="122"/>
      <c r="K1105" s="157">
        <v>1588</v>
      </c>
      <c r="L1105" s="166">
        <f t="shared" si="233"/>
        <v>611</v>
      </c>
      <c r="M1105" s="119" t="s">
        <v>2716</v>
      </c>
      <c r="N1105" s="135">
        <v>4.2140000000000004</v>
      </c>
      <c r="O1105" s="122"/>
      <c r="P1105" s="92">
        <f t="shared" si="215"/>
        <v>4.2136000000000005</v>
      </c>
      <c r="Q1105" s="113">
        <f t="shared" si="216"/>
        <v>0.20610000000000001</v>
      </c>
      <c r="R1105" s="92">
        <f t="shared" si="217"/>
        <v>0.16030000000000003</v>
      </c>
      <c r="S1105" s="121"/>
      <c r="T1105" s="93">
        <f t="shared" si="218"/>
        <v>-4.0000000000037228E-4</v>
      </c>
      <c r="U1105" s="122"/>
      <c r="V1105" s="94">
        <f t="shared" ca="1" si="219"/>
        <v>303.4644447916653</v>
      </c>
      <c r="W1105" s="89"/>
    </row>
    <row r="1106" spans="1:23" s="312" customFormat="1" ht="18">
      <c r="A1106" s="260"/>
      <c r="B1106" s="260" t="s">
        <v>2578</v>
      </c>
      <c r="C1106" s="175" t="s">
        <v>1379</v>
      </c>
      <c r="D1106" s="131" t="s">
        <v>2541</v>
      </c>
      <c r="E1106" s="156">
        <v>612</v>
      </c>
      <c r="F1106" s="138">
        <v>45241</v>
      </c>
      <c r="G1106" s="252">
        <v>20.190000000000001</v>
      </c>
      <c r="H1106" s="150">
        <v>1044832.5000000001</v>
      </c>
      <c r="I1106" s="106">
        <f t="shared" si="214"/>
        <v>51750</v>
      </c>
      <c r="J1106" s="122"/>
      <c r="K1106" s="157" t="s">
        <v>2717</v>
      </c>
      <c r="L1106" s="166">
        <f t="shared" si="233"/>
        <v>612</v>
      </c>
      <c r="M1106" s="119" t="s">
        <v>2718</v>
      </c>
      <c r="N1106" s="135">
        <f>2.338+16.237</f>
        <v>18.574999999999999</v>
      </c>
      <c r="O1106" s="122"/>
      <c r="P1106" s="92">
        <f t="shared" si="215"/>
        <v>18.574800000000003</v>
      </c>
      <c r="Q1106" s="113">
        <f t="shared" si="216"/>
        <v>0.90854999999999997</v>
      </c>
      <c r="R1106" s="92">
        <f t="shared" si="217"/>
        <v>0.70665000000000011</v>
      </c>
      <c r="S1106" s="121"/>
      <c r="T1106" s="93">
        <f t="shared" si="218"/>
        <v>-1.9999999999809059E-4</v>
      </c>
      <c r="U1106" s="122"/>
      <c r="V1106" s="94">
        <f t="shared" ca="1" si="219"/>
        <v>303.4644447916653</v>
      </c>
      <c r="W1106" s="89"/>
    </row>
    <row r="1107" spans="1:23" s="312" customFormat="1" ht="18">
      <c r="A1107" s="260"/>
      <c r="B1107" s="260" t="s">
        <v>2578</v>
      </c>
      <c r="C1107" s="175" t="s">
        <v>1379</v>
      </c>
      <c r="D1107" s="131" t="s">
        <v>2542</v>
      </c>
      <c r="E1107" s="156">
        <v>613</v>
      </c>
      <c r="F1107" s="138">
        <v>45241</v>
      </c>
      <c r="G1107" s="252">
        <v>17.77</v>
      </c>
      <c r="H1107" s="150">
        <v>919597.5</v>
      </c>
      <c r="I1107" s="106">
        <f t="shared" si="214"/>
        <v>51750</v>
      </c>
      <c r="J1107" s="122"/>
      <c r="K1107" s="157" t="s">
        <v>2720</v>
      </c>
      <c r="L1107" s="166">
        <f t="shared" si="233"/>
        <v>613</v>
      </c>
      <c r="M1107" s="119" t="s">
        <v>2718</v>
      </c>
      <c r="N1107" s="135">
        <f>10.855+5.493</f>
        <v>16.347999999999999</v>
      </c>
      <c r="O1107" s="122"/>
      <c r="P1107" s="92">
        <f t="shared" si="215"/>
        <v>16.348400000000002</v>
      </c>
      <c r="Q1107" s="113">
        <f t="shared" si="216"/>
        <v>0.79964999999999997</v>
      </c>
      <c r="R1107" s="92">
        <f t="shared" si="217"/>
        <v>0.62195</v>
      </c>
      <c r="S1107" s="121"/>
      <c r="T1107" s="93">
        <f t="shared" si="218"/>
        <v>4.0000000000062208E-4</v>
      </c>
      <c r="U1107" s="122"/>
      <c r="V1107" s="94">
        <f t="shared" ca="1" si="219"/>
        <v>303.4644447916653</v>
      </c>
      <c r="W1107" s="89"/>
    </row>
    <row r="1108" spans="1:23" s="312" customFormat="1" ht="18">
      <c r="A1108" s="260"/>
      <c r="B1108" s="260" t="s">
        <v>2578</v>
      </c>
      <c r="C1108" s="175" t="s">
        <v>1379</v>
      </c>
      <c r="D1108" s="131" t="s">
        <v>2543</v>
      </c>
      <c r="E1108" s="156">
        <v>614</v>
      </c>
      <c r="F1108" s="138">
        <v>45241</v>
      </c>
      <c r="G1108" s="252">
        <v>9.16</v>
      </c>
      <c r="H1108" s="150">
        <v>474030</v>
      </c>
      <c r="I1108" s="106">
        <f t="shared" si="214"/>
        <v>51750</v>
      </c>
      <c r="J1108" s="122"/>
      <c r="K1108" s="157">
        <v>1596</v>
      </c>
      <c r="L1108" s="166">
        <f t="shared" si="233"/>
        <v>614</v>
      </c>
      <c r="M1108" s="119" t="s">
        <v>2716</v>
      </c>
      <c r="N1108" s="135">
        <v>8.4320000000000004</v>
      </c>
      <c r="O1108" s="122"/>
      <c r="P1108" s="92">
        <f>G1108*0.92+0.01</f>
        <v>8.4372000000000007</v>
      </c>
      <c r="Q1108" s="113">
        <f>G1108*4.5%-0.005</f>
        <v>0.40720000000000001</v>
      </c>
      <c r="R1108" s="92">
        <f t="shared" si="217"/>
        <v>0.32060000000000005</v>
      </c>
      <c r="S1108" s="121"/>
      <c r="T1108" s="93">
        <f t="shared" si="218"/>
        <v>1.9999999999970042E-4</v>
      </c>
      <c r="U1108" s="122"/>
      <c r="V1108" s="94">
        <f t="shared" ca="1" si="219"/>
        <v>303.4644447916653</v>
      </c>
      <c r="W1108" s="89"/>
    </row>
    <row r="1109" spans="1:23" s="312" customFormat="1" ht="18">
      <c r="A1109" s="260"/>
      <c r="B1109" s="260" t="s">
        <v>2578</v>
      </c>
      <c r="C1109" s="175" t="s">
        <v>1379</v>
      </c>
      <c r="D1109" s="131" t="s">
        <v>2544</v>
      </c>
      <c r="E1109" s="156">
        <v>615</v>
      </c>
      <c r="F1109" s="138">
        <v>45241</v>
      </c>
      <c r="G1109" s="252">
        <v>13.74</v>
      </c>
      <c r="H1109" s="150">
        <v>711045</v>
      </c>
      <c r="I1109" s="106">
        <f t="shared" si="214"/>
        <v>51750</v>
      </c>
      <c r="J1109" s="122"/>
      <c r="K1109" s="157">
        <v>1597</v>
      </c>
      <c r="L1109" s="166">
        <f t="shared" si="233"/>
        <v>615</v>
      </c>
      <c r="M1109" s="119" t="s">
        <v>2716</v>
      </c>
      <c r="N1109" s="135">
        <v>12.641</v>
      </c>
      <c r="O1109" s="122"/>
      <c r="P1109" s="92">
        <f t="shared" si="215"/>
        <v>12.6408</v>
      </c>
      <c r="Q1109" s="113">
        <f t="shared" si="216"/>
        <v>0.61829999999999996</v>
      </c>
      <c r="R1109" s="92">
        <f t="shared" si="217"/>
        <v>0.48090000000000005</v>
      </c>
      <c r="S1109" s="121"/>
      <c r="T1109" s="93">
        <f t="shared" si="218"/>
        <v>-1.9999999999981144E-4</v>
      </c>
      <c r="U1109" s="122"/>
      <c r="V1109" s="94">
        <f t="shared" ca="1" si="219"/>
        <v>303.4644447916653</v>
      </c>
      <c r="W1109" s="89"/>
    </row>
    <row r="1110" spans="1:23" s="312" customFormat="1" ht="18">
      <c r="A1110" s="260"/>
      <c r="B1110" s="260" t="s">
        <v>2578</v>
      </c>
      <c r="C1110" s="175" t="s">
        <v>1379</v>
      </c>
      <c r="D1110" s="131" t="s">
        <v>2545</v>
      </c>
      <c r="E1110" s="156">
        <v>616</v>
      </c>
      <c r="F1110" s="138">
        <v>45241</v>
      </c>
      <c r="G1110" s="252">
        <v>2.14</v>
      </c>
      <c r="H1110" s="150">
        <v>110745</v>
      </c>
      <c r="I1110" s="106">
        <f t="shared" si="214"/>
        <v>51750</v>
      </c>
      <c r="J1110" s="122"/>
      <c r="K1110" s="157">
        <v>1681</v>
      </c>
      <c r="L1110" s="166">
        <f t="shared" si="233"/>
        <v>616</v>
      </c>
      <c r="M1110" s="119" t="s">
        <v>2824</v>
      </c>
      <c r="N1110" s="135">
        <v>1.9690000000000001</v>
      </c>
      <c r="O1110" s="122"/>
      <c r="P1110" s="92">
        <f t="shared" si="215"/>
        <v>1.9688000000000001</v>
      </c>
      <c r="Q1110" s="113">
        <f t="shared" si="216"/>
        <v>9.6299999999999997E-2</v>
      </c>
      <c r="R1110" s="92">
        <f t="shared" si="217"/>
        <v>7.4900000000000008E-2</v>
      </c>
      <c r="S1110" s="121"/>
      <c r="T1110" s="366">
        <f t="shared" si="218"/>
        <v>-1.999999999999641E-4</v>
      </c>
      <c r="U1110" s="122"/>
      <c r="V1110" s="94">
        <f t="shared" ca="1" si="219"/>
        <v>303.4644447916653</v>
      </c>
      <c r="W1110" s="89"/>
    </row>
    <row r="1111" spans="1:23" s="312" customFormat="1" ht="18">
      <c r="A1111" s="260"/>
      <c r="B1111" s="260" t="s">
        <v>2578</v>
      </c>
      <c r="C1111" s="175" t="s">
        <v>1379</v>
      </c>
      <c r="D1111" s="131" t="s">
        <v>2546</v>
      </c>
      <c r="E1111" s="156">
        <v>617</v>
      </c>
      <c r="F1111" s="138">
        <v>45241</v>
      </c>
      <c r="G1111" s="252">
        <v>4.1989999999999998</v>
      </c>
      <c r="H1111" s="150">
        <v>217298.25</v>
      </c>
      <c r="I1111" s="106">
        <f t="shared" ref="I1111:I1138" si="234">H1111/G1111</f>
        <v>51750</v>
      </c>
      <c r="J1111" s="122"/>
      <c r="K1111" s="157">
        <v>1682</v>
      </c>
      <c r="L1111" s="166">
        <f t="shared" si="233"/>
        <v>617</v>
      </c>
      <c r="M1111" s="119" t="s">
        <v>2824</v>
      </c>
      <c r="N1111" s="135">
        <v>3.863</v>
      </c>
      <c r="O1111" s="122"/>
      <c r="P1111" s="92">
        <f t="shared" ref="P1111:P1138" si="235">G1111*0.92</f>
        <v>3.8630800000000001</v>
      </c>
      <c r="Q1111" s="113">
        <f t="shared" ref="Q1111:Q1138" si="236">G1111*4.5%</f>
        <v>0.18895499999999998</v>
      </c>
      <c r="R1111" s="92">
        <f t="shared" ref="R1111:R1138" si="237">G1111*3.5%</f>
        <v>0.14696500000000001</v>
      </c>
      <c r="S1111" s="121"/>
      <c r="T1111" s="366">
        <f t="shared" ref="T1111:T1139" si="238">G1111-N1111-Q1111-R1111</f>
        <v>7.9999999999857963E-5</v>
      </c>
      <c r="U1111" s="122"/>
      <c r="V1111" s="94">
        <f t="shared" ref="V1111:V1138" ca="1" si="239">360-($V$3-F1111)</f>
        <v>303.4644447916653</v>
      </c>
      <c r="W1111" s="89"/>
    </row>
    <row r="1112" spans="1:23" s="312" customFormat="1" ht="18">
      <c r="A1112" s="260"/>
      <c r="B1112" s="260" t="s">
        <v>2578</v>
      </c>
      <c r="C1112" s="175" t="s">
        <v>1379</v>
      </c>
      <c r="D1112" s="131" t="s">
        <v>2547</v>
      </c>
      <c r="E1112" s="156">
        <v>618</v>
      </c>
      <c r="F1112" s="138">
        <v>45241</v>
      </c>
      <c r="G1112" s="252">
        <v>31.850999999999999</v>
      </c>
      <c r="H1112" s="150">
        <v>1648289.25</v>
      </c>
      <c r="I1112" s="106">
        <f t="shared" si="234"/>
        <v>51750</v>
      </c>
      <c r="J1112" s="122"/>
      <c r="K1112" s="157" t="s">
        <v>2828</v>
      </c>
      <c r="L1112" s="166">
        <f t="shared" si="233"/>
        <v>618</v>
      </c>
      <c r="M1112" s="119" t="s">
        <v>2829</v>
      </c>
      <c r="N1112" s="135">
        <f>6.124+20.652+2.527</f>
        <v>29.303000000000001</v>
      </c>
      <c r="O1112" s="122"/>
      <c r="P1112" s="92">
        <f t="shared" si="235"/>
        <v>29.30292</v>
      </c>
      <c r="Q1112" s="113">
        <f t="shared" si="236"/>
        <v>1.433295</v>
      </c>
      <c r="R1112" s="92">
        <f t="shared" si="237"/>
        <v>1.1147850000000001</v>
      </c>
      <c r="S1112" s="121"/>
      <c r="T1112" s="366">
        <f t="shared" si="238"/>
        <v>-8.0000000001856364E-5</v>
      </c>
      <c r="U1112" s="122"/>
      <c r="V1112" s="94">
        <f t="shared" ca="1" si="239"/>
        <v>303.4644447916653</v>
      </c>
      <c r="W1112" s="89"/>
    </row>
    <row r="1113" spans="1:23" s="312" customFormat="1" ht="18">
      <c r="A1113" s="260"/>
      <c r="B1113" s="260" t="s">
        <v>2578</v>
      </c>
      <c r="C1113" s="175" t="s">
        <v>1379</v>
      </c>
      <c r="D1113" s="131" t="s">
        <v>2548</v>
      </c>
      <c r="E1113" s="156">
        <v>619</v>
      </c>
      <c r="F1113" s="138">
        <v>45241</v>
      </c>
      <c r="G1113" s="252">
        <v>4.58</v>
      </c>
      <c r="H1113" s="150">
        <v>237015</v>
      </c>
      <c r="I1113" s="106">
        <f t="shared" si="234"/>
        <v>51750</v>
      </c>
      <c r="J1113" s="122"/>
      <c r="K1113" s="157">
        <v>1684</v>
      </c>
      <c r="L1113" s="166">
        <f t="shared" si="233"/>
        <v>619</v>
      </c>
      <c r="M1113" s="119" t="s">
        <v>2824</v>
      </c>
      <c r="N1113" s="135">
        <v>4.2140000000000004</v>
      </c>
      <c r="O1113" s="122"/>
      <c r="P1113" s="92">
        <f t="shared" si="235"/>
        <v>4.2136000000000005</v>
      </c>
      <c r="Q1113" s="113">
        <f t="shared" si="236"/>
        <v>0.20610000000000001</v>
      </c>
      <c r="R1113" s="92">
        <f t="shared" si="237"/>
        <v>0.16030000000000003</v>
      </c>
      <c r="S1113" s="121"/>
      <c r="T1113" s="366">
        <f t="shared" si="238"/>
        <v>-4.0000000000037228E-4</v>
      </c>
      <c r="U1113" s="122"/>
      <c r="V1113" s="94">
        <f t="shared" ca="1" si="239"/>
        <v>303.4644447916653</v>
      </c>
      <c r="W1113" s="89"/>
    </row>
    <row r="1114" spans="1:23" s="312" customFormat="1" ht="18">
      <c r="A1114" s="260"/>
      <c r="B1114" s="260" t="s">
        <v>2578</v>
      </c>
      <c r="C1114" s="175" t="s">
        <v>1379</v>
      </c>
      <c r="D1114" s="131" t="s">
        <v>2549</v>
      </c>
      <c r="E1114" s="156">
        <v>620</v>
      </c>
      <c r="F1114" s="138">
        <v>45241</v>
      </c>
      <c r="G1114" s="252">
        <v>4.58</v>
      </c>
      <c r="H1114" s="150">
        <v>237015</v>
      </c>
      <c r="I1114" s="106">
        <f t="shared" si="234"/>
        <v>51750</v>
      </c>
      <c r="J1114" s="122"/>
      <c r="K1114" s="157">
        <v>1704</v>
      </c>
      <c r="L1114" s="166">
        <f t="shared" si="233"/>
        <v>620</v>
      </c>
      <c r="M1114" s="119" t="s">
        <v>2865</v>
      </c>
      <c r="N1114" s="135">
        <v>4.2140000000000004</v>
      </c>
      <c r="O1114" s="122"/>
      <c r="P1114" s="92">
        <f t="shared" si="235"/>
        <v>4.2136000000000005</v>
      </c>
      <c r="Q1114" s="113">
        <f t="shared" si="236"/>
        <v>0.20610000000000001</v>
      </c>
      <c r="R1114" s="92">
        <f t="shared" si="237"/>
        <v>0.16030000000000003</v>
      </c>
      <c r="S1114" s="121"/>
      <c r="T1114" s="368">
        <f t="shared" si="238"/>
        <v>-4.0000000000037228E-4</v>
      </c>
      <c r="U1114" s="122"/>
      <c r="V1114" s="94">
        <f t="shared" ca="1" si="239"/>
        <v>303.4644447916653</v>
      </c>
      <c r="W1114" s="89"/>
    </row>
    <row r="1115" spans="1:23" s="312" customFormat="1" ht="18">
      <c r="A1115" s="260"/>
      <c r="B1115" s="260" t="s">
        <v>2578</v>
      </c>
      <c r="C1115" s="175" t="s">
        <v>1379</v>
      </c>
      <c r="D1115" s="131" t="s">
        <v>2550</v>
      </c>
      <c r="E1115" s="156">
        <v>621</v>
      </c>
      <c r="F1115" s="138">
        <v>45241</v>
      </c>
      <c r="G1115" s="252">
        <v>27.08</v>
      </c>
      <c r="H1115" s="150">
        <v>1401390</v>
      </c>
      <c r="I1115" s="106">
        <f t="shared" si="234"/>
        <v>51750</v>
      </c>
      <c r="J1115" s="122"/>
      <c r="K1115" s="157">
        <v>1605</v>
      </c>
      <c r="L1115" s="166">
        <f t="shared" si="233"/>
        <v>621</v>
      </c>
      <c r="M1115" s="119" t="s">
        <v>2716</v>
      </c>
      <c r="N1115" s="135">
        <v>24.914000000000001</v>
      </c>
      <c r="O1115" s="122"/>
      <c r="P1115" s="92">
        <f t="shared" si="235"/>
        <v>24.913599999999999</v>
      </c>
      <c r="Q1115" s="113">
        <f t="shared" si="236"/>
        <v>1.2185999999999999</v>
      </c>
      <c r="R1115" s="92">
        <f t="shared" si="237"/>
        <v>0.94779999999999998</v>
      </c>
      <c r="S1115" s="121"/>
      <c r="T1115" s="93">
        <f t="shared" si="238"/>
        <v>-4.0000000000306457E-4</v>
      </c>
      <c r="U1115" s="122"/>
      <c r="V1115" s="94">
        <f t="shared" ca="1" si="239"/>
        <v>303.4644447916653</v>
      </c>
      <c r="W1115" s="89"/>
    </row>
    <row r="1116" spans="1:23" s="312" customFormat="1" ht="18">
      <c r="A1116" s="260"/>
      <c r="B1116" s="260" t="s">
        <v>2578</v>
      </c>
      <c r="C1116" s="175" t="s">
        <v>1379</v>
      </c>
      <c r="D1116" s="131" t="s">
        <v>2551</v>
      </c>
      <c r="E1116" s="156">
        <v>622</v>
      </c>
      <c r="F1116" s="138">
        <v>45241</v>
      </c>
      <c r="G1116" s="252">
        <v>24.88</v>
      </c>
      <c r="H1116" s="150">
        <v>1287540</v>
      </c>
      <c r="I1116" s="106">
        <f t="shared" si="234"/>
        <v>51750</v>
      </c>
      <c r="J1116" s="122"/>
      <c r="K1116" s="157" t="s">
        <v>2764</v>
      </c>
      <c r="L1116" s="166">
        <f t="shared" si="233"/>
        <v>622</v>
      </c>
      <c r="M1116" s="119" t="s">
        <v>2725</v>
      </c>
      <c r="N1116" s="135">
        <f>5.947+16.943</f>
        <v>22.89</v>
      </c>
      <c r="O1116" s="122"/>
      <c r="P1116" s="92">
        <f t="shared" si="235"/>
        <v>22.889600000000002</v>
      </c>
      <c r="Q1116" s="113">
        <f t="shared" si="236"/>
        <v>1.1195999999999999</v>
      </c>
      <c r="R1116" s="92">
        <f t="shared" si="237"/>
        <v>0.87080000000000002</v>
      </c>
      <c r="S1116" s="121"/>
      <c r="T1116" s="93">
        <f t="shared" si="238"/>
        <v>-4.0000000000151026E-4</v>
      </c>
      <c r="U1116" s="122"/>
      <c r="V1116" s="94">
        <f t="shared" ca="1" si="239"/>
        <v>303.4644447916653</v>
      </c>
      <c r="W1116" s="89"/>
    </row>
    <row r="1117" spans="1:23" s="312" customFormat="1" ht="18">
      <c r="A1117" s="260"/>
      <c r="B1117" s="260" t="s">
        <v>2578</v>
      </c>
      <c r="C1117" s="175" t="s">
        <v>1379</v>
      </c>
      <c r="D1117" s="131" t="s">
        <v>2552</v>
      </c>
      <c r="E1117" s="156">
        <v>623</v>
      </c>
      <c r="F1117" s="138">
        <v>45241</v>
      </c>
      <c r="G1117" s="252">
        <v>4.58</v>
      </c>
      <c r="H1117" s="150">
        <v>237015</v>
      </c>
      <c r="I1117" s="106">
        <f t="shared" si="234"/>
        <v>51750</v>
      </c>
      <c r="J1117" s="122"/>
      <c r="K1117" s="157">
        <v>1705</v>
      </c>
      <c r="L1117" s="166">
        <f t="shared" si="233"/>
        <v>623</v>
      </c>
      <c r="M1117" s="119" t="s">
        <v>2865</v>
      </c>
      <c r="N1117" s="135">
        <v>4.2140000000000004</v>
      </c>
      <c r="O1117" s="122"/>
      <c r="P1117" s="92">
        <f t="shared" si="235"/>
        <v>4.2136000000000005</v>
      </c>
      <c r="Q1117" s="113">
        <f t="shared" si="236"/>
        <v>0.20610000000000001</v>
      </c>
      <c r="R1117" s="92">
        <f t="shared" si="237"/>
        <v>0.16030000000000003</v>
      </c>
      <c r="S1117" s="121"/>
      <c r="T1117" s="368">
        <f t="shared" si="238"/>
        <v>-4.0000000000037228E-4</v>
      </c>
      <c r="U1117" s="122"/>
      <c r="V1117" s="94">
        <f t="shared" ca="1" si="239"/>
        <v>303.4644447916653</v>
      </c>
      <c r="W1117" s="89"/>
    </row>
    <row r="1118" spans="1:23" s="312" customFormat="1" ht="18">
      <c r="A1118" s="260"/>
      <c r="B1118" s="260" t="s">
        <v>2578</v>
      </c>
      <c r="C1118" s="175" t="s">
        <v>1379</v>
      </c>
      <c r="D1118" s="131" t="s">
        <v>2553</v>
      </c>
      <c r="E1118" s="156">
        <v>624</v>
      </c>
      <c r="F1118" s="138">
        <v>45241</v>
      </c>
      <c r="G1118" s="252">
        <v>2.29</v>
      </c>
      <c r="H1118" s="150">
        <v>118507.5</v>
      </c>
      <c r="I1118" s="106">
        <f t="shared" si="234"/>
        <v>51750</v>
      </c>
      <c r="J1118" s="122"/>
      <c r="K1118" s="157">
        <v>1706</v>
      </c>
      <c r="L1118" s="166">
        <f t="shared" si="233"/>
        <v>624</v>
      </c>
      <c r="M1118" s="119" t="s">
        <v>2865</v>
      </c>
      <c r="N1118" s="135">
        <v>2.1070000000000002</v>
      </c>
      <c r="O1118" s="122"/>
      <c r="P1118" s="92">
        <f t="shared" si="235"/>
        <v>2.1068000000000002</v>
      </c>
      <c r="Q1118" s="113">
        <f t="shared" si="236"/>
        <v>0.10305</v>
      </c>
      <c r="R1118" s="92">
        <f t="shared" si="237"/>
        <v>8.0150000000000013E-2</v>
      </c>
      <c r="S1118" s="121"/>
      <c r="T1118" s="368">
        <f t="shared" si="238"/>
        <v>-2.0000000000018614E-4</v>
      </c>
      <c r="U1118" s="122"/>
      <c r="V1118" s="94">
        <f t="shared" ca="1" si="239"/>
        <v>303.4644447916653</v>
      </c>
      <c r="W1118" s="89"/>
    </row>
    <row r="1119" spans="1:23" s="312" customFormat="1" ht="18">
      <c r="A1119" s="260"/>
      <c r="B1119" s="260" t="s">
        <v>2578</v>
      </c>
      <c r="C1119" s="175" t="s">
        <v>1379</v>
      </c>
      <c r="D1119" s="131" t="s">
        <v>2554</v>
      </c>
      <c r="E1119" s="156">
        <v>625</v>
      </c>
      <c r="F1119" s="138">
        <v>45241</v>
      </c>
      <c r="G1119" s="252">
        <v>34.365000000000002</v>
      </c>
      <c r="H1119" s="150">
        <v>1778388.75</v>
      </c>
      <c r="I1119" s="106">
        <f t="shared" si="234"/>
        <v>51750</v>
      </c>
      <c r="J1119" s="122"/>
      <c r="K1119" s="157" t="s">
        <v>2866</v>
      </c>
      <c r="L1119" s="166">
        <f t="shared" si="233"/>
        <v>625</v>
      </c>
      <c r="M1119" s="119" t="s">
        <v>2867</v>
      </c>
      <c r="N1119" s="135">
        <f>31.546+0.07</f>
        <v>31.616</v>
      </c>
      <c r="O1119" s="122"/>
      <c r="P1119" s="92">
        <f t="shared" si="235"/>
        <v>31.615800000000004</v>
      </c>
      <c r="Q1119" s="113">
        <f t="shared" si="236"/>
        <v>1.5464249999999999</v>
      </c>
      <c r="R1119" s="92">
        <f t="shared" si="237"/>
        <v>1.2027750000000001</v>
      </c>
      <c r="S1119" s="121"/>
      <c r="T1119" s="368">
        <f t="shared" si="238"/>
        <v>-1.9999999999775753E-4</v>
      </c>
      <c r="U1119" s="122"/>
      <c r="V1119" s="94">
        <f t="shared" ca="1" si="239"/>
        <v>303.4644447916653</v>
      </c>
      <c r="W1119" s="89"/>
    </row>
    <row r="1120" spans="1:23" s="312" customFormat="1" ht="18">
      <c r="A1120" s="260"/>
      <c r="B1120" s="260" t="s">
        <v>2578</v>
      </c>
      <c r="C1120" s="175" t="s">
        <v>1379</v>
      </c>
      <c r="D1120" s="131" t="s">
        <v>2555</v>
      </c>
      <c r="E1120" s="156">
        <v>626</v>
      </c>
      <c r="F1120" s="138">
        <v>45241</v>
      </c>
      <c r="G1120" s="252">
        <v>6.3650000000000002</v>
      </c>
      <c r="H1120" s="150">
        <v>329388.75</v>
      </c>
      <c r="I1120" s="106">
        <f t="shared" si="234"/>
        <v>51750</v>
      </c>
      <c r="J1120" s="122"/>
      <c r="K1120" s="157">
        <v>1654</v>
      </c>
      <c r="L1120" s="166">
        <f t="shared" si="233"/>
        <v>626</v>
      </c>
      <c r="M1120" s="119" t="s">
        <v>2807</v>
      </c>
      <c r="N1120" s="135">
        <v>5.8559999999999999</v>
      </c>
      <c r="O1120" s="122"/>
      <c r="P1120" s="92">
        <f t="shared" si="235"/>
        <v>5.8558000000000003</v>
      </c>
      <c r="Q1120" s="113">
        <f t="shared" si="236"/>
        <v>0.28642499999999999</v>
      </c>
      <c r="R1120" s="92">
        <f t="shared" si="237"/>
        <v>0.22277500000000003</v>
      </c>
      <c r="S1120" s="121"/>
      <c r="T1120" s="113">
        <f t="shared" si="238"/>
        <v>-1.9999999999967266E-4</v>
      </c>
      <c r="U1120" s="122"/>
      <c r="V1120" s="94">
        <f t="shared" ca="1" si="239"/>
        <v>303.4644447916653</v>
      </c>
      <c r="W1120" s="89"/>
    </row>
    <row r="1121" spans="1:23" s="312" customFormat="1" ht="18">
      <c r="A1121" s="260"/>
      <c r="B1121" s="260" t="s">
        <v>2578</v>
      </c>
      <c r="C1121" s="175" t="s">
        <v>1379</v>
      </c>
      <c r="D1121" s="131" t="s">
        <v>2556</v>
      </c>
      <c r="E1121" s="156">
        <v>627</v>
      </c>
      <c r="F1121" s="138">
        <v>45241</v>
      </c>
      <c r="G1121" s="252">
        <v>13.74</v>
      </c>
      <c r="H1121" s="150">
        <v>711045</v>
      </c>
      <c r="I1121" s="106">
        <f t="shared" si="234"/>
        <v>51750</v>
      </c>
      <c r="J1121" s="122"/>
      <c r="K1121" s="157">
        <v>1622</v>
      </c>
      <c r="L1121" s="166">
        <f t="shared" si="233"/>
        <v>627</v>
      </c>
      <c r="M1121" s="119" t="s">
        <v>2762</v>
      </c>
      <c r="N1121" s="135">
        <v>12.641</v>
      </c>
      <c r="O1121" s="122"/>
      <c r="P1121" s="92">
        <f t="shared" si="235"/>
        <v>12.6408</v>
      </c>
      <c r="Q1121" s="113">
        <f t="shared" si="236"/>
        <v>0.61829999999999996</v>
      </c>
      <c r="R1121" s="92">
        <f t="shared" si="237"/>
        <v>0.48090000000000005</v>
      </c>
      <c r="S1121" s="121"/>
      <c r="T1121" s="93">
        <f t="shared" si="238"/>
        <v>-1.9999999999981144E-4</v>
      </c>
      <c r="U1121" s="122"/>
      <c r="V1121" s="94">
        <f t="shared" ca="1" si="239"/>
        <v>303.4644447916653</v>
      </c>
      <c r="W1121" s="89"/>
    </row>
    <row r="1122" spans="1:23" s="312" customFormat="1" ht="18">
      <c r="A1122" s="260"/>
      <c r="B1122" s="260" t="s">
        <v>2578</v>
      </c>
      <c r="C1122" s="175" t="s">
        <v>1379</v>
      </c>
      <c r="D1122" s="131" t="s">
        <v>2557</v>
      </c>
      <c r="E1122" s="156">
        <v>628</v>
      </c>
      <c r="F1122" s="138">
        <v>45241</v>
      </c>
      <c r="G1122" s="252">
        <v>18.010000000000002</v>
      </c>
      <c r="H1122" s="150">
        <v>932017.50000000012</v>
      </c>
      <c r="I1122" s="106">
        <f t="shared" si="234"/>
        <v>51750</v>
      </c>
      <c r="J1122" s="122"/>
      <c r="K1122" s="157" t="s">
        <v>2803</v>
      </c>
      <c r="L1122" s="166">
        <f t="shared" si="233"/>
        <v>628</v>
      </c>
      <c r="M1122" s="119" t="s">
        <v>2805</v>
      </c>
      <c r="N1122" s="135">
        <f>12.975+3.588</f>
        <v>16.562999999999999</v>
      </c>
      <c r="O1122" s="122"/>
      <c r="P1122" s="92">
        <f>G1122*0.92-0.006</f>
        <v>16.563200000000002</v>
      </c>
      <c r="Q1122" s="113">
        <f>G1122*4.5%+0.003</f>
        <v>0.81345000000000001</v>
      </c>
      <c r="R1122" s="93">
        <f>G1122*3.5%+0.003</f>
        <v>0.63335000000000008</v>
      </c>
      <c r="S1122" s="121"/>
      <c r="T1122" s="93">
        <f t="shared" si="238"/>
        <v>2.0000000000264251E-4</v>
      </c>
      <c r="U1122" s="122"/>
      <c r="V1122" s="94">
        <f t="shared" ca="1" si="239"/>
        <v>303.4644447916653</v>
      </c>
      <c r="W1122" s="89"/>
    </row>
    <row r="1123" spans="1:23" s="312" customFormat="1" ht="18">
      <c r="A1123" s="260"/>
      <c r="B1123" s="260" t="s">
        <v>2578</v>
      </c>
      <c r="C1123" s="175" t="s">
        <v>1379</v>
      </c>
      <c r="D1123" s="131" t="s">
        <v>2558</v>
      </c>
      <c r="E1123" s="156">
        <v>629</v>
      </c>
      <c r="F1123" s="138">
        <v>45241</v>
      </c>
      <c r="G1123" s="252">
        <v>2.14</v>
      </c>
      <c r="H1123" s="150">
        <v>110745</v>
      </c>
      <c r="I1123" s="106">
        <f t="shared" si="234"/>
        <v>51750</v>
      </c>
      <c r="J1123" s="122"/>
      <c r="K1123" s="157">
        <v>1708</v>
      </c>
      <c r="L1123" s="166">
        <f t="shared" si="233"/>
        <v>629</v>
      </c>
      <c r="M1123" s="119" t="s">
        <v>2865</v>
      </c>
      <c r="N1123" s="135">
        <v>1.9690000000000001</v>
      </c>
      <c r="O1123" s="122"/>
      <c r="P1123" s="92">
        <f t="shared" si="235"/>
        <v>1.9688000000000001</v>
      </c>
      <c r="Q1123" s="113">
        <f t="shared" si="236"/>
        <v>9.6299999999999997E-2</v>
      </c>
      <c r="R1123" s="92">
        <f t="shared" si="237"/>
        <v>7.4900000000000008E-2</v>
      </c>
      <c r="S1123" s="121"/>
      <c r="T1123" s="368">
        <f t="shared" si="238"/>
        <v>-1.999999999999641E-4</v>
      </c>
      <c r="U1123" s="122"/>
      <c r="V1123" s="94">
        <f t="shared" ca="1" si="239"/>
        <v>303.4644447916653</v>
      </c>
      <c r="W1123" s="89"/>
    </row>
    <row r="1124" spans="1:23" s="312" customFormat="1" ht="18">
      <c r="A1124" s="260"/>
      <c r="B1124" s="260" t="s">
        <v>2578</v>
      </c>
      <c r="C1124" s="175" t="s">
        <v>1379</v>
      </c>
      <c r="D1124" s="131" t="s">
        <v>2559</v>
      </c>
      <c r="E1124" s="156">
        <v>630</v>
      </c>
      <c r="F1124" s="138">
        <v>45241</v>
      </c>
      <c r="G1124" s="252">
        <v>6.87</v>
      </c>
      <c r="H1124" s="150">
        <v>355522.5</v>
      </c>
      <c r="I1124" s="106">
        <f t="shared" si="234"/>
        <v>51750</v>
      </c>
      <c r="J1124" s="122"/>
      <c r="K1124" s="157">
        <v>1651</v>
      </c>
      <c r="L1124" s="166">
        <f t="shared" si="233"/>
        <v>630</v>
      </c>
      <c r="M1124" s="119" t="s">
        <v>2807</v>
      </c>
      <c r="N1124" s="135">
        <v>6.32</v>
      </c>
      <c r="O1124" s="122"/>
      <c r="P1124" s="92">
        <f t="shared" si="235"/>
        <v>6.3204000000000002</v>
      </c>
      <c r="Q1124" s="113">
        <f t="shared" si="236"/>
        <v>0.30914999999999998</v>
      </c>
      <c r="R1124" s="92">
        <f t="shared" si="237"/>
        <v>0.24045000000000002</v>
      </c>
      <c r="S1124" s="121"/>
      <c r="T1124" s="232">
        <f t="shared" si="238"/>
        <v>3.9999999999981717E-4</v>
      </c>
      <c r="U1124" s="122"/>
      <c r="V1124" s="94">
        <f t="shared" ca="1" si="239"/>
        <v>303.4644447916653</v>
      </c>
      <c r="W1124" s="89"/>
    </row>
    <row r="1125" spans="1:23" s="312" customFormat="1" ht="18">
      <c r="A1125" s="260"/>
      <c r="B1125" s="260" t="s">
        <v>2578</v>
      </c>
      <c r="C1125" s="175" t="s">
        <v>1379</v>
      </c>
      <c r="D1125" s="131" t="s">
        <v>2560</v>
      </c>
      <c r="E1125" s="156">
        <v>631</v>
      </c>
      <c r="F1125" s="138">
        <v>45241</v>
      </c>
      <c r="G1125" s="252">
        <v>31.86</v>
      </c>
      <c r="H1125" s="150">
        <v>1648755</v>
      </c>
      <c r="I1125" s="106">
        <f t="shared" si="234"/>
        <v>51750</v>
      </c>
      <c r="J1125" s="122"/>
      <c r="K1125" s="157" t="s">
        <v>2804</v>
      </c>
      <c r="L1125" s="166">
        <f t="shared" si="233"/>
        <v>631</v>
      </c>
      <c r="M1125" s="119" t="s">
        <v>2796</v>
      </c>
      <c r="N1125" s="135">
        <f>19.946+9.359</f>
        <v>29.305</v>
      </c>
      <c r="O1125" s="122"/>
      <c r="P1125" s="92">
        <f>G1125*0.92-6</f>
        <v>23.311199999999999</v>
      </c>
      <c r="Q1125" s="113">
        <f>G1125*4.5%+0.003</f>
        <v>1.4366999999999999</v>
      </c>
      <c r="R1125" s="93">
        <f>G1125*3.5%+0.003</f>
        <v>1.1180999999999999</v>
      </c>
      <c r="S1125" s="121"/>
      <c r="T1125" s="93">
        <f t="shared" si="238"/>
        <v>1.9999999999997797E-4</v>
      </c>
      <c r="U1125" s="122"/>
      <c r="V1125" s="94">
        <f t="shared" ca="1" si="239"/>
        <v>303.4644447916653</v>
      </c>
      <c r="W1125" s="89"/>
    </row>
    <row r="1126" spans="1:23" s="312" customFormat="1" ht="18">
      <c r="A1126" s="260"/>
      <c r="B1126" s="260" t="s">
        <v>2578</v>
      </c>
      <c r="C1126" s="175" t="s">
        <v>1379</v>
      </c>
      <c r="D1126" s="131" t="s">
        <v>2561</v>
      </c>
      <c r="E1126" s="156">
        <v>632</v>
      </c>
      <c r="F1126" s="138">
        <v>45241</v>
      </c>
      <c r="G1126" s="252">
        <v>13.406000000000001</v>
      </c>
      <c r="H1126" s="150">
        <v>693760.5</v>
      </c>
      <c r="I1126" s="106">
        <f t="shared" si="234"/>
        <v>51750</v>
      </c>
      <c r="J1126" s="122"/>
      <c r="K1126" s="157">
        <v>1649</v>
      </c>
      <c r="L1126" s="166">
        <f t="shared" si="233"/>
        <v>632</v>
      </c>
      <c r="M1126" s="119" t="s">
        <v>2797</v>
      </c>
      <c r="N1126" s="135">
        <v>12.327999999999999</v>
      </c>
      <c r="O1126" s="122"/>
      <c r="P1126" s="92">
        <f>G1126*0.92-0.006</f>
        <v>12.327520000000002</v>
      </c>
      <c r="Q1126" s="113">
        <f>G1126*4.5%+0.003</f>
        <v>0.60626999999999998</v>
      </c>
      <c r="R1126" s="93">
        <f>G1126*3.5%+0.003</f>
        <v>0.47221000000000007</v>
      </c>
      <c r="S1126" s="121"/>
      <c r="T1126" s="93">
        <f t="shared" si="238"/>
        <v>-4.7999999999887022E-4</v>
      </c>
      <c r="U1126" s="122"/>
      <c r="V1126" s="94">
        <f t="shared" ca="1" si="239"/>
        <v>303.4644447916653</v>
      </c>
      <c r="W1126" s="89"/>
    </row>
    <row r="1127" spans="1:23" s="312" customFormat="1" ht="18">
      <c r="A1127" s="260"/>
      <c r="B1127" s="260" t="s">
        <v>2578</v>
      </c>
      <c r="C1127" s="175" t="s">
        <v>1379</v>
      </c>
      <c r="D1127" s="131" t="s">
        <v>2562</v>
      </c>
      <c r="E1127" s="156">
        <v>633</v>
      </c>
      <c r="F1127" s="138">
        <v>45241</v>
      </c>
      <c r="G1127" s="252">
        <v>16.044</v>
      </c>
      <c r="H1127" s="150">
        <v>830277</v>
      </c>
      <c r="I1127" s="106">
        <f t="shared" si="234"/>
        <v>51750</v>
      </c>
      <c r="J1127" s="122"/>
      <c r="K1127" s="157">
        <v>1631</v>
      </c>
      <c r="L1127" s="166">
        <f t="shared" si="233"/>
        <v>633</v>
      </c>
      <c r="M1127" s="119" t="s">
        <v>2786</v>
      </c>
      <c r="N1127" s="135">
        <v>14.76</v>
      </c>
      <c r="O1127" s="122"/>
      <c r="P1127" s="92">
        <f t="shared" si="235"/>
        <v>14.760480000000001</v>
      </c>
      <c r="Q1127" s="113">
        <f t="shared" si="236"/>
        <v>0.72197999999999996</v>
      </c>
      <c r="R1127" s="92">
        <f t="shared" si="237"/>
        <v>0.56154000000000004</v>
      </c>
      <c r="S1127" s="121"/>
      <c r="T1127" s="93">
        <f t="shared" si="238"/>
        <v>4.8000000000070209E-4</v>
      </c>
      <c r="U1127" s="122"/>
      <c r="V1127" s="94">
        <f t="shared" ca="1" si="239"/>
        <v>303.4644447916653</v>
      </c>
      <c r="W1127" s="89"/>
    </row>
    <row r="1128" spans="1:23" s="312" customFormat="1" ht="18">
      <c r="A1128" s="260"/>
      <c r="B1128" s="260" t="s">
        <v>2578</v>
      </c>
      <c r="C1128" s="175" t="s">
        <v>1379</v>
      </c>
      <c r="D1128" s="131" t="s">
        <v>2563</v>
      </c>
      <c r="E1128" s="156">
        <v>634</v>
      </c>
      <c r="F1128" s="138">
        <v>45241</v>
      </c>
      <c r="G1128" s="252">
        <v>25.097999999999999</v>
      </c>
      <c r="H1128" s="150">
        <v>1298821.5</v>
      </c>
      <c r="I1128" s="106">
        <f t="shared" si="234"/>
        <v>51750</v>
      </c>
      <c r="J1128" s="122"/>
      <c r="K1128" s="157" t="s">
        <v>2806</v>
      </c>
      <c r="L1128" s="166">
        <f t="shared" si="233"/>
        <v>634</v>
      </c>
      <c r="M1128" s="119" t="s">
        <v>2798</v>
      </c>
      <c r="N1128" s="135">
        <f>17.252+5.832</f>
        <v>23.084</v>
      </c>
      <c r="O1128" s="122"/>
      <c r="P1128" s="92">
        <f>G1128*0.92-0.006</f>
        <v>23.084160000000001</v>
      </c>
      <c r="Q1128" s="113">
        <f>G1128*4.5%+0.003</f>
        <v>1.1324099999999997</v>
      </c>
      <c r="R1128" s="93">
        <f>G1128*3.5%+0.003</f>
        <v>0.88143000000000005</v>
      </c>
      <c r="S1128" s="121"/>
      <c r="T1128" s="93">
        <f t="shared" si="238"/>
        <v>1.599999999996049E-4</v>
      </c>
      <c r="U1128" s="122"/>
      <c r="V1128" s="94">
        <f t="shared" ca="1" si="239"/>
        <v>303.4644447916653</v>
      </c>
      <c r="W1128" s="89"/>
    </row>
    <row r="1129" spans="1:23" s="312" customFormat="1" ht="18">
      <c r="A1129" s="260"/>
      <c r="B1129" s="260" t="s">
        <v>2578</v>
      </c>
      <c r="C1129" s="175" t="s">
        <v>1379</v>
      </c>
      <c r="D1129" s="131" t="s">
        <v>2564</v>
      </c>
      <c r="E1129" s="156">
        <v>635</v>
      </c>
      <c r="F1129" s="138">
        <v>45241</v>
      </c>
      <c r="G1129" s="252">
        <v>3.5819999999999999</v>
      </c>
      <c r="H1129" s="150">
        <v>185368.5</v>
      </c>
      <c r="I1129" s="106">
        <f t="shared" si="234"/>
        <v>51750</v>
      </c>
      <c r="J1129" s="122"/>
      <c r="K1129" s="157">
        <v>1709</v>
      </c>
      <c r="L1129" s="166">
        <f t="shared" si="233"/>
        <v>635</v>
      </c>
      <c r="M1129" s="119" t="s">
        <v>2865</v>
      </c>
      <c r="N1129" s="135">
        <v>3.2949999999999999</v>
      </c>
      <c r="O1129" s="122"/>
      <c r="P1129" s="92">
        <f t="shared" si="235"/>
        <v>3.2954400000000001</v>
      </c>
      <c r="Q1129" s="113">
        <f t="shared" si="236"/>
        <v>0.16119</v>
      </c>
      <c r="R1129" s="92">
        <f t="shared" si="237"/>
        <v>0.12537000000000001</v>
      </c>
      <c r="S1129" s="121"/>
      <c r="T1129" s="368">
        <f t="shared" si="238"/>
        <v>4.3999999999991268E-4</v>
      </c>
      <c r="U1129" s="122"/>
      <c r="V1129" s="94">
        <f t="shared" ca="1" si="239"/>
        <v>303.4644447916653</v>
      </c>
      <c r="W1129" s="89"/>
    </row>
    <row r="1130" spans="1:23" s="312" customFormat="1" ht="18">
      <c r="A1130" s="260"/>
      <c r="B1130" s="260" t="s">
        <v>2578</v>
      </c>
      <c r="C1130" s="175" t="s">
        <v>1379</v>
      </c>
      <c r="D1130" s="131" t="s">
        <v>2565</v>
      </c>
      <c r="E1130" s="156">
        <v>636</v>
      </c>
      <c r="F1130" s="138">
        <v>45241</v>
      </c>
      <c r="G1130" s="252">
        <v>6.87</v>
      </c>
      <c r="H1130" s="150">
        <v>355522.5</v>
      </c>
      <c r="I1130" s="106">
        <f t="shared" si="234"/>
        <v>51750</v>
      </c>
      <c r="J1130" s="122"/>
      <c r="K1130" s="157">
        <v>1652</v>
      </c>
      <c r="L1130" s="166">
        <f t="shared" si="233"/>
        <v>636</v>
      </c>
      <c r="M1130" s="119" t="s">
        <v>2807</v>
      </c>
      <c r="N1130" s="135">
        <v>6.32</v>
      </c>
      <c r="O1130" s="122"/>
      <c r="P1130" s="92">
        <f t="shared" si="235"/>
        <v>6.3204000000000002</v>
      </c>
      <c r="Q1130" s="113">
        <f t="shared" si="236"/>
        <v>0.30914999999999998</v>
      </c>
      <c r="R1130" s="92">
        <f t="shared" si="237"/>
        <v>0.24045000000000002</v>
      </c>
      <c r="S1130" s="121"/>
      <c r="T1130" s="232">
        <f t="shared" si="238"/>
        <v>3.9999999999981717E-4</v>
      </c>
      <c r="U1130" s="122"/>
      <c r="V1130" s="94">
        <f t="shared" ca="1" si="239"/>
        <v>303.4644447916653</v>
      </c>
      <c r="W1130" s="89"/>
    </row>
    <row r="1131" spans="1:23" s="312" customFormat="1" ht="18">
      <c r="A1131" s="260"/>
      <c r="B1131" s="260" t="s">
        <v>2578</v>
      </c>
      <c r="C1131" s="175" t="s">
        <v>1379</v>
      </c>
      <c r="D1131" s="131" t="s">
        <v>2566</v>
      </c>
      <c r="E1131" s="156">
        <v>637</v>
      </c>
      <c r="F1131" s="138">
        <v>45241</v>
      </c>
      <c r="G1131" s="252">
        <v>11.45</v>
      </c>
      <c r="H1131" s="150">
        <v>592537.5</v>
      </c>
      <c r="I1131" s="106">
        <f t="shared" si="234"/>
        <v>51750</v>
      </c>
      <c r="J1131" s="122"/>
      <c r="K1131" s="157">
        <v>1641</v>
      </c>
      <c r="L1131" s="166">
        <f t="shared" si="233"/>
        <v>637</v>
      </c>
      <c r="M1131" s="119" t="s">
        <v>2797</v>
      </c>
      <c r="N1131" s="135">
        <v>10.534000000000001</v>
      </c>
      <c r="O1131" s="122"/>
      <c r="P1131" s="92">
        <f t="shared" si="235"/>
        <v>10.533999999999999</v>
      </c>
      <c r="Q1131" s="113">
        <f t="shared" si="236"/>
        <v>0.51524999999999999</v>
      </c>
      <c r="R1131" s="92">
        <f t="shared" si="237"/>
        <v>0.40075</v>
      </c>
      <c r="S1131" s="121"/>
      <c r="T1131" s="93">
        <f t="shared" si="238"/>
        <v>-1.3877787807814457E-15</v>
      </c>
      <c r="U1131" s="122"/>
      <c r="V1131" s="94">
        <f t="shared" ca="1" si="239"/>
        <v>303.4644447916653</v>
      </c>
      <c r="W1131" s="89"/>
    </row>
    <row r="1132" spans="1:23" s="312" customFormat="1" ht="18">
      <c r="A1132" s="260"/>
      <c r="B1132" s="260" t="s">
        <v>2578</v>
      </c>
      <c r="C1132" s="175" t="s">
        <v>1379</v>
      </c>
      <c r="D1132" s="131" t="s">
        <v>2567</v>
      </c>
      <c r="E1132" s="156">
        <v>638</v>
      </c>
      <c r="F1132" s="138">
        <v>45241</v>
      </c>
      <c r="G1132" s="252">
        <v>29.32</v>
      </c>
      <c r="H1132" s="150">
        <v>1517310</v>
      </c>
      <c r="I1132" s="106">
        <f t="shared" si="234"/>
        <v>51750</v>
      </c>
      <c r="J1132" s="122"/>
      <c r="K1132" s="157" t="s">
        <v>2808</v>
      </c>
      <c r="L1132" s="166">
        <f t="shared" si="233"/>
        <v>638</v>
      </c>
      <c r="M1132" s="119" t="s">
        <v>2809</v>
      </c>
      <c r="N1132" s="135">
        <f>14.819+12.155</f>
        <v>26.974</v>
      </c>
      <c r="O1132" s="122"/>
      <c r="P1132" s="92">
        <f t="shared" si="235"/>
        <v>26.974400000000003</v>
      </c>
      <c r="Q1132" s="113">
        <f t="shared" si="236"/>
        <v>1.3193999999999999</v>
      </c>
      <c r="R1132" s="92">
        <f t="shared" si="237"/>
        <v>1.0262</v>
      </c>
      <c r="S1132" s="121"/>
      <c r="T1132" s="113">
        <f t="shared" si="238"/>
        <v>4.0000000000017799E-4</v>
      </c>
      <c r="U1132" s="122"/>
      <c r="V1132" s="94">
        <f t="shared" ca="1" si="239"/>
        <v>303.4644447916653</v>
      </c>
      <c r="W1132" s="89"/>
    </row>
    <row r="1133" spans="1:23" s="312" customFormat="1" ht="18">
      <c r="A1133" s="260"/>
      <c r="B1133" s="260" t="s">
        <v>2578</v>
      </c>
      <c r="C1133" s="175" t="s">
        <v>1379</v>
      </c>
      <c r="D1133" s="131" t="s">
        <v>2568</v>
      </c>
      <c r="E1133" s="156">
        <v>639</v>
      </c>
      <c r="F1133" s="138">
        <v>45241</v>
      </c>
      <c r="G1133" s="252">
        <v>15.734999999999999</v>
      </c>
      <c r="H1133" s="150">
        <v>814286.25</v>
      </c>
      <c r="I1133" s="106">
        <f t="shared" si="234"/>
        <v>51750</v>
      </c>
      <c r="J1133" s="122"/>
      <c r="K1133" s="157" t="s">
        <v>2830</v>
      </c>
      <c r="L1133" s="166">
        <f t="shared" si="233"/>
        <v>639</v>
      </c>
      <c r="M1133" s="119" t="s">
        <v>2831</v>
      </c>
      <c r="N1133" s="135">
        <f>12.33+2.146</f>
        <v>14.475999999999999</v>
      </c>
      <c r="O1133" s="122"/>
      <c r="P1133" s="92">
        <f t="shared" si="235"/>
        <v>14.4762</v>
      </c>
      <c r="Q1133" s="113">
        <f t="shared" si="236"/>
        <v>0.7080749999999999</v>
      </c>
      <c r="R1133" s="92">
        <f t="shared" si="237"/>
        <v>0.55072500000000002</v>
      </c>
      <c r="S1133" s="121"/>
      <c r="T1133" s="366">
        <f t="shared" si="238"/>
        <v>2.0000000000042206E-4</v>
      </c>
      <c r="U1133" s="122"/>
      <c r="V1133" s="94">
        <f t="shared" ca="1" si="239"/>
        <v>303.4644447916653</v>
      </c>
      <c r="W1133" s="89"/>
    </row>
    <row r="1134" spans="1:23" s="312" customFormat="1" ht="18">
      <c r="A1134" s="260"/>
      <c r="B1134" s="260" t="s">
        <v>2578</v>
      </c>
      <c r="C1134" s="175" t="s">
        <v>1379</v>
      </c>
      <c r="D1134" s="131" t="s">
        <v>2569</v>
      </c>
      <c r="E1134" s="156">
        <v>640</v>
      </c>
      <c r="F1134" s="138">
        <v>45241</v>
      </c>
      <c r="G1134" s="252">
        <v>2.04</v>
      </c>
      <c r="H1134" s="150">
        <v>105570</v>
      </c>
      <c r="I1134" s="106">
        <f t="shared" si="234"/>
        <v>51750</v>
      </c>
      <c r="J1134" s="122"/>
      <c r="K1134" s="157">
        <v>1710</v>
      </c>
      <c r="L1134" s="166">
        <f t="shared" si="233"/>
        <v>640</v>
      </c>
      <c r="M1134" s="119" t="s">
        <v>2865</v>
      </c>
      <c r="N1134" s="135">
        <v>1.877</v>
      </c>
      <c r="O1134" s="122"/>
      <c r="P1134" s="92">
        <f t="shared" si="235"/>
        <v>1.8768</v>
      </c>
      <c r="Q1134" s="113">
        <f t="shared" si="236"/>
        <v>9.1799999999999993E-2</v>
      </c>
      <c r="R1134" s="92">
        <f t="shared" si="237"/>
        <v>7.1400000000000005E-2</v>
      </c>
      <c r="S1134" s="121"/>
      <c r="T1134" s="368">
        <f t="shared" si="238"/>
        <v>-1.999999999999641E-4</v>
      </c>
      <c r="U1134" s="122"/>
      <c r="V1134" s="94">
        <f t="shared" ca="1" si="239"/>
        <v>303.4644447916653</v>
      </c>
      <c r="W1134" s="89"/>
    </row>
    <row r="1135" spans="1:23" s="312" customFormat="1" ht="18">
      <c r="A1135" s="260"/>
      <c r="B1135" s="260" t="s">
        <v>2578</v>
      </c>
      <c r="C1135" s="175" t="s">
        <v>1379</v>
      </c>
      <c r="D1135" s="131" t="s">
        <v>2570</v>
      </c>
      <c r="E1135" s="156">
        <v>641</v>
      </c>
      <c r="F1135" s="138">
        <v>45241</v>
      </c>
      <c r="G1135" s="252">
        <v>2.29</v>
      </c>
      <c r="H1135" s="150">
        <v>118507.5</v>
      </c>
      <c r="I1135" s="106">
        <f t="shared" si="234"/>
        <v>51750</v>
      </c>
      <c r="J1135" s="122"/>
      <c r="K1135" s="157">
        <v>1711</v>
      </c>
      <c r="L1135" s="166">
        <f t="shared" si="233"/>
        <v>641</v>
      </c>
      <c r="M1135" s="119" t="s">
        <v>2865</v>
      </c>
      <c r="N1135" s="135">
        <v>2.1070000000000002</v>
      </c>
      <c r="O1135" s="122"/>
      <c r="P1135" s="92">
        <f t="shared" si="235"/>
        <v>2.1068000000000002</v>
      </c>
      <c r="Q1135" s="113">
        <f t="shared" si="236"/>
        <v>0.10305</v>
      </c>
      <c r="R1135" s="92">
        <f t="shared" si="237"/>
        <v>8.0150000000000013E-2</v>
      </c>
      <c r="S1135" s="121"/>
      <c r="T1135" s="368">
        <f t="shared" si="238"/>
        <v>-2.0000000000018614E-4</v>
      </c>
      <c r="U1135" s="122"/>
      <c r="V1135" s="94">
        <f t="shared" ca="1" si="239"/>
        <v>303.4644447916653</v>
      </c>
      <c r="W1135" s="89"/>
    </row>
    <row r="1136" spans="1:23" s="312" customFormat="1" ht="18">
      <c r="A1136" s="260"/>
      <c r="B1136" s="260" t="s">
        <v>2578</v>
      </c>
      <c r="C1136" s="175" t="s">
        <v>1379</v>
      </c>
      <c r="D1136" s="131" t="s">
        <v>2571</v>
      </c>
      <c r="E1136" s="156">
        <v>642</v>
      </c>
      <c r="F1136" s="138">
        <v>45241</v>
      </c>
      <c r="G1136" s="252">
        <v>1.925</v>
      </c>
      <c r="H1136" s="150">
        <v>99618.75</v>
      </c>
      <c r="I1136" s="106">
        <f t="shared" si="234"/>
        <v>51750</v>
      </c>
      <c r="J1136" s="122"/>
      <c r="K1136" s="157">
        <v>1712</v>
      </c>
      <c r="L1136" s="166">
        <f t="shared" si="233"/>
        <v>642</v>
      </c>
      <c r="M1136" s="119" t="s">
        <v>2865</v>
      </c>
      <c r="N1136" s="135">
        <v>1.7709999999999999</v>
      </c>
      <c r="O1136" s="122"/>
      <c r="P1136" s="92">
        <f t="shared" si="235"/>
        <v>1.7710000000000001</v>
      </c>
      <c r="Q1136" s="113">
        <f t="shared" si="236"/>
        <v>8.6624999999999994E-2</v>
      </c>
      <c r="R1136" s="92">
        <f t="shared" si="237"/>
        <v>6.7375000000000004E-2</v>
      </c>
      <c r="S1136" s="121"/>
      <c r="T1136" s="368">
        <f t="shared" si="238"/>
        <v>1.3877787807814457E-16</v>
      </c>
      <c r="U1136" s="122"/>
      <c r="V1136" s="94">
        <f t="shared" ca="1" si="239"/>
        <v>303.4644447916653</v>
      </c>
      <c r="W1136" s="89"/>
    </row>
    <row r="1137" spans="1:23" s="312" customFormat="1" ht="18">
      <c r="A1137" s="260"/>
      <c r="B1137" s="260" t="s">
        <v>2578</v>
      </c>
      <c r="C1137" s="175" t="s">
        <v>1379</v>
      </c>
      <c r="D1137" s="131" t="s">
        <v>2572</v>
      </c>
      <c r="E1137" s="156">
        <v>643</v>
      </c>
      <c r="F1137" s="138">
        <v>45241</v>
      </c>
      <c r="G1137" s="252">
        <v>20.61</v>
      </c>
      <c r="H1137" s="150">
        <v>1066567.5</v>
      </c>
      <c r="I1137" s="106">
        <f t="shared" si="234"/>
        <v>51750</v>
      </c>
      <c r="J1137" s="122"/>
      <c r="K1137" s="157" t="s">
        <v>2869</v>
      </c>
      <c r="L1137" s="166">
        <f t="shared" si="233"/>
        <v>643</v>
      </c>
      <c r="M1137" s="119" t="s">
        <v>2868</v>
      </c>
      <c r="N1137" s="135">
        <f>14.218+4.743</f>
        <v>18.960999999999999</v>
      </c>
      <c r="O1137" s="122"/>
      <c r="P1137" s="92">
        <f t="shared" si="235"/>
        <v>18.961200000000002</v>
      </c>
      <c r="Q1137" s="113">
        <f t="shared" si="236"/>
        <v>0.92744999999999989</v>
      </c>
      <c r="R1137" s="92">
        <f t="shared" si="237"/>
        <v>0.72135000000000005</v>
      </c>
      <c r="S1137" s="121"/>
      <c r="T1137" s="368">
        <f t="shared" si="238"/>
        <v>2.0000000000097717E-4</v>
      </c>
      <c r="U1137" s="122"/>
      <c r="V1137" s="94">
        <f t="shared" ca="1" si="239"/>
        <v>303.4644447916653</v>
      </c>
      <c r="W1137" s="89"/>
    </row>
    <row r="1138" spans="1:23" s="312" customFormat="1" ht="18">
      <c r="A1138" s="260"/>
      <c r="B1138" s="260" t="s">
        <v>2578</v>
      </c>
      <c r="C1138" s="175" t="s">
        <v>1379</v>
      </c>
      <c r="D1138" s="131" t="s">
        <v>2573</v>
      </c>
      <c r="E1138" s="156">
        <v>644</v>
      </c>
      <c r="F1138" s="138">
        <v>45241</v>
      </c>
      <c r="G1138" s="252">
        <v>22.9</v>
      </c>
      <c r="H1138" s="150">
        <v>1185075</v>
      </c>
      <c r="I1138" s="106">
        <f t="shared" si="234"/>
        <v>51750</v>
      </c>
      <c r="J1138" s="122"/>
      <c r="K1138" s="157" t="s">
        <v>2870</v>
      </c>
      <c r="L1138" s="166">
        <f t="shared" si="233"/>
        <v>644</v>
      </c>
      <c r="M1138" s="119" t="s">
        <v>2871</v>
      </c>
      <c r="N1138" s="135">
        <f>17.134+3.934</f>
        <v>21.068000000000001</v>
      </c>
      <c r="O1138" s="122"/>
      <c r="P1138" s="92">
        <f t="shared" si="235"/>
        <v>21.067999999999998</v>
      </c>
      <c r="Q1138" s="113">
        <f t="shared" si="236"/>
        <v>1.0305</v>
      </c>
      <c r="R1138" s="92">
        <f t="shared" si="237"/>
        <v>0.80149999999999999</v>
      </c>
      <c r="S1138" s="121"/>
      <c r="T1138" s="368">
        <f t="shared" si="238"/>
        <v>-2.7755575615628914E-15</v>
      </c>
      <c r="U1138" s="122"/>
      <c r="V1138" s="94">
        <f t="shared" ca="1" si="239"/>
        <v>303.4644447916653</v>
      </c>
      <c r="W1138" s="89"/>
    </row>
    <row r="1139" spans="1:23" s="312" customFormat="1" ht="18">
      <c r="A1139" s="260"/>
      <c r="B1139" s="260" t="s">
        <v>2578</v>
      </c>
      <c r="C1139" s="175" t="s">
        <v>1379</v>
      </c>
      <c r="D1139" s="131" t="s">
        <v>2574</v>
      </c>
      <c r="E1139" s="156">
        <v>645</v>
      </c>
      <c r="F1139" s="138">
        <v>45241</v>
      </c>
      <c r="G1139" s="252">
        <v>18.02</v>
      </c>
      <c r="H1139" s="150">
        <v>932535</v>
      </c>
      <c r="I1139" s="106">
        <f t="shared" si="214"/>
        <v>51750</v>
      </c>
      <c r="J1139" s="122"/>
      <c r="K1139" s="157">
        <v>1689</v>
      </c>
      <c r="L1139" s="166">
        <f t="shared" si="233"/>
        <v>645</v>
      </c>
      <c r="M1139" s="119" t="s">
        <v>2834</v>
      </c>
      <c r="N1139" s="135">
        <v>16.577999999999999</v>
      </c>
      <c r="O1139" s="122"/>
      <c r="P1139" s="92">
        <f t="shared" si="215"/>
        <v>16.578400000000002</v>
      </c>
      <c r="Q1139" s="113">
        <f t="shared" si="216"/>
        <v>0.81089999999999995</v>
      </c>
      <c r="R1139" s="92">
        <f t="shared" si="217"/>
        <v>0.63070000000000004</v>
      </c>
      <c r="S1139" s="121"/>
      <c r="T1139" s="93">
        <f t="shared" si="238"/>
        <v>4.0000000000017799E-4</v>
      </c>
      <c r="U1139" s="122"/>
      <c r="V1139" s="94">
        <f t="shared" ca="1" si="219"/>
        <v>303.4644447916653</v>
      </c>
      <c r="W1139" s="89"/>
    </row>
    <row r="1140" spans="1:23" s="312" customFormat="1" ht="18">
      <c r="A1140" s="260"/>
      <c r="B1140" s="260"/>
      <c r="C1140" s="175"/>
      <c r="D1140" s="131"/>
      <c r="E1140" s="156"/>
      <c r="F1140" s="138"/>
      <c r="G1140" s="252"/>
      <c r="H1140" s="150"/>
      <c r="I1140" s="106"/>
      <c r="J1140" s="122"/>
      <c r="K1140" s="157"/>
      <c r="L1140" s="166"/>
      <c r="M1140" s="119"/>
      <c r="N1140" s="135"/>
      <c r="O1140" s="122"/>
      <c r="P1140" s="92"/>
      <c r="Q1140" s="113"/>
      <c r="R1140" s="92"/>
      <c r="S1140" s="121"/>
      <c r="T1140" s="93"/>
      <c r="U1140" s="122"/>
      <c r="V1140" s="94"/>
      <c r="W1140" s="89"/>
    </row>
    <row r="1141" spans="1:23" s="312" customFormat="1" ht="18">
      <c r="A1141" s="260"/>
      <c r="B1141" s="260" t="s">
        <v>505</v>
      </c>
      <c r="C1141" s="130" t="s">
        <v>55</v>
      </c>
      <c r="D1141" s="131" t="s">
        <v>2575</v>
      </c>
      <c r="E1141" s="361">
        <v>646</v>
      </c>
      <c r="F1141" s="138">
        <v>45241</v>
      </c>
      <c r="G1141" s="252">
        <v>10.824</v>
      </c>
      <c r="H1141" s="150">
        <v>587743.19999999995</v>
      </c>
      <c r="I1141" s="106">
        <f t="shared" si="214"/>
        <v>54300</v>
      </c>
      <c r="J1141" s="122"/>
      <c r="K1141" s="157">
        <v>1699</v>
      </c>
      <c r="L1141" s="166">
        <f t="shared" si="233"/>
        <v>646</v>
      </c>
      <c r="M1141" s="119" t="s">
        <v>2840</v>
      </c>
      <c r="N1141" s="135">
        <v>9.9580000000000002</v>
      </c>
      <c r="O1141" s="122"/>
      <c r="P1141" s="92">
        <f t="shared" si="215"/>
        <v>9.9580800000000007</v>
      </c>
      <c r="Q1141" s="113">
        <f t="shared" si="216"/>
        <v>0.48707999999999996</v>
      </c>
      <c r="R1141" s="92">
        <f t="shared" si="217"/>
        <v>0.37884000000000001</v>
      </c>
      <c r="S1141" s="121"/>
      <c r="T1141" s="93">
        <f t="shared" si="218"/>
        <v>7.9999999999691429E-5</v>
      </c>
      <c r="U1141" s="122"/>
      <c r="V1141" s="94">
        <f t="shared" ca="1" si="219"/>
        <v>303.4644447916653</v>
      </c>
      <c r="W1141" s="89"/>
    </row>
    <row r="1142" spans="1:23" s="312" customFormat="1" ht="18">
      <c r="A1142" s="260"/>
      <c r="B1142" s="260" t="s">
        <v>505</v>
      </c>
      <c r="C1142" s="130" t="s">
        <v>55</v>
      </c>
      <c r="D1142" s="131" t="s">
        <v>2576</v>
      </c>
      <c r="E1142" s="361">
        <v>647</v>
      </c>
      <c r="F1142" s="138">
        <v>45241</v>
      </c>
      <c r="G1142" s="252">
        <v>30.725000000000001</v>
      </c>
      <c r="H1142" s="150">
        <v>1668367.5</v>
      </c>
      <c r="I1142" s="106">
        <f t="shared" si="214"/>
        <v>54300</v>
      </c>
      <c r="J1142" s="122"/>
      <c r="K1142" s="157" t="s">
        <v>2842</v>
      </c>
      <c r="L1142" s="166">
        <f t="shared" si="233"/>
        <v>647</v>
      </c>
      <c r="M1142" s="119" t="s">
        <v>2841</v>
      </c>
      <c r="N1142" s="135">
        <f>14.305+13.962</f>
        <v>28.266999999999999</v>
      </c>
      <c r="O1142" s="122"/>
      <c r="P1142" s="92">
        <f t="shared" si="215"/>
        <v>28.267000000000003</v>
      </c>
      <c r="Q1142" s="113">
        <f t="shared" si="216"/>
        <v>1.382625</v>
      </c>
      <c r="R1142" s="92">
        <f t="shared" si="217"/>
        <v>1.0753750000000002</v>
      </c>
      <c r="S1142" s="121"/>
      <c r="T1142" s="93">
        <f t="shared" si="218"/>
        <v>1.7763568394002505E-15</v>
      </c>
      <c r="U1142" s="122"/>
      <c r="V1142" s="94">
        <f t="shared" ca="1" si="219"/>
        <v>303.4644447916653</v>
      </c>
      <c r="W1142" s="89"/>
    </row>
    <row r="1143" spans="1:23" s="312" customFormat="1" ht="18">
      <c r="A1143" s="260"/>
      <c r="B1143" s="260" t="s">
        <v>505</v>
      </c>
      <c r="C1143" s="130" t="s">
        <v>55</v>
      </c>
      <c r="D1143" s="131" t="s">
        <v>2577</v>
      </c>
      <c r="E1143" s="361">
        <v>648</v>
      </c>
      <c r="F1143" s="138">
        <v>45241</v>
      </c>
      <c r="G1143" s="252">
        <v>10.535</v>
      </c>
      <c r="H1143" s="150">
        <v>593120.5</v>
      </c>
      <c r="I1143" s="106">
        <f t="shared" si="207"/>
        <v>56300</v>
      </c>
      <c r="J1143" s="122"/>
      <c r="K1143" s="157" t="s">
        <v>2872</v>
      </c>
      <c r="L1143" s="166">
        <f t="shared" si="233"/>
        <v>648</v>
      </c>
      <c r="M1143" s="119" t="s">
        <v>2875</v>
      </c>
      <c r="N1143" s="135">
        <f>8.348+0.208+1.136</f>
        <v>9.6920000000000002</v>
      </c>
      <c r="O1143" s="122"/>
      <c r="P1143" s="92">
        <f t="shared" si="208"/>
        <v>9.6921999999999997</v>
      </c>
      <c r="Q1143" s="113">
        <f t="shared" si="209"/>
        <v>0.47407499999999997</v>
      </c>
      <c r="R1143" s="92">
        <f t="shared" si="210"/>
        <v>0.36872500000000002</v>
      </c>
      <c r="S1143" s="121"/>
      <c r="T1143" s="368">
        <f t="shared" si="211"/>
        <v>1.9999999999997797E-4</v>
      </c>
      <c r="U1143" s="122"/>
      <c r="V1143" s="94">
        <f t="shared" ca="1" si="212"/>
        <v>303.4644447916653</v>
      </c>
      <c r="W1143" s="89"/>
    </row>
    <row r="1144" spans="1:23" s="312" customFormat="1" ht="18.75">
      <c r="A1144" s="260"/>
      <c r="B1144" s="260"/>
      <c r="C1144" s="175"/>
      <c r="D1144" s="131"/>
      <c r="E1144" s="269"/>
      <c r="F1144" s="263"/>
      <c r="G1144" s="268"/>
      <c r="H1144" s="90"/>
      <c r="I1144" s="106" t="e">
        <f t="shared" si="207"/>
        <v>#DIV/0!</v>
      </c>
      <c r="J1144" s="122"/>
      <c r="K1144" s="157"/>
      <c r="L1144" s="115"/>
      <c r="M1144" s="119"/>
      <c r="N1144" s="135"/>
      <c r="O1144" s="122"/>
      <c r="P1144" s="92">
        <f t="shared" si="208"/>
        <v>0</v>
      </c>
      <c r="Q1144" s="113">
        <f t="shared" si="209"/>
        <v>0</v>
      </c>
      <c r="R1144" s="92">
        <f t="shared" si="210"/>
        <v>0</v>
      </c>
      <c r="S1144" s="121"/>
      <c r="T1144" s="93">
        <f t="shared" si="211"/>
        <v>0</v>
      </c>
      <c r="U1144" s="122"/>
      <c r="V1144" s="94">
        <f t="shared" ca="1" si="212"/>
        <v>-44937.535555208335</v>
      </c>
      <c r="W1144" s="89"/>
    </row>
    <row r="1145" spans="1:23" s="312" customFormat="1" ht="18">
      <c r="A1145" s="260"/>
      <c r="B1145" s="260" t="s">
        <v>505</v>
      </c>
      <c r="C1145" s="130" t="s">
        <v>55</v>
      </c>
      <c r="D1145" s="131" t="s">
        <v>2765</v>
      </c>
      <c r="E1145" s="361">
        <v>649</v>
      </c>
      <c r="F1145" s="138">
        <v>45261</v>
      </c>
      <c r="G1145" s="363">
        <v>40.24</v>
      </c>
      <c r="H1145" s="375">
        <v>2265512</v>
      </c>
      <c r="I1145" s="106">
        <f t="shared" ref="I1145:I1186" si="240">H1145/G1145</f>
        <v>56300</v>
      </c>
      <c r="J1145" s="122"/>
      <c r="K1145" s="157" t="s">
        <v>2873</v>
      </c>
      <c r="L1145" s="166">
        <f t="shared" si="233"/>
        <v>649</v>
      </c>
      <c r="M1145" s="119" t="s">
        <v>2874</v>
      </c>
      <c r="N1145" s="135">
        <f>32.401+2.385+2.235</f>
        <v>37.021000000000001</v>
      </c>
      <c r="O1145" s="122"/>
      <c r="P1145" s="92">
        <f t="shared" ref="P1145:P1197" si="241">G1145*0.92</f>
        <v>37.020800000000001</v>
      </c>
      <c r="Q1145" s="113">
        <f t="shared" ref="Q1145:Q1197" si="242">G1145*4.5%</f>
        <v>1.8108</v>
      </c>
      <c r="R1145" s="92">
        <f t="shared" ref="R1145:R1197" si="243">G1145*3.5%</f>
        <v>1.4084000000000001</v>
      </c>
      <c r="S1145" s="121"/>
      <c r="T1145" s="93">
        <f t="shared" ref="T1145:T1197" si="244">G1145-N1145-Q1145-R1145</f>
        <v>-1.9999999999886775E-4</v>
      </c>
      <c r="U1145" s="122"/>
      <c r="V1145" s="94">
        <f t="shared" ref="V1145:V1197" ca="1" si="245">360-($V$3-F1145)</f>
        <v>323.4644447916653</v>
      </c>
      <c r="W1145" s="89"/>
    </row>
    <row r="1146" spans="1:23" s="312" customFormat="1" ht="18">
      <c r="A1146" s="260"/>
      <c r="B1146" s="260" t="s">
        <v>505</v>
      </c>
      <c r="C1146" s="130" t="s">
        <v>55</v>
      </c>
      <c r="D1146" s="131" t="s">
        <v>2766</v>
      </c>
      <c r="E1146" s="361">
        <v>650</v>
      </c>
      <c r="F1146" s="138">
        <v>45261</v>
      </c>
      <c r="G1146" s="363">
        <v>38.04</v>
      </c>
      <c r="H1146" s="375">
        <v>2141652</v>
      </c>
      <c r="I1146" s="106">
        <f t="shared" si="240"/>
        <v>56300</v>
      </c>
      <c r="J1146" s="122"/>
      <c r="K1146" s="157" t="s">
        <v>2876</v>
      </c>
      <c r="L1146" s="166">
        <f t="shared" si="233"/>
        <v>650</v>
      </c>
      <c r="M1146" s="119" t="s">
        <v>2877</v>
      </c>
      <c r="N1146" s="135">
        <f>31.621+3.376</f>
        <v>34.997</v>
      </c>
      <c r="O1146" s="122"/>
      <c r="P1146" s="92">
        <f t="shared" si="241"/>
        <v>34.9968</v>
      </c>
      <c r="Q1146" s="113">
        <f t="shared" si="242"/>
        <v>1.7118</v>
      </c>
      <c r="R1146" s="92">
        <f t="shared" si="243"/>
        <v>1.3314000000000001</v>
      </c>
      <c r="S1146" s="121"/>
      <c r="T1146" s="93">
        <f t="shared" si="244"/>
        <v>-2.0000000000086615E-4</v>
      </c>
      <c r="U1146" s="122"/>
      <c r="V1146" s="94">
        <f t="shared" ca="1" si="245"/>
        <v>323.4644447916653</v>
      </c>
      <c r="W1146" s="89"/>
    </row>
    <row r="1147" spans="1:23" s="312" customFormat="1" ht="18">
      <c r="A1147" s="260"/>
      <c r="B1147" s="260" t="s">
        <v>505</v>
      </c>
      <c r="C1147" s="130" t="s">
        <v>55</v>
      </c>
      <c r="D1147" s="131" t="s">
        <v>2767</v>
      </c>
      <c r="E1147" s="361">
        <v>651</v>
      </c>
      <c r="F1147" s="138">
        <v>45261</v>
      </c>
      <c r="G1147" s="252">
        <v>31.68</v>
      </c>
      <c r="H1147" s="375">
        <v>1720224</v>
      </c>
      <c r="I1147" s="106">
        <f t="shared" si="240"/>
        <v>54300</v>
      </c>
      <c r="J1147" s="122"/>
      <c r="K1147" s="157" t="s">
        <v>2880</v>
      </c>
      <c r="L1147" s="166">
        <f t="shared" si="233"/>
        <v>651</v>
      </c>
      <c r="M1147" s="119" t="s">
        <v>2881</v>
      </c>
      <c r="N1147" s="135">
        <f>12.359+16.787</f>
        <v>29.146000000000001</v>
      </c>
      <c r="O1147" s="122"/>
      <c r="P1147" s="92">
        <f t="shared" si="241"/>
        <v>29.145600000000002</v>
      </c>
      <c r="Q1147" s="113">
        <f t="shared" si="242"/>
        <v>1.4256</v>
      </c>
      <c r="R1147" s="92">
        <f t="shared" si="243"/>
        <v>1.1088</v>
      </c>
      <c r="S1147" s="121"/>
      <c r="T1147" s="93">
        <f t="shared" si="244"/>
        <v>-4.0000000000106617E-4</v>
      </c>
      <c r="U1147" s="122"/>
      <c r="V1147" s="94">
        <f t="shared" ca="1" si="245"/>
        <v>323.4644447916653</v>
      </c>
      <c r="W1147" s="89"/>
    </row>
    <row r="1148" spans="1:23" s="312" customFormat="1" ht="18">
      <c r="A1148" s="260"/>
      <c r="B1148" s="260" t="s">
        <v>505</v>
      </c>
      <c r="C1148" s="130" t="s">
        <v>55</v>
      </c>
      <c r="D1148" s="131" t="s">
        <v>2767</v>
      </c>
      <c r="E1148" s="361">
        <v>652</v>
      </c>
      <c r="F1148" s="138">
        <v>45261</v>
      </c>
      <c r="G1148" s="252">
        <v>33.82</v>
      </c>
      <c r="H1148" s="375">
        <v>1836426</v>
      </c>
      <c r="I1148" s="106">
        <f t="shared" si="240"/>
        <v>54300</v>
      </c>
      <c r="J1148" s="122"/>
      <c r="K1148" s="157" t="s">
        <v>2882</v>
      </c>
      <c r="L1148" s="166">
        <f t="shared" si="233"/>
        <v>652</v>
      </c>
      <c r="M1148" s="119" t="s">
        <v>2881</v>
      </c>
      <c r="N1148" s="135">
        <f>24.979+6.135</f>
        <v>31.113999999999997</v>
      </c>
      <c r="O1148" s="122"/>
      <c r="P1148" s="92">
        <f t="shared" si="241"/>
        <v>31.114400000000003</v>
      </c>
      <c r="Q1148" s="113">
        <f t="shared" si="242"/>
        <v>1.5219</v>
      </c>
      <c r="R1148" s="92">
        <f t="shared" si="243"/>
        <v>1.1837000000000002</v>
      </c>
      <c r="S1148" s="121"/>
      <c r="T1148" s="93">
        <f t="shared" si="244"/>
        <v>4.0000000000284253E-4</v>
      </c>
      <c r="U1148" s="122"/>
      <c r="V1148" s="94">
        <f t="shared" ca="1" si="245"/>
        <v>323.4644447916653</v>
      </c>
      <c r="W1148" s="89"/>
    </row>
    <row r="1149" spans="1:23" s="312" customFormat="1" ht="18">
      <c r="A1149" s="260"/>
      <c r="B1149" s="260" t="s">
        <v>505</v>
      </c>
      <c r="C1149" s="130" t="s">
        <v>55</v>
      </c>
      <c r="D1149" s="131" t="s">
        <v>2767</v>
      </c>
      <c r="E1149" s="361">
        <v>653</v>
      </c>
      <c r="F1149" s="138">
        <v>45261</v>
      </c>
      <c r="G1149" s="252">
        <v>33.83</v>
      </c>
      <c r="H1149" s="375">
        <v>1836969</v>
      </c>
      <c r="I1149" s="106">
        <f t="shared" si="240"/>
        <v>54300</v>
      </c>
      <c r="J1149" s="122"/>
      <c r="K1149" s="157" t="s">
        <v>2883</v>
      </c>
      <c r="L1149" s="166">
        <f t="shared" si="233"/>
        <v>653</v>
      </c>
      <c r="M1149" s="119" t="s">
        <v>2884</v>
      </c>
      <c r="N1149" s="135">
        <f>2.057+24.979+4.088</f>
        <v>31.123999999999999</v>
      </c>
      <c r="O1149" s="122"/>
      <c r="P1149" s="92">
        <f t="shared" si="241"/>
        <v>31.1236</v>
      </c>
      <c r="Q1149" s="113">
        <f t="shared" si="242"/>
        <v>1.5223499999999999</v>
      </c>
      <c r="R1149" s="92">
        <f t="shared" si="243"/>
        <v>1.18405</v>
      </c>
      <c r="S1149" s="121"/>
      <c r="T1149" s="93">
        <f t="shared" si="244"/>
        <v>-4.0000000000040004E-4</v>
      </c>
      <c r="U1149" s="122"/>
      <c r="V1149" s="94">
        <f t="shared" ca="1" si="245"/>
        <v>323.4644447916653</v>
      </c>
      <c r="W1149" s="89"/>
    </row>
    <row r="1150" spans="1:23" s="312" customFormat="1" ht="18">
      <c r="A1150" s="260"/>
      <c r="B1150" s="260" t="s">
        <v>505</v>
      </c>
      <c r="C1150" s="130" t="s">
        <v>55</v>
      </c>
      <c r="D1150" s="131" t="s">
        <v>2767</v>
      </c>
      <c r="E1150" s="361">
        <v>654</v>
      </c>
      <c r="F1150" s="138">
        <v>45261</v>
      </c>
      <c r="G1150" s="252">
        <v>31.79</v>
      </c>
      <c r="H1150" s="375">
        <v>1726197</v>
      </c>
      <c r="I1150" s="106">
        <f t="shared" si="240"/>
        <v>54300</v>
      </c>
      <c r="J1150" s="122"/>
      <c r="K1150" s="157" t="s">
        <v>2885</v>
      </c>
      <c r="L1150" s="166">
        <f t="shared" si="233"/>
        <v>654</v>
      </c>
      <c r="M1150" s="119" t="s">
        <v>2886</v>
      </c>
      <c r="N1150" s="135">
        <f>20.528+8.719</f>
        <v>29.247</v>
      </c>
      <c r="O1150" s="122"/>
      <c r="P1150" s="92">
        <f t="shared" si="241"/>
        <v>29.2468</v>
      </c>
      <c r="Q1150" s="113">
        <f t="shared" si="242"/>
        <v>1.43055</v>
      </c>
      <c r="R1150" s="92">
        <f t="shared" si="243"/>
        <v>1.1126500000000001</v>
      </c>
      <c r="S1150" s="121"/>
      <c r="T1150" s="93">
        <f t="shared" si="244"/>
        <v>-2.0000000000086615E-4</v>
      </c>
      <c r="U1150" s="122"/>
      <c r="V1150" s="94">
        <f t="shared" ca="1" si="245"/>
        <v>323.4644447916653</v>
      </c>
      <c r="W1150" s="89"/>
    </row>
    <row r="1151" spans="1:23" s="312" customFormat="1" ht="18">
      <c r="A1151" s="260"/>
      <c r="B1151" s="260" t="s">
        <v>505</v>
      </c>
      <c r="C1151" s="130" t="s">
        <v>55</v>
      </c>
      <c r="D1151" s="131" t="s">
        <v>2767</v>
      </c>
      <c r="E1151" s="361">
        <v>655</v>
      </c>
      <c r="F1151" s="138">
        <v>45261</v>
      </c>
      <c r="G1151" s="252">
        <v>40.200000000000003</v>
      </c>
      <c r="H1151" s="375">
        <v>2182860</v>
      </c>
      <c r="I1151" s="106">
        <f t="shared" si="240"/>
        <v>54299.999999999993</v>
      </c>
      <c r="J1151" s="122"/>
      <c r="K1151" s="157" t="s">
        <v>2878</v>
      </c>
      <c r="L1151" s="166">
        <f t="shared" si="233"/>
        <v>655</v>
      </c>
      <c r="M1151" s="119" t="s">
        <v>2879</v>
      </c>
      <c r="N1151" s="135">
        <f>31.408+5.576</f>
        <v>36.984000000000002</v>
      </c>
      <c r="O1151" s="122"/>
      <c r="P1151" s="92">
        <f t="shared" si="241"/>
        <v>36.984000000000002</v>
      </c>
      <c r="Q1151" s="113">
        <f t="shared" si="242"/>
        <v>1.8090000000000002</v>
      </c>
      <c r="R1151" s="92">
        <f t="shared" si="243"/>
        <v>1.4070000000000003</v>
      </c>
      <c r="S1151" s="121"/>
      <c r="T1151" s="93">
        <f t="shared" si="244"/>
        <v>0</v>
      </c>
      <c r="U1151" s="122"/>
      <c r="V1151" s="94">
        <f t="shared" ca="1" si="245"/>
        <v>323.4644447916653</v>
      </c>
      <c r="W1151" s="89"/>
    </row>
    <row r="1152" spans="1:23" s="312" customFormat="1" ht="18">
      <c r="A1152" s="260"/>
      <c r="B1152" s="260" t="s">
        <v>505</v>
      </c>
      <c r="C1152" s="130" t="s">
        <v>55</v>
      </c>
      <c r="D1152" s="131" t="s">
        <v>2767</v>
      </c>
      <c r="E1152" s="361">
        <v>656</v>
      </c>
      <c r="F1152" s="138">
        <v>45261</v>
      </c>
      <c r="G1152" s="252">
        <v>60.14</v>
      </c>
      <c r="H1152" s="375">
        <v>3265602</v>
      </c>
      <c r="I1152" s="106">
        <f t="shared" si="240"/>
        <v>54300</v>
      </c>
      <c r="J1152" s="122"/>
      <c r="K1152" s="157" t="s">
        <v>2887</v>
      </c>
      <c r="L1152" s="166">
        <f t="shared" si="233"/>
        <v>656</v>
      </c>
      <c r="M1152" s="119" t="s">
        <v>2889</v>
      </c>
      <c r="N1152" s="135">
        <f>16.338+24.513+14.478</f>
        <v>55.329000000000001</v>
      </c>
      <c r="O1152" s="122"/>
      <c r="P1152" s="92">
        <f t="shared" si="241"/>
        <v>55.328800000000001</v>
      </c>
      <c r="Q1152" s="113">
        <f t="shared" si="242"/>
        <v>2.7062999999999997</v>
      </c>
      <c r="R1152" s="92">
        <f t="shared" si="243"/>
        <v>2.1049000000000002</v>
      </c>
      <c r="S1152" s="121"/>
      <c r="T1152" s="93">
        <f t="shared" si="244"/>
        <v>-1.9999999999997797E-4</v>
      </c>
      <c r="U1152" s="122"/>
      <c r="V1152" s="94">
        <f t="shared" ca="1" si="245"/>
        <v>323.4644447916653</v>
      </c>
      <c r="W1152" s="89"/>
    </row>
    <row r="1153" spans="1:23" s="312" customFormat="1" ht="18">
      <c r="A1153" s="260"/>
      <c r="B1153" s="260" t="s">
        <v>505</v>
      </c>
      <c r="C1153" s="130" t="s">
        <v>55</v>
      </c>
      <c r="D1153" s="131" t="s">
        <v>2767</v>
      </c>
      <c r="E1153" s="361">
        <v>657</v>
      </c>
      <c r="F1153" s="138">
        <v>45261</v>
      </c>
      <c r="G1153" s="252">
        <v>59.3</v>
      </c>
      <c r="H1153" s="375">
        <v>3219990</v>
      </c>
      <c r="I1153" s="106">
        <f t="shared" si="240"/>
        <v>54300</v>
      </c>
      <c r="J1153" s="122"/>
      <c r="K1153" s="157" t="s">
        <v>2888</v>
      </c>
      <c r="L1153" s="166">
        <f t="shared" si="233"/>
        <v>657</v>
      </c>
      <c r="M1153" s="119" t="s">
        <v>2890</v>
      </c>
      <c r="N1153" s="135">
        <f>34.883+19.673</f>
        <v>54.555999999999997</v>
      </c>
      <c r="O1153" s="122"/>
      <c r="P1153" s="92">
        <f t="shared" si="241"/>
        <v>54.555999999999997</v>
      </c>
      <c r="Q1153" s="113">
        <f t="shared" si="242"/>
        <v>2.6684999999999999</v>
      </c>
      <c r="R1153" s="92">
        <f t="shared" si="243"/>
        <v>2.0754999999999999</v>
      </c>
      <c r="S1153" s="121"/>
      <c r="T1153" s="93">
        <f t="shared" si="244"/>
        <v>0</v>
      </c>
      <c r="U1153" s="122"/>
      <c r="V1153" s="94">
        <f t="shared" ca="1" si="245"/>
        <v>323.4644447916653</v>
      </c>
      <c r="W1153" s="89"/>
    </row>
    <row r="1154" spans="1:23" s="312" customFormat="1" ht="18">
      <c r="A1154" s="260"/>
      <c r="B1154" s="260" t="s">
        <v>505</v>
      </c>
      <c r="C1154" s="130" t="s">
        <v>55</v>
      </c>
      <c r="D1154" s="131" t="s">
        <v>2767</v>
      </c>
      <c r="E1154" s="361">
        <v>658</v>
      </c>
      <c r="F1154" s="138">
        <v>45261</v>
      </c>
      <c r="G1154" s="252">
        <v>31.76</v>
      </c>
      <c r="H1154" s="375">
        <v>1724568</v>
      </c>
      <c r="I1154" s="106">
        <f t="shared" si="240"/>
        <v>54300</v>
      </c>
      <c r="J1154" s="122"/>
      <c r="K1154" s="157" t="s">
        <v>2892</v>
      </c>
      <c r="L1154" s="166">
        <f t="shared" si="233"/>
        <v>658</v>
      </c>
      <c r="M1154" s="119" t="s">
        <v>2891</v>
      </c>
      <c r="N1154" s="135">
        <f>4.405+24.814</f>
        <v>29.219000000000001</v>
      </c>
      <c r="O1154" s="122"/>
      <c r="P1154" s="92">
        <f t="shared" si="241"/>
        <v>29.219200000000004</v>
      </c>
      <c r="Q1154" s="113">
        <f t="shared" si="242"/>
        <v>1.4292</v>
      </c>
      <c r="R1154" s="92">
        <f t="shared" si="243"/>
        <v>1.1116000000000001</v>
      </c>
      <c r="S1154" s="121"/>
      <c r="T1154" s="93">
        <f t="shared" si="244"/>
        <v>2.0000000000020002E-4</v>
      </c>
      <c r="U1154" s="122"/>
      <c r="V1154" s="94">
        <f t="shared" ca="1" si="245"/>
        <v>323.4644447916653</v>
      </c>
      <c r="W1154" s="89"/>
    </row>
    <row r="1155" spans="1:23" s="312" customFormat="1" ht="18">
      <c r="A1155" s="260"/>
      <c r="B1155" s="260" t="s">
        <v>505</v>
      </c>
      <c r="C1155" s="130" t="s">
        <v>55</v>
      </c>
      <c r="D1155" s="131" t="s">
        <v>2767</v>
      </c>
      <c r="E1155" s="361">
        <v>659</v>
      </c>
      <c r="F1155" s="138">
        <v>45261</v>
      </c>
      <c r="G1155" s="252">
        <v>31.67</v>
      </c>
      <c r="H1155" s="375">
        <v>1719681</v>
      </c>
      <c r="I1155" s="106">
        <f t="shared" si="240"/>
        <v>54300</v>
      </c>
      <c r="J1155" s="122"/>
      <c r="K1155" s="157" t="s">
        <v>2910</v>
      </c>
      <c r="L1155" s="166">
        <f t="shared" si="233"/>
        <v>659</v>
      </c>
      <c r="M1155" s="119" t="s">
        <v>2909</v>
      </c>
      <c r="N1155" s="135">
        <f>25.105+4.031</f>
        <v>29.135999999999999</v>
      </c>
      <c r="O1155" s="122"/>
      <c r="P1155" s="92">
        <f t="shared" si="241"/>
        <v>29.136400000000002</v>
      </c>
      <c r="Q1155" s="113">
        <f t="shared" si="242"/>
        <v>1.4251499999999999</v>
      </c>
      <c r="R1155" s="92">
        <f t="shared" si="243"/>
        <v>1.1084500000000002</v>
      </c>
      <c r="S1155" s="121"/>
      <c r="T1155" s="93">
        <f t="shared" si="244"/>
        <v>4.0000000000239844E-4</v>
      </c>
      <c r="U1155" s="122"/>
      <c r="V1155" s="94">
        <f t="shared" ca="1" si="245"/>
        <v>323.4644447916653</v>
      </c>
      <c r="W1155" s="89"/>
    </row>
    <row r="1156" spans="1:23" s="312" customFormat="1" ht="18">
      <c r="A1156" s="260"/>
      <c r="B1156" s="260" t="s">
        <v>505</v>
      </c>
      <c r="C1156" s="130" t="s">
        <v>55</v>
      </c>
      <c r="D1156" s="131" t="s">
        <v>2767</v>
      </c>
      <c r="E1156" s="361">
        <v>660</v>
      </c>
      <c r="F1156" s="138">
        <v>45261</v>
      </c>
      <c r="G1156" s="252">
        <v>31.76</v>
      </c>
      <c r="H1156" s="375">
        <v>1724568</v>
      </c>
      <c r="I1156" s="106">
        <f t="shared" si="240"/>
        <v>54300</v>
      </c>
      <c r="J1156" s="122"/>
      <c r="K1156" s="157" t="s">
        <v>2921</v>
      </c>
      <c r="L1156" s="166">
        <f t="shared" si="233"/>
        <v>660</v>
      </c>
      <c r="M1156" s="119" t="s">
        <v>2922</v>
      </c>
      <c r="N1156" s="135">
        <f>20.453+8.766</f>
        <v>29.219000000000001</v>
      </c>
      <c r="O1156" s="122"/>
      <c r="P1156" s="92">
        <f t="shared" si="241"/>
        <v>29.219200000000004</v>
      </c>
      <c r="Q1156" s="113">
        <f t="shared" si="242"/>
        <v>1.4292</v>
      </c>
      <c r="R1156" s="92">
        <f t="shared" si="243"/>
        <v>1.1116000000000001</v>
      </c>
      <c r="S1156" s="121"/>
      <c r="T1156" s="93">
        <f t="shared" si="244"/>
        <v>2.0000000000020002E-4</v>
      </c>
      <c r="U1156" s="122"/>
      <c r="V1156" s="94">
        <f t="shared" ca="1" si="245"/>
        <v>323.4644447916653</v>
      </c>
      <c r="W1156" s="89"/>
    </row>
    <row r="1157" spans="1:23" s="312" customFormat="1" ht="18">
      <c r="A1157" s="260"/>
      <c r="B1157" s="260" t="s">
        <v>505</v>
      </c>
      <c r="C1157" s="130" t="s">
        <v>55</v>
      </c>
      <c r="D1157" s="131" t="s">
        <v>2767</v>
      </c>
      <c r="E1157" s="361">
        <v>661</v>
      </c>
      <c r="F1157" s="138">
        <v>45261</v>
      </c>
      <c r="G1157" s="252">
        <v>31.76</v>
      </c>
      <c r="H1157" s="375">
        <v>1724568</v>
      </c>
      <c r="I1157" s="106">
        <f t="shared" si="240"/>
        <v>54300</v>
      </c>
      <c r="J1157" s="122"/>
      <c r="K1157" s="157" t="s">
        <v>2949</v>
      </c>
      <c r="L1157" s="166">
        <f t="shared" si="233"/>
        <v>661</v>
      </c>
      <c r="M1157" s="119" t="s">
        <v>2950</v>
      </c>
      <c r="N1157" s="135">
        <f>21.972+7.247</f>
        <v>29.219000000000001</v>
      </c>
      <c r="O1157" s="122"/>
      <c r="P1157" s="92">
        <f t="shared" si="241"/>
        <v>29.219200000000004</v>
      </c>
      <c r="Q1157" s="113">
        <f t="shared" si="242"/>
        <v>1.4292</v>
      </c>
      <c r="R1157" s="92">
        <f t="shared" si="243"/>
        <v>1.1116000000000001</v>
      </c>
      <c r="S1157" s="121"/>
      <c r="T1157" s="93">
        <f t="shared" si="244"/>
        <v>2.0000000000020002E-4</v>
      </c>
      <c r="U1157" s="122"/>
      <c r="V1157" s="94">
        <f t="shared" ca="1" si="245"/>
        <v>323.4644447916653</v>
      </c>
      <c r="W1157" s="89"/>
    </row>
    <row r="1158" spans="1:23" s="312" customFormat="1" ht="18">
      <c r="A1158" s="260"/>
      <c r="B1158" s="260" t="s">
        <v>505</v>
      </c>
      <c r="C1158" s="130" t="s">
        <v>55</v>
      </c>
      <c r="D1158" s="131" t="s">
        <v>2767</v>
      </c>
      <c r="E1158" s="361">
        <v>662</v>
      </c>
      <c r="F1158" s="138">
        <v>45261</v>
      </c>
      <c r="G1158" s="252">
        <v>40.29</v>
      </c>
      <c r="H1158" s="375">
        <v>2187747</v>
      </c>
      <c r="I1158" s="106">
        <f t="shared" si="240"/>
        <v>54300</v>
      </c>
      <c r="J1158" s="122"/>
      <c r="K1158" s="157" t="s">
        <v>2951</v>
      </c>
      <c r="L1158" s="166">
        <f t="shared" ref="L1158:L1204" si="246">E1158</f>
        <v>662</v>
      </c>
      <c r="M1158" s="119" t="s">
        <v>2947</v>
      </c>
      <c r="N1158" s="135">
        <f>32.271+4.796</f>
        <v>37.067</v>
      </c>
      <c r="O1158" s="122"/>
      <c r="P1158" s="92">
        <f t="shared" si="241"/>
        <v>37.066800000000001</v>
      </c>
      <c r="Q1158" s="113">
        <f t="shared" si="242"/>
        <v>1.8130499999999998</v>
      </c>
      <c r="R1158" s="92">
        <f t="shared" si="243"/>
        <v>1.41015</v>
      </c>
      <c r="S1158" s="121"/>
      <c r="T1158" s="93">
        <f t="shared" si="244"/>
        <v>-2.0000000000086615E-4</v>
      </c>
      <c r="U1158" s="122"/>
      <c r="V1158" s="94">
        <f t="shared" ca="1" si="245"/>
        <v>323.4644447916653</v>
      </c>
      <c r="W1158" s="89"/>
    </row>
    <row r="1159" spans="1:23" s="312" customFormat="1" ht="18">
      <c r="A1159" s="260"/>
      <c r="B1159" s="260" t="s">
        <v>505</v>
      </c>
      <c r="C1159" s="130" t="s">
        <v>55</v>
      </c>
      <c r="D1159" s="131" t="s">
        <v>2767</v>
      </c>
      <c r="E1159" s="361">
        <v>663</v>
      </c>
      <c r="F1159" s="138">
        <v>45261</v>
      </c>
      <c r="G1159" s="252">
        <v>33.869999999999997</v>
      </c>
      <c r="H1159" s="375">
        <v>1839140.9999999998</v>
      </c>
      <c r="I1159" s="106">
        <f t="shared" si="240"/>
        <v>54300</v>
      </c>
      <c r="J1159" s="122"/>
      <c r="K1159" s="157" t="s">
        <v>2952</v>
      </c>
      <c r="L1159" s="166">
        <f t="shared" si="246"/>
        <v>663</v>
      </c>
      <c r="M1159" s="119" t="s">
        <v>2953</v>
      </c>
      <c r="N1159" s="135">
        <f>19.467+11.693</f>
        <v>31.159999999999997</v>
      </c>
      <c r="O1159" s="122"/>
      <c r="P1159" s="92">
        <f t="shared" si="241"/>
        <v>31.160399999999999</v>
      </c>
      <c r="Q1159" s="113">
        <f t="shared" si="242"/>
        <v>1.5241499999999999</v>
      </c>
      <c r="R1159" s="92">
        <f t="shared" si="243"/>
        <v>1.1854500000000001</v>
      </c>
      <c r="S1159" s="121"/>
      <c r="T1159" s="93">
        <f t="shared" si="244"/>
        <v>4.0000000000084412E-4</v>
      </c>
      <c r="U1159" s="122"/>
      <c r="V1159" s="94">
        <f t="shared" ca="1" si="245"/>
        <v>323.4644447916653</v>
      </c>
      <c r="W1159" s="89"/>
    </row>
    <row r="1160" spans="1:23" s="312" customFormat="1" ht="18">
      <c r="A1160" s="260"/>
      <c r="B1160" s="260" t="s">
        <v>505</v>
      </c>
      <c r="C1160" s="130" t="s">
        <v>55</v>
      </c>
      <c r="D1160" s="131" t="s">
        <v>2767</v>
      </c>
      <c r="E1160" s="361">
        <v>664</v>
      </c>
      <c r="F1160" s="138">
        <v>45261</v>
      </c>
      <c r="G1160" s="252">
        <v>31.76</v>
      </c>
      <c r="H1160" s="375">
        <v>1724568</v>
      </c>
      <c r="I1160" s="106">
        <f t="shared" si="240"/>
        <v>54300</v>
      </c>
      <c r="J1160" s="122"/>
      <c r="K1160" s="157" t="s">
        <v>2956</v>
      </c>
      <c r="L1160" s="166">
        <f t="shared" si="246"/>
        <v>664</v>
      </c>
      <c r="M1160" s="119" t="s">
        <v>2953</v>
      </c>
      <c r="N1160" s="135">
        <f>7.555+21.664</f>
        <v>29.219000000000001</v>
      </c>
      <c r="O1160" s="122"/>
      <c r="P1160" s="92">
        <f t="shared" si="241"/>
        <v>29.219200000000004</v>
      </c>
      <c r="Q1160" s="113">
        <f t="shared" si="242"/>
        <v>1.4292</v>
      </c>
      <c r="R1160" s="92">
        <f t="shared" si="243"/>
        <v>1.1116000000000001</v>
      </c>
      <c r="S1160" s="121"/>
      <c r="T1160" s="93">
        <f t="shared" si="244"/>
        <v>2.0000000000020002E-4</v>
      </c>
      <c r="U1160" s="122"/>
      <c r="V1160" s="94">
        <f t="shared" ca="1" si="245"/>
        <v>323.4644447916653</v>
      </c>
      <c r="W1160" s="89"/>
    </row>
    <row r="1161" spans="1:23" s="312" customFormat="1" ht="18">
      <c r="A1161" s="260"/>
      <c r="B1161" s="260" t="s">
        <v>505</v>
      </c>
      <c r="C1161" s="130" t="s">
        <v>94</v>
      </c>
      <c r="D1161" s="131" t="s">
        <v>2768</v>
      </c>
      <c r="E1161" s="361">
        <v>665</v>
      </c>
      <c r="F1161" s="138">
        <v>45261</v>
      </c>
      <c r="G1161" s="252">
        <f>8.579</f>
        <v>8.5790000000000006</v>
      </c>
      <c r="H1161" s="375">
        <v>448681.7</v>
      </c>
      <c r="I1161" s="106">
        <f t="shared" si="240"/>
        <v>52300</v>
      </c>
      <c r="J1161" s="122"/>
      <c r="K1161" s="157">
        <v>1797</v>
      </c>
      <c r="L1161" s="166">
        <f t="shared" si="246"/>
        <v>665</v>
      </c>
      <c r="M1161" s="119" t="s">
        <v>2948</v>
      </c>
      <c r="N1161" s="135">
        <v>7.8929999999999998</v>
      </c>
      <c r="O1161" s="122"/>
      <c r="P1161" s="92">
        <f t="shared" si="241"/>
        <v>7.8926800000000013</v>
      </c>
      <c r="Q1161" s="113">
        <f t="shared" si="242"/>
        <v>0.38605500000000004</v>
      </c>
      <c r="R1161" s="92">
        <f t="shared" si="243"/>
        <v>0.30026500000000006</v>
      </c>
      <c r="S1161" s="121"/>
      <c r="T1161" s="93">
        <f t="shared" si="244"/>
        <v>-3.1999999999926532E-4</v>
      </c>
      <c r="U1161" s="122"/>
      <c r="V1161" s="94">
        <f t="shared" ca="1" si="245"/>
        <v>323.4644447916653</v>
      </c>
      <c r="W1161" s="89"/>
    </row>
    <row r="1162" spans="1:23" s="312" customFormat="1" ht="18">
      <c r="A1162" s="260"/>
      <c r="B1162" s="260" t="s">
        <v>505</v>
      </c>
      <c r="C1162" s="130" t="s">
        <v>94</v>
      </c>
      <c r="D1162" s="131" t="s">
        <v>2768</v>
      </c>
      <c r="E1162" s="361">
        <v>666</v>
      </c>
      <c r="F1162" s="138">
        <v>45261</v>
      </c>
      <c r="G1162" s="252">
        <f>17.136+2.6</f>
        <v>19.736000000000001</v>
      </c>
      <c r="H1162" s="375">
        <v>1032192.8</v>
      </c>
      <c r="I1162" s="106">
        <f t="shared" si="240"/>
        <v>52300</v>
      </c>
      <c r="J1162" s="122"/>
      <c r="K1162" s="157" t="s">
        <v>2960</v>
      </c>
      <c r="L1162" s="166">
        <f t="shared" si="246"/>
        <v>666</v>
      </c>
      <c r="M1162" s="119" t="s">
        <v>2961</v>
      </c>
      <c r="N1162" s="135">
        <f>11.037+7.12</f>
        <v>18.157</v>
      </c>
      <c r="O1162" s="122"/>
      <c r="P1162" s="92">
        <f t="shared" si="241"/>
        <v>18.157120000000003</v>
      </c>
      <c r="Q1162" s="113">
        <f t="shared" si="242"/>
        <v>0.88812000000000002</v>
      </c>
      <c r="R1162" s="92">
        <f t="shared" si="243"/>
        <v>0.69076000000000004</v>
      </c>
      <c r="S1162" s="121"/>
      <c r="T1162" s="93">
        <f t="shared" si="244"/>
        <v>1.200000000005641E-4</v>
      </c>
      <c r="U1162" s="122"/>
      <c r="V1162" s="94">
        <f t="shared" ca="1" si="245"/>
        <v>323.4644447916653</v>
      </c>
      <c r="W1162" s="89"/>
    </row>
    <row r="1163" spans="1:23" s="312" customFormat="1" ht="18">
      <c r="A1163" s="260"/>
      <c r="B1163" s="260" t="s">
        <v>505</v>
      </c>
      <c r="C1163" s="130" t="s">
        <v>94</v>
      </c>
      <c r="D1163" s="131" t="s">
        <v>2768</v>
      </c>
      <c r="E1163" s="361">
        <v>667</v>
      </c>
      <c r="F1163" s="138">
        <v>45261</v>
      </c>
      <c r="G1163" s="252">
        <v>19.260000000000002</v>
      </c>
      <c r="H1163" s="375">
        <v>1007298.0000000001</v>
      </c>
      <c r="I1163" s="106">
        <f t="shared" si="240"/>
        <v>52300</v>
      </c>
      <c r="J1163" s="122"/>
      <c r="K1163" s="157">
        <v>1809</v>
      </c>
      <c r="L1163" s="166">
        <f t="shared" si="246"/>
        <v>667</v>
      </c>
      <c r="M1163" s="119" t="s">
        <v>2962</v>
      </c>
      <c r="N1163" s="135">
        <v>17.719000000000001</v>
      </c>
      <c r="O1163" s="122"/>
      <c r="P1163" s="92">
        <f t="shared" si="241"/>
        <v>17.719200000000001</v>
      </c>
      <c r="Q1163" s="113">
        <f t="shared" si="242"/>
        <v>0.86670000000000003</v>
      </c>
      <c r="R1163" s="92">
        <f t="shared" si="243"/>
        <v>0.67410000000000014</v>
      </c>
      <c r="S1163" s="121"/>
      <c r="T1163" s="93">
        <f t="shared" si="244"/>
        <v>2.0000000000020002E-4</v>
      </c>
      <c r="U1163" s="122"/>
      <c r="V1163" s="94">
        <f t="shared" ca="1" si="245"/>
        <v>323.4644447916653</v>
      </c>
      <c r="W1163" s="89"/>
    </row>
    <row r="1164" spans="1:23" s="312" customFormat="1" ht="18">
      <c r="A1164" s="260"/>
      <c r="B1164" s="260" t="s">
        <v>505</v>
      </c>
      <c r="C1164" s="130" t="s">
        <v>94</v>
      </c>
      <c r="D1164" s="131" t="s">
        <v>2768</v>
      </c>
      <c r="E1164" s="361">
        <v>668</v>
      </c>
      <c r="F1164" s="138">
        <v>45261</v>
      </c>
      <c r="G1164" s="252">
        <v>40.54</v>
      </c>
      <c r="H1164" s="375">
        <v>2120242</v>
      </c>
      <c r="I1164" s="106">
        <f t="shared" si="240"/>
        <v>52300</v>
      </c>
      <c r="J1164" s="122"/>
      <c r="K1164" s="157" t="s">
        <v>2954</v>
      </c>
      <c r="L1164" s="166">
        <f t="shared" si="246"/>
        <v>668</v>
      </c>
      <c r="M1164" s="119" t="s">
        <v>2947</v>
      </c>
      <c r="N1164" s="135">
        <f>32.026+5.271</f>
        <v>37.297000000000004</v>
      </c>
      <c r="O1164" s="122"/>
      <c r="P1164" s="92">
        <f t="shared" si="241"/>
        <v>37.296799999999998</v>
      </c>
      <c r="Q1164" s="113">
        <f t="shared" si="242"/>
        <v>1.8242999999999998</v>
      </c>
      <c r="R1164" s="92">
        <f t="shared" si="243"/>
        <v>1.4189000000000001</v>
      </c>
      <c r="S1164" s="121"/>
      <c r="T1164" s="93">
        <f t="shared" si="244"/>
        <v>-2.0000000000486295E-4</v>
      </c>
      <c r="U1164" s="122"/>
      <c r="V1164" s="94">
        <f t="shared" ca="1" si="245"/>
        <v>323.4644447916653</v>
      </c>
      <c r="W1164" s="89"/>
    </row>
    <row r="1165" spans="1:23" s="312" customFormat="1" ht="18">
      <c r="A1165" s="260"/>
      <c r="B1165" s="260" t="s">
        <v>505</v>
      </c>
      <c r="C1165" s="130" t="s">
        <v>94</v>
      </c>
      <c r="D1165" s="131" t="s">
        <v>2768</v>
      </c>
      <c r="E1165" s="361">
        <v>669</v>
      </c>
      <c r="F1165" s="138">
        <v>45261</v>
      </c>
      <c r="G1165" s="252">
        <v>31.97</v>
      </c>
      <c r="H1165" s="375">
        <v>1672031</v>
      </c>
      <c r="I1165" s="106">
        <f t="shared" si="240"/>
        <v>52300</v>
      </c>
      <c r="J1165" s="122"/>
      <c r="K1165" s="157" t="s">
        <v>2963</v>
      </c>
      <c r="L1165" s="166">
        <f t="shared" si="246"/>
        <v>669</v>
      </c>
      <c r="M1165" s="119" t="s">
        <v>2964</v>
      </c>
      <c r="N1165" s="135">
        <f>7.758+21.654</f>
        <v>29.411999999999999</v>
      </c>
      <c r="O1165" s="122"/>
      <c r="P1165" s="92">
        <f t="shared" si="241"/>
        <v>29.412400000000002</v>
      </c>
      <c r="Q1165" s="113">
        <f t="shared" si="242"/>
        <v>1.43865</v>
      </c>
      <c r="R1165" s="92">
        <f t="shared" si="243"/>
        <v>1.1189500000000001</v>
      </c>
      <c r="S1165" s="121"/>
      <c r="T1165" s="93">
        <f t="shared" si="244"/>
        <v>3.999999999997339E-4</v>
      </c>
      <c r="U1165" s="122"/>
      <c r="V1165" s="94">
        <f t="shared" ca="1" si="245"/>
        <v>323.4644447916653</v>
      </c>
      <c r="W1165" s="89"/>
    </row>
    <row r="1166" spans="1:23" s="312" customFormat="1" ht="18">
      <c r="A1166" s="260"/>
      <c r="B1166" s="260" t="s">
        <v>505</v>
      </c>
      <c r="C1166" s="130" t="s">
        <v>94</v>
      </c>
      <c r="D1166" s="131" t="s">
        <v>2768</v>
      </c>
      <c r="E1166" s="361">
        <v>670</v>
      </c>
      <c r="F1166" s="138">
        <v>45261</v>
      </c>
      <c r="G1166" s="252">
        <v>32.07</v>
      </c>
      <c r="H1166" s="375">
        <v>1677261</v>
      </c>
      <c r="I1166" s="106">
        <f t="shared" si="240"/>
        <v>52300</v>
      </c>
      <c r="J1166" s="122"/>
      <c r="K1166" s="157" t="s">
        <v>2965</v>
      </c>
      <c r="L1166" s="166">
        <f t="shared" si="246"/>
        <v>670</v>
      </c>
      <c r="M1166" s="119" t="s">
        <v>2966</v>
      </c>
      <c r="N1166" s="135">
        <f>11.531+17.973</f>
        <v>29.503999999999998</v>
      </c>
      <c r="O1166" s="122"/>
      <c r="P1166" s="92">
        <f t="shared" si="241"/>
        <v>29.5044</v>
      </c>
      <c r="Q1166" s="113">
        <f t="shared" si="242"/>
        <v>1.4431499999999999</v>
      </c>
      <c r="R1166" s="92">
        <f t="shared" si="243"/>
        <v>1.1224500000000002</v>
      </c>
      <c r="S1166" s="121"/>
      <c r="T1166" s="93">
        <f t="shared" si="244"/>
        <v>4.0000000000239844E-4</v>
      </c>
      <c r="U1166" s="122"/>
      <c r="V1166" s="94">
        <f t="shared" ca="1" si="245"/>
        <v>323.4644447916653</v>
      </c>
      <c r="W1166" s="89"/>
    </row>
    <row r="1167" spans="1:23" s="312" customFormat="1" ht="18">
      <c r="A1167" s="260"/>
      <c r="B1167" s="260" t="s">
        <v>505</v>
      </c>
      <c r="C1167" s="130" t="s">
        <v>94</v>
      </c>
      <c r="D1167" s="131" t="s">
        <v>2768</v>
      </c>
      <c r="E1167" s="361">
        <v>671</v>
      </c>
      <c r="F1167" s="138">
        <v>45261</v>
      </c>
      <c r="G1167" s="252">
        <v>40.69</v>
      </c>
      <c r="H1167" s="375">
        <v>2128087</v>
      </c>
      <c r="I1167" s="106">
        <f t="shared" si="240"/>
        <v>52300</v>
      </c>
      <c r="J1167" s="122"/>
      <c r="K1167" s="157" t="s">
        <v>2975</v>
      </c>
      <c r="L1167" s="166">
        <f t="shared" si="246"/>
        <v>671</v>
      </c>
      <c r="M1167" s="119" t="s">
        <v>2976</v>
      </c>
      <c r="N1167" s="135">
        <f>31.778+5.657</f>
        <v>37.435000000000002</v>
      </c>
      <c r="O1167" s="122"/>
      <c r="P1167" s="92">
        <f t="shared" si="241"/>
        <v>37.434800000000003</v>
      </c>
      <c r="Q1167" s="113">
        <f t="shared" si="242"/>
        <v>1.8310499999999998</v>
      </c>
      <c r="R1167" s="92">
        <f t="shared" si="243"/>
        <v>1.42415</v>
      </c>
      <c r="S1167" s="121"/>
      <c r="T1167" s="93">
        <f t="shared" si="244"/>
        <v>-2.0000000000441887E-4</v>
      </c>
      <c r="U1167" s="122"/>
      <c r="V1167" s="94">
        <f t="shared" ca="1" si="245"/>
        <v>323.4644447916653</v>
      </c>
      <c r="W1167" s="89"/>
    </row>
    <row r="1168" spans="1:23" s="312" customFormat="1" ht="18">
      <c r="A1168" s="260"/>
      <c r="B1168" s="260" t="s">
        <v>505</v>
      </c>
      <c r="C1168" s="130" t="s">
        <v>94</v>
      </c>
      <c r="D1168" s="131" t="s">
        <v>2768</v>
      </c>
      <c r="E1168" s="361">
        <v>672</v>
      </c>
      <c r="F1168" s="138">
        <v>45261</v>
      </c>
      <c r="G1168" s="252">
        <v>32.130000000000003</v>
      </c>
      <c r="H1168" s="375">
        <v>1680399.0000000002</v>
      </c>
      <c r="I1168" s="106">
        <f t="shared" si="240"/>
        <v>52300</v>
      </c>
      <c r="J1168" s="122"/>
      <c r="K1168" s="157" t="s">
        <v>2977</v>
      </c>
      <c r="L1168" s="166">
        <f t="shared" si="246"/>
        <v>672</v>
      </c>
      <c r="M1168" s="119" t="s">
        <v>2978</v>
      </c>
      <c r="N1168" s="135">
        <f>15.401+14.159</f>
        <v>29.560000000000002</v>
      </c>
      <c r="O1168" s="122"/>
      <c r="P1168" s="92">
        <f t="shared" si="241"/>
        <v>29.559600000000003</v>
      </c>
      <c r="Q1168" s="113">
        <f t="shared" si="242"/>
        <v>1.4458500000000001</v>
      </c>
      <c r="R1168" s="92">
        <f t="shared" si="243"/>
        <v>1.1245500000000002</v>
      </c>
      <c r="S1168" s="121"/>
      <c r="T1168" s="93">
        <f t="shared" si="244"/>
        <v>-3.9999999999995595E-4</v>
      </c>
      <c r="U1168" s="122"/>
      <c r="V1168" s="94">
        <f t="shared" ca="1" si="245"/>
        <v>323.4644447916653</v>
      </c>
      <c r="W1168" s="89"/>
    </row>
    <row r="1169" spans="1:23" s="312" customFormat="1" ht="18">
      <c r="A1169" s="260"/>
      <c r="B1169" s="260" t="s">
        <v>505</v>
      </c>
      <c r="C1169" s="130" t="s">
        <v>94</v>
      </c>
      <c r="D1169" s="131" t="s">
        <v>2768</v>
      </c>
      <c r="E1169" s="361">
        <v>673</v>
      </c>
      <c r="F1169" s="138">
        <v>45261</v>
      </c>
      <c r="G1169" s="252">
        <v>32.18</v>
      </c>
      <c r="H1169" s="375">
        <v>1683014</v>
      </c>
      <c r="I1169" s="106">
        <f t="shared" si="240"/>
        <v>52300</v>
      </c>
      <c r="J1169" s="122"/>
      <c r="K1169" s="157" t="s">
        <v>2979</v>
      </c>
      <c r="L1169" s="166">
        <f t="shared" si="246"/>
        <v>673</v>
      </c>
      <c r="M1169" s="119" t="s">
        <v>2976</v>
      </c>
      <c r="N1169" s="135">
        <f>9.539+20.067</f>
        <v>29.606000000000002</v>
      </c>
      <c r="O1169" s="122"/>
      <c r="P1169" s="92">
        <f t="shared" si="241"/>
        <v>29.605600000000003</v>
      </c>
      <c r="Q1169" s="113">
        <f t="shared" si="242"/>
        <v>1.4480999999999999</v>
      </c>
      <c r="R1169" s="92">
        <f t="shared" si="243"/>
        <v>1.1263000000000001</v>
      </c>
      <c r="S1169" s="121"/>
      <c r="T1169" s="93">
        <f t="shared" si="244"/>
        <v>-4.0000000000195435E-4</v>
      </c>
      <c r="U1169" s="122"/>
      <c r="V1169" s="94">
        <f t="shared" ca="1" si="245"/>
        <v>323.4644447916653</v>
      </c>
      <c r="W1169" s="89"/>
    </row>
    <row r="1170" spans="1:23" s="312" customFormat="1" ht="18">
      <c r="A1170" s="260"/>
      <c r="B1170" s="260" t="s">
        <v>505</v>
      </c>
      <c r="C1170" s="130" t="s">
        <v>94</v>
      </c>
      <c r="D1170" s="131" t="s">
        <v>2768</v>
      </c>
      <c r="E1170" s="361">
        <v>674</v>
      </c>
      <c r="F1170" s="138">
        <v>45261</v>
      </c>
      <c r="G1170" s="252">
        <v>40.799999999999997</v>
      </c>
      <c r="H1170" s="375">
        <v>2133840</v>
      </c>
      <c r="I1170" s="106">
        <f t="shared" si="240"/>
        <v>52300.000000000007</v>
      </c>
      <c r="J1170" s="122"/>
      <c r="K1170" s="157" t="s">
        <v>2980</v>
      </c>
      <c r="L1170" s="166">
        <f t="shared" si="246"/>
        <v>674</v>
      </c>
      <c r="M1170" s="119" t="s">
        <v>2976</v>
      </c>
      <c r="N1170" s="135">
        <f>12.652+24.884</f>
        <v>37.536000000000001</v>
      </c>
      <c r="O1170" s="122"/>
      <c r="P1170" s="92">
        <f t="shared" si="241"/>
        <v>37.536000000000001</v>
      </c>
      <c r="Q1170" s="113">
        <f t="shared" si="242"/>
        <v>1.8359999999999999</v>
      </c>
      <c r="R1170" s="92">
        <f t="shared" si="243"/>
        <v>1.4279999999999999</v>
      </c>
      <c r="S1170" s="121"/>
      <c r="T1170" s="93">
        <f t="shared" si="244"/>
        <v>-3.9968028886505635E-15</v>
      </c>
      <c r="U1170" s="122"/>
      <c r="V1170" s="94">
        <f t="shared" ca="1" si="245"/>
        <v>323.4644447916653</v>
      </c>
      <c r="W1170" s="89"/>
    </row>
    <row r="1171" spans="1:23" s="312" customFormat="1" ht="18">
      <c r="A1171" s="260"/>
      <c r="B1171" s="260" t="s">
        <v>505</v>
      </c>
      <c r="C1171" s="130" t="s">
        <v>94</v>
      </c>
      <c r="D1171" s="131" t="s">
        <v>2768</v>
      </c>
      <c r="E1171" s="361">
        <v>675</v>
      </c>
      <c r="F1171" s="138">
        <v>45261</v>
      </c>
      <c r="G1171" s="252">
        <v>32.020000000000003</v>
      </c>
      <c r="H1171" s="375">
        <v>1674646.0000000002</v>
      </c>
      <c r="I1171" s="106">
        <f t="shared" si="240"/>
        <v>52300</v>
      </c>
      <c r="J1171" s="122"/>
      <c r="K1171" s="157">
        <v>1829</v>
      </c>
      <c r="L1171" s="166">
        <f t="shared" si="246"/>
        <v>675</v>
      </c>
      <c r="M1171" s="119" t="s">
        <v>2971</v>
      </c>
      <c r="N1171" s="135">
        <v>7.6870000000000003</v>
      </c>
      <c r="O1171" s="122"/>
      <c r="P1171" s="92">
        <f t="shared" si="241"/>
        <v>29.458400000000005</v>
      </c>
      <c r="Q1171" s="113">
        <f t="shared" si="242"/>
        <v>1.4409000000000001</v>
      </c>
      <c r="R1171" s="92">
        <f t="shared" si="243"/>
        <v>1.1207000000000003</v>
      </c>
      <c r="S1171" s="121"/>
      <c r="T1171" s="93">
        <f t="shared" si="244"/>
        <v>21.771400000000003</v>
      </c>
      <c r="U1171" s="122"/>
      <c r="V1171" s="94">
        <f t="shared" ca="1" si="245"/>
        <v>323.4644447916653</v>
      </c>
      <c r="W1171" s="89"/>
    </row>
    <row r="1172" spans="1:23" s="312" customFormat="1" ht="18">
      <c r="A1172" s="260"/>
      <c r="B1172" s="260" t="s">
        <v>505</v>
      </c>
      <c r="C1172" s="130" t="s">
        <v>94</v>
      </c>
      <c r="D1172" s="131" t="s">
        <v>2768</v>
      </c>
      <c r="E1172" s="361">
        <v>676</v>
      </c>
      <c r="F1172" s="138">
        <v>45261</v>
      </c>
      <c r="G1172" s="252">
        <v>32.049999999999997</v>
      </c>
      <c r="H1172" s="375">
        <v>1676214.9999999998</v>
      </c>
      <c r="I1172" s="106">
        <f t="shared" si="240"/>
        <v>52300</v>
      </c>
      <c r="J1172" s="122"/>
      <c r="K1172" s="157"/>
      <c r="L1172" s="166">
        <f t="shared" si="246"/>
        <v>676</v>
      </c>
      <c r="M1172" s="119"/>
      <c r="N1172" s="135"/>
      <c r="O1172" s="122"/>
      <c r="P1172" s="92">
        <f t="shared" si="241"/>
        <v>29.485999999999997</v>
      </c>
      <c r="Q1172" s="113">
        <f t="shared" si="242"/>
        <v>1.4422499999999998</v>
      </c>
      <c r="R1172" s="92">
        <f t="shared" si="243"/>
        <v>1.12175</v>
      </c>
      <c r="S1172" s="121"/>
      <c r="T1172" s="93">
        <f t="shared" si="244"/>
        <v>29.485999999999997</v>
      </c>
      <c r="U1172" s="122"/>
      <c r="V1172" s="94">
        <f t="shared" ca="1" si="245"/>
        <v>323.4644447916653</v>
      </c>
      <c r="W1172" s="89"/>
    </row>
    <row r="1173" spans="1:23" s="312" customFormat="1" ht="18">
      <c r="A1173" s="260"/>
      <c r="B1173" s="260" t="s">
        <v>505</v>
      </c>
      <c r="C1173" s="130" t="s">
        <v>94</v>
      </c>
      <c r="D1173" s="131" t="s">
        <v>2768</v>
      </c>
      <c r="E1173" s="361">
        <v>677</v>
      </c>
      <c r="F1173" s="138">
        <v>45261</v>
      </c>
      <c r="G1173" s="252">
        <v>32.06</v>
      </c>
      <c r="H1173" s="375">
        <v>1676738.0000000002</v>
      </c>
      <c r="I1173" s="106">
        <f t="shared" si="240"/>
        <v>52300</v>
      </c>
      <c r="J1173" s="122"/>
      <c r="K1173" s="157"/>
      <c r="L1173" s="166">
        <f t="shared" si="246"/>
        <v>677</v>
      </c>
      <c r="M1173" s="119"/>
      <c r="N1173" s="135"/>
      <c r="O1173" s="122"/>
      <c r="P1173" s="92">
        <f t="shared" si="241"/>
        <v>29.495200000000004</v>
      </c>
      <c r="Q1173" s="113">
        <f t="shared" si="242"/>
        <v>1.4427000000000001</v>
      </c>
      <c r="R1173" s="92">
        <f t="shared" si="243"/>
        <v>1.1221000000000001</v>
      </c>
      <c r="S1173" s="121"/>
      <c r="T1173" s="93">
        <f t="shared" si="244"/>
        <v>29.495200000000004</v>
      </c>
      <c r="U1173" s="122"/>
      <c r="V1173" s="94">
        <f t="shared" ca="1" si="245"/>
        <v>323.4644447916653</v>
      </c>
      <c r="W1173" s="89"/>
    </row>
    <row r="1174" spans="1:23" s="312" customFormat="1" ht="18">
      <c r="A1174" s="260"/>
      <c r="B1174" s="260" t="s">
        <v>505</v>
      </c>
      <c r="C1174" s="130" t="s">
        <v>94</v>
      </c>
      <c r="D1174" s="131" t="s">
        <v>2768</v>
      </c>
      <c r="E1174" s="361">
        <v>678</v>
      </c>
      <c r="F1174" s="138">
        <v>45261</v>
      </c>
      <c r="G1174" s="252">
        <f>59.81+0.595</f>
        <v>60.405000000000001</v>
      </c>
      <c r="H1174" s="375">
        <v>3159181.5</v>
      </c>
      <c r="I1174" s="106">
        <f t="shared" si="240"/>
        <v>52300</v>
      </c>
      <c r="J1174" s="122"/>
      <c r="K1174" s="157"/>
      <c r="L1174" s="166">
        <f t="shared" si="246"/>
        <v>678</v>
      </c>
      <c r="M1174" s="119"/>
      <c r="N1174" s="135"/>
      <c r="O1174" s="122"/>
      <c r="P1174" s="92">
        <f t="shared" si="241"/>
        <v>55.572600000000001</v>
      </c>
      <c r="Q1174" s="113">
        <f t="shared" si="242"/>
        <v>2.7182249999999999</v>
      </c>
      <c r="R1174" s="92">
        <f t="shared" si="243"/>
        <v>2.1141750000000004</v>
      </c>
      <c r="S1174" s="121"/>
      <c r="T1174" s="93">
        <f t="shared" si="244"/>
        <v>55.572600000000001</v>
      </c>
      <c r="U1174" s="122"/>
      <c r="V1174" s="94">
        <f t="shared" ca="1" si="245"/>
        <v>323.4644447916653</v>
      </c>
      <c r="W1174" s="89"/>
    </row>
    <row r="1175" spans="1:23" s="312" customFormat="1" ht="18">
      <c r="A1175" s="260"/>
      <c r="B1175" s="260" t="s">
        <v>505</v>
      </c>
      <c r="C1175" s="130" t="s">
        <v>55</v>
      </c>
      <c r="D1175" s="131" t="s">
        <v>2769</v>
      </c>
      <c r="E1175" s="361">
        <v>679</v>
      </c>
      <c r="F1175" s="138">
        <v>45261</v>
      </c>
      <c r="G1175" s="252">
        <v>31.89</v>
      </c>
      <c r="H1175" s="375">
        <v>1795407</v>
      </c>
      <c r="I1175" s="106">
        <f t="shared" si="240"/>
        <v>56300</v>
      </c>
      <c r="J1175" s="122"/>
      <c r="K1175" s="157"/>
      <c r="L1175" s="166">
        <f t="shared" si="246"/>
        <v>679</v>
      </c>
      <c r="M1175" s="119"/>
      <c r="N1175" s="135"/>
      <c r="O1175" s="122"/>
      <c r="P1175" s="92">
        <f t="shared" si="241"/>
        <v>29.338800000000003</v>
      </c>
      <c r="Q1175" s="113">
        <f t="shared" si="242"/>
        <v>1.4350499999999999</v>
      </c>
      <c r="R1175" s="92">
        <f t="shared" si="243"/>
        <v>1.1161500000000002</v>
      </c>
      <c r="S1175" s="121"/>
      <c r="T1175" s="93">
        <f t="shared" si="244"/>
        <v>29.338799999999999</v>
      </c>
      <c r="U1175" s="122"/>
      <c r="V1175" s="94">
        <f t="shared" ca="1" si="245"/>
        <v>323.4644447916653</v>
      </c>
      <c r="W1175" s="89"/>
    </row>
    <row r="1176" spans="1:23" s="312" customFormat="1" ht="18">
      <c r="A1176" s="260"/>
      <c r="B1176" s="260" t="s">
        <v>505</v>
      </c>
      <c r="C1176" s="130" t="s">
        <v>55</v>
      </c>
      <c r="D1176" s="131" t="s">
        <v>2769</v>
      </c>
      <c r="E1176" s="361">
        <v>680</v>
      </c>
      <c r="F1176" s="138">
        <v>45261</v>
      </c>
      <c r="G1176" s="252">
        <v>31.83</v>
      </c>
      <c r="H1176" s="375">
        <v>1792029</v>
      </c>
      <c r="I1176" s="106">
        <f t="shared" si="240"/>
        <v>56300</v>
      </c>
      <c r="J1176" s="122"/>
      <c r="K1176" s="157"/>
      <c r="L1176" s="166">
        <f t="shared" si="246"/>
        <v>680</v>
      </c>
      <c r="M1176" s="119"/>
      <c r="N1176" s="135"/>
      <c r="O1176" s="122"/>
      <c r="P1176" s="92">
        <f t="shared" si="241"/>
        <v>29.2836</v>
      </c>
      <c r="Q1176" s="113">
        <f t="shared" si="242"/>
        <v>1.4323499999999998</v>
      </c>
      <c r="R1176" s="92">
        <f t="shared" si="243"/>
        <v>1.11405</v>
      </c>
      <c r="S1176" s="121"/>
      <c r="T1176" s="93">
        <f t="shared" si="244"/>
        <v>29.2836</v>
      </c>
      <c r="U1176" s="122"/>
      <c r="V1176" s="94">
        <f t="shared" ca="1" si="245"/>
        <v>323.4644447916653</v>
      </c>
      <c r="W1176" s="89"/>
    </row>
    <row r="1177" spans="1:23" s="312" customFormat="1" ht="18">
      <c r="A1177" s="260"/>
      <c r="B1177" s="260" t="s">
        <v>505</v>
      </c>
      <c r="C1177" s="130" t="s">
        <v>55</v>
      </c>
      <c r="D1177" s="131" t="s">
        <v>2769</v>
      </c>
      <c r="E1177" s="361">
        <v>681</v>
      </c>
      <c r="F1177" s="138">
        <v>45261</v>
      </c>
      <c r="G1177" s="252">
        <v>31.85</v>
      </c>
      <c r="H1177" s="375">
        <v>1793155</v>
      </c>
      <c r="I1177" s="106">
        <f t="shared" si="240"/>
        <v>56300</v>
      </c>
      <c r="J1177" s="122"/>
      <c r="K1177" s="157"/>
      <c r="L1177" s="166">
        <f t="shared" si="246"/>
        <v>681</v>
      </c>
      <c r="M1177" s="119"/>
      <c r="N1177" s="135"/>
      <c r="O1177" s="122"/>
      <c r="P1177" s="92">
        <f t="shared" si="241"/>
        <v>29.302000000000003</v>
      </c>
      <c r="Q1177" s="113">
        <f t="shared" si="242"/>
        <v>1.4332499999999999</v>
      </c>
      <c r="R1177" s="92">
        <f t="shared" si="243"/>
        <v>1.1147500000000001</v>
      </c>
      <c r="S1177" s="121"/>
      <c r="T1177" s="93">
        <f t="shared" si="244"/>
        <v>29.302</v>
      </c>
      <c r="U1177" s="122"/>
      <c r="V1177" s="94">
        <f t="shared" ca="1" si="245"/>
        <v>323.4644447916653</v>
      </c>
      <c r="W1177" s="89"/>
    </row>
    <row r="1178" spans="1:23" s="312" customFormat="1" ht="18">
      <c r="A1178" s="260"/>
      <c r="B1178" s="260" t="s">
        <v>505</v>
      </c>
      <c r="C1178" s="130" t="s">
        <v>55</v>
      </c>
      <c r="D1178" s="131" t="s">
        <v>2769</v>
      </c>
      <c r="E1178" s="361">
        <v>682</v>
      </c>
      <c r="F1178" s="138">
        <v>45261</v>
      </c>
      <c r="G1178" s="252">
        <v>31.85</v>
      </c>
      <c r="H1178" s="375">
        <v>1793155</v>
      </c>
      <c r="I1178" s="106">
        <f t="shared" si="240"/>
        <v>56300</v>
      </c>
      <c r="J1178" s="122"/>
      <c r="K1178" s="157"/>
      <c r="L1178" s="166">
        <f t="shared" si="246"/>
        <v>682</v>
      </c>
      <c r="M1178" s="119"/>
      <c r="N1178" s="135"/>
      <c r="O1178" s="122"/>
      <c r="P1178" s="92">
        <f t="shared" si="241"/>
        <v>29.302000000000003</v>
      </c>
      <c r="Q1178" s="113">
        <f t="shared" si="242"/>
        <v>1.4332499999999999</v>
      </c>
      <c r="R1178" s="92">
        <f t="shared" si="243"/>
        <v>1.1147500000000001</v>
      </c>
      <c r="S1178" s="121"/>
      <c r="T1178" s="93">
        <f t="shared" si="244"/>
        <v>29.302</v>
      </c>
      <c r="U1178" s="122"/>
      <c r="V1178" s="94">
        <f t="shared" ca="1" si="245"/>
        <v>323.4644447916653</v>
      </c>
      <c r="W1178" s="89"/>
    </row>
    <row r="1179" spans="1:23" s="312" customFormat="1" ht="18">
      <c r="A1179" s="260"/>
      <c r="B1179" s="260" t="s">
        <v>505</v>
      </c>
      <c r="C1179" s="130" t="s">
        <v>55</v>
      </c>
      <c r="D1179" s="131" t="s">
        <v>2769</v>
      </c>
      <c r="E1179" s="361">
        <v>683</v>
      </c>
      <c r="F1179" s="138">
        <v>45261</v>
      </c>
      <c r="G1179" s="252">
        <v>31.83</v>
      </c>
      <c r="H1179" s="375">
        <v>1792029</v>
      </c>
      <c r="I1179" s="106">
        <f t="shared" si="240"/>
        <v>56300</v>
      </c>
      <c r="J1179" s="122"/>
      <c r="K1179" s="157"/>
      <c r="L1179" s="166">
        <f t="shared" si="246"/>
        <v>683</v>
      </c>
      <c r="M1179" s="119"/>
      <c r="N1179" s="135"/>
      <c r="O1179" s="122"/>
      <c r="P1179" s="92">
        <f t="shared" si="241"/>
        <v>29.2836</v>
      </c>
      <c r="Q1179" s="113">
        <f t="shared" si="242"/>
        <v>1.4323499999999998</v>
      </c>
      <c r="R1179" s="92">
        <f t="shared" si="243"/>
        <v>1.11405</v>
      </c>
      <c r="S1179" s="121"/>
      <c r="T1179" s="93">
        <f t="shared" si="244"/>
        <v>29.2836</v>
      </c>
      <c r="U1179" s="122"/>
      <c r="V1179" s="94">
        <f t="shared" ca="1" si="245"/>
        <v>323.4644447916653</v>
      </c>
      <c r="W1179" s="89"/>
    </row>
    <row r="1180" spans="1:23" s="312" customFormat="1" ht="18">
      <c r="A1180" s="260"/>
      <c r="B1180" s="260" t="s">
        <v>505</v>
      </c>
      <c r="C1180" s="130" t="s">
        <v>55</v>
      </c>
      <c r="D1180" s="131" t="s">
        <v>2769</v>
      </c>
      <c r="E1180" s="361">
        <v>684</v>
      </c>
      <c r="F1180" s="138">
        <v>45261</v>
      </c>
      <c r="G1180" s="252">
        <v>31.87</v>
      </c>
      <c r="H1180" s="375">
        <v>1794281</v>
      </c>
      <c r="I1180" s="106">
        <f t="shared" si="240"/>
        <v>56300</v>
      </c>
      <c r="J1180" s="122"/>
      <c r="K1180" s="157"/>
      <c r="L1180" s="166">
        <f t="shared" si="246"/>
        <v>684</v>
      </c>
      <c r="M1180" s="119"/>
      <c r="N1180" s="135"/>
      <c r="O1180" s="122"/>
      <c r="P1180" s="92">
        <f t="shared" si="241"/>
        <v>29.320400000000003</v>
      </c>
      <c r="Q1180" s="113">
        <f t="shared" si="242"/>
        <v>1.43415</v>
      </c>
      <c r="R1180" s="92">
        <f t="shared" si="243"/>
        <v>1.1154500000000001</v>
      </c>
      <c r="S1180" s="121"/>
      <c r="T1180" s="93">
        <f t="shared" si="244"/>
        <v>29.320400000000003</v>
      </c>
      <c r="U1180" s="122"/>
      <c r="V1180" s="94">
        <f t="shared" ca="1" si="245"/>
        <v>323.4644447916653</v>
      </c>
      <c r="W1180" s="89"/>
    </row>
    <row r="1181" spans="1:23" s="312" customFormat="1" ht="18">
      <c r="A1181" s="260"/>
      <c r="B1181" s="260" t="s">
        <v>505</v>
      </c>
      <c r="C1181" s="130" t="s">
        <v>55</v>
      </c>
      <c r="D1181" s="131" t="s">
        <v>2769</v>
      </c>
      <c r="E1181" s="361">
        <v>685</v>
      </c>
      <c r="F1181" s="138">
        <v>45261</v>
      </c>
      <c r="G1181" s="252">
        <v>31.9</v>
      </c>
      <c r="H1181" s="375">
        <v>1795970</v>
      </c>
      <c r="I1181" s="106">
        <f t="shared" si="240"/>
        <v>56300</v>
      </c>
      <c r="J1181" s="122"/>
      <c r="K1181" s="157"/>
      <c r="L1181" s="166">
        <f t="shared" si="246"/>
        <v>685</v>
      </c>
      <c r="M1181" s="119"/>
      <c r="N1181" s="135"/>
      <c r="O1181" s="122"/>
      <c r="P1181" s="92">
        <f t="shared" si="241"/>
        <v>29.347999999999999</v>
      </c>
      <c r="Q1181" s="113">
        <f t="shared" si="242"/>
        <v>1.4354999999999998</v>
      </c>
      <c r="R1181" s="92">
        <f t="shared" si="243"/>
        <v>1.1165</v>
      </c>
      <c r="S1181" s="121"/>
      <c r="T1181" s="93">
        <f t="shared" si="244"/>
        <v>29.347999999999999</v>
      </c>
      <c r="U1181" s="122"/>
      <c r="V1181" s="94">
        <f t="shared" ca="1" si="245"/>
        <v>323.4644447916653</v>
      </c>
      <c r="W1181" s="89"/>
    </row>
    <row r="1182" spans="1:23" s="312" customFormat="1" ht="18">
      <c r="A1182" s="260"/>
      <c r="B1182" s="260" t="s">
        <v>505</v>
      </c>
      <c r="C1182" s="130" t="s">
        <v>55</v>
      </c>
      <c r="D1182" s="131" t="s">
        <v>2769</v>
      </c>
      <c r="E1182" s="361">
        <v>686</v>
      </c>
      <c r="F1182" s="138">
        <v>45261</v>
      </c>
      <c r="G1182" s="252">
        <v>31.85</v>
      </c>
      <c r="H1182" s="375">
        <v>1793155</v>
      </c>
      <c r="I1182" s="106">
        <f t="shared" si="240"/>
        <v>56300</v>
      </c>
      <c r="J1182" s="122"/>
      <c r="K1182" s="157"/>
      <c r="L1182" s="166">
        <f t="shared" si="246"/>
        <v>686</v>
      </c>
      <c r="M1182" s="119"/>
      <c r="N1182" s="135"/>
      <c r="O1182" s="122"/>
      <c r="P1182" s="92">
        <f t="shared" si="241"/>
        <v>29.302000000000003</v>
      </c>
      <c r="Q1182" s="113">
        <f t="shared" si="242"/>
        <v>1.4332499999999999</v>
      </c>
      <c r="R1182" s="92">
        <f t="shared" si="243"/>
        <v>1.1147500000000001</v>
      </c>
      <c r="S1182" s="121"/>
      <c r="T1182" s="93">
        <f t="shared" si="244"/>
        <v>29.302</v>
      </c>
      <c r="U1182" s="122"/>
      <c r="V1182" s="94">
        <f t="shared" ca="1" si="245"/>
        <v>323.4644447916653</v>
      </c>
      <c r="W1182" s="89"/>
    </row>
    <row r="1183" spans="1:23" s="312" customFormat="1" ht="18">
      <c r="A1183" s="260"/>
      <c r="B1183" s="260" t="s">
        <v>505</v>
      </c>
      <c r="C1183" s="130" t="s">
        <v>55</v>
      </c>
      <c r="D1183" s="131" t="s">
        <v>2769</v>
      </c>
      <c r="E1183" s="361">
        <v>687</v>
      </c>
      <c r="F1183" s="138">
        <v>45261</v>
      </c>
      <c r="G1183" s="252">
        <v>31.82</v>
      </c>
      <c r="H1183" s="375">
        <v>1791466</v>
      </c>
      <c r="I1183" s="106">
        <f t="shared" si="240"/>
        <v>56300</v>
      </c>
      <c r="J1183" s="122"/>
      <c r="K1183" s="157"/>
      <c r="L1183" s="166">
        <f t="shared" si="246"/>
        <v>687</v>
      </c>
      <c r="M1183" s="119"/>
      <c r="N1183" s="135"/>
      <c r="O1183" s="122"/>
      <c r="P1183" s="92">
        <f t="shared" si="241"/>
        <v>29.2744</v>
      </c>
      <c r="Q1183" s="113">
        <f t="shared" si="242"/>
        <v>1.4319</v>
      </c>
      <c r="R1183" s="92">
        <f t="shared" si="243"/>
        <v>1.1137000000000001</v>
      </c>
      <c r="S1183" s="121"/>
      <c r="T1183" s="93">
        <f t="shared" si="244"/>
        <v>29.2744</v>
      </c>
      <c r="U1183" s="122"/>
      <c r="V1183" s="94">
        <f t="shared" ca="1" si="245"/>
        <v>323.4644447916653</v>
      </c>
      <c r="W1183" s="89"/>
    </row>
    <row r="1184" spans="1:23" s="312" customFormat="1" ht="18">
      <c r="A1184" s="260"/>
      <c r="B1184" s="260" t="s">
        <v>505</v>
      </c>
      <c r="C1184" s="130" t="s">
        <v>55</v>
      </c>
      <c r="D1184" s="131" t="s">
        <v>2769</v>
      </c>
      <c r="E1184" s="361">
        <v>688</v>
      </c>
      <c r="F1184" s="138">
        <v>45261</v>
      </c>
      <c r="G1184" s="252">
        <v>31.78</v>
      </c>
      <c r="H1184" s="375">
        <v>1789214</v>
      </c>
      <c r="I1184" s="106">
        <f t="shared" si="240"/>
        <v>56300</v>
      </c>
      <c r="J1184" s="122"/>
      <c r="K1184" s="157"/>
      <c r="L1184" s="166">
        <f t="shared" si="246"/>
        <v>688</v>
      </c>
      <c r="M1184" s="119"/>
      <c r="N1184" s="135"/>
      <c r="O1184" s="122"/>
      <c r="P1184" s="92">
        <f t="shared" si="241"/>
        <v>29.237600000000004</v>
      </c>
      <c r="Q1184" s="113">
        <f t="shared" si="242"/>
        <v>1.4300999999999999</v>
      </c>
      <c r="R1184" s="92">
        <f t="shared" si="243"/>
        <v>1.1123000000000001</v>
      </c>
      <c r="S1184" s="121"/>
      <c r="T1184" s="93">
        <f t="shared" si="244"/>
        <v>29.2376</v>
      </c>
      <c r="U1184" s="122"/>
      <c r="V1184" s="94">
        <f t="shared" ca="1" si="245"/>
        <v>323.4644447916653</v>
      </c>
      <c r="W1184" s="89"/>
    </row>
    <row r="1185" spans="1:23" s="312" customFormat="1" ht="18">
      <c r="A1185" s="260"/>
      <c r="B1185" s="260" t="s">
        <v>505</v>
      </c>
      <c r="C1185" s="130" t="s">
        <v>55</v>
      </c>
      <c r="D1185" s="131" t="s">
        <v>2769</v>
      </c>
      <c r="E1185" s="361">
        <v>689</v>
      </c>
      <c r="F1185" s="138">
        <v>45261</v>
      </c>
      <c r="G1185" s="252">
        <v>31.75</v>
      </c>
      <c r="H1185" s="375">
        <v>1787525</v>
      </c>
      <c r="I1185" s="106">
        <f t="shared" si="240"/>
        <v>56300</v>
      </c>
      <c r="J1185" s="122"/>
      <c r="K1185" s="157"/>
      <c r="L1185" s="166">
        <f t="shared" si="246"/>
        <v>689</v>
      </c>
      <c r="M1185" s="119"/>
      <c r="N1185" s="135"/>
      <c r="O1185" s="122"/>
      <c r="P1185" s="92">
        <f t="shared" si="241"/>
        <v>29.21</v>
      </c>
      <c r="Q1185" s="113">
        <f t="shared" si="242"/>
        <v>1.42875</v>
      </c>
      <c r="R1185" s="92">
        <f t="shared" si="243"/>
        <v>1.1112500000000001</v>
      </c>
      <c r="S1185" s="121"/>
      <c r="T1185" s="93">
        <f t="shared" si="244"/>
        <v>29.21</v>
      </c>
      <c r="U1185" s="122"/>
      <c r="V1185" s="94">
        <f t="shared" ca="1" si="245"/>
        <v>323.4644447916653</v>
      </c>
      <c r="W1185" s="89"/>
    </row>
    <row r="1186" spans="1:23" s="312" customFormat="1" ht="18">
      <c r="A1186" s="260"/>
      <c r="B1186" s="260" t="s">
        <v>505</v>
      </c>
      <c r="C1186" s="130" t="s">
        <v>55</v>
      </c>
      <c r="D1186" s="131" t="s">
        <v>2769</v>
      </c>
      <c r="E1186" s="361">
        <v>690</v>
      </c>
      <c r="F1186" s="138">
        <v>45261</v>
      </c>
      <c r="G1186" s="363">
        <v>32.735999999999997</v>
      </c>
      <c r="H1186" s="375">
        <v>1843036.7999999998</v>
      </c>
      <c r="I1186" s="106">
        <f t="shared" si="240"/>
        <v>56300</v>
      </c>
      <c r="J1186" s="122"/>
      <c r="K1186" s="157"/>
      <c r="L1186" s="166">
        <f t="shared" si="246"/>
        <v>690</v>
      </c>
      <c r="M1186" s="119"/>
      <c r="N1186" s="135"/>
      <c r="O1186" s="122"/>
      <c r="P1186" s="92">
        <f t="shared" si="241"/>
        <v>30.11712</v>
      </c>
      <c r="Q1186" s="113">
        <f t="shared" si="242"/>
        <v>1.4731199999999998</v>
      </c>
      <c r="R1186" s="92">
        <f t="shared" si="243"/>
        <v>1.1457600000000001</v>
      </c>
      <c r="S1186" s="121"/>
      <c r="T1186" s="93">
        <f t="shared" si="244"/>
        <v>30.117119999999996</v>
      </c>
      <c r="U1186" s="122"/>
      <c r="V1186" s="94">
        <f t="shared" ca="1" si="245"/>
        <v>323.4644447916653</v>
      </c>
      <c r="W1186" s="89"/>
    </row>
    <row r="1187" spans="1:23" s="312" customFormat="1" ht="18">
      <c r="A1187" s="260"/>
      <c r="B1187" s="260" t="s">
        <v>1194</v>
      </c>
      <c r="C1187" s="130" t="s">
        <v>2770</v>
      </c>
      <c r="D1187" s="131" t="s">
        <v>2773</v>
      </c>
      <c r="E1187" s="361">
        <v>691</v>
      </c>
      <c r="F1187" s="138">
        <v>45261</v>
      </c>
      <c r="G1187" s="252">
        <v>31.35</v>
      </c>
      <c r="H1187" s="375">
        <v>1600103</v>
      </c>
      <c r="I1187" s="106">
        <f t="shared" ref="I1187:I1228" si="247">H1187/G1187</f>
        <v>51039.968102073362</v>
      </c>
      <c r="J1187" s="122"/>
      <c r="K1187" s="157"/>
      <c r="L1187" s="166">
        <f t="shared" si="246"/>
        <v>691</v>
      </c>
      <c r="M1187" s="119"/>
      <c r="N1187" s="135"/>
      <c r="O1187" s="122"/>
      <c r="P1187" s="92">
        <f t="shared" si="241"/>
        <v>28.842000000000002</v>
      </c>
      <c r="Q1187" s="113">
        <f t="shared" si="242"/>
        <v>1.4107499999999999</v>
      </c>
      <c r="R1187" s="92">
        <f t="shared" si="243"/>
        <v>1.0972500000000001</v>
      </c>
      <c r="S1187" s="121"/>
      <c r="T1187" s="93">
        <f t="shared" si="244"/>
        <v>28.842000000000002</v>
      </c>
      <c r="U1187" s="122"/>
      <c r="V1187" s="94">
        <f t="shared" ca="1" si="245"/>
        <v>323.4644447916653</v>
      </c>
      <c r="W1187" s="89"/>
    </row>
    <row r="1188" spans="1:23" s="312" customFormat="1" ht="18">
      <c r="A1188" s="260"/>
      <c r="B1188" s="260" t="s">
        <v>1194</v>
      </c>
      <c r="C1188" s="130" t="s">
        <v>2770</v>
      </c>
      <c r="D1188" s="131" t="s">
        <v>2773</v>
      </c>
      <c r="E1188" s="361">
        <v>692</v>
      </c>
      <c r="F1188" s="138">
        <v>45261</v>
      </c>
      <c r="G1188" s="252">
        <v>31.35</v>
      </c>
      <c r="H1188" s="375">
        <v>1600103</v>
      </c>
      <c r="I1188" s="106">
        <f t="shared" si="247"/>
        <v>51039.968102073362</v>
      </c>
      <c r="J1188" s="122"/>
      <c r="K1188" s="157"/>
      <c r="L1188" s="166">
        <f t="shared" si="246"/>
        <v>692</v>
      </c>
      <c r="M1188" s="119"/>
      <c r="N1188" s="135"/>
      <c r="O1188" s="122"/>
      <c r="P1188" s="92">
        <f t="shared" si="241"/>
        <v>28.842000000000002</v>
      </c>
      <c r="Q1188" s="113">
        <f>G1188*4.5%</f>
        <v>1.4107499999999999</v>
      </c>
      <c r="R1188" s="92">
        <f t="shared" si="243"/>
        <v>1.0972500000000001</v>
      </c>
      <c r="S1188" s="121"/>
      <c r="T1188" s="93">
        <f t="shared" si="244"/>
        <v>28.842000000000002</v>
      </c>
      <c r="U1188" s="122"/>
      <c r="V1188" s="94">
        <f t="shared" ca="1" si="245"/>
        <v>323.4644447916653</v>
      </c>
      <c r="W1188" s="89"/>
    </row>
    <row r="1189" spans="1:23" s="312" customFormat="1" ht="18.75">
      <c r="A1189" s="260"/>
      <c r="B1189" s="260" t="s">
        <v>1194</v>
      </c>
      <c r="C1189" s="175" t="s">
        <v>2770</v>
      </c>
      <c r="D1189" s="131" t="s">
        <v>2771</v>
      </c>
      <c r="E1189" s="361">
        <v>693</v>
      </c>
      <c r="F1189" s="138">
        <v>45261</v>
      </c>
      <c r="G1189" s="268">
        <v>32</v>
      </c>
      <c r="H1189" s="375">
        <v>1631628</v>
      </c>
      <c r="I1189" s="106">
        <f t="shared" si="247"/>
        <v>50988.375</v>
      </c>
      <c r="J1189" s="122"/>
      <c r="K1189" s="157"/>
      <c r="L1189" s="166">
        <f t="shared" si="246"/>
        <v>693</v>
      </c>
      <c r="M1189" s="119"/>
      <c r="N1189" s="135"/>
      <c r="O1189" s="122"/>
      <c r="P1189" s="92">
        <f t="shared" si="241"/>
        <v>29.44</v>
      </c>
      <c r="Q1189" s="113">
        <f>G1189*4.5%</f>
        <v>1.44</v>
      </c>
      <c r="R1189" s="92">
        <f t="shared" si="243"/>
        <v>1.1200000000000001</v>
      </c>
      <c r="S1189" s="121"/>
      <c r="T1189" s="93">
        <f t="shared" si="244"/>
        <v>29.439999999999998</v>
      </c>
      <c r="U1189" s="122"/>
      <c r="V1189" s="94">
        <f t="shared" ca="1" si="245"/>
        <v>323.4644447916653</v>
      </c>
      <c r="W1189" s="89"/>
    </row>
    <row r="1190" spans="1:23" s="312" customFormat="1" ht="18.75">
      <c r="A1190" s="260"/>
      <c r="B1190" s="260" t="s">
        <v>1194</v>
      </c>
      <c r="C1190" s="175" t="s">
        <v>2770</v>
      </c>
      <c r="D1190" s="131" t="s">
        <v>2771</v>
      </c>
      <c r="E1190" s="361">
        <v>694</v>
      </c>
      <c r="F1190" s="138">
        <v>45261</v>
      </c>
      <c r="G1190" s="268">
        <v>32</v>
      </c>
      <c r="H1190" s="375">
        <v>1631628</v>
      </c>
      <c r="I1190" s="106">
        <f t="shared" si="247"/>
        <v>50988.375</v>
      </c>
      <c r="J1190" s="122"/>
      <c r="K1190" s="157"/>
      <c r="L1190" s="166">
        <f t="shared" si="246"/>
        <v>694</v>
      </c>
      <c r="M1190" s="119"/>
      <c r="N1190" s="135"/>
      <c r="O1190" s="122"/>
      <c r="P1190" s="92">
        <f t="shared" si="241"/>
        <v>29.44</v>
      </c>
      <c r="Q1190" s="113">
        <f>G1190*4.5%</f>
        <v>1.44</v>
      </c>
      <c r="R1190" s="92">
        <f t="shared" si="243"/>
        <v>1.1200000000000001</v>
      </c>
      <c r="S1190" s="121"/>
      <c r="T1190" s="93">
        <f t="shared" si="244"/>
        <v>29.439999999999998</v>
      </c>
      <c r="U1190" s="122"/>
      <c r="V1190" s="94">
        <f t="shared" ca="1" si="245"/>
        <v>323.4644447916653</v>
      </c>
      <c r="W1190" s="89"/>
    </row>
    <row r="1191" spans="1:23" s="312" customFormat="1" ht="18.75">
      <c r="A1191" s="260"/>
      <c r="B1191" s="260" t="s">
        <v>1194</v>
      </c>
      <c r="C1191" s="175" t="s">
        <v>2770</v>
      </c>
      <c r="D1191" s="131" t="s">
        <v>2772</v>
      </c>
      <c r="E1191" s="361">
        <v>695</v>
      </c>
      <c r="F1191" s="138">
        <v>45261</v>
      </c>
      <c r="G1191" s="268">
        <v>31.1</v>
      </c>
      <c r="H1191" s="375">
        <v>1587978</v>
      </c>
      <c r="I1191" s="106">
        <f t="shared" si="247"/>
        <v>51060.385852090032</v>
      </c>
      <c r="J1191" s="122"/>
      <c r="K1191" s="157"/>
      <c r="L1191" s="166">
        <f t="shared" si="246"/>
        <v>695</v>
      </c>
      <c r="M1191" s="119"/>
      <c r="N1191" s="135"/>
      <c r="O1191" s="122"/>
      <c r="P1191" s="92">
        <f t="shared" si="241"/>
        <v>28.612000000000002</v>
      </c>
      <c r="Q1191" s="113">
        <f>G1191*4.5%</f>
        <v>1.3995</v>
      </c>
      <c r="R1191" s="92">
        <f t="shared" si="243"/>
        <v>1.0885000000000002</v>
      </c>
      <c r="S1191" s="121"/>
      <c r="T1191" s="93">
        <f t="shared" si="244"/>
        <v>28.612000000000002</v>
      </c>
      <c r="U1191" s="122"/>
      <c r="V1191" s="94">
        <f t="shared" ca="1" si="245"/>
        <v>323.4644447916653</v>
      </c>
      <c r="W1191" s="89"/>
    </row>
    <row r="1192" spans="1:23" s="312" customFormat="1" ht="18.75">
      <c r="A1192" s="260"/>
      <c r="B1192" s="260" t="s">
        <v>1194</v>
      </c>
      <c r="C1192" s="175" t="s">
        <v>2770</v>
      </c>
      <c r="D1192" s="131" t="s">
        <v>2772</v>
      </c>
      <c r="E1192" s="361">
        <v>696</v>
      </c>
      <c r="F1192" s="138">
        <v>45261</v>
      </c>
      <c r="G1192" s="268">
        <v>31.1</v>
      </c>
      <c r="H1192" s="375">
        <v>1587978</v>
      </c>
      <c r="I1192" s="106">
        <f t="shared" si="247"/>
        <v>51060.385852090032</v>
      </c>
      <c r="J1192" s="122"/>
      <c r="K1192" s="157"/>
      <c r="L1192" s="166">
        <f t="shared" si="246"/>
        <v>696</v>
      </c>
      <c r="M1192" s="119"/>
      <c r="N1192" s="135"/>
      <c r="O1192" s="122"/>
      <c r="P1192" s="92">
        <f t="shared" si="241"/>
        <v>28.612000000000002</v>
      </c>
      <c r="Q1192" s="113">
        <f>G1192*4.5%</f>
        <v>1.3995</v>
      </c>
      <c r="R1192" s="92">
        <f t="shared" si="243"/>
        <v>1.0885000000000002</v>
      </c>
      <c r="S1192" s="121"/>
      <c r="T1192" s="93">
        <f t="shared" si="244"/>
        <v>28.612000000000002</v>
      </c>
      <c r="U1192" s="122"/>
      <c r="V1192" s="94">
        <f t="shared" ca="1" si="245"/>
        <v>323.4644447916653</v>
      </c>
      <c r="W1192" s="89"/>
    </row>
    <row r="1193" spans="1:23" s="312" customFormat="1" ht="18">
      <c r="A1193" s="260"/>
      <c r="B1193" s="260" t="s">
        <v>1194</v>
      </c>
      <c r="C1193" s="130" t="s">
        <v>2770</v>
      </c>
      <c r="D1193" s="131" t="s">
        <v>2774</v>
      </c>
      <c r="E1193" s="361">
        <v>697</v>
      </c>
      <c r="F1193" s="138">
        <v>45264</v>
      </c>
      <c r="G1193" s="252">
        <v>30.7</v>
      </c>
      <c r="H1193" s="375">
        <v>1568578</v>
      </c>
      <c r="I1193" s="106">
        <f t="shared" si="247"/>
        <v>51093.745928338765</v>
      </c>
      <c r="J1193" s="122"/>
      <c r="K1193" s="157"/>
      <c r="L1193" s="166">
        <f t="shared" si="246"/>
        <v>697</v>
      </c>
      <c r="M1193" s="119"/>
      <c r="N1193" s="135"/>
      <c r="O1193" s="122"/>
      <c r="P1193" s="92">
        <f t="shared" si="241"/>
        <v>28.244</v>
      </c>
      <c r="Q1193" s="113">
        <f t="shared" si="242"/>
        <v>1.3815</v>
      </c>
      <c r="R1193" s="92">
        <f t="shared" si="243"/>
        <v>1.0745</v>
      </c>
      <c r="S1193" s="121"/>
      <c r="T1193" s="93">
        <f t="shared" si="244"/>
        <v>28.244</v>
      </c>
      <c r="U1193" s="122"/>
      <c r="V1193" s="94">
        <f t="shared" ca="1" si="245"/>
        <v>326.4644447916653</v>
      </c>
      <c r="W1193" s="89"/>
    </row>
    <row r="1194" spans="1:23" s="312" customFormat="1" ht="18">
      <c r="A1194" s="260"/>
      <c r="B1194" s="260" t="s">
        <v>1194</v>
      </c>
      <c r="C1194" s="130" t="s">
        <v>2770</v>
      </c>
      <c r="D1194" s="131" t="s">
        <v>2774</v>
      </c>
      <c r="E1194" s="361">
        <v>698</v>
      </c>
      <c r="F1194" s="138">
        <v>45264</v>
      </c>
      <c r="G1194" s="252">
        <v>30.7</v>
      </c>
      <c r="H1194" s="375">
        <v>1568578</v>
      </c>
      <c r="I1194" s="106">
        <f t="shared" si="247"/>
        <v>51093.745928338765</v>
      </c>
      <c r="J1194" s="122"/>
      <c r="K1194" s="157"/>
      <c r="L1194" s="166">
        <f t="shared" si="246"/>
        <v>698</v>
      </c>
      <c r="M1194" s="119"/>
      <c r="N1194" s="135"/>
      <c r="O1194" s="122"/>
      <c r="P1194" s="92">
        <f t="shared" si="241"/>
        <v>28.244</v>
      </c>
      <c r="Q1194" s="113">
        <f t="shared" si="242"/>
        <v>1.3815</v>
      </c>
      <c r="R1194" s="92">
        <f t="shared" si="243"/>
        <v>1.0745</v>
      </c>
      <c r="S1194" s="121"/>
      <c r="T1194" s="93">
        <f t="shared" si="244"/>
        <v>28.244</v>
      </c>
      <c r="U1194" s="122"/>
      <c r="V1194" s="94">
        <f t="shared" ca="1" si="245"/>
        <v>326.4644447916653</v>
      </c>
      <c r="W1194" s="89"/>
    </row>
    <row r="1195" spans="1:23" s="312" customFormat="1" ht="18.75">
      <c r="A1195" s="260"/>
      <c r="B1195" s="260" t="s">
        <v>1194</v>
      </c>
      <c r="C1195" s="175" t="s">
        <v>55</v>
      </c>
      <c r="D1195" s="131" t="s">
        <v>2778</v>
      </c>
      <c r="E1195" s="361">
        <v>699</v>
      </c>
      <c r="F1195" s="138">
        <v>45265</v>
      </c>
      <c r="G1195" s="268">
        <v>32.520000000000003</v>
      </c>
      <c r="H1195" s="375">
        <v>1658106</v>
      </c>
      <c r="I1195" s="106">
        <f t="shared" si="247"/>
        <v>50987.269372693721</v>
      </c>
      <c r="J1195" s="122"/>
      <c r="K1195" s="157"/>
      <c r="L1195" s="166">
        <f t="shared" si="246"/>
        <v>699</v>
      </c>
      <c r="M1195" s="119"/>
      <c r="N1195" s="135"/>
      <c r="O1195" s="122"/>
      <c r="P1195" s="92">
        <f t="shared" si="241"/>
        <v>29.918400000000005</v>
      </c>
      <c r="Q1195" s="113">
        <f t="shared" si="242"/>
        <v>1.4634</v>
      </c>
      <c r="R1195" s="92">
        <f t="shared" si="243"/>
        <v>1.1382000000000003</v>
      </c>
      <c r="S1195" s="121"/>
      <c r="T1195" s="93">
        <f t="shared" si="244"/>
        <v>29.918400000000002</v>
      </c>
      <c r="U1195" s="122"/>
      <c r="V1195" s="94">
        <f t="shared" ca="1" si="245"/>
        <v>327.4644447916653</v>
      </c>
      <c r="W1195" s="89"/>
    </row>
    <row r="1196" spans="1:23" s="312" customFormat="1" ht="18.75">
      <c r="A1196" s="260"/>
      <c r="B1196" s="260" t="s">
        <v>1194</v>
      </c>
      <c r="C1196" s="175" t="s">
        <v>55</v>
      </c>
      <c r="D1196" s="131" t="s">
        <v>2778</v>
      </c>
      <c r="E1196" s="361">
        <v>700</v>
      </c>
      <c r="F1196" s="138">
        <v>45265</v>
      </c>
      <c r="G1196" s="268">
        <v>32.520000000000003</v>
      </c>
      <c r="H1196" s="375">
        <v>1658106</v>
      </c>
      <c r="I1196" s="106">
        <f t="shared" si="247"/>
        <v>50987.269372693721</v>
      </c>
      <c r="J1196" s="122"/>
      <c r="K1196" s="157"/>
      <c r="L1196" s="166">
        <f t="shared" si="246"/>
        <v>700</v>
      </c>
      <c r="M1196" s="119"/>
      <c r="N1196" s="135"/>
      <c r="O1196" s="122"/>
      <c r="P1196" s="92">
        <f t="shared" si="241"/>
        <v>29.918400000000005</v>
      </c>
      <c r="Q1196" s="113">
        <f t="shared" si="242"/>
        <v>1.4634</v>
      </c>
      <c r="R1196" s="92">
        <f t="shared" si="243"/>
        <v>1.1382000000000003</v>
      </c>
      <c r="S1196" s="121"/>
      <c r="T1196" s="93">
        <f t="shared" si="244"/>
        <v>29.918400000000002</v>
      </c>
      <c r="U1196" s="122"/>
      <c r="V1196" s="94">
        <f t="shared" ca="1" si="245"/>
        <v>327.4644447916653</v>
      </c>
      <c r="W1196" s="89"/>
    </row>
    <row r="1197" spans="1:23" s="312" customFormat="1" ht="18.75">
      <c r="A1197" s="260"/>
      <c r="B1197" s="260" t="s">
        <v>1194</v>
      </c>
      <c r="C1197" s="175" t="s">
        <v>55</v>
      </c>
      <c r="D1197" s="131" t="s">
        <v>2777</v>
      </c>
      <c r="E1197" s="361">
        <v>701</v>
      </c>
      <c r="F1197" s="138">
        <v>45265</v>
      </c>
      <c r="G1197" s="268">
        <v>33.661999999999999</v>
      </c>
      <c r="H1197" s="375">
        <v>1716100</v>
      </c>
      <c r="I1197" s="106">
        <f t="shared" si="247"/>
        <v>50980.333907670371</v>
      </c>
      <c r="J1197" s="122"/>
      <c r="K1197" s="157"/>
      <c r="L1197" s="166">
        <f t="shared" si="246"/>
        <v>701</v>
      </c>
      <c r="M1197" s="119"/>
      <c r="N1197" s="135"/>
      <c r="O1197" s="122"/>
      <c r="P1197" s="92">
        <f t="shared" si="241"/>
        <v>30.96904</v>
      </c>
      <c r="Q1197" s="113">
        <f t="shared" si="242"/>
        <v>1.5147899999999999</v>
      </c>
      <c r="R1197" s="92">
        <f t="shared" si="243"/>
        <v>1.1781700000000002</v>
      </c>
      <c r="S1197" s="121"/>
      <c r="T1197" s="93">
        <f t="shared" si="244"/>
        <v>30.96904</v>
      </c>
      <c r="U1197" s="122"/>
      <c r="V1197" s="94">
        <f t="shared" ca="1" si="245"/>
        <v>327.4644447916653</v>
      </c>
      <c r="W1197" s="89"/>
    </row>
    <row r="1198" spans="1:23" s="312" customFormat="1" ht="18.75">
      <c r="A1198" s="260"/>
      <c r="B1198" s="260" t="s">
        <v>1194</v>
      </c>
      <c r="C1198" s="175" t="s">
        <v>55</v>
      </c>
      <c r="D1198" s="131" t="s">
        <v>2777</v>
      </c>
      <c r="E1198" s="361">
        <v>702</v>
      </c>
      <c r="F1198" s="138">
        <v>45265</v>
      </c>
      <c r="G1198" s="268">
        <v>31.558</v>
      </c>
      <c r="H1198" s="375">
        <v>1608843</v>
      </c>
      <c r="I1198" s="106">
        <f t="shared" si="247"/>
        <v>50980.512073008431</v>
      </c>
      <c r="J1198" s="122"/>
      <c r="K1198" s="157"/>
      <c r="L1198" s="166">
        <f t="shared" si="246"/>
        <v>702</v>
      </c>
      <c r="M1198" s="119"/>
      <c r="N1198" s="135"/>
      <c r="O1198" s="122"/>
      <c r="P1198" s="92">
        <f t="shared" ref="P1198:P1202" si="248">G1198*0.92</f>
        <v>29.033360000000002</v>
      </c>
      <c r="Q1198" s="113">
        <f t="shared" ref="Q1198:Q1202" si="249">G1198*4.5%</f>
        <v>1.42011</v>
      </c>
      <c r="R1198" s="92">
        <f t="shared" ref="R1198:R1202" si="250">G1198*3.5%</f>
        <v>1.10453</v>
      </c>
      <c r="S1198" s="121"/>
      <c r="T1198" s="93">
        <f t="shared" ref="T1198:T1202" si="251">G1198-N1198-Q1198-R1198</f>
        <v>29.033359999999998</v>
      </c>
      <c r="U1198" s="122"/>
      <c r="V1198" s="94">
        <f t="shared" ref="V1198:V1202" ca="1" si="252">360-($V$3-F1198)</f>
        <v>327.4644447916653</v>
      </c>
      <c r="W1198" s="89"/>
    </row>
    <row r="1199" spans="1:23" s="312" customFormat="1" ht="18">
      <c r="A1199" s="260"/>
      <c r="B1199" s="260" t="s">
        <v>1194</v>
      </c>
      <c r="C1199" s="130" t="s">
        <v>55</v>
      </c>
      <c r="D1199" s="131" t="s">
        <v>2776</v>
      </c>
      <c r="E1199" s="361">
        <v>703</v>
      </c>
      <c r="F1199" s="138">
        <v>45265</v>
      </c>
      <c r="G1199" s="252">
        <v>33.826999999999998</v>
      </c>
      <c r="H1199" s="375">
        <v>1724110</v>
      </c>
      <c r="I1199" s="106">
        <f t="shared" si="247"/>
        <v>50968.457149614216</v>
      </c>
      <c r="J1199" s="122"/>
      <c r="K1199" s="157"/>
      <c r="L1199" s="166">
        <f t="shared" si="246"/>
        <v>703</v>
      </c>
      <c r="M1199" s="119"/>
      <c r="N1199" s="135"/>
      <c r="O1199" s="122"/>
      <c r="P1199" s="92">
        <f t="shared" si="248"/>
        <v>31.120840000000001</v>
      </c>
      <c r="Q1199" s="113">
        <f t="shared" si="249"/>
        <v>1.5222149999999999</v>
      </c>
      <c r="R1199" s="92">
        <f t="shared" si="250"/>
        <v>1.183945</v>
      </c>
      <c r="S1199" s="121"/>
      <c r="T1199" s="93">
        <f t="shared" si="251"/>
        <v>31.120839999999994</v>
      </c>
      <c r="U1199" s="122"/>
      <c r="V1199" s="94">
        <f t="shared" ca="1" si="252"/>
        <v>327.4644447916653</v>
      </c>
      <c r="W1199" s="89"/>
    </row>
    <row r="1200" spans="1:23" s="312" customFormat="1" ht="18.75">
      <c r="A1200" s="260"/>
      <c r="B1200" s="260" t="s">
        <v>1194</v>
      </c>
      <c r="C1200" s="175" t="s">
        <v>55</v>
      </c>
      <c r="D1200" s="131" t="s">
        <v>2776</v>
      </c>
      <c r="E1200" s="361">
        <v>704</v>
      </c>
      <c r="F1200" s="138">
        <v>45265</v>
      </c>
      <c r="G1200" s="268">
        <v>31.713000000000001</v>
      </c>
      <c r="H1200" s="375">
        <v>1616353</v>
      </c>
      <c r="I1200" s="106">
        <f t="shared" si="247"/>
        <v>50968.151862012419</v>
      </c>
      <c r="J1200" s="122"/>
      <c r="K1200" s="157"/>
      <c r="L1200" s="166">
        <f t="shared" si="246"/>
        <v>704</v>
      </c>
      <c r="M1200" s="119"/>
      <c r="N1200" s="135"/>
      <c r="O1200" s="122"/>
      <c r="P1200" s="92">
        <f t="shared" si="248"/>
        <v>29.175960000000003</v>
      </c>
      <c r="Q1200" s="113">
        <f t="shared" si="249"/>
        <v>1.4270849999999999</v>
      </c>
      <c r="R1200" s="92">
        <f t="shared" si="250"/>
        <v>1.1099550000000002</v>
      </c>
      <c r="S1200" s="121"/>
      <c r="T1200" s="93">
        <f t="shared" si="251"/>
        <v>29.175960000000003</v>
      </c>
      <c r="U1200" s="122"/>
      <c r="V1200" s="94">
        <f t="shared" ca="1" si="252"/>
        <v>327.4644447916653</v>
      </c>
      <c r="W1200" s="89"/>
    </row>
    <row r="1201" spans="1:23" s="312" customFormat="1" ht="18.75">
      <c r="A1201" s="260"/>
      <c r="B1201" s="260" t="s">
        <v>1194</v>
      </c>
      <c r="C1201" s="175" t="s">
        <v>55</v>
      </c>
      <c r="D1201" s="131" t="s">
        <v>2779</v>
      </c>
      <c r="E1201" s="361">
        <v>705</v>
      </c>
      <c r="F1201" s="138">
        <v>45265</v>
      </c>
      <c r="G1201" s="268">
        <v>33.6</v>
      </c>
      <c r="H1201" s="375">
        <v>1713096</v>
      </c>
      <c r="I1201" s="106">
        <f t="shared" si="247"/>
        <v>50985</v>
      </c>
      <c r="J1201" s="122"/>
      <c r="K1201" s="157"/>
      <c r="L1201" s="166">
        <f t="shared" si="246"/>
        <v>705</v>
      </c>
      <c r="M1201" s="119"/>
      <c r="N1201" s="135"/>
      <c r="O1201" s="122"/>
      <c r="P1201" s="92">
        <f t="shared" si="248"/>
        <v>30.912000000000003</v>
      </c>
      <c r="Q1201" s="113">
        <f t="shared" si="249"/>
        <v>1.512</v>
      </c>
      <c r="R1201" s="92">
        <f t="shared" si="250"/>
        <v>1.1760000000000002</v>
      </c>
      <c r="S1201" s="121"/>
      <c r="T1201" s="93">
        <f t="shared" si="251"/>
        <v>30.911999999999999</v>
      </c>
      <c r="U1201" s="122"/>
      <c r="V1201" s="94">
        <f t="shared" ca="1" si="252"/>
        <v>327.4644447916653</v>
      </c>
      <c r="W1201" s="89"/>
    </row>
    <row r="1202" spans="1:23" s="312" customFormat="1" ht="18.75">
      <c r="A1202" s="260"/>
      <c r="B1202" s="260" t="s">
        <v>1194</v>
      </c>
      <c r="C1202" s="175" t="s">
        <v>55</v>
      </c>
      <c r="D1202" s="131" t="s">
        <v>2779</v>
      </c>
      <c r="E1202" s="361">
        <v>706</v>
      </c>
      <c r="F1202" s="138">
        <v>45265</v>
      </c>
      <c r="G1202" s="268">
        <v>31.5</v>
      </c>
      <c r="H1202" s="375">
        <v>1606027</v>
      </c>
      <c r="I1202" s="106">
        <f t="shared" si="247"/>
        <v>50984.984126984127</v>
      </c>
      <c r="J1202" s="122"/>
      <c r="K1202" s="157"/>
      <c r="L1202" s="166">
        <f t="shared" si="246"/>
        <v>706</v>
      </c>
      <c r="M1202" s="119"/>
      <c r="N1202" s="135"/>
      <c r="O1202" s="122"/>
      <c r="P1202" s="92">
        <f t="shared" si="248"/>
        <v>28.98</v>
      </c>
      <c r="Q1202" s="113">
        <f t="shared" si="249"/>
        <v>1.4175</v>
      </c>
      <c r="R1202" s="92">
        <f t="shared" si="250"/>
        <v>1.1025</v>
      </c>
      <c r="S1202" s="121"/>
      <c r="T1202" s="93">
        <f t="shared" si="251"/>
        <v>28.98</v>
      </c>
      <c r="U1202" s="122"/>
      <c r="V1202" s="94">
        <f t="shared" ca="1" si="252"/>
        <v>327.4644447916653</v>
      </c>
      <c r="W1202" s="89"/>
    </row>
    <row r="1203" spans="1:23" s="312" customFormat="1" ht="18">
      <c r="A1203" s="260"/>
      <c r="B1203" s="260" t="s">
        <v>1194</v>
      </c>
      <c r="C1203" s="130" t="s">
        <v>2770</v>
      </c>
      <c r="D1203" s="131" t="s">
        <v>2775</v>
      </c>
      <c r="E1203" s="361">
        <v>707</v>
      </c>
      <c r="F1203" s="138">
        <v>45265</v>
      </c>
      <c r="G1203" s="252">
        <v>31.75</v>
      </c>
      <c r="H1203" s="375">
        <v>1619503</v>
      </c>
      <c r="I1203" s="106">
        <f t="shared" si="247"/>
        <v>51007.968503937009</v>
      </c>
      <c r="J1203" s="122"/>
      <c r="K1203" s="157"/>
      <c r="L1203" s="166">
        <f t="shared" si="246"/>
        <v>707</v>
      </c>
      <c r="M1203" s="119"/>
      <c r="N1203" s="135"/>
      <c r="O1203" s="122"/>
      <c r="P1203" s="92">
        <f t="shared" si="208"/>
        <v>29.21</v>
      </c>
      <c r="Q1203" s="113">
        <f t="shared" si="209"/>
        <v>1.42875</v>
      </c>
      <c r="R1203" s="92">
        <f t="shared" si="210"/>
        <v>1.1112500000000001</v>
      </c>
      <c r="S1203" s="121"/>
      <c r="T1203" s="93">
        <f t="shared" si="211"/>
        <v>29.21</v>
      </c>
      <c r="U1203" s="122"/>
      <c r="V1203" s="94">
        <f t="shared" ca="1" si="212"/>
        <v>327.4644447916653</v>
      </c>
      <c r="W1203" s="89"/>
    </row>
    <row r="1204" spans="1:23" s="312" customFormat="1" ht="18">
      <c r="A1204" s="260"/>
      <c r="B1204" s="260" t="s">
        <v>1194</v>
      </c>
      <c r="C1204" s="130" t="s">
        <v>2770</v>
      </c>
      <c r="D1204" s="131" t="s">
        <v>2775</v>
      </c>
      <c r="E1204" s="361">
        <v>708</v>
      </c>
      <c r="F1204" s="138">
        <v>45265</v>
      </c>
      <c r="G1204" s="252">
        <v>31.75</v>
      </c>
      <c r="H1204" s="375">
        <v>1619503</v>
      </c>
      <c r="I1204" s="106">
        <f t="shared" si="247"/>
        <v>51007.968503937009</v>
      </c>
      <c r="J1204" s="122"/>
      <c r="K1204" s="157"/>
      <c r="L1204" s="166">
        <f t="shared" si="246"/>
        <v>708</v>
      </c>
      <c r="M1204" s="119"/>
      <c r="N1204" s="135"/>
      <c r="O1204" s="122"/>
      <c r="P1204" s="92">
        <f t="shared" ref="P1204:P1257" si="253">G1204*0.92</f>
        <v>29.21</v>
      </c>
      <c r="Q1204" s="113">
        <f t="shared" ref="Q1204:Q1257" si="254">G1204*4.5%</f>
        <v>1.42875</v>
      </c>
      <c r="R1204" s="92">
        <f t="shared" ref="R1204:R1257" si="255">G1204*3.5%</f>
        <v>1.1112500000000001</v>
      </c>
      <c r="S1204" s="121"/>
      <c r="T1204" s="93">
        <f t="shared" ref="T1204:T1257" si="256">G1204-N1204-Q1204-R1204</f>
        <v>29.21</v>
      </c>
      <c r="U1204" s="122"/>
      <c r="V1204" s="94">
        <f t="shared" ref="V1204:V1257" ca="1" si="257">360-($V$3-F1204)</f>
        <v>327.4644447916653</v>
      </c>
      <c r="W1204" s="89"/>
    </row>
    <row r="1205" spans="1:23" s="312" customFormat="1" ht="18">
      <c r="A1205" s="260"/>
      <c r="B1205" s="260" t="s">
        <v>1194</v>
      </c>
      <c r="C1205" s="175" t="s">
        <v>55</v>
      </c>
      <c r="D1205" s="365" t="s">
        <v>2794</v>
      </c>
      <c r="E1205" s="361">
        <v>709</v>
      </c>
      <c r="F1205" s="138">
        <v>45268</v>
      </c>
      <c r="G1205" s="252">
        <v>31.712903225806453</v>
      </c>
      <c r="H1205" s="375">
        <v>1609548</v>
      </c>
      <c r="I1205" s="106">
        <f t="shared" ref="I1205:I1220" si="258">H1205/G1205</f>
        <v>50753.725968873965</v>
      </c>
      <c r="J1205" s="122"/>
      <c r="K1205" s="157"/>
      <c r="L1205" s="166">
        <f t="shared" ref="L1205:L1254" si="259">E1205</f>
        <v>709</v>
      </c>
      <c r="M1205" s="119"/>
      <c r="N1205" s="135"/>
      <c r="O1205" s="122"/>
      <c r="P1205" s="92">
        <f t="shared" ref="P1205:P1221" si="260">G1205*0.92</f>
        <v>29.17587096774194</v>
      </c>
      <c r="Q1205" s="113">
        <f t="shared" ref="Q1205:Q1221" si="261">G1205*4.5%</f>
        <v>1.4270806451612903</v>
      </c>
      <c r="R1205" s="92">
        <f t="shared" ref="R1205:R1221" si="262">G1205*3.5%</f>
        <v>1.1099516129032261</v>
      </c>
      <c r="S1205" s="121"/>
      <c r="T1205" s="93">
        <f t="shared" ref="T1205:T1221" si="263">G1205-N1205-Q1205-R1205</f>
        <v>29.175870967741936</v>
      </c>
      <c r="U1205" s="122"/>
      <c r="V1205" s="94">
        <f t="shared" ref="V1205:V1221" ca="1" si="264">360-($V$3-F1205)</f>
        <v>330.4644447916653</v>
      </c>
      <c r="W1205" s="89"/>
    </row>
    <row r="1206" spans="1:23" s="312" customFormat="1" ht="18">
      <c r="A1206" s="260"/>
      <c r="B1206" s="260" t="s">
        <v>1194</v>
      </c>
      <c r="C1206" s="175" t="s">
        <v>55</v>
      </c>
      <c r="D1206" s="365" t="s">
        <v>2794</v>
      </c>
      <c r="E1206" s="361">
        <v>710</v>
      </c>
      <c r="F1206" s="138">
        <v>45268</v>
      </c>
      <c r="G1206" s="252">
        <v>33.827096774193549</v>
      </c>
      <c r="H1206" s="375">
        <v>1716832</v>
      </c>
      <c r="I1206" s="106">
        <f t="shared" si="258"/>
        <v>50753.15837656393</v>
      </c>
      <c r="J1206" s="122"/>
      <c r="K1206" s="157"/>
      <c r="L1206" s="166">
        <f t="shared" si="259"/>
        <v>710</v>
      </c>
      <c r="M1206" s="119"/>
      <c r="N1206" s="135"/>
      <c r="O1206" s="122"/>
      <c r="P1206" s="92">
        <f t="shared" si="260"/>
        <v>31.120929032258069</v>
      </c>
      <c r="Q1206" s="113">
        <f t="shared" si="261"/>
        <v>1.5222193548387097</v>
      </c>
      <c r="R1206" s="92">
        <f t="shared" si="262"/>
        <v>1.1839483870967744</v>
      </c>
      <c r="S1206" s="121"/>
      <c r="T1206" s="93">
        <f t="shared" si="263"/>
        <v>31.120929032258065</v>
      </c>
      <c r="U1206" s="122"/>
      <c r="V1206" s="94">
        <f t="shared" ca="1" si="264"/>
        <v>330.4644447916653</v>
      </c>
      <c r="W1206" s="89"/>
    </row>
    <row r="1207" spans="1:23" s="312" customFormat="1" ht="18">
      <c r="A1207" s="260"/>
      <c r="B1207" s="260" t="s">
        <v>1194</v>
      </c>
      <c r="C1207" s="175" t="s">
        <v>55</v>
      </c>
      <c r="D1207" s="365" t="s">
        <v>2787</v>
      </c>
      <c r="E1207" s="361">
        <v>711</v>
      </c>
      <c r="F1207" s="138">
        <v>45272</v>
      </c>
      <c r="G1207" s="252">
        <v>31.67</v>
      </c>
      <c r="H1207" s="375">
        <v>1609850</v>
      </c>
      <c r="I1207" s="106">
        <f t="shared" si="258"/>
        <v>50832.017682349222</v>
      </c>
      <c r="J1207" s="122"/>
      <c r="K1207" s="157"/>
      <c r="L1207" s="166">
        <f t="shared" si="259"/>
        <v>711</v>
      </c>
      <c r="M1207" s="119"/>
      <c r="N1207" s="135"/>
      <c r="O1207" s="122"/>
      <c r="P1207" s="92">
        <f t="shared" si="260"/>
        <v>29.136400000000002</v>
      </c>
      <c r="Q1207" s="113">
        <f t="shared" si="261"/>
        <v>1.4251499999999999</v>
      </c>
      <c r="R1207" s="92">
        <f t="shared" si="262"/>
        <v>1.1084500000000002</v>
      </c>
      <c r="S1207" s="121"/>
      <c r="T1207" s="93">
        <f t="shared" si="263"/>
        <v>29.136400000000002</v>
      </c>
      <c r="U1207" s="122"/>
      <c r="V1207" s="94">
        <f t="shared" ca="1" si="264"/>
        <v>334.4644447916653</v>
      </c>
      <c r="W1207" s="89"/>
    </row>
    <row r="1208" spans="1:23" s="312" customFormat="1" ht="18">
      <c r="A1208" s="260"/>
      <c r="B1208" s="260" t="s">
        <v>1194</v>
      </c>
      <c r="C1208" s="175" t="s">
        <v>55</v>
      </c>
      <c r="D1208" s="365" t="s">
        <v>2787</v>
      </c>
      <c r="E1208" s="361">
        <v>712</v>
      </c>
      <c r="F1208" s="138">
        <v>45272</v>
      </c>
      <c r="G1208" s="252">
        <v>31.67</v>
      </c>
      <c r="H1208" s="375">
        <v>1609850</v>
      </c>
      <c r="I1208" s="106">
        <f t="shared" si="258"/>
        <v>50832.017682349222</v>
      </c>
      <c r="J1208" s="122"/>
      <c r="K1208" s="157"/>
      <c r="L1208" s="166">
        <f t="shared" si="259"/>
        <v>712</v>
      </c>
      <c r="M1208" s="119"/>
      <c r="N1208" s="135"/>
      <c r="O1208" s="122"/>
      <c r="P1208" s="92">
        <f t="shared" si="260"/>
        <v>29.136400000000002</v>
      </c>
      <c r="Q1208" s="113">
        <f t="shared" si="261"/>
        <v>1.4251499999999999</v>
      </c>
      <c r="R1208" s="92">
        <f t="shared" si="262"/>
        <v>1.1084500000000002</v>
      </c>
      <c r="S1208" s="121"/>
      <c r="T1208" s="93">
        <f t="shared" si="263"/>
        <v>29.136400000000002</v>
      </c>
      <c r="U1208" s="122"/>
      <c r="V1208" s="94">
        <f t="shared" ca="1" si="264"/>
        <v>334.4644447916653</v>
      </c>
      <c r="W1208" s="89"/>
    </row>
    <row r="1209" spans="1:23" s="312" customFormat="1" ht="18">
      <c r="A1209" s="260"/>
      <c r="B1209" s="260" t="s">
        <v>1194</v>
      </c>
      <c r="C1209" s="175" t="s">
        <v>55</v>
      </c>
      <c r="D1209" s="365" t="s">
        <v>2788</v>
      </c>
      <c r="E1209" s="361">
        <v>713</v>
      </c>
      <c r="F1209" s="138">
        <v>45272</v>
      </c>
      <c r="G1209" s="252">
        <v>32.67</v>
      </c>
      <c r="H1209" s="375">
        <v>1658350</v>
      </c>
      <c r="I1209" s="106">
        <f t="shared" si="258"/>
        <v>50760.636669727573</v>
      </c>
      <c r="J1209" s="122"/>
      <c r="K1209" s="157"/>
      <c r="L1209" s="166">
        <f t="shared" si="259"/>
        <v>713</v>
      </c>
      <c r="M1209" s="119"/>
      <c r="N1209" s="135"/>
      <c r="O1209" s="122"/>
      <c r="P1209" s="92">
        <f t="shared" si="260"/>
        <v>30.056400000000004</v>
      </c>
      <c r="Q1209" s="113">
        <f t="shared" si="261"/>
        <v>1.4701500000000001</v>
      </c>
      <c r="R1209" s="92">
        <f t="shared" si="262"/>
        <v>1.1434500000000001</v>
      </c>
      <c r="S1209" s="121"/>
      <c r="T1209" s="93">
        <f t="shared" si="263"/>
        <v>30.0564</v>
      </c>
      <c r="U1209" s="122"/>
      <c r="V1209" s="94">
        <f t="shared" ca="1" si="264"/>
        <v>334.4644447916653</v>
      </c>
      <c r="W1209" s="89"/>
    </row>
    <row r="1210" spans="1:23" s="312" customFormat="1" ht="18">
      <c r="A1210" s="260"/>
      <c r="B1210" s="260" t="s">
        <v>1194</v>
      </c>
      <c r="C1210" s="175" t="s">
        <v>55</v>
      </c>
      <c r="D1210" s="365" t="s">
        <v>2788</v>
      </c>
      <c r="E1210" s="361">
        <v>714</v>
      </c>
      <c r="F1210" s="138">
        <v>45272</v>
      </c>
      <c r="G1210" s="252">
        <v>32.67</v>
      </c>
      <c r="H1210" s="375">
        <v>1658350</v>
      </c>
      <c r="I1210" s="106">
        <f t="shared" si="258"/>
        <v>50760.636669727573</v>
      </c>
      <c r="J1210" s="122"/>
      <c r="K1210" s="157"/>
      <c r="L1210" s="166">
        <f t="shared" si="259"/>
        <v>714</v>
      </c>
      <c r="M1210" s="119"/>
      <c r="N1210" s="135"/>
      <c r="O1210" s="122"/>
      <c r="P1210" s="92">
        <f t="shared" si="260"/>
        <v>30.056400000000004</v>
      </c>
      <c r="Q1210" s="113">
        <f t="shared" si="261"/>
        <v>1.4701500000000001</v>
      </c>
      <c r="R1210" s="92">
        <f t="shared" si="262"/>
        <v>1.1434500000000001</v>
      </c>
      <c r="S1210" s="121"/>
      <c r="T1210" s="93">
        <f t="shared" si="263"/>
        <v>30.0564</v>
      </c>
      <c r="U1210" s="122"/>
      <c r="V1210" s="94">
        <f t="shared" ca="1" si="264"/>
        <v>334.4644447916653</v>
      </c>
      <c r="W1210" s="89"/>
    </row>
    <row r="1211" spans="1:23" s="312" customFormat="1" ht="18">
      <c r="A1211" s="260"/>
      <c r="B1211" s="260" t="s">
        <v>1194</v>
      </c>
      <c r="C1211" s="175" t="s">
        <v>55</v>
      </c>
      <c r="D1211" s="365" t="s">
        <v>2789</v>
      </c>
      <c r="E1211" s="361">
        <v>715</v>
      </c>
      <c r="F1211" s="138">
        <v>45272</v>
      </c>
      <c r="G1211" s="252">
        <v>32.630000000000003</v>
      </c>
      <c r="H1211" s="375">
        <v>1656410</v>
      </c>
      <c r="I1211" s="106">
        <f t="shared" si="258"/>
        <v>50763.407906834196</v>
      </c>
      <c r="J1211" s="122"/>
      <c r="K1211" s="157"/>
      <c r="L1211" s="166">
        <f t="shared" si="259"/>
        <v>715</v>
      </c>
      <c r="M1211" s="119"/>
      <c r="N1211" s="135"/>
      <c r="O1211" s="122"/>
      <c r="P1211" s="92">
        <f t="shared" si="260"/>
        <v>30.019600000000004</v>
      </c>
      <c r="Q1211" s="113">
        <f t="shared" si="261"/>
        <v>1.46835</v>
      </c>
      <c r="R1211" s="92">
        <f t="shared" si="262"/>
        <v>1.1420500000000002</v>
      </c>
      <c r="S1211" s="121"/>
      <c r="T1211" s="93">
        <f t="shared" si="263"/>
        <v>30.019600000000001</v>
      </c>
      <c r="U1211" s="122"/>
      <c r="V1211" s="94">
        <f t="shared" ca="1" si="264"/>
        <v>334.4644447916653</v>
      </c>
      <c r="W1211" s="89"/>
    </row>
    <row r="1212" spans="1:23" s="312" customFormat="1" ht="18">
      <c r="A1212" s="260"/>
      <c r="B1212" s="260" t="s">
        <v>1194</v>
      </c>
      <c r="C1212" s="175" t="s">
        <v>55</v>
      </c>
      <c r="D1212" s="365" t="s">
        <v>2789</v>
      </c>
      <c r="E1212" s="361">
        <v>716</v>
      </c>
      <c r="F1212" s="138">
        <v>45272</v>
      </c>
      <c r="G1212" s="252">
        <v>32.630000000000003</v>
      </c>
      <c r="H1212" s="375">
        <v>1656410</v>
      </c>
      <c r="I1212" s="106">
        <f t="shared" si="258"/>
        <v>50763.407906834196</v>
      </c>
      <c r="J1212" s="122"/>
      <c r="K1212" s="157"/>
      <c r="L1212" s="166">
        <f t="shared" si="259"/>
        <v>716</v>
      </c>
      <c r="M1212" s="119"/>
      <c r="N1212" s="135"/>
      <c r="O1212" s="122"/>
      <c r="P1212" s="92">
        <f t="shared" si="260"/>
        <v>30.019600000000004</v>
      </c>
      <c r="Q1212" s="113">
        <f t="shared" si="261"/>
        <v>1.46835</v>
      </c>
      <c r="R1212" s="92">
        <f t="shared" si="262"/>
        <v>1.1420500000000002</v>
      </c>
      <c r="S1212" s="121"/>
      <c r="T1212" s="93">
        <f t="shared" si="263"/>
        <v>30.019600000000001</v>
      </c>
      <c r="U1212" s="122"/>
      <c r="V1212" s="94">
        <f t="shared" ca="1" si="264"/>
        <v>334.4644447916653</v>
      </c>
      <c r="W1212" s="89"/>
    </row>
    <row r="1213" spans="1:23" s="312" customFormat="1" ht="18">
      <c r="A1213" s="260"/>
      <c r="B1213" s="260" t="s">
        <v>1194</v>
      </c>
      <c r="C1213" s="175" t="s">
        <v>55</v>
      </c>
      <c r="D1213" s="365" t="s">
        <v>2790</v>
      </c>
      <c r="E1213" s="361">
        <v>717</v>
      </c>
      <c r="F1213" s="138">
        <v>45272</v>
      </c>
      <c r="G1213" s="252">
        <v>32.46</v>
      </c>
      <c r="H1213" s="375">
        <v>1664395</v>
      </c>
      <c r="I1213" s="106">
        <f t="shared" si="258"/>
        <v>51275.261860751692</v>
      </c>
      <c r="J1213" s="122"/>
      <c r="K1213" s="157"/>
      <c r="L1213" s="166">
        <f t="shared" ref="L1213:L1215" si="265">E1213</f>
        <v>717</v>
      </c>
      <c r="M1213" s="119"/>
      <c r="N1213" s="135"/>
      <c r="O1213" s="122"/>
      <c r="P1213" s="92">
        <f t="shared" ref="P1213:P1215" si="266">G1213*0.92</f>
        <v>29.863200000000003</v>
      </c>
      <c r="Q1213" s="113">
        <f t="shared" ref="Q1213:Q1215" si="267">G1213*4.5%</f>
        <v>1.4606999999999999</v>
      </c>
      <c r="R1213" s="92">
        <f t="shared" ref="R1213:R1215" si="268">G1213*3.5%</f>
        <v>1.1361000000000001</v>
      </c>
      <c r="S1213" s="121"/>
      <c r="T1213" s="93">
        <f t="shared" ref="T1213:T1215" si="269">G1213-N1213-Q1213-R1213</f>
        <v>29.863200000000003</v>
      </c>
      <c r="U1213" s="122"/>
      <c r="V1213" s="94">
        <f t="shared" ref="V1213:V1215" ca="1" si="270">360-($V$3-F1213)</f>
        <v>334.4644447916653</v>
      </c>
      <c r="W1213" s="89"/>
    </row>
    <row r="1214" spans="1:23" s="312" customFormat="1" ht="18">
      <c r="A1214" s="260"/>
      <c r="B1214" s="260" t="s">
        <v>1194</v>
      </c>
      <c r="C1214" s="175" t="s">
        <v>55</v>
      </c>
      <c r="D1214" s="365" t="s">
        <v>2790</v>
      </c>
      <c r="E1214" s="361">
        <v>718</v>
      </c>
      <c r="F1214" s="138">
        <v>45272</v>
      </c>
      <c r="G1214" s="252">
        <v>32.46</v>
      </c>
      <c r="H1214" s="375">
        <v>1664395</v>
      </c>
      <c r="I1214" s="106">
        <f t="shared" si="258"/>
        <v>51275.261860751692</v>
      </c>
      <c r="J1214" s="122"/>
      <c r="K1214" s="157"/>
      <c r="L1214" s="166">
        <f t="shared" si="265"/>
        <v>718</v>
      </c>
      <c r="M1214" s="119"/>
      <c r="N1214" s="135"/>
      <c r="O1214" s="122"/>
      <c r="P1214" s="92">
        <f t="shared" si="266"/>
        <v>29.863200000000003</v>
      </c>
      <c r="Q1214" s="113">
        <f t="shared" si="267"/>
        <v>1.4606999999999999</v>
      </c>
      <c r="R1214" s="92">
        <f t="shared" si="268"/>
        <v>1.1361000000000001</v>
      </c>
      <c r="S1214" s="121"/>
      <c r="T1214" s="93">
        <f t="shared" si="269"/>
        <v>29.863200000000003</v>
      </c>
      <c r="U1214" s="122"/>
      <c r="V1214" s="94">
        <f t="shared" ca="1" si="270"/>
        <v>334.4644447916653</v>
      </c>
      <c r="W1214" s="89"/>
    </row>
    <row r="1215" spans="1:23" s="312" customFormat="1" ht="18">
      <c r="A1215" s="260"/>
      <c r="B1215" s="260" t="s">
        <v>1194</v>
      </c>
      <c r="C1215" s="175" t="s">
        <v>55</v>
      </c>
      <c r="D1215" s="365" t="s">
        <v>2791</v>
      </c>
      <c r="E1215" s="361">
        <v>719</v>
      </c>
      <c r="F1215" s="138">
        <v>45272</v>
      </c>
      <c r="G1215" s="252">
        <v>32.44</v>
      </c>
      <c r="H1215" s="375">
        <v>1663415</v>
      </c>
      <c r="I1215" s="106">
        <f t="shared" si="258"/>
        <v>51276.664611590633</v>
      </c>
      <c r="J1215" s="122"/>
      <c r="K1215" s="157"/>
      <c r="L1215" s="166">
        <f t="shared" si="265"/>
        <v>719</v>
      </c>
      <c r="M1215" s="119"/>
      <c r="N1215" s="135"/>
      <c r="O1215" s="122"/>
      <c r="P1215" s="92">
        <f t="shared" si="266"/>
        <v>29.844799999999999</v>
      </c>
      <c r="Q1215" s="113">
        <f t="shared" si="267"/>
        <v>1.4597999999999998</v>
      </c>
      <c r="R1215" s="92">
        <f t="shared" si="268"/>
        <v>1.1354</v>
      </c>
      <c r="S1215" s="121"/>
      <c r="T1215" s="93">
        <f t="shared" si="269"/>
        <v>29.844799999999996</v>
      </c>
      <c r="U1215" s="122"/>
      <c r="V1215" s="94">
        <f t="shared" ca="1" si="270"/>
        <v>334.4644447916653</v>
      </c>
      <c r="W1215" s="89"/>
    </row>
    <row r="1216" spans="1:23" s="312" customFormat="1" ht="18">
      <c r="A1216" s="260"/>
      <c r="B1216" s="260" t="s">
        <v>1194</v>
      </c>
      <c r="C1216" s="175" t="s">
        <v>55</v>
      </c>
      <c r="D1216" s="365" t="s">
        <v>2791</v>
      </c>
      <c r="E1216" s="361">
        <v>720</v>
      </c>
      <c r="F1216" s="138">
        <v>45272</v>
      </c>
      <c r="G1216" s="252">
        <v>32.44</v>
      </c>
      <c r="H1216" s="375">
        <v>1663415</v>
      </c>
      <c r="I1216" s="106">
        <f t="shared" si="258"/>
        <v>51276.664611590633</v>
      </c>
      <c r="J1216" s="122"/>
      <c r="K1216" s="157"/>
      <c r="L1216" s="166">
        <f t="shared" si="259"/>
        <v>720</v>
      </c>
      <c r="M1216" s="119"/>
      <c r="N1216" s="135"/>
      <c r="O1216" s="122"/>
      <c r="P1216" s="92">
        <f t="shared" si="260"/>
        <v>29.844799999999999</v>
      </c>
      <c r="Q1216" s="113">
        <f t="shared" si="261"/>
        <v>1.4597999999999998</v>
      </c>
      <c r="R1216" s="92">
        <f t="shared" si="262"/>
        <v>1.1354</v>
      </c>
      <c r="S1216" s="121"/>
      <c r="T1216" s="93">
        <f t="shared" si="263"/>
        <v>29.844799999999996</v>
      </c>
      <c r="U1216" s="122"/>
      <c r="V1216" s="94">
        <f t="shared" ca="1" si="264"/>
        <v>334.4644447916653</v>
      </c>
      <c r="W1216" s="89"/>
    </row>
    <row r="1217" spans="1:23" s="312" customFormat="1" ht="18">
      <c r="A1217" s="260"/>
      <c r="B1217" s="260" t="s">
        <v>1194</v>
      </c>
      <c r="C1217" s="175" t="s">
        <v>55</v>
      </c>
      <c r="D1217" s="365" t="s">
        <v>2792</v>
      </c>
      <c r="E1217" s="361">
        <v>721</v>
      </c>
      <c r="F1217" s="138">
        <v>45272</v>
      </c>
      <c r="G1217" s="252">
        <v>32.520000000000003</v>
      </c>
      <c r="H1217" s="375">
        <v>1667335</v>
      </c>
      <c r="I1217" s="106">
        <f t="shared" si="258"/>
        <v>51271.0639606396</v>
      </c>
      <c r="J1217" s="122"/>
      <c r="K1217" s="157"/>
      <c r="L1217" s="166">
        <f t="shared" si="259"/>
        <v>721</v>
      </c>
      <c r="M1217" s="119"/>
      <c r="N1217" s="135"/>
      <c r="O1217" s="122"/>
      <c r="P1217" s="92">
        <f t="shared" si="260"/>
        <v>29.918400000000005</v>
      </c>
      <c r="Q1217" s="113">
        <f t="shared" si="261"/>
        <v>1.4634</v>
      </c>
      <c r="R1217" s="92">
        <f t="shared" si="262"/>
        <v>1.1382000000000003</v>
      </c>
      <c r="S1217" s="121"/>
      <c r="T1217" s="93">
        <f t="shared" si="263"/>
        <v>29.918400000000002</v>
      </c>
      <c r="U1217" s="122"/>
      <c r="V1217" s="94">
        <f t="shared" ca="1" si="264"/>
        <v>334.4644447916653</v>
      </c>
      <c r="W1217" s="89"/>
    </row>
    <row r="1218" spans="1:23" s="312" customFormat="1" ht="18">
      <c r="A1218" s="260"/>
      <c r="B1218" s="260" t="s">
        <v>1194</v>
      </c>
      <c r="C1218" s="175" t="s">
        <v>55</v>
      </c>
      <c r="D1218" s="365" t="s">
        <v>2792</v>
      </c>
      <c r="E1218" s="361">
        <v>722</v>
      </c>
      <c r="F1218" s="138">
        <v>45272</v>
      </c>
      <c r="G1218" s="252">
        <v>32.520000000000003</v>
      </c>
      <c r="H1218" s="375">
        <v>1667335</v>
      </c>
      <c r="I1218" s="106">
        <f t="shared" si="258"/>
        <v>51271.0639606396</v>
      </c>
      <c r="J1218" s="122"/>
      <c r="K1218" s="157"/>
      <c r="L1218" s="166">
        <f t="shared" si="259"/>
        <v>722</v>
      </c>
      <c r="M1218" s="119"/>
      <c r="N1218" s="135"/>
      <c r="O1218" s="122"/>
      <c r="P1218" s="92">
        <f t="shared" si="260"/>
        <v>29.918400000000005</v>
      </c>
      <c r="Q1218" s="113">
        <f t="shared" si="261"/>
        <v>1.4634</v>
      </c>
      <c r="R1218" s="92">
        <f t="shared" si="262"/>
        <v>1.1382000000000003</v>
      </c>
      <c r="S1218" s="121"/>
      <c r="T1218" s="93">
        <f t="shared" si="263"/>
        <v>29.918400000000002</v>
      </c>
      <c r="U1218" s="122"/>
      <c r="V1218" s="94">
        <f t="shared" ca="1" si="264"/>
        <v>334.4644447916653</v>
      </c>
      <c r="W1218" s="89"/>
    </row>
    <row r="1219" spans="1:23" s="312" customFormat="1" ht="18">
      <c r="A1219" s="260"/>
      <c r="B1219" s="260" t="s">
        <v>1194</v>
      </c>
      <c r="C1219" s="175" t="s">
        <v>55</v>
      </c>
      <c r="D1219" s="365" t="s">
        <v>2793</v>
      </c>
      <c r="E1219" s="361">
        <v>723</v>
      </c>
      <c r="F1219" s="138">
        <v>45272</v>
      </c>
      <c r="G1219" s="252">
        <v>32.659999999999997</v>
      </c>
      <c r="H1219" s="375">
        <v>1657865</v>
      </c>
      <c r="I1219" s="106">
        <f t="shared" si="258"/>
        <v>50761.328842620947</v>
      </c>
      <c r="J1219" s="122"/>
      <c r="K1219" s="157"/>
      <c r="L1219" s="166">
        <f t="shared" si="259"/>
        <v>723</v>
      </c>
      <c r="M1219" s="119"/>
      <c r="N1219" s="135"/>
      <c r="O1219" s="122"/>
      <c r="P1219" s="92">
        <f t="shared" si="260"/>
        <v>30.047199999999997</v>
      </c>
      <c r="Q1219" s="113">
        <f t="shared" si="261"/>
        <v>1.4696999999999998</v>
      </c>
      <c r="R1219" s="92">
        <f t="shared" si="262"/>
        <v>1.1431</v>
      </c>
      <c r="S1219" s="121"/>
      <c r="T1219" s="93">
        <f t="shared" si="263"/>
        <v>30.047199999999997</v>
      </c>
      <c r="U1219" s="122"/>
      <c r="V1219" s="94">
        <f t="shared" ca="1" si="264"/>
        <v>334.4644447916653</v>
      </c>
      <c r="W1219" s="89"/>
    </row>
    <row r="1220" spans="1:23" s="312" customFormat="1" ht="18">
      <c r="A1220" s="260"/>
      <c r="B1220" s="260" t="s">
        <v>1194</v>
      </c>
      <c r="C1220" s="175" t="s">
        <v>55</v>
      </c>
      <c r="D1220" s="365" t="s">
        <v>2793</v>
      </c>
      <c r="E1220" s="361">
        <v>724</v>
      </c>
      <c r="F1220" s="138">
        <v>45272</v>
      </c>
      <c r="G1220" s="252">
        <v>32.659999999999997</v>
      </c>
      <c r="H1220" s="375">
        <v>1657865</v>
      </c>
      <c r="I1220" s="106">
        <f t="shared" si="258"/>
        <v>50761.328842620947</v>
      </c>
      <c r="J1220" s="122"/>
      <c r="K1220" s="157"/>
      <c r="L1220" s="166">
        <f t="shared" si="259"/>
        <v>724</v>
      </c>
      <c r="M1220" s="119"/>
      <c r="N1220" s="135"/>
      <c r="O1220" s="122"/>
      <c r="P1220" s="92">
        <f t="shared" si="260"/>
        <v>30.047199999999997</v>
      </c>
      <c r="Q1220" s="113">
        <f t="shared" si="261"/>
        <v>1.4696999999999998</v>
      </c>
      <c r="R1220" s="92">
        <f t="shared" si="262"/>
        <v>1.1431</v>
      </c>
      <c r="S1220" s="121"/>
      <c r="T1220" s="93">
        <f t="shared" si="263"/>
        <v>30.047199999999997</v>
      </c>
      <c r="U1220" s="122"/>
      <c r="V1220" s="94">
        <f t="shared" ca="1" si="264"/>
        <v>334.4644447916653</v>
      </c>
      <c r="W1220" s="89"/>
    </row>
    <row r="1221" spans="1:23" s="312" customFormat="1" ht="18">
      <c r="A1221" s="260"/>
      <c r="B1221" s="260" t="s">
        <v>1194</v>
      </c>
      <c r="C1221" s="130"/>
      <c r="D1221" s="131"/>
      <c r="E1221" s="361"/>
      <c r="F1221" s="138"/>
      <c r="G1221" s="252"/>
      <c r="H1221" s="375"/>
      <c r="I1221" s="106" t="e">
        <f t="shared" ref="I1221" si="271">H1221/G1221</f>
        <v>#DIV/0!</v>
      </c>
      <c r="J1221" s="122"/>
      <c r="K1221" s="157"/>
      <c r="L1221" s="166">
        <f t="shared" si="259"/>
        <v>0</v>
      </c>
      <c r="M1221" s="119"/>
      <c r="N1221" s="135"/>
      <c r="O1221" s="122"/>
      <c r="P1221" s="92">
        <f t="shared" si="260"/>
        <v>0</v>
      </c>
      <c r="Q1221" s="113">
        <f t="shared" si="261"/>
        <v>0</v>
      </c>
      <c r="R1221" s="92">
        <f t="shared" si="262"/>
        <v>0</v>
      </c>
      <c r="S1221" s="121"/>
      <c r="T1221" s="93">
        <f t="shared" si="263"/>
        <v>0</v>
      </c>
      <c r="U1221" s="122"/>
      <c r="V1221" s="94">
        <f t="shared" ca="1" si="264"/>
        <v>-44937.535555208335</v>
      </c>
      <c r="W1221" s="89"/>
    </row>
    <row r="1222" spans="1:23" s="312" customFormat="1" ht="18">
      <c r="A1222" s="260"/>
      <c r="B1222" s="260" t="s">
        <v>505</v>
      </c>
      <c r="C1222" s="130" t="s">
        <v>55</v>
      </c>
      <c r="D1222" s="131" t="s">
        <v>2767</v>
      </c>
      <c r="E1222" s="369">
        <v>725</v>
      </c>
      <c r="F1222" s="138">
        <v>45276</v>
      </c>
      <c r="G1222" s="252">
        <v>33.43</v>
      </c>
      <c r="H1222" s="375">
        <v>1815249</v>
      </c>
      <c r="I1222" s="106">
        <f t="shared" si="247"/>
        <v>54300</v>
      </c>
      <c r="J1222" s="122"/>
      <c r="K1222" s="157"/>
      <c r="L1222" s="166">
        <f t="shared" si="259"/>
        <v>725</v>
      </c>
      <c r="M1222" s="119"/>
      <c r="N1222" s="135"/>
      <c r="O1222" s="122"/>
      <c r="P1222" s="92">
        <f t="shared" ref="P1222:P1228" si="272">G1222*0.92</f>
        <v>30.755600000000001</v>
      </c>
      <c r="Q1222" s="113">
        <f t="shared" ref="Q1222:Q1228" si="273">G1222*4.5%</f>
        <v>1.5043499999999999</v>
      </c>
      <c r="R1222" s="92">
        <f t="shared" ref="R1222:R1228" si="274">G1222*3.5%</f>
        <v>1.17005</v>
      </c>
      <c r="S1222" s="121"/>
      <c r="T1222" s="93">
        <f t="shared" ref="T1222:T1228" si="275">G1222-N1222-Q1222-R1222</f>
        <v>30.755600000000001</v>
      </c>
      <c r="U1222" s="122"/>
      <c r="V1222" s="94">
        <f t="shared" ref="V1222:V1228" ca="1" si="276">360-($V$3-F1222)</f>
        <v>338.4644447916653</v>
      </c>
      <c r="W1222" s="89"/>
    </row>
    <row r="1223" spans="1:23" s="312" customFormat="1" ht="18">
      <c r="A1223" s="260"/>
      <c r="B1223" s="260" t="s">
        <v>505</v>
      </c>
      <c r="C1223" s="130" t="s">
        <v>55</v>
      </c>
      <c r="D1223" s="131" t="s">
        <v>2767</v>
      </c>
      <c r="E1223" s="369">
        <v>726</v>
      </c>
      <c r="F1223" s="138">
        <v>45276</v>
      </c>
      <c r="G1223" s="252">
        <v>33.909999999999997</v>
      </c>
      <c r="H1223" s="375">
        <v>1841312.9999999998</v>
      </c>
      <c r="I1223" s="106">
        <f t="shared" si="247"/>
        <v>54300</v>
      </c>
      <c r="J1223" s="122"/>
      <c r="K1223" s="157"/>
      <c r="L1223" s="166">
        <f t="shared" si="259"/>
        <v>726</v>
      </c>
      <c r="M1223" s="119"/>
      <c r="N1223" s="135"/>
      <c r="O1223" s="122"/>
      <c r="P1223" s="92">
        <f t="shared" si="272"/>
        <v>31.197199999999999</v>
      </c>
      <c r="Q1223" s="113">
        <f t="shared" si="273"/>
        <v>1.5259499999999997</v>
      </c>
      <c r="R1223" s="92">
        <f t="shared" si="274"/>
        <v>1.18685</v>
      </c>
      <c r="S1223" s="121"/>
      <c r="T1223" s="93">
        <f t="shared" si="275"/>
        <v>31.197199999999995</v>
      </c>
      <c r="U1223" s="122"/>
      <c r="V1223" s="94">
        <f t="shared" ca="1" si="276"/>
        <v>338.4644447916653</v>
      </c>
      <c r="W1223" s="89"/>
    </row>
    <row r="1224" spans="1:23" s="312" customFormat="1" ht="18">
      <c r="A1224" s="260"/>
      <c r="B1224" s="260" t="s">
        <v>505</v>
      </c>
      <c r="C1224" s="130" t="s">
        <v>55</v>
      </c>
      <c r="D1224" s="131" t="s">
        <v>2767</v>
      </c>
      <c r="E1224" s="369">
        <v>727</v>
      </c>
      <c r="F1224" s="138">
        <v>45276</v>
      </c>
      <c r="G1224" s="252">
        <v>40.200000000000003</v>
      </c>
      <c r="H1224" s="375">
        <v>2182860</v>
      </c>
      <c r="I1224" s="106">
        <f t="shared" si="247"/>
        <v>54299.999999999993</v>
      </c>
      <c r="J1224" s="122"/>
      <c r="K1224" s="157"/>
      <c r="L1224" s="166">
        <f t="shared" si="259"/>
        <v>727</v>
      </c>
      <c r="M1224" s="119"/>
      <c r="N1224" s="135"/>
      <c r="O1224" s="122"/>
      <c r="P1224" s="92">
        <f t="shared" si="272"/>
        <v>36.984000000000002</v>
      </c>
      <c r="Q1224" s="113">
        <f t="shared" si="273"/>
        <v>1.8090000000000002</v>
      </c>
      <c r="R1224" s="92">
        <f t="shared" si="274"/>
        <v>1.4070000000000003</v>
      </c>
      <c r="S1224" s="121"/>
      <c r="T1224" s="93">
        <f t="shared" si="275"/>
        <v>36.984000000000002</v>
      </c>
      <c r="U1224" s="122"/>
      <c r="V1224" s="94">
        <f t="shared" ca="1" si="276"/>
        <v>338.4644447916653</v>
      </c>
      <c r="W1224" s="89"/>
    </row>
    <row r="1225" spans="1:23" s="312" customFormat="1" ht="18">
      <c r="A1225" s="260"/>
      <c r="B1225" s="260" t="s">
        <v>505</v>
      </c>
      <c r="C1225" s="130" t="s">
        <v>55</v>
      </c>
      <c r="D1225" s="131" t="s">
        <v>2767</v>
      </c>
      <c r="E1225" s="369">
        <v>728</v>
      </c>
      <c r="F1225" s="138">
        <v>45276</v>
      </c>
      <c r="G1225" s="252">
        <v>31.89</v>
      </c>
      <c r="H1225" s="375">
        <v>1731627</v>
      </c>
      <c r="I1225" s="106">
        <f t="shared" si="247"/>
        <v>54300</v>
      </c>
      <c r="J1225" s="122"/>
      <c r="K1225" s="157"/>
      <c r="L1225" s="166">
        <f t="shared" si="259"/>
        <v>728</v>
      </c>
      <c r="M1225" s="119"/>
      <c r="N1225" s="135"/>
      <c r="O1225" s="122"/>
      <c r="P1225" s="92">
        <f t="shared" si="272"/>
        <v>29.338800000000003</v>
      </c>
      <c r="Q1225" s="113">
        <f t="shared" si="273"/>
        <v>1.4350499999999999</v>
      </c>
      <c r="R1225" s="92">
        <f t="shared" si="274"/>
        <v>1.1161500000000002</v>
      </c>
      <c r="S1225" s="121"/>
      <c r="T1225" s="93">
        <f t="shared" si="275"/>
        <v>29.338799999999999</v>
      </c>
      <c r="U1225" s="122"/>
      <c r="V1225" s="94">
        <f t="shared" ca="1" si="276"/>
        <v>338.4644447916653</v>
      </c>
      <c r="W1225" s="89"/>
    </row>
    <row r="1226" spans="1:23" s="312" customFormat="1" ht="18">
      <c r="A1226" s="260"/>
      <c r="B1226" s="260" t="s">
        <v>505</v>
      </c>
      <c r="C1226" s="130" t="s">
        <v>55</v>
      </c>
      <c r="D1226" s="131" t="s">
        <v>2767</v>
      </c>
      <c r="E1226" s="369">
        <v>729</v>
      </c>
      <c r="F1226" s="138">
        <v>45276</v>
      </c>
      <c r="G1226" s="252">
        <v>33.89</v>
      </c>
      <c r="H1226" s="375">
        <v>1840227</v>
      </c>
      <c r="I1226" s="106">
        <f t="shared" si="247"/>
        <v>54300</v>
      </c>
      <c r="J1226" s="122"/>
      <c r="K1226" s="157"/>
      <c r="L1226" s="166">
        <f t="shared" si="259"/>
        <v>729</v>
      </c>
      <c r="M1226" s="119"/>
      <c r="N1226" s="135"/>
      <c r="O1226" s="122"/>
      <c r="P1226" s="92">
        <f t="shared" si="272"/>
        <v>31.178800000000003</v>
      </c>
      <c r="Q1226" s="113">
        <f t="shared" si="273"/>
        <v>1.52505</v>
      </c>
      <c r="R1226" s="92">
        <f t="shared" si="274"/>
        <v>1.18615</v>
      </c>
      <c r="S1226" s="121"/>
      <c r="T1226" s="93">
        <f t="shared" si="275"/>
        <v>31.178799999999999</v>
      </c>
      <c r="U1226" s="122"/>
      <c r="V1226" s="94">
        <f t="shared" ca="1" si="276"/>
        <v>338.4644447916653</v>
      </c>
      <c r="W1226" s="89"/>
    </row>
    <row r="1227" spans="1:23" s="312" customFormat="1" ht="18">
      <c r="A1227" s="260"/>
      <c r="B1227" s="260" t="s">
        <v>505</v>
      </c>
      <c r="C1227" s="130" t="s">
        <v>55</v>
      </c>
      <c r="D1227" s="131" t="s">
        <v>2767</v>
      </c>
      <c r="E1227" s="369">
        <v>730</v>
      </c>
      <c r="F1227" s="138">
        <v>45276</v>
      </c>
      <c r="G1227" s="252">
        <v>31.86</v>
      </c>
      <c r="H1227" s="375">
        <v>1729998</v>
      </c>
      <c r="I1227" s="106">
        <f t="shared" si="247"/>
        <v>54300</v>
      </c>
      <c r="J1227" s="122"/>
      <c r="K1227" s="157"/>
      <c r="L1227" s="166">
        <f t="shared" si="259"/>
        <v>730</v>
      </c>
      <c r="M1227" s="119"/>
      <c r="N1227" s="135"/>
      <c r="O1227" s="122"/>
      <c r="P1227" s="92">
        <f t="shared" si="272"/>
        <v>29.311199999999999</v>
      </c>
      <c r="Q1227" s="113">
        <f t="shared" si="273"/>
        <v>1.4337</v>
      </c>
      <c r="R1227" s="92">
        <f t="shared" si="274"/>
        <v>1.1151</v>
      </c>
      <c r="S1227" s="121"/>
      <c r="T1227" s="93">
        <f t="shared" si="275"/>
        <v>29.311199999999999</v>
      </c>
      <c r="U1227" s="122"/>
      <c r="V1227" s="94">
        <f t="shared" ca="1" si="276"/>
        <v>338.4644447916653</v>
      </c>
      <c r="W1227" s="89"/>
    </row>
    <row r="1228" spans="1:23" s="312" customFormat="1" ht="18">
      <c r="A1228" s="260"/>
      <c r="B1228" s="260" t="s">
        <v>505</v>
      </c>
      <c r="C1228" s="130" t="s">
        <v>55</v>
      </c>
      <c r="D1228" s="131" t="s">
        <v>2767</v>
      </c>
      <c r="E1228" s="369">
        <v>731</v>
      </c>
      <c r="F1228" s="138">
        <v>45276</v>
      </c>
      <c r="G1228" s="252">
        <f>8.375+6.141</f>
        <v>14.516</v>
      </c>
      <c r="H1228" s="375">
        <v>788218.8</v>
      </c>
      <c r="I1228" s="106">
        <f t="shared" si="247"/>
        <v>54300</v>
      </c>
      <c r="J1228" s="122"/>
      <c r="K1228" s="157"/>
      <c r="L1228" s="166">
        <f t="shared" si="259"/>
        <v>731</v>
      </c>
      <c r="M1228" s="119"/>
      <c r="N1228" s="135"/>
      <c r="O1228" s="122"/>
      <c r="P1228" s="92">
        <f t="shared" si="272"/>
        <v>13.35472</v>
      </c>
      <c r="Q1228" s="113">
        <f t="shared" si="273"/>
        <v>0.65322000000000002</v>
      </c>
      <c r="R1228" s="92">
        <f t="shared" si="274"/>
        <v>0.50806000000000007</v>
      </c>
      <c r="S1228" s="121"/>
      <c r="T1228" s="93">
        <f t="shared" si="275"/>
        <v>13.35472</v>
      </c>
      <c r="U1228" s="122"/>
      <c r="V1228" s="94">
        <f t="shared" ca="1" si="276"/>
        <v>338.4644447916653</v>
      </c>
      <c r="W1228" s="89"/>
    </row>
    <row r="1229" spans="1:23" s="312" customFormat="1" ht="18.75">
      <c r="A1229" s="260"/>
      <c r="B1229" s="260"/>
      <c r="C1229" s="175"/>
      <c r="D1229" s="131"/>
      <c r="E1229" s="269"/>
      <c r="F1229" s="263"/>
      <c r="G1229" s="268"/>
      <c r="H1229" s="374"/>
      <c r="I1229" s="106" t="e">
        <f t="shared" ref="I1229:I1257" si="277">H1229/G1229</f>
        <v>#DIV/0!</v>
      </c>
      <c r="J1229" s="122"/>
      <c r="K1229" s="157"/>
      <c r="L1229" s="115"/>
      <c r="M1229" s="119"/>
      <c r="N1229" s="135"/>
      <c r="O1229" s="122"/>
      <c r="P1229" s="92">
        <f t="shared" si="253"/>
        <v>0</v>
      </c>
      <c r="Q1229" s="113">
        <f t="shared" si="254"/>
        <v>0</v>
      </c>
      <c r="R1229" s="92">
        <f t="shared" si="255"/>
        <v>0</v>
      </c>
      <c r="S1229" s="121"/>
      <c r="T1229" s="93">
        <f t="shared" si="256"/>
        <v>0</v>
      </c>
      <c r="U1229" s="122"/>
      <c r="V1229" s="94">
        <f t="shared" ca="1" si="257"/>
        <v>-44937.535555208335</v>
      </c>
      <c r="W1229" s="89"/>
    </row>
    <row r="1230" spans="1:23" s="312" customFormat="1" ht="18">
      <c r="A1230" s="260"/>
      <c r="B1230" s="260" t="s">
        <v>1194</v>
      </c>
      <c r="C1230" s="130" t="s">
        <v>53</v>
      </c>
      <c r="D1230" s="365" t="s">
        <v>2894</v>
      </c>
      <c r="E1230" s="373">
        <v>732</v>
      </c>
      <c r="F1230" s="138">
        <v>45282</v>
      </c>
      <c r="G1230" s="371">
        <v>33</v>
      </c>
      <c r="H1230" s="374"/>
      <c r="I1230" s="106">
        <f t="shared" si="277"/>
        <v>0</v>
      </c>
      <c r="J1230" s="122"/>
      <c r="K1230" s="157"/>
      <c r="L1230" s="166">
        <f t="shared" si="259"/>
        <v>732</v>
      </c>
      <c r="M1230" s="119"/>
      <c r="N1230" s="135"/>
      <c r="O1230" s="122"/>
      <c r="P1230" s="92">
        <f t="shared" si="253"/>
        <v>30.360000000000003</v>
      </c>
      <c r="Q1230" s="113">
        <f t="shared" si="254"/>
        <v>1.4849999999999999</v>
      </c>
      <c r="R1230" s="92">
        <f t="shared" si="255"/>
        <v>1.155</v>
      </c>
      <c r="S1230" s="121"/>
      <c r="T1230" s="93">
        <f t="shared" si="256"/>
        <v>30.36</v>
      </c>
      <c r="U1230" s="122"/>
      <c r="V1230" s="94">
        <f t="shared" ca="1" si="257"/>
        <v>344.4644447916653</v>
      </c>
      <c r="W1230" s="89"/>
    </row>
    <row r="1231" spans="1:23" s="312" customFormat="1" ht="18">
      <c r="A1231" s="260"/>
      <c r="B1231" s="260" t="s">
        <v>1194</v>
      </c>
      <c r="C1231" s="130" t="str">
        <f>+C1230</f>
        <v>HT-125X125</v>
      </c>
      <c r="D1231" s="370" t="str">
        <f>+D1230</f>
        <v>OS0022003040</v>
      </c>
      <c r="E1231" s="373">
        <v>733</v>
      </c>
      <c r="F1231" s="138">
        <v>45282</v>
      </c>
      <c r="G1231" s="371">
        <v>33</v>
      </c>
      <c r="H1231" s="374"/>
      <c r="I1231" s="106">
        <f t="shared" si="277"/>
        <v>0</v>
      </c>
      <c r="J1231" s="122"/>
      <c r="K1231" s="157"/>
      <c r="L1231" s="166">
        <f t="shared" si="259"/>
        <v>733</v>
      </c>
      <c r="M1231" s="119"/>
      <c r="N1231" s="135"/>
      <c r="O1231" s="122"/>
      <c r="P1231" s="92">
        <f t="shared" si="253"/>
        <v>30.360000000000003</v>
      </c>
      <c r="Q1231" s="113">
        <f t="shared" si="254"/>
        <v>1.4849999999999999</v>
      </c>
      <c r="R1231" s="92">
        <f t="shared" si="255"/>
        <v>1.155</v>
      </c>
      <c r="S1231" s="121"/>
      <c r="T1231" s="93">
        <f t="shared" si="256"/>
        <v>30.36</v>
      </c>
      <c r="U1231" s="122"/>
      <c r="V1231" s="94">
        <f t="shared" ca="1" si="257"/>
        <v>344.4644447916653</v>
      </c>
      <c r="W1231" s="89"/>
    </row>
    <row r="1232" spans="1:23" s="312" customFormat="1" ht="18">
      <c r="A1232" s="260"/>
      <c r="B1232" s="260" t="s">
        <v>1194</v>
      </c>
      <c r="C1232" s="130" t="s">
        <v>53</v>
      </c>
      <c r="D1232" s="365" t="s">
        <v>2895</v>
      </c>
      <c r="E1232" s="373">
        <v>734</v>
      </c>
      <c r="F1232" s="138">
        <v>45282</v>
      </c>
      <c r="G1232" s="372">
        <v>32.200000000000003</v>
      </c>
      <c r="H1232" s="374"/>
      <c r="I1232" s="106">
        <f t="shared" si="277"/>
        <v>0</v>
      </c>
      <c r="J1232" s="122"/>
      <c r="K1232" s="157"/>
      <c r="L1232" s="166">
        <f t="shared" si="259"/>
        <v>734</v>
      </c>
      <c r="M1232" s="119"/>
      <c r="N1232" s="135"/>
      <c r="O1232" s="122"/>
      <c r="P1232" s="92">
        <f t="shared" si="253"/>
        <v>29.624000000000002</v>
      </c>
      <c r="Q1232" s="113">
        <f t="shared" si="254"/>
        <v>1.4490000000000001</v>
      </c>
      <c r="R1232" s="92">
        <f t="shared" si="255"/>
        <v>1.1270000000000002</v>
      </c>
      <c r="S1232" s="121"/>
      <c r="T1232" s="93">
        <f t="shared" si="256"/>
        <v>29.624000000000002</v>
      </c>
      <c r="U1232" s="122"/>
      <c r="V1232" s="94">
        <f t="shared" ca="1" si="257"/>
        <v>344.4644447916653</v>
      </c>
      <c r="W1232" s="89"/>
    </row>
    <row r="1233" spans="1:23" s="312" customFormat="1" ht="18">
      <c r="A1233" s="260"/>
      <c r="B1233" s="260" t="s">
        <v>1194</v>
      </c>
      <c r="C1233" s="130" t="str">
        <f>+C1232</f>
        <v>HT-125X125</v>
      </c>
      <c r="D1233" s="370" t="str">
        <f>+D1232</f>
        <v>OS0022003044</v>
      </c>
      <c r="E1233" s="373">
        <v>735</v>
      </c>
      <c r="F1233" s="138">
        <v>45282</v>
      </c>
      <c r="G1233" s="338">
        <v>32.200000000000003</v>
      </c>
      <c r="H1233" s="374"/>
      <c r="I1233" s="106">
        <f t="shared" ref="I1233:I1251" si="278">H1233/G1233</f>
        <v>0</v>
      </c>
      <c r="J1233" s="122"/>
      <c r="K1233" s="157"/>
      <c r="L1233" s="166">
        <f t="shared" si="259"/>
        <v>735</v>
      </c>
      <c r="M1233" s="119"/>
      <c r="N1233" s="135"/>
      <c r="O1233" s="122"/>
      <c r="P1233" s="92">
        <f t="shared" ref="P1233:P1251" si="279">G1233*0.92</f>
        <v>29.624000000000002</v>
      </c>
      <c r="Q1233" s="113">
        <f t="shared" ref="Q1233:Q1251" si="280">G1233*4.5%</f>
        <v>1.4490000000000001</v>
      </c>
      <c r="R1233" s="92">
        <f t="shared" ref="R1233:R1251" si="281">G1233*3.5%</f>
        <v>1.1270000000000002</v>
      </c>
      <c r="S1233" s="121"/>
      <c r="T1233" s="93">
        <f t="shared" ref="T1233:T1251" si="282">G1233-N1233-Q1233-R1233</f>
        <v>29.624000000000002</v>
      </c>
      <c r="U1233" s="122"/>
      <c r="V1233" s="94">
        <f t="shared" ref="V1233:V1250" ca="1" si="283">360-($V$3-F1233)</f>
        <v>344.4644447916653</v>
      </c>
      <c r="W1233" s="89"/>
    </row>
    <row r="1234" spans="1:23" s="312" customFormat="1" ht="18">
      <c r="A1234" s="260"/>
      <c r="B1234" s="260" t="s">
        <v>1194</v>
      </c>
      <c r="C1234" s="130" t="s">
        <v>53</v>
      </c>
      <c r="D1234" s="365" t="s">
        <v>2896</v>
      </c>
      <c r="E1234" s="373">
        <v>736</v>
      </c>
      <c r="F1234" s="138">
        <v>45282</v>
      </c>
      <c r="G1234" s="372">
        <v>32.85</v>
      </c>
      <c r="H1234" s="374"/>
      <c r="I1234" s="106">
        <f t="shared" ref="I1234:I1240" si="284">H1234/G1234</f>
        <v>0</v>
      </c>
      <c r="J1234" s="122"/>
      <c r="K1234" s="157"/>
      <c r="L1234" s="166">
        <f t="shared" si="259"/>
        <v>736</v>
      </c>
      <c r="M1234" s="119"/>
      <c r="N1234" s="135"/>
      <c r="O1234" s="122"/>
      <c r="P1234" s="92">
        <f t="shared" ref="P1234:P1240" si="285">G1234*0.92</f>
        <v>30.222000000000001</v>
      </c>
      <c r="Q1234" s="113">
        <f t="shared" ref="Q1234:Q1240" si="286">G1234*4.5%</f>
        <v>1.4782500000000001</v>
      </c>
      <c r="R1234" s="92">
        <f t="shared" ref="R1234:R1240" si="287">G1234*3.5%</f>
        <v>1.14975</v>
      </c>
      <c r="S1234" s="121"/>
      <c r="T1234" s="93">
        <f t="shared" ref="T1234:T1240" si="288">G1234-N1234-Q1234-R1234</f>
        <v>30.222000000000001</v>
      </c>
      <c r="U1234" s="122"/>
      <c r="V1234" s="94">
        <f t="shared" ref="V1234:V1240" ca="1" si="289">360-($V$3-F1234)</f>
        <v>344.4644447916653</v>
      </c>
      <c r="W1234" s="89"/>
    </row>
    <row r="1235" spans="1:23" s="312" customFormat="1" ht="18">
      <c r="A1235" s="260"/>
      <c r="B1235" s="260" t="s">
        <v>1194</v>
      </c>
      <c r="C1235" s="130" t="str">
        <f>+C1234</f>
        <v>HT-125X125</v>
      </c>
      <c r="D1235" s="370" t="str">
        <f>+D1234</f>
        <v>OS0022003039</v>
      </c>
      <c r="E1235" s="373">
        <v>737</v>
      </c>
      <c r="F1235" s="138">
        <v>45282</v>
      </c>
      <c r="G1235" s="338">
        <v>32.85</v>
      </c>
      <c r="H1235" s="374"/>
      <c r="I1235" s="106">
        <f t="shared" si="284"/>
        <v>0</v>
      </c>
      <c r="J1235" s="122"/>
      <c r="K1235" s="157"/>
      <c r="L1235" s="166">
        <f t="shared" si="259"/>
        <v>737</v>
      </c>
      <c r="M1235" s="119"/>
      <c r="N1235" s="135"/>
      <c r="O1235" s="122"/>
      <c r="P1235" s="92">
        <f t="shared" si="285"/>
        <v>30.222000000000001</v>
      </c>
      <c r="Q1235" s="113">
        <f t="shared" si="286"/>
        <v>1.4782500000000001</v>
      </c>
      <c r="R1235" s="92">
        <f t="shared" si="287"/>
        <v>1.14975</v>
      </c>
      <c r="S1235" s="121"/>
      <c r="T1235" s="93">
        <f t="shared" si="288"/>
        <v>30.222000000000001</v>
      </c>
      <c r="U1235" s="122"/>
      <c r="V1235" s="94">
        <f t="shared" ca="1" si="289"/>
        <v>344.4644447916653</v>
      </c>
      <c r="W1235" s="89"/>
    </row>
    <row r="1236" spans="1:23" s="312" customFormat="1" ht="18">
      <c r="A1236" s="260"/>
      <c r="B1236" s="260" t="s">
        <v>1194</v>
      </c>
      <c r="C1236" s="130" t="s">
        <v>53</v>
      </c>
      <c r="D1236" s="365" t="s">
        <v>2897</v>
      </c>
      <c r="E1236" s="373">
        <v>738</v>
      </c>
      <c r="F1236" s="138">
        <v>45282</v>
      </c>
      <c r="G1236" s="372">
        <v>32.450000000000003</v>
      </c>
      <c r="H1236" s="374"/>
      <c r="I1236" s="106">
        <f t="shared" si="284"/>
        <v>0</v>
      </c>
      <c r="J1236" s="122"/>
      <c r="K1236" s="157"/>
      <c r="L1236" s="166">
        <f t="shared" si="259"/>
        <v>738</v>
      </c>
      <c r="M1236" s="119"/>
      <c r="N1236" s="135"/>
      <c r="O1236" s="122"/>
      <c r="P1236" s="92">
        <f t="shared" si="285"/>
        <v>29.854000000000003</v>
      </c>
      <c r="Q1236" s="113">
        <f t="shared" si="286"/>
        <v>1.46025</v>
      </c>
      <c r="R1236" s="92">
        <f t="shared" si="287"/>
        <v>1.1357500000000003</v>
      </c>
      <c r="S1236" s="121"/>
      <c r="T1236" s="93">
        <f t="shared" si="288"/>
        <v>29.854000000000003</v>
      </c>
      <c r="U1236" s="122"/>
      <c r="V1236" s="94">
        <f t="shared" ca="1" si="289"/>
        <v>344.4644447916653</v>
      </c>
      <c r="W1236" s="89"/>
    </row>
    <row r="1237" spans="1:23" s="312" customFormat="1" ht="18">
      <c r="A1237" s="260"/>
      <c r="B1237" s="260" t="s">
        <v>1194</v>
      </c>
      <c r="C1237" s="130" t="str">
        <f>+C1236</f>
        <v>HT-125X125</v>
      </c>
      <c r="D1237" s="370" t="str">
        <f>+D1236</f>
        <v>OS0022003043</v>
      </c>
      <c r="E1237" s="373">
        <v>739</v>
      </c>
      <c r="F1237" s="138">
        <v>45282</v>
      </c>
      <c r="G1237" s="338">
        <v>32.450000000000003</v>
      </c>
      <c r="H1237" s="374"/>
      <c r="I1237" s="106">
        <f t="shared" si="284"/>
        <v>0</v>
      </c>
      <c r="J1237" s="122"/>
      <c r="K1237" s="157"/>
      <c r="L1237" s="166">
        <f t="shared" si="259"/>
        <v>739</v>
      </c>
      <c r="M1237" s="119"/>
      <c r="N1237" s="135"/>
      <c r="O1237" s="122"/>
      <c r="P1237" s="92">
        <f t="shared" si="285"/>
        <v>29.854000000000003</v>
      </c>
      <c r="Q1237" s="113">
        <f t="shared" si="286"/>
        <v>1.46025</v>
      </c>
      <c r="R1237" s="92">
        <f t="shared" si="287"/>
        <v>1.1357500000000003</v>
      </c>
      <c r="S1237" s="121"/>
      <c r="T1237" s="93">
        <f t="shared" si="288"/>
        <v>29.854000000000003</v>
      </c>
      <c r="U1237" s="122"/>
      <c r="V1237" s="94">
        <f t="shared" ca="1" si="289"/>
        <v>344.4644447916653</v>
      </c>
      <c r="W1237" s="89"/>
    </row>
    <row r="1238" spans="1:23" s="312" customFormat="1" ht="18">
      <c r="A1238" s="260"/>
      <c r="B1238" s="260" t="s">
        <v>1194</v>
      </c>
      <c r="C1238" s="130" t="s">
        <v>53</v>
      </c>
      <c r="D1238" s="365" t="s">
        <v>2898</v>
      </c>
      <c r="E1238" s="373">
        <v>740</v>
      </c>
      <c r="F1238" s="138">
        <v>45282</v>
      </c>
      <c r="G1238" s="372">
        <v>32.65</v>
      </c>
      <c r="H1238" s="374"/>
      <c r="I1238" s="106">
        <f t="shared" si="284"/>
        <v>0</v>
      </c>
      <c r="J1238" s="122"/>
      <c r="K1238" s="157"/>
      <c r="L1238" s="166">
        <f t="shared" si="259"/>
        <v>740</v>
      </c>
      <c r="M1238" s="119"/>
      <c r="N1238" s="135"/>
      <c r="O1238" s="122"/>
      <c r="P1238" s="92">
        <f t="shared" si="285"/>
        <v>30.038</v>
      </c>
      <c r="Q1238" s="113">
        <f t="shared" si="286"/>
        <v>1.4692499999999999</v>
      </c>
      <c r="R1238" s="92">
        <f t="shared" si="287"/>
        <v>1.1427500000000002</v>
      </c>
      <c r="S1238" s="121"/>
      <c r="T1238" s="93">
        <f t="shared" si="288"/>
        <v>30.038</v>
      </c>
      <c r="U1238" s="122"/>
      <c r="V1238" s="94">
        <f t="shared" ca="1" si="289"/>
        <v>344.4644447916653</v>
      </c>
      <c r="W1238" s="89"/>
    </row>
    <row r="1239" spans="1:23" s="312" customFormat="1" ht="18">
      <c r="A1239" s="260"/>
      <c r="B1239" s="260" t="s">
        <v>1194</v>
      </c>
      <c r="C1239" s="130" t="str">
        <f>+C1238</f>
        <v>HT-125X125</v>
      </c>
      <c r="D1239" s="370" t="str">
        <f>+D1238</f>
        <v>OS0022003045</v>
      </c>
      <c r="E1239" s="373">
        <v>741</v>
      </c>
      <c r="F1239" s="138">
        <v>45282</v>
      </c>
      <c r="G1239" s="338">
        <v>32.65</v>
      </c>
      <c r="H1239" s="374"/>
      <c r="I1239" s="106">
        <f t="shared" si="284"/>
        <v>0</v>
      </c>
      <c r="J1239" s="122"/>
      <c r="K1239" s="157"/>
      <c r="L1239" s="166">
        <f t="shared" si="259"/>
        <v>741</v>
      </c>
      <c r="M1239" s="119"/>
      <c r="N1239" s="135"/>
      <c r="O1239" s="122"/>
      <c r="P1239" s="92">
        <f t="shared" si="285"/>
        <v>30.038</v>
      </c>
      <c r="Q1239" s="113">
        <f t="shared" si="286"/>
        <v>1.4692499999999999</v>
      </c>
      <c r="R1239" s="92">
        <f t="shared" si="287"/>
        <v>1.1427500000000002</v>
      </c>
      <c r="S1239" s="121"/>
      <c r="T1239" s="93">
        <f t="shared" si="288"/>
        <v>30.038</v>
      </c>
      <c r="U1239" s="122"/>
      <c r="V1239" s="94">
        <f t="shared" ca="1" si="289"/>
        <v>344.4644447916653</v>
      </c>
      <c r="W1239" s="89"/>
    </row>
    <row r="1240" spans="1:23" s="312" customFormat="1" ht="18">
      <c r="A1240" s="260"/>
      <c r="B1240" s="260" t="s">
        <v>1194</v>
      </c>
      <c r="C1240" s="130" t="s">
        <v>53</v>
      </c>
      <c r="D1240" s="365" t="s">
        <v>2899</v>
      </c>
      <c r="E1240" s="373">
        <v>742</v>
      </c>
      <c r="F1240" s="138">
        <v>45282</v>
      </c>
      <c r="G1240" s="372">
        <v>32.799999999999997</v>
      </c>
      <c r="H1240" s="374"/>
      <c r="I1240" s="106">
        <f t="shared" si="284"/>
        <v>0</v>
      </c>
      <c r="J1240" s="122"/>
      <c r="K1240" s="157"/>
      <c r="L1240" s="166">
        <f t="shared" si="259"/>
        <v>742</v>
      </c>
      <c r="M1240" s="119"/>
      <c r="N1240" s="135"/>
      <c r="O1240" s="122"/>
      <c r="P1240" s="92">
        <f t="shared" si="285"/>
        <v>30.175999999999998</v>
      </c>
      <c r="Q1240" s="113">
        <f t="shared" si="286"/>
        <v>1.4759999999999998</v>
      </c>
      <c r="R1240" s="92">
        <f t="shared" si="287"/>
        <v>1.1479999999999999</v>
      </c>
      <c r="S1240" s="121"/>
      <c r="T1240" s="93">
        <f t="shared" si="288"/>
        <v>30.175999999999998</v>
      </c>
      <c r="U1240" s="122"/>
      <c r="V1240" s="94">
        <f t="shared" ca="1" si="289"/>
        <v>344.4644447916653</v>
      </c>
      <c r="W1240" s="89"/>
    </row>
    <row r="1241" spans="1:23" s="312" customFormat="1" ht="18">
      <c r="A1241" s="260"/>
      <c r="B1241" s="260" t="s">
        <v>1194</v>
      </c>
      <c r="C1241" s="130" t="str">
        <f>+C1240</f>
        <v>HT-125X125</v>
      </c>
      <c r="D1241" s="370" t="str">
        <f>+D1240</f>
        <v>OS0022003041</v>
      </c>
      <c r="E1241" s="373">
        <v>743</v>
      </c>
      <c r="F1241" s="138">
        <v>45282</v>
      </c>
      <c r="G1241" s="338">
        <v>32.799999999999997</v>
      </c>
      <c r="H1241" s="374"/>
      <c r="I1241" s="106">
        <f t="shared" si="278"/>
        <v>0</v>
      </c>
      <c r="J1241" s="122"/>
      <c r="K1241" s="157"/>
      <c r="L1241" s="166">
        <f t="shared" si="259"/>
        <v>743</v>
      </c>
      <c r="M1241" s="119"/>
      <c r="N1241" s="135"/>
      <c r="O1241" s="122"/>
      <c r="P1241" s="92">
        <f t="shared" si="279"/>
        <v>30.175999999999998</v>
      </c>
      <c r="Q1241" s="113">
        <f t="shared" si="280"/>
        <v>1.4759999999999998</v>
      </c>
      <c r="R1241" s="92">
        <f t="shared" si="281"/>
        <v>1.1479999999999999</v>
      </c>
      <c r="S1241" s="121"/>
      <c r="T1241" s="93">
        <f t="shared" si="282"/>
        <v>30.175999999999998</v>
      </c>
      <c r="U1241" s="122"/>
      <c r="V1241" s="94">
        <f t="shared" ca="1" si="283"/>
        <v>344.4644447916653</v>
      </c>
      <c r="W1241" s="89"/>
    </row>
    <row r="1242" spans="1:23" s="312" customFormat="1" ht="18">
      <c r="A1242" s="260"/>
      <c r="B1242" s="260" t="s">
        <v>1194</v>
      </c>
      <c r="C1242" s="130" t="s">
        <v>53</v>
      </c>
      <c r="D1242" s="365" t="s">
        <v>2900</v>
      </c>
      <c r="E1242" s="373">
        <v>744</v>
      </c>
      <c r="F1242" s="138">
        <v>45282</v>
      </c>
      <c r="G1242" s="372">
        <v>32.549999999999997</v>
      </c>
      <c r="H1242" s="374"/>
      <c r="I1242" s="106">
        <f t="shared" si="278"/>
        <v>0</v>
      </c>
      <c r="J1242" s="122"/>
      <c r="K1242" s="157"/>
      <c r="L1242" s="166">
        <f t="shared" si="259"/>
        <v>744</v>
      </c>
      <c r="M1242" s="119"/>
      <c r="N1242" s="135"/>
      <c r="O1242" s="122"/>
      <c r="P1242" s="92">
        <f t="shared" si="279"/>
        <v>29.945999999999998</v>
      </c>
      <c r="Q1242" s="113">
        <f t="shared" si="280"/>
        <v>1.4647499999999998</v>
      </c>
      <c r="R1242" s="92">
        <f t="shared" si="281"/>
        <v>1.1392500000000001</v>
      </c>
      <c r="S1242" s="121"/>
      <c r="T1242" s="93">
        <f t="shared" si="282"/>
        <v>29.945999999999998</v>
      </c>
      <c r="U1242" s="122"/>
      <c r="V1242" s="94">
        <f t="shared" ca="1" si="283"/>
        <v>344.4644447916653</v>
      </c>
      <c r="W1242" s="89"/>
    </row>
    <row r="1243" spans="1:23" s="312" customFormat="1" ht="18">
      <c r="A1243" s="260"/>
      <c r="B1243" s="260" t="s">
        <v>1194</v>
      </c>
      <c r="C1243" s="130" t="str">
        <f>+C1242</f>
        <v>HT-125X125</v>
      </c>
      <c r="D1243" s="370" t="str">
        <f>+D1242</f>
        <v>OS0022003042</v>
      </c>
      <c r="E1243" s="373">
        <v>745</v>
      </c>
      <c r="F1243" s="138">
        <v>45282</v>
      </c>
      <c r="G1243" s="338">
        <v>32.549999999999997</v>
      </c>
      <c r="H1243" s="374"/>
      <c r="I1243" s="106">
        <f t="shared" si="278"/>
        <v>0</v>
      </c>
      <c r="J1243" s="122"/>
      <c r="K1243" s="157"/>
      <c r="L1243" s="166">
        <f t="shared" si="259"/>
        <v>745</v>
      </c>
      <c r="M1243" s="119"/>
      <c r="N1243" s="135"/>
      <c r="O1243" s="122"/>
      <c r="P1243" s="92">
        <f t="shared" si="279"/>
        <v>29.945999999999998</v>
      </c>
      <c r="Q1243" s="113">
        <f t="shared" si="280"/>
        <v>1.4647499999999998</v>
      </c>
      <c r="R1243" s="92">
        <f t="shared" si="281"/>
        <v>1.1392500000000001</v>
      </c>
      <c r="S1243" s="121"/>
      <c r="T1243" s="93">
        <f t="shared" si="282"/>
        <v>29.945999999999998</v>
      </c>
      <c r="U1243" s="122"/>
      <c r="V1243" s="94">
        <f t="shared" ca="1" si="283"/>
        <v>344.4644447916653</v>
      </c>
      <c r="W1243" s="89"/>
    </row>
    <row r="1244" spans="1:23" s="312" customFormat="1" ht="18">
      <c r="A1244" s="260"/>
      <c r="B1244" s="260" t="s">
        <v>1194</v>
      </c>
      <c r="C1244" s="130" t="s">
        <v>53</v>
      </c>
      <c r="D1244" s="365" t="s">
        <v>2901</v>
      </c>
      <c r="E1244" s="361">
        <v>748</v>
      </c>
      <c r="F1244" s="138">
        <v>45282</v>
      </c>
      <c r="G1244" s="372">
        <v>32.25</v>
      </c>
      <c r="H1244" s="374"/>
      <c r="I1244" s="106">
        <f t="shared" si="278"/>
        <v>0</v>
      </c>
      <c r="J1244" s="122"/>
      <c r="K1244" s="157"/>
      <c r="L1244" s="166">
        <f t="shared" si="259"/>
        <v>748</v>
      </c>
      <c r="M1244" s="119"/>
      <c r="N1244" s="135"/>
      <c r="O1244" s="122"/>
      <c r="P1244" s="92">
        <f t="shared" si="279"/>
        <v>29.67</v>
      </c>
      <c r="Q1244" s="113">
        <f t="shared" si="280"/>
        <v>1.4512499999999999</v>
      </c>
      <c r="R1244" s="92">
        <f t="shared" si="281"/>
        <v>1.1287500000000001</v>
      </c>
      <c r="S1244" s="121"/>
      <c r="T1244" s="93">
        <f t="shared" si="282"/>
        <v>29.669999999999998</v>
      </c>
      <c r="U1244" s="122"/>
      <c r="V1244" s="94">
        <f t="shared" ca="1" si="283"/>
        <v>344.4644447916653</v>
      </c>
      <c r="W1244" s="89"/>
    </row>
    <row r="1245" spans="1:23" s="312" customFormat="1" ht="18">
      <c r="A1245" s="260"/>
      <c r="B1245" s="260" t="s">
        <v>1194</v>
      </c>
      <c r="C1245" s="130" t="str">
        <f>+C1244</f>
        <v>HT-125X125</v>
      </c>
      <c r="D1245" s="370" t="str">
        <f>+D1244</f>
        <v>OS0022003038</v>
      </c>
      <c r="E1245" s="361">
        <v>749</v>
      </c>
      <c r="F1245" s="138">
        <v>45282</v>
      </c>
      <c r="G1245" s="338">
        <v>32.25</v>
      </c>
      <c r="H1245" s="374"/>
      <c r="I1245" s="106">
        <f t="shared" si="278"/>
        <v>0</v>
      </c>
      <c r="J1245" s="122"/>
      <c r="K1245" s="157"/>
      <c r="L1245" s="166">
        <f t="shared" si="259"/>
        <v>749</v>
      </c>
      <c r="M1245" s="119"/>
      <c r="N1245" s="135"/>
      <c r="O1245" s="122"/>
      <c r="P1245" s="92">
        <f t="shared" si="279"/>
        <v>29.67</v>
      </c>
      <c r="Q1245" s="113">
        <f t="shared" si="280"/>
        <v>1.4512499999999999</v>
      </c>
      <c r="R1245" s="92">
        <f t="shared" si="281"/>
        <v>1.1287500000000001</v>
      </c>
      <c r="S1245" s="121"/>
      <c r="T1245" s="93">
        <f t="shared" si="282"/>
        <v>29.669999999999998</v>
      </c>
      <c r="U1245" s="122"/>
      <c r="V1245" s="94">
        <f t="shared" ca="1" si="283"/>
        <v>344.4644447916653</v>
      </c>
      <c r="W1245" s="89"/>
    </row>
    <row r="1246" spans="1:23" s="312" customFormat="1" ht="18">
      <c r="A1246" s="260"/>
      <c r="B1246" s="260" t="s">
        <v>1194</v>
      </c>
      <c r="C1246" s="130" t="s">
        <v>52</v>
      </c>
      <c r="D1246" s="365" t="s">
        <v>2902</v>
      </c>
      <c r="E1246" s="361">
        <v>746</v>
      </c>
      <c r="F1246" s="138">
        <v>45282</v>
      </c>
      <c r="G1246" s="372">
        <v>31.8</v>
      </c>
      <c r="H1246" s="374"/>
      <c r="I1246" s="106">
        <f t="shared" si="278"/>
        <v>0</v>
      </c>
      <c r="J1246" s="122"/>
      <c r="K1246" s="157"/>
      <c r="L1246" s="166">
        <f t="shared" si="259"/>
        <v>746</v>
      </c>
      <c r="M1246" s="119"/>
      <c r="N1246" s="135"/>
      <c r="O1246" s="122"/>
      <c r="P1246" s="92">
        <f t="shared" si="279"/>
        <v>29.256</v>
      </c>
      <c r="Q1246" s="113">
        <f t="shared" si="280"/>
        <v>1.431</v>
      </c>
      <c r="R1246" s="92">
        <f t="shared" si="281"/>
        <v>1.1130000000000002</v>
      </c>
      <c r="S1246" s="121"/>
      <c r="T1246" s="93">
        <f t="shared" si="282"/>
        <v>29.256</v>
      </c>
      <c r="U1246" s="122"/>
      <c r="V1246" s="94">
        <f t="shared" ca="1" si="283"/>
        <v>344.4644447916653</v>
      </c>
      <c r="W1246" s="89"/>
    </row>
    <row r="1247" spans="1:23" s="312" customFormat="1" ht="18">
      <c r="A1247" s="260"/>
      <c r="B1247" s="260" t="s">
        <v>1194</v>
      </c>
      <c r="C1247" s="130" t="str">
        <f>+C1246</f>
        <v>MS-125X125</v>
      </c>
      <c r="D1247" s="370" t="str">
        <f>+D1246</f>
        <v>OS0022003046</v>
      </c>
      <c r="E1247" s="361">
        <v>747</v>
      </c>
      <c r="F1247" s="138">
        <v>45282</v>
      </c>
      <c r="G1247" s="338">
        <v>31.8</v>
      </c>
      <c r="H1247" s="374"/>
      <c r="I1247" s="106">
        <f t="shared" si="278"/>
        <v>0</v>
      </c>
      <c r="J1247" s="122"/>
      <c r="K1247" s="157"/>
      <c r="L1247" s="166">
        <f t="shared" si="259"/>
        <v>747</v>
      </c>
      <c r="M1247" s="119"/>
      <c r="N1247" s="135"/>
      <c r="O1247" s="122"/>
      <c r="P1247" s="92">
        <f t="shared" si="279"/>
        <v>29.256</v>
      </c>
      <c r="Q1247" s="113">
        <f t="shared" si="280"/>
        <v>1.431</v>
      </c>
      <c r="R1247" s="92">
        <f t="shared" si="281"/>
        <v>1.1130000000000002</v>
      </c>
      <c r="S1247" s="121"/>
      <c r="T1247" s="93">
        <f t="shared" si="282"/>
        <v>29.256</v>
      </c>
      <c r="U1247" s="122"/>
      <c r="V1247" s="94">
        <f t="shared" ca="1" si="283"/>
        <v>344.4644447916653</v>
      </c>
      <c r="W1247" s="89"/>
    </row>
    <row r="1248" spans="1:23" s="312" customFormat="1" ht="18.75">
      <c r="A1248" s="260"/>
      <c r="B1248" s="260"/>
      <c r="C1248" s="175"/>
      <c r="D1248" s="131"/>
      <c r="E1248" s="269"/>
      <c r="F1248" s="263"/>
      <c r="G1248" s="268"/>
      <c r="H1248" s="90"/>
      <c r="I1248" s="106" t="e">
        <f t="shared" si="278"/>
        <v>#DIV/0!</v>
      </c>
      <c r="J1248" s="122"/>
      <c r="K1248" s="157"/>
      <c r="L1248" s="115"/>
      <c r="M1248" s="119"/>
      <c r="N1248" s="135"/>
      <c r="O1248" s="122"/>
      <c r="P1248" s="92">
        <f t="shared" si="279"/>
        <v>0</v>
      </c>
      <c r="Q1248" s="113">
        <f t="shared" si="280"/>
        <v>0</v>
      </c>
      <c r="R1248" s="92">
        <f t="shared" si="281"/>
        <v>0</v>
      </c>
      <c r="S1248" s="121"/>
      <c r="T1248" s="93">
        <f t="shared" si="282"/>
        <v>0</v>
      </c>
      <c r="U1248" s="122"/>
      <c r="V1248" s="94">
        <f t="shared" ca="1" si="283"/>
        <v>-44937.535555208335</v>
      </c>
      <c r="W1248" s="89"/>
    </row>
    <row r="1249" spans="1:23" s="312" customFormat="1" ht="18.75">
      <c r="A1249" s="260"/>
      <c r="B1249" s="260" t="s">
        <v>1194</v>
      </c>
      <c r="C1249" s="130" t="s">
        <v>52</v>
      </c>
      <c r="D1249" s="131"/>
      <c r="E1249" s="269"/>
      <c r="F1249" s="263"/>
      <c r="G1249" s="268"/>
      <c r="H1249" s="90"/>
      <c r="I1249" s="106" t="e">
        <f t="shared" si="278"/>
        <v>#DIV/0!</v>
      </c>
      <c r="J1249" s="122"/>
      <c r="K1249" s="157"/>
      <c r="L1249" s="166">
        <f t="shared" si="259"/>
        <v>0</v>
      </c>
      <c r="M1249" s="119"/>
      <c r="N1249" s="135"/>
      <c r="O1249" s="122"/>
      <c r="P1249" s="92">
        <f t="shared" si="279"/>
        <v>0</v>
      </c>
      <c r="Q1249" s="113">
        <f t="shared" si="280"/>
        <v>0</v>
      </c>
      <c r="R1249" s="92">
        <f t="shared" si="281"/>
        <v>0</v>
      </c>
      <c r="S1249" s="121"/>
      <c r="T1249" s="93">
        <f t="shared" si="282"/>
        <v>0</v>
      </c>
      <c r="U1249" s="122"/>
      <c r="V1249" s="94">
        <f t="shared" ca="1" si="283"/>
        <v>-44937.535555208335</v>
      </c>
      <c r="W1249" s="89"/>
    </row>
    <row r="1250" spans="1:23" s="312" customFormat="1" ht="18.75">
      <c r="A1250" s="260"/>
      <c r="B1250" s="260" t="s">
        <v>1194</v>
      </c>
      <c r="C1250" s="130" t="s">
        <v>52</v>
      </c>
      <c r="D1250" s="131"/>
      <c r="E1250" s="269"/>
      <c r="F1250" s="263"/>
      <c r="G1250" s="268"/>
      <c r="H1250" s="90"/>
      <c r="I1250" s="106" t="e">
        <f t="shared" si="278"/>
        <v>#DIV/0!</v>
      </c>
      <c r="J1250" s="122"/>
      <c r="K1250" s="157"/>
      <c r="L1250" s="166">
        <f t="shared" si="259"/>
        <v>0</v>
      </c>
      <c r="M1250" s="119"/>
      <c r="N1250" s="135"/>
      <c r="O1250" s="122"/>
      <c r="P1250" s="92">
        <f t="shared" si="279"/>
        <v>0</v>
      </c>
      <c r="Q1250" s="113">
        <f t="shared" si="280"/>
        <v>0</v>
      </c>
      <c r="R1250" s="92">
        <f t="shared" si="281"/>
        <v>0</v>
      </c>
      <c r="S1250" s="121"/>
      <c r="T1250" s="93">
        <f t="shared" si="282"/>
        <v>0</v>
      </c>
      <c r="U1250" s="122"/>
      <c r="V1250" s="94">
        <f t="shared" ca="1" si="283"/>
        <v>-44937.535555208335</v>
      </c>
      <c r="W1250" s="89"/>
    </row>
    <row r="1251" spans="1:23" s="312" customFormat="1" ht="18.75">
      <c r="A1251" s="260"/>
      <c r="B1251" s="260" t="s">
        <v>1194</v>
      </c>
      <c r="C1251" s="130" t="s">
        <v>52</v>
      </c>
      <c r="D1251" s="131"/>
      <c r="E1251" s="269"/>
      <c r="F1251" s="263"/>
      <c r="G1251" s="268"/>
      <c r="H1251" s="90"/>
      <c r="I1251" s="106" t="e">
        <f t="shared" si="278"/>
        <v>#DIV/0!</v>
      </c>
      <c r="J1251" s="122"/>
      <c r="K1251" s="157"/>
      <c r="L1251" s="166">
        <f t="shared" si="259"/>
        <v>0</v>
      </c>
      <c r="M1251" s="119"/>
      <c r="N1251" s="135"/>
      <c r="O1251" s="122"/>
      <c r="P1251" s="92">
        <f t="shared" si="279"/>
        <v>0</v>
      </c>
      <c r="Q1251" s="113">
        <f t="shared" si="280"/>
        <v>0</v>
      </c>
      <c r="R1251" s="92">
        <f t="shared" si="281"/>
        <v>0</v>
      </c>
      <c r="S1251" s="121"/>
      <c r="T1251" s="93">
        <f t="shared" si="282"/>
        <v>0</v>
      </c>
      <c r="U1251" s="122"/>
      <c r="V1251" s="94">
        <f ca="1">360-($V$3-F1251)</f>
        <v>-44937.535555208335</v>
      </c>
      <c r="W1251" s="89"/>
    </row>
    <row r="1252" spans="1:23" s="312" customFormat="1" ht="18.75">
      <c r="A1252" s="260"/>
      <c r="B1252" s="260" t="s">
        <v>1194</v>
      </c>
      <c r="C1252" s="130" t="s">
        <v>52</v>
      </c>
      <c r="D1252" s="131"/>
      <c r="E1252" s="269"/>
      <c r="F1252" s="263"/>
      <c r="G1252" s="268"/>
      <c r="H1252" s="90"/>
      <c r="I1252" s="106" t="e">
        <f t="shared" si="277"/>
        <v>#DIV/0!</v>
      </c>
      <c r="J1252" s="122"/>
      <c r="K1252" s="157"/>
      <c r="L1252" s="166">
        <f t="shared" si="259"/>
        <v>0</v>
      </c>
      <c r="M1252" s="119"/>
      <c r="N1252" s="135"/>
      <c r="O1252" s="122"/>
      <c r="P1252" s="92">
        <f t="shared" si="253"/>
        <v>0</v>
      </c>
      <c r="Q1252" s="113">
        <f t="shared" si="254"/>
        <v>0</v>
      </c>
      <c r="R1252" s="92">
        <f t="shared" si="255"/>
        <v>0</v>
      </c>
      <c r="S1252" s="121"/>
      <c r="T1252" s="93">
        <f t="shared" si="256"/>
        <v>0</v>
      </c>
      <c r="U1252" s="122"/>
      <c r="V1252" s="94">
        <f t="shared" ca="1" si="257"/>
        <v>-44937.535555208335</v>
      </c>
      <c r="W1252" s="89"/>
    </row>
    <row r="1253" spans="1:23" s="312" customFormat="1" ht="18.75">
      <c r="A1253" s="260"/>
      <c r="B1253" s="260" t="s">
        <v>1194</v>
      </c>
      <c r="C1253" s="130" t="s">
        <v>52</v>
      </c>
      <c r="D1253" s="131"/>
      <c r="E1253" s="269"/>
      <c r="F1253" s="263"/>
      <c r="G1253" s="268"/>
      <c r="H1253" s="90"/>
      <c r="I1253" s="106" t="e">
        <f t="shared" si="277"/>
        <v>#DIV/0!</v>
      </c>
      <c r="J1253" s="122"/>
      <c r="K1253" s="157"/>
      <c r="L1253" s="166">
        <f t="shared" si="259"/>
        <v>0</v>
      </c>
      <c r="M1253" s="119"/>
      <c r="N1253" s="135"/>
      <c r="O1253" s="122"/>
      <c r="P1253" s="92">
        <f t="shared" si="253"/>
        <v>0</v>
      </c>
      <c r="Q1253" s="113">
        <f t="shared" si="254"/>
        <v>0</v>
      </c>
      <c r="R1253" s="92">
        <f t="shared" si="255"/>
        <v>0</v>
      </c>
      <c r="S1253" s="121"/>
      <c r="T1253" s="93">
        <f t="shared" si="256"/>
        <v>0</v>
      </c>
      <c r="U1253" s="122"/>
      <c r="V1253" s="94">
        <f t="shared" ca="1" si="257"/>
        <v>-44937.535555208335</v>
      </c>
      <c r="W1253" s="89"/>
    </row>
    <row r="1254" spans="1:23" s="312" customFormat="1" ht="18.75">
      <c r="A1254" s="260"/>
      <c r="B1254" s="260" t="s">
        <v>1194</v>
      </c>
      <c r="C1254" s="130" t="s">
        <v>52</v>
      </c>
      <c r="D1254" s="131"/>
      <c r="E1254" s="269"/>
      <c r="F1254" s="263"/>
      <c r="G1254" s="268"/>
      <c r="H1254" s="90"/>
      <c r="I1254" s="106" t="e">
        <f t="shared" si="277"/>
        <v>#DIV/0!</v>
      </c>
      <c r="J1254" s="122"/>
      <c r="K1254" s="157"/>
      <c r="L1254" s="166">
        <f t="shared" si="259"/>
        <v>0</v>
      </c>
      <c r="M1254" s="119"/>
      <c r="N1254" s="135"/>
      <c r="O1254" s="122"/>
      <c r="P1254" s="92">
        <f t="shared" si="253"/>
        <v>0</v>
      </c>
      <c r="Q1254" s="113">
        <f t="shared" si="254"/>
        <v>0</v>
      </c>
      <c r="R1254" s="92">
        <f t="shared" si="255"/>
        <v>0</v>
      </c>
      <c r="S1254" s="121"/>
      <c r="T1254" s="93">
        <f t="shared" si="256"/>
        <v>0</v>
      </c>
      <c r="U1254" s="122"/>
      <c r="V1254" s="94">
        <f t="shared" ca="1" si="257"/>
        <v>-44937.535555208335</v>
      </c>
      <c r="W1254" s="89"/>
    </row>
    <row r="1255" spans="1:23" s="312" customFormat="1" ht="18.75">
      <c r="A1255" s="260"/>
      <c r="B1255" s="260"/>
      <c r="C1255" s="175"/>
      <c r="D1255" s="131"/>
      <c r="E1255" s="269"/>
      <c r="F1255" s="263"/>
      <c r="G1255" s="268"/>
      <c r="H1255" s="90"/>
      <c r="I1255" s="106" t="e">
        <f t="shared" si="277"/>
        <v>#DIV/0!</v>
      </c>
      <c r="J1255" s="122"/>
      <c r="K1255" s="157"/>
      <c r="L1255" s="115"/>
      <c r="M1255" s="119"/>
      <c r="N1255" s="135"/>
      <c r="O1255" s="122"/>
      <c r="P1255" s="92">
        <f t="shared" si="253"/>
        <v>0</v>
      </c>
      <c r="Q1255" s="113">
        <f t="shared" si="254"/>
        <v>0</v>
      </c>
      <c r="R1255" s="92">
        <f t="shared" si="255"/>
        <v>0</v>
      </c>
      <c r="S1255" s="121"/>
      <c r="T1255" s="93">
        <f t="shared" si="256"/>
        <v>0</v>
      </c>
      <c r="U1255" s="122"/>
      <c r="V1255" s="94">
        <f t="shared" ca="1" si="257"/>
        <v>-44937.535555208335</v>
      </c>
      <c r="W1255" s="89"/>
    </row>
    <row r="1256" spans="1:23" s="312" customFormat="1" ht="18.75">
      <c r="A1256" s="260"/>
      <c r="B1256" s="260"/>
      <c r="C1256" s="175"/>
      <c r="D1256" s="131"/>
      <c r="E1256" s="269"/>
      <c r="F1256" s="263"/>
      <c r="G1256" s="268"/>
      <c r="H1256" s="90"/>
      <c r="I1256" s="106" t="e">
        <f t="shared" si="277"/>
        <v>#DIV/0!</v>
      </c>
      <c r="J1256" s="122"/>
      <c r="K1256" s="157"/>
      <c r="L1256" s="115"/>
      <c r="M1256" s="119"/>
      <c r="N1256" s="135"/>
      <c r="O1256" s="122"/>
      <c r="P1256" s="92">
        <f t="shared" si="253"/>
        <v>0</v>
      </c>
      <c r="Q1256" s="113">
        <f t="shared" si="254"/>
        <v>0</v>
      </c>
      <c r="R1256" s="92">
        <f t="shared" si="255"/>
        <v>0</v>
      </c>
      <c r="S1256" s="121"/>
      <c r="T1256" s="93">
        <f t="shared" si="256"/>
        <v>0</v>
      </c>
      <c r="U1256" s="122"/>
      <c r="V1256" s="94">
        <f t="shared" ca="1" si="257"/>
        <v>-44937.535555208335</v>
      </c>
      <c r="W1256" s="89"/>
    </row>
    <row r="1257" spans="1:23" s="312" customFormat="1" ht="18.75">
      <c r="A1257" s="260"/>
      <c r="B1257" s="260"/>
      <c r="C1257" s="175"/>
      <c r="D1257" s="131"/>
      <c r="E1257" s="269"/>
      <c r="F1257" s="263"/>
      <c r="G1257" s="268"/>
      <c r="H1257" s="90"/>
      <c r="I1257" s="106" t="e">
        <f t="shared" si="277"/>
        <v>#DIV/0!</v>
      </c>
      <c r="J1257" s="122"/>
      <c r="K1257" s="157"/>
      <c r="L1257" s="115"/>
      <c r="M1257" s="119"/>
      <c r="N1257" s="135"/>
      <c r="O1257" s="122"/>
      <c r="P1257" s="92">
        <f t="shared" si="253"/>
        <v>0</v>
      </c>
      <c r="Q1257" s="113">
        <f t="shared" si="254"/>
        <v>0</v>
      </c>
      <c r="R1257" s="92">
        <f t="shared" si="255"/>
        <v>0</v>
      </c>
      <c r="S1257" s="121"/>
      <c r="T1257" s="93">
        <f t="shared" si="256"/>
        <v>0</v>
      </c>
      <c r="U1257" s="122"/>
      <c r="V1257" s="94">
        <f t="shared" ca="1" si="257"/>
        <v>-44937.535555208335</v>
      </c>
      <c r="W1257" s="89"/>
    </row>
    <row r="1258" spans="1:23" s="312" customFormat="1" ht="18.75">
      <c r="A1258" s="260"/>
      <c r="B1258" s="260"/>
      <c r="C1258" s="175"/>
      <c r="D1258" s="131"/>
      <c r="E1258" s="269"/>
      <c r="F1258" s="263"/>
      <c r="G1258" s="268"/>
      <c r="H1258" s="90"/>
      <c r="I1258" s="106" t="e">
        <f t="shared" si="187"/>
        <v>#DIV/0!</v>
      </c>
      <c r="J1258" s="122"/>
      <c r="K1258" s="157"/>
      <c r="L1258" s="115"/>
      <c r="M1258" s="119"/>
      <c r="N1258" s="135"/>
      <c r="O1258" s="122"/>
      <c r="P1258" s="92">
        <f t="shared" si="188"/>
        <v>0</v>
      </c>
      <c r="Q1258" s="113">
        <f t="shared" si="189"/>
        <v>0</v>
      </c>
      <c r="R1258" s="92">
        <f t="shared" si="190"/>
        <v>0</v>
      </c>
      <c r="S1258" s="121"/>
      <c r="T1258" s="93">
        <f t="shared" si="191"/>
        <v>0</v>
      </c>
      <c r="U1258" s="122"/>
      <c r="V1258" s="94">
        <f t="shared" ca="1" si="192"/>
        <v>-44937.535555208335</v>
      </c>
      <c r="W1258" s="89"/>
    </row>
    <row r="1259" spans="1:23" s="312" customFormat="1" ht="18.75">
      <c r="A1259" s="260"/>
      <c r="B1259" s="260"/>
      <c r="C1259" s="175"/>
      <c r="D1259" s="131"/>
      <c r="E1259" s="269"/>
      <c r="F1259" s="263"/>
      <c r="G1259" s="268"/>
      <c r="H1259" s="90"/>
      <c r="I1259" s="106" t="e">
        <f t="shared" si="187"/>
        <v>#DIV/0!</v>
      </c>
      <c r="J1259" s="122"/>
      <c r="K1259" s="157"/>
      <c r="L1259" s="115"/>
      <c r="M1259" s="119"/>
      <c r="N1259" s="135"/>
      <c r="O1259" s="122"/>
      <c r="P1259" s="92">
        <f t="shared" si="188"/>
        <v>0</v>
      </c>
      <c r="Q1259" s="113">
        <f t="shared" si="189"/>
        <v>0</v>
      </c>
      <c r="R1259" s="92">
        <f t="shared" si="190"/>
        <v>0</v>
      </c>
      <c r="S1259" s="121"/>
      <c r="T1259" s="93">
        <f t="shared" si="191"/>
        <v>0</v>
      </c>
      <c r="U1259" s="122"/>
      <c r="V1259" s="94">
        <f t="shared" ca="1" si="192"/>
        <v>-44937.535555208335</v>
      </c>
      <c r="W1259" s="89"/>
    </row>
    <row r="1260" spans="1:23" ht="18.75">
      <c r="A1260" s="260"/>
      <c r="B1260" s="260"/>
      <c r="C1260" s="175"/>
      <c r="D1260" s="131"/>
      <c r="E1260" s="269"/>
      <c r="F1260" s="263"/>
      <c r="G1260" s="268"/>
      <c r="H1260" s="90"/>
      <c r="I1260" s="106" t="e">
        <f t="shared" si="135"/>
        <v>#DIV/0!</v>
      </c>
      <c r="J1260" s="122"/>
      <c r="K1260" s="157"/>
      <c r="L1260" s="115"/>
      <c r="M1260" s="119"/>
      <c r="N1260" s="135"/>
      <c r="O1260" s="122"/>
      <c r="P1260" s="92">
        <f t="shared" si="98"/>
        <v>0</v>
      </c>
      <c r="Q1260" s="113">
        <f t="shared" si="99"/>
        <v>0</v>
      </c>
      <c r="R1260" s="92">
        <f t="shared" si="100"/>
        <v>0</v>
      </c>
      <c r="S1260" s="121"/>
      <c r="T1260" s="93">
        <f t="shared" si="101"/>
        <v>0</v>
      </c>
      <c r="U1260" s="122"/>
      <c r="V1260" s="94">
        <f t="shared" ca="1" si="143"/>
        <v>-44937.535555208335</v>
      </c>
      <c r="W1260" s="89"/>
    </row>
    <row r="1261" spans="1:23" ht="18.75">
      <c r="A1261" s="115"/>
      <c r="B1261" s="260"/>
      <c r="C1261" s="175"/>
      <c r="D1261" s="131"/>
      <c r="E1261" s="124"/>
      <c r="F1261" s="97"/>
      <c r="G1261" s="126"/>
      <c r="H1261" s="116"/>
      <c r="I1261" s="106" t="e">
        <f t="shared" si="88"/>
        <v>#DIV/0!</v>
      </c>
      <c r="J1261" s="122"/>
      <c r="K1261" s="157"/>
      <c r="L1261" s="115"/>
      <c r="M1261" s="119"/>
      <c r="N1261" s="135"/>
      <c r="O1261" s="122"/>
      <c r="P1261" s="92">
        <f t="shared" si="98"/>
        <v>0</v>
      </c>
      <c r="Q1261" s="113">
        <f t="shared" si="99"/>
        <v>0</v>
      </c>
      <c r="R1261" s="92">
        <f t="shared" si="100"/>
        <v>0</v>
      </c>
      <c r="S1261" s="121"/>
      <c r="T1261" s="93">
        <f t="shared" si="101"/>
        <v>0</v>
      </c>
      <c r="U1261" s="122"/>
      <c r="V1261" s="94">
        <f t="shared" ca="1" si="143"/>
        <v>-44937.535555208335</v>
      </c>
      <c r="W1261" s="89">
        <f t="shared" si="94"/>
        <v>0</v>
      </c>
    </row>
    <row r="1262" spans="1:23" ht="18.75">
      <c r="A1262" s="115"/>
      <c r="B1262" s="260"/>
      <c r="C1262" s="175"/>
      <c r="D1262" s="123"/>
      <c r="E1262" s="124"/>
      <c r="F1262" s="125"/>
      <c r="G1262" s="126"/>
      <c r="H1262" s="116"/>
      <c r="I1262" s="106" t="e">
        <f t="shared" si="52"/>
        <v>#DIV/0!</v>
      </c>
      <c r="J1262" s="122"/>
      <c r="K1262" s="157"/>
      <c r="L1262" s="115"/>
      <c r="M1262" s="119"/>
      <c r="N1262" s="135"/>
      <c r="O1262" s="122"/>
      <c r="P1262" s="92">
        <f t="shared" si="98"/>
        <v>0</v>
      </c>
      <c r="Q1262" s="113">
        <f t="shared" si="99"/>
        <v>0</v>
      </c>
      <c r="R1262" s="92">
        <f t="shared" si="100"/>
        <v>0</v>
      </c>
      <c r="S1262" s="121"/>
      <c r="T1262" s="93">
        <f t="shared" si="101"/>
        <v>0</v>
      </c>
      <c r="U1262" s="122"/>
      <c r="V1262" s="94">
        <f t="shared" ca="1" si="143"/>
        <v>-44937.535555208335</v>
      </c>
      <c r="W1262" s="89">
        <f t="shared" si="87"/>
        <v>0</v>
      </c>
    </row>
    <row r="1263" spans="1:23" ht="18.75">
      <c r="A1263" s="103"/>
      <c r="B1263" s="103"/>
      <c r="C1263" s="103"/>
      <c r="D1263" s="110"/>
      <c r="E1263" s="104"/>
      <c r="F1263" s="111"/>
      <c r="G1263" s="102">
        <f>SUM(G5:G1262)</f>
        <v>37613.458000000079</v>
      </c>
      <c r="H1263" s="103"/>
      <c r="I1263" s="103"/>
      <c r="J1263" s="103"/>
      <c r="K1263" s="188"/>
      <c r="L1263" s="103"/>
      <c r="M1263" s="101"/>
      <c r="N1263" s="102">
        <f>SUM(N5:N1262)</f>
        <v>32665.871999999948</v>
      </c>
      <c r="O1263" s="103"/>
      <c r="P1263" s="102">
        <f>SUM(P5:P1262)</f>
        <v>31331.95392</v>
      </c>
      <c r="Q1263" s="102">
        <f>SUM(Q5:Q1262)</f>
        <v>1525.3683550000042</v>
      </c>
      <c r="R1263" s="102">
        <f>SUM(R5:R1262)</f>
        <v>1186.3655649999976</v>
      </c>
      <c r="S1263" s="112"/>
      <c r="T1263" s="102">
        <f>SUM(T5:T1262)</f>
        <v>2235.8520800000001</v>
      </c>
      <c r="U1263" s="103"/>
      <c r="V1263" s="105"/>
      <c r="W1263" s="102">
        <f>SUM(W5:W1262)</f>
        <v>-4.0869565217908545E-3</v>
      </c>
    </row>
    <row r="1264" spans="1:23" ht="18">
      <c r="C1264" s="85"/>
    </row>
    <row r="1265" spans="3:20" ht="18">
      <c r="C1265" s="85"/>
    </row>
    <row r="1266" spans="3:20" ht="18">
      <c r="C1266" s="85"/>
      <c r="Q1266" s="69"/>
      <c r="T1266" s="69"/>
    </row>
    <row r="1267" spans="3:20" ht="18">
      <c r="C1267" s="85"/>
      <c r="Q1267" s="69"/>
      <c r="T1267" s="69"/>
    </row>
    <row r="1268" spans="3:20" ht="18">
      <c r="C1268" s="85"/>
      <c r="Q1268" s="69"/>
      <c r="T1268" s="69"/>
    </row>
    <row r="1269" spans="3:20" ht="18">
      <c r="C1269" s="85"/>
      <c r="Q1269" s="69"/>
      <c r="T1269" s="69"/>
    </row>
    <row r="1270" spans="3:20" ht="18">
      <c r="C1270" s="85"/>
      <c r="Q1270" s="69"/>
      <c r="T1270" s="69"/>
    </row>
    <row r="1271" spans="3:20" ht="18">
      <c r="C1271" s="85"/>
      <c r="Q1271" s="69"/>
      <c r="T1271" s="69"/>
    </row>
    <row r="1272" spans="3:20" ht="18">
      <c r="C1272" s="85"/>
      <c r="Q1272" s="69"/>
      <c r="T1272" s="69"/>
    </row>
    <row r="1273" spans="3:20" ht="18">
      <c r="C1273" s="85"/>
      <c r="Q1273" s="69"/>
      <c r="T1273" s="69"/>
    </row>
    <row r="1274" spans="3:20" ht="18">
      <c r="C1274" s="85"/>
      <c r="Q1274" s="69"/>
      <c r="T1274" s="69"/>
    </row>
    <row r="1275" spans="3:20" ht="18">
      <c r="C1275" s="85"/>
      <c r="Q1275" s="69"/>
      <c r="T1275" s="69"/>
    </row>
    <row r="1276" spans="3:20" ht="18">
      <c r="C1276" s="85"/>
      <c r="Q1276" s="69"/>
      <c r="T1276" s="69"/>
    </row>
    <row r="1277" spans="3:20" ht="18">
      <c r="C1277" s="85"/>
      <c r="Q1277" s="69"/>
      <c r="T1277" s="69"/>
    </row>
    <row r="1278" spans="3:20" ht="18">
      <c r="C1278" s="85"/>
      <c r="Q1278" s="69"/>
      <c r="T1278" s="69"/>
    </row>
    <row r="1279" spans="3:20" ht="18">
      <c r="C1279" s="85"/>
      <c r="Q1279" s="69"/>
      <c r="T1279" s="69"/>
    </row>
    <row r="1280" spans="3:20" ht="18">
      <c r="C1280" s="85"/>
      <c r="Q1280" s="69"/>
      <c r="T1280" s="69"/>
    </row>
    <row r="1281" spans="3:20" ht="18">
      <c r="C1281" s="85"/>
      <c r="Q1281" s="69"/>
      <c r="T1281" s="69"/>
    </row>
    <row r="1282" spans="3:20" ht="18">
      <c r="C1282" s="85"/>
      <c r="Q1282" s="69"/>
      <c r="T1282" s="69"/>
    </row>
    <row r="1283" spans="3:20" ht="18">
      <c r="C1283" s="85"/>
      <c r="Q1283" s="69"/>
      <c r="T1283" s="69"/>
    </row>
    <row r="1284" spans="3:20" ht="18">
      <c r="C1284" s="85"/>
      <c r="Q1284" s="69"/>
      <c r="T1284" s="69"/>
    </row>
    <row r="1285" spans="3:20" ht="18">
      <c r="C1285" s="85"/>
      <c r="Q1285" s="69"/>
      <c r="T1285" s="69"/>
    </row>
    <row r="1286" spans="3:20" ht="18">
      <c r="C1286" s="85"/>
      <c r="Q1286" s="69"/>
      <c r="T1286" s="69"/>
    </row>
    <row r="1287" spans="3:20" ht="18">
      <c r="C1287" s="85"/>
      <c r="Q1287" s="69"/>
      <c r="T1287" s="69"/>
    </row>
    <row r="1288" spans="3:20" ht="18">
      <c r="C1288" s="85"/>
      <c r="Q1288" s="69"/>
      <c r="T1288" s="69"/>
    </row>
    <row r="1289" spans="3:20" ht="18">
      <c r="C1289" s="85"/>
      <c r="Q1289" s="69"/>
      <c r="T1289" s="69"/>
    </row>
    <row r="1290" spans="3:20" ht="18">
      <c r="C1290" s="85"/>
      <c r="Q1290" s="69"/>
      <c r="T1290" s="69"/>
    </row>
    <row r="1291" spans="3:20" ht="18">
      <c r="C1291" s="85"/>
      <c r="Q1291" s="69"/>
      <c r="T1291" s="69"/>
    </row>
    <row r="1292" spans="3:20" ht="18">
      <c r="C1292" s="85"/>
      <c r="Q1292" s="69"/>
      <c r="T1292" s="69"/>
    </row>
    <row r="1293" spans="3:20" ht="18">
      <c r="C1293" s="85"/>
      <c r="Q1293" s="69"/>
      <c r="T1293" s="69"/>
    </row>
    <row r="1294" spans="3:20" ht="18">
      <c r="C1294" s="85"/>
      <c r="Q1294" s="69"/>
      <c r="T1294" s="69"/>
    </row>
    <row r="1295" spans="3:20" ht="18">
      <c r="C1295" s="85"/>
      <c r="Q1295" s="69"/>
      <c r="T1295" s="69"/>
    </row>
    <row r="1296" spans="3:20" ht="18">
      <c r="C1296" s="85"/>
      <c r="Q1296" s="69"/>
      <c r="T1296" s="69"/>
    </row>
    <row r="1297" spans="3:20" ht="18">
      <c r="C1297" s="85"/>
      <c r="Q1297" s="69"/>
      <c r="T1297" s="69"/>
    </row>
    <row r="1335" spans="17:22" ht="18">
      <c r="Q1335" s="69"/>
      <c r="T1335" s="69"/>
      <c r="V1335" s="69">
        <v>9</v>
      </c>
    </row>
    <row r="1336" spans="17:22" ht="18">
      <c r="Q1336" s="69"/>
      <c r="T1336" s="69"/>
      <c r="V1336" s="69">
        <v>9</v>
      </c>
    </row>
    <row r="1337" spans="17:22" ht="18">
      <c r="Q1337" s="69"/>
      <c r="T1337" s="69"/>
      <c r="V1337" s="69">
        <v>9</v>
      </c>
    </row>
    <row r="1338" spans="17:22" ht="18">
      <c r="Q1338" s="69"/>
      <c r="T1338" s="69"/>
      <c r="V1338" s="69">
        <v>9</v>
      </c>
    </row>
  </sheetData>
  <sortState ref="A1205:I1220">
    <sortCondition ref="E1205:E1220"/>
  </sortState>
  <mergeCells count="18">
    <mergeCell ref="T296:T297"/>
    <mergeCell ref="S296:S297"/>
    <mergeCell ref="O296:O297"/>
    <mergeCell ref="V296:V297"/>
    <mergeCell ref="U296:U297"/>
    <mergeCell ref="Q296:Q297"/>
    <mergeCell ref="R296:R297"/>
    <mergeCell ref="J296:J297"/>
    <mergeCell ref="L296:L297"/>
    <mergeCell ref="M296:M297"/>
    <mergeCell ref="N296:N297"/>
    <mergeCell ref="P296:P297"/>
    <mergeCell ref="K296:K297"/>
    <mergeCell ref="E296:E297"/>
    <mergeCell ref="F296:F297"/>
    <mergeCell ref="G296:G297"/>
    <mergeCell ref="H296:H297"/>
    <mergeCell ref="I296:I297"/>
  </mergeCells>
  <conditionalFormatting sqref="E958:E971">
    <cfRule type="duplicateValues" dxfId="7" priority="16"/>
  </conditionalFormatting>
  <conditionalFormatting sqref="E972:E986">
    <cfRule type="duplicateValues" dxfId="6" priority="14"/>
  </conditionalFormatting>
  <conditionalFormatting sqref="E987">
    <cfRule type="duplicateValues" dxfId="5" priority="12"/>
  </conditionalFormatting>
  <conditionalFormatting sqref="E988:E1011">
    <cfRule type="duplicateValues" dxfId="4" priority="10"/>
  </conditionalFormatting>
  <conditionalFormatting sqref="E1012:E1022">
    <cfRule type="duplicateValues" dxfId="3" priority="8"/>
  </conditionalFormatting>
  <conditionalFormatting sqref="E1023:E1024">
    <cfRule type="duplicateValues" dxfId="2" priority="6"/>
  </conditionalFormatting>
  <conditionalFormatting sqref="E1025:E1026">
    <cfRule type="duplicateValues" dxfId="1" priority="4"/>
  </conditionalFormatting>
  <conditionalFormatting sqref="E1027:E1028">
    <cfRule type="duplicateValues" dxfId="0" priority="2"/>
  </conditionalFormatting>
  <pageMargins left="0.2" right="0.21" top="0.34" bottom="0.75" header="0.3" footer="0.3"/>
  <pageSetup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A1:Y450"/>
  <sheetViews>
    <sheetView tabSelected="1" zoomScale="75" zoomScaleNormal="75" workbookViewId="0">
      <pane ySplit="4" topLeftCell="A289" activePane="bottomLeft" state="frozen"/>
      <selection pane="bottomLeft" activeCell="L303" sqref="L303"/>
    </sheetView>
  </sheetViews>
  <sheetFormatPr defaultRowHeight="15"/>
  <cols>
    <col min="1" max="1" width="5.42578125" customWidth="1"/>
    <col min="2" max="2" width="14.7109375" bestFit="1" customWidth="1"/>
    <col min="3" max="3" width="14.5703125" bestFit="1" customWidth="1"/>
    <col min="4" max="4" width="18.85546875" bestFit="1" customWidth="1"/>
    <col min="5" max="5" width="9.42578125" customWidth="1"/>
    <col min="6" max="6" width="12.7109375" customWidth="1"/>
    <col min="7" max="7" width="13.85546875" bestFit="1" customWidth="1"/>
    <col min="8" max="8" width="12.85546875" customWidth="1"/>
    <col min="9" max="9" width="9.7109375" customWidth="1"/>
    <col min="10" max="10" width="1.140625" customWidth="1"/>
    <col min="11" max="11" width="23.7109375" customWidth="1"/>
    <col min="12" max="12" width="9.5703125" bestFit="1" customWidth="1"/>
    <col min="13" max="13" width="27.7109375" customWidth="1"/>
    <col min="14" max="14" width="17" bestFit="1" customWidth="1"/>
    <col min="15" max="15" width="1.5703125" customWidth="1"/>
    <col min="16" max="16" width="12.42578125" customWidth="1"/>
    <col min="17" max="17" width="13" customWidth="1"/>
    <col min="18" max="18" width="13.140625" customWidth="1"/>
    <col min="19" max="19" width="1.42578125" customWidth="1"/>
    <col min="20" max="20" width="11.42578125" customWidth="1"/>
    <col min="21" max="21" width="1.5703125" customWidth="1"/>
    <col min="22" max="22" width="17.28515625" bestFit="1" customWidth="1"/>
    <col min="23" max="23" width="15.28515625" bestFit="1" customWidth="1"/>
    <col min="24" max="25" width="9.28515625" bestFit="1" customWidth="1"/>
  </cols>
  <sheetData>
    <row r="1" spans="1:23" ht="15.75" thickBot="1"/>
    <row r="2" spans="1:23" ht="18.75" thickBot="1">
      <c r="V2" s="86" t="s">
        <v>36</v>
      </c>
    </row>
    <row r="3" spans="1:23" ht="18.75" thickBot="1">
      <c r="A3" s="84" t="s">
        <v>147</v>
      </c>
      <c r="V3" s="87">
        <f ca="1">+SUMMARY!C4</f>
        <v>45297.535555208335</v>
      </c>
    </row>
    <row r="4" spans="1:23" ht="72">
      <c r="A4" s="70" t="s">
        <v>40</v>
      </c>
      <c r="B4" s="71" t="s">
        <v>44</v>
      </c>
      <c r="C4" s="71" t="s">
        <v>43</v>
      </c>
      <c r="D4" s="72" t="s">
        <v>7</v>
      </c>
      <c r="E4" s="72" t="s">
        <v>2</v>
      </c>
      <c r="F4" s="72" t="s">
        <v>37</v>
      </c>
      <c r="G4" s="72" t="s">
        <v>3</v>
      </c>
      <c r="H4" s="72" t="s">
        <v>4</v>
      </c>
      <c r="I4" s="73" t="s">
        <v>47</v>
      </c>
      <c r="J4" s="74"/>
      <c r="K4" s="75" t="s">
        <v>46</v>
      </c>
      <c r="L4" s="75" t="s">
        <v>45</v>
      </c>
      <c r="M4" s="76" t="s">
        <v>5</v>
      </c>
      <c r="N4" s="77" t="s">
        <v>6</v>
      </c>
      <c r="O4" s="78"/>
      <c r="P4" s="79" t="s">
        <v>19</v>
      </c>
      <c r="Q4" s="80" t="s">
        <v>11</v>
      </c>
      <c r="R4" s="81" t="s">
        <v>12</v>
      </c>
      <c r="S4" s="74"/>
      <c r="T4" s="82" t="s">
        <v>20</v>
      </c>
      <c r="U4" s="74"/>
      <c r="V4" s="83" t="s">
        <v>9</v>
      </c>
    </row>
    <row r="5" spans="1:23" ht="18">
      <c r="A5" s="66">
        <v>1</v>
      </c>
      <c r="B5" s="108" t="s">
        <v>148</v>
      </c>
      <c r="C5" s="90" t="s">
        <v>55</v>
      </c>
      <c r="D5" s="140" t="s">
        <v>149</v>
      </c>
      <c r="E5" s="66">
        <v>119</v>
      </c>
      <c r="F5" s="97">
        <v>44644</v>
      </c>
      <c r="G5" s="66">
        <v>37.700000000000003</v>
      </c>
      <c r="H5" s="107">
        <v>1941550</v>
      </c>
      <c r="I5" s="106">
        <f>H5/G5</f>
        <v>51499.999999999993</v>
      </c>
      <c r="J5" s="117"/>
      <c r="K5" s="118" t="s">
        <v>249</v>
      </c>
      <c r="L5" s="66">
        <v>119</v>
      </c>
      <c r="M5" s="119" t="s">
        <v>250</v>
      </c>
      <c r="N5" s="148">
        <f>27.627+7.057</f>
        <v>34.683999999999997</v>
      </c>
      <c r="O5" s="117"/>
      <c r="P5" s="92">
        <f>G5*0.92</f>
        <v>34.684000000000005</v>
      </c>
      <c r="Q5" s="113">
        <f>G5*4.5%</f>
        <v>1.6965000000000001</v>
      </c>
      <c r="R5" s="92">
        <f>G5*3.5%</f>
        <v>1.3195000000000001</v>
      </c>
      <c r="S5" s="121"/>
      <c r="T5" s="93">
        <f>G5-N5-Q5-R5</f>
        <v>5.1070259132757201E-15</v>
      </c>
      <c r="U5" s="74"/>
      <c r="V5" s="94">
        <f ca="1">360-($V$3-F5)</f>
        <v>-293.5355552083347</v>
      </c>
      <c r="W5" s="89">
        <f t="shared" ref="W5:W28" si="0">T5/0.92%/100</f>
        <v>5.5511151231257827E-15</v>
      </c>
    </row>
    <row r="6" spans="1:23" ht="18">
      <c r="A6" s="66">
        <v>2</v>
      </c>
      <c r="B6" s="108" t="s">
        <v>148</v>
      </c>
      <c r="C6" s="90" t="s">
        <v>55</v>
      </c>
      <c r="D6" s="140" t="s">
        <v>150</v>
      </c>
      <c r="E6" s="66">
        <v>120</v>
      </c>
      <c r="F6" s="97">
        <v>44645</v>
      </c>
      <c r="G6" s="66">
        <v>39.369999999999997</v>
      </c>
      <c r="H6" s="107">
        <v>1940741</v>
      </c>
      <c r="I6" s="106">
        <f t="shared" ref="I6:I28" si="1">H6/G6</f>
        <v>49294.919989839982</v>
      </c>
      <c r="J6" s="117"/>
      <c r="K6" s="118" t="s">
        <v>251</v>
      </c>
      <c r="L6" s="66">
        <v>120</v>
      </c>
      <c r="M6" s="119" t="s">
        <v>252</v>
      </c>
      <c r="N6" s="148">
        <f>32.431+3.789</f>
        <v>36.22</v>
      </c>
      <c r="O6" s="117"/>
      <c r="P6" s="92">
        <f t="shared" ref="P6:P28" si="2">G6*0.92</f>
        <v>36.220399999999998</v>
      </c>
      <c r="Q6" s="113">
        <f t="shared" ref="Q6:Q28" si="3">G6*4.5%</f>
        <v>1.7716499999999997</v>
      </c>
      <c r="R6" s="92">
        <f t="shared" ref="R6:R28" si="4">G6*3.5%</f>
        <v>1.37795</v>
      </c>
      <c r="S6" s="121"/>
      <c r="T6" s="93">
        <f t="shared" ref="T6:T28" si="5">G6-N6-Q6-R6</f>
        <v>3.9999999999884572E-4</v>
      </c>
      <c r="U6" s="74"/>
      <c r="V6" s="94">
        <f t="shared" ref="V6:V28" ca="1" si="6">360-($V$3-F6)</f>
        <v>-292.5355552083347</v>
      </c>
      <c r="W6" s="89">
        <f t="shared" si="0"/>
        <v>4.3478260869439755E-4</v>
      </c>
    </row>
    <row r="7" spans="1:23" ht="18">
      <c r="A7" s="66">
        <v>3</v>
      </c>
      <c r="B7" s="108" t="s">
        <v>148</v>
      </c>
      <c r="C7" s="90" t="s">
        <v>55</v>
      </c>
      <c r="D7" s="140" t="s">
        <v>151</v>
      </c>
      <c r="E7" s="66">
        <v>121</v>
      </c>
      <c r="F7" s="97">
        <v>44645</v>
      </c>
      <c r="G7" s="66">
        <v>39.33</v>
      </c>
      <c r="H7" s="107">
        <v>2011923</v>
      </c>
      <c r="I7" s="106">
        <f t="shared" si="1"/>
        <v>51154.919908466822</v>
      </c>
      <c r="J7" s="117"/>
      <c r="K7" s="118" t="s">
        <v>253</v>
      </c>
      <c r="L7" s="66">
        <v>121</v>
      </c>
      <c r="M7" s="119" t="s">
        <v>252</v>
      </c>
      <c r="N7" s="148">
        <f>32.279+3.905</f>
        <v>36.184000000000005</v>
      </c>
      <c r="O7" s="117"/>
      <c r="P7" s="92">
        <f t="shared" si="2"/>
        <v>36.183599999999998</v>
      </c>
      <c r="Q7" s="113">
        <f t="shared" si="3"/>
        <v>1.7698499999999999</v>
      </c>
      <c r="R7" s="92">
        <f t="shared" si="4"/>
        <v>1.3765500000000002</v>
      </c>
      <c r="S7" s="121"/>
      <c r="T7" s="93">
        <f t="shared" si="5"/>
        <v>-4.0000000000639524E-4</v>
      </c>
      <c r="U7" s="74"/>
      <c r="V7" s="94">
        <f t="shared" ca="1" si="6"/>
        <v>-292.5355552083347</v>
      </c>
      <c r="W7" s="89">
        <f t="shared" si="0"/>
        <v>-4.3478260870260355E-4</v>
      </c>
    </row>
    <row r="8" spans="1:23" ht="18">
      <c r="A8" s="66">
        <v>4</v>
      </c>
      <c r="B8" s="108" t="s">
        <v>148</v>
      </c>
      <c r="C8" s="90" t="s">
        <v>159</v>
      </c>
      <c r="D8" s="140" t="s">
        <v>152</v>
      </c>
      <c r="E8" s="66">
        <v>122</v>
      </c>
      <c r="F8" s="97">
        <v>44645</v>
      </c>
      <c r="G8" s="66">
        <v>39.630000000000003</v>
      </c>
      <c r="H8" s="107">
        <v>2009817</v>
      </c>
      <c r="I8" s="106">
        <f t="shared" si="1"/>
        <v>50714.534443603327</v>
      </c>
      <c r="J8" s="117"/>
      <c r="K8" s="118" t="s">
        <v>254</v>
      </c>
      <c r="L8" s="66">
        <v>122</v>
      </c>
      <c r="M8" s="119" t="s">
        <v>255</v>
      </c>
      <c r="N8" s="148">
        <f>29.104+7.356</f>
        <v>36.46</v>
      </c>
      <c r="O8" s="117"/>
      <c r="P8" s="92">
        <f t="shared" si="2"/>
        <v>36.459600000000002</v>
      </c>
      <c r="Q8" s="113">
        <f t="shared" si="3"/>
        <v>1.78335</v>
      </c>
      <c r="R8" s="92">
        <f t="shared" si="4"/>
        <v>1.3870500000000001</v>
      </c>
      <c r="S8" s="121"/>
      <c r="T8" s="93">
        <f t="shared" si="5"/>
        <v>-3.9999999999840163E-4</v>
      </c>
      <c r="U8" s="74"/>
      <c r="V8" s="94">
        <f t="shared" ca="1" si="6"/>
        <v>-292.5355552083347</v>
      </c>
      <c r="W8" s="89">
        <f t="shared" si="0"/>
        <v>-4.3478260869391481E-4</v>
      </c>
    </row>
    <row r="9" spans="1:23" ht="18">
      <c r="A9" s="66">
        <v>5</v>
      </c>
      <c r="B9" s="108" t="s">
        <v>148</v>
      </c>
      <c r="C9" s="90" t="s">
        <v>160</v>
      </c>
      <c r="D9" s="140" t="s">
        <v>153</v>
      </c>
      <c r="E9" s="66">
        <v>123</v>
      </c>
      <c r="F9" s="97">
        <v>44645</v>
      </c>
      <c r="G9" s="66">
        <v>39.44</v>
      </c>
      <c r="H9" s="107">
        <v>2025872</v>
      </c>
      <c r="I9" s="106">
        <f t="shared" si="1"/>
        <v>51365.922920892495</v>
      </c>
      <c r="J9" s="117"/>
      <c r="K9" s="118" t="s">
        <v>245</v>
      </c>
      <c r="L9" s="66">
        <v>123</v>
      </c>
      <c r="M9" s="119" t="s">
        <v>244</v>
      </c>
      <c r="N9" s="148">
        <f>32.25+7.19</f>
        <v>39.44</v>
      </c>
      <c r="O9" s="117"/>
      <c r="P9" s="92"/>
      <c r="Q9" s="113"/>
      <c r="R9" s="92"/>
      <c r="S9" s="121"/>
      <c r="T9" s="93">
        <f t="shared" si="5"/>
        <v>0</v>
      </c>
      <c r="U9" s="74"/>
      <c r="V9" s="94">
        <f t="shared" ca="1" si="6"/>
        <v>-292.5355552083347</v>
      </c>
      <c r="W9" s="89">
        <f t="shared" si="0"/>
        <v>0</v>
      </c>
    </row>
    <row r="10" spans="1:23" ht="18">
      <c r="A10" s="66">
        <v>6</v>
      </c>
      <c r="B10" s="108" t="s">
        <v>148</v>
      </c>
      <c r="C10" s="90" t="s">
        <v>161</v>
      </c>
      <c r="D10" s="140" t="s">
        <v>154</v>
      </c>
      <c r="E10" s="66">
        <v>124</v>
      </c>
      <c r="F10" s="97">
        <v>44646</v>
      </c>
      <c r="G10" s="66">
        <v>36.44</v>
      </c>
      <c r="H10" s="107">
        <v>1869372</v>
      </c>
      <c r="I10" s="106">
        <f t="shared" si="1"/>
        <v>51300</v>
      </c>
      <c r="J10" s="117"/>
      <c r="K10" s="118" t="s">
        <v>246</v>
      </c>
      <c r="L10" s="66">
        <v>124</v>
      </c>
      <c r="M10" s="119" t="s">
        <v>238</v>
      </c>
      <c r="N10" s="148">
        <f>25.26+11.18</f>
        <v>36.44</v>
      </c>
      <c r="O10" s="117"/>
      <c r="P10" s="92"/>
      <c r="Q10" s="113"/>
      <c r="R10" s="92"/>
      <c r="S10" s="121"/>
      <c r="T10" s="93">
        <f t="shared" si="5"/>
        <v>0</v>
      </c>
      <c r="U10" s="74"/>
      <c r="V10" s="94">
        <f t="shared" ca="1" si="6"/>
        <v>-291.5355552083347</v>
      </c>
      <c r="W10" s="89">
        <f t="shared" si="0"/>
        <v>0</v>
      </c>
    </row>
    <row r="11" spans="1:23" ht="18">
      <c r="A11" s="66">
        <v>7</v>
      </c>
      <c r="B11" s="108" t="s">
        <v>148</v>
      </c>
      <c r="C11" s="90" t="s">
        <v>161</v>
      </c>
      <c r="D11" s="140" t="s">
        <v>155</v>
      </c>
      <c r="E11" s="66">
        <v>125</v>
      </c>
      <c r="F11" s="97">
        <v>44646</v>
      </c>
      <c r="G11" s="66">
        <v>37.909999999999997</v>
      </c>
      <c r="H11" s="107">
        <v>1944783</v>
      </c>
      <c r="I11" s="106">
        <f t="shared" si="1"/>
        <v>51300.000000000007</v>
      </c>
      <c r="J11" s="117"/>
      <c r="K11" s="118" t="s">
        <v>247</v>
      </c>
      <c r="L11" s="66">
        <v>125</v>
      </c>
      <c r="M11" s="119" t="s">
        <v>238</v>
      </c>
      <c r="N11" s="148">
        <f>21.11+16.8</f>
        <v>37.909999999999997</v>
      </c>
      <c r="O11" s="117"/>
      <c r="P11" s="92"/>
      <c r="Q11" s="113"/>
      <c r="R11" s="92"/>
      <c r="S11" s="121"/>
      <c r="T11" s="93">
        <f t="shared" si="5"/>
        <v>0</v>
      </c>
      <c r="U11" s="74"/>
      <c r="V11" s="94">
        <f t="shared" ca="1" si="6"/>
        <v>-291.5355552083347</v>
      </c>
      <c r="W11" s="89">
        <f t="shared" si="0"/>
        <v>0</v>
      </c>
    </row>
    <row r="12" spans="1:23" ht="18">
      <c r="A12" s="66">
        <v>8</v>
      </c>
      <c r="B12" s="108" t="s">
        <v>148</v>
      </c>
      <c r="C12" s="90" t="s">
        <v>161</v>
      </c>
      <c r="D12" s="140" t="s">
        <v>156</v>
      </c>
      <c r="E12" s="66">
        <v>126</v>
      </c>
      <c r="F12" s="97">
        <v>44646</v>
      </c>
      <c r="G12" s="66">
        <v>37.479999999999997</v>
      </c>
      <c r="H12" s="107">
        <v>1922724</v>
      </c>
      <c r="I12" s="106">
        <f t="shared" si="1"/>
        <v>51300.000000000007</v>
      </c>
      <c r="J12" s="117"/>
      <c r="K12" s="118" t="s">
        <v>248</v>
      </c>
      <c r="L12" s="66">
        <v>126</v>
      </c>
      <c r="M12" s="119" t="s">
        <v>238</v>
      </c>
      <c r="N12" s="148">
        <f>15.62+21.86</f>
        <v>37.479999999999997</v>
      </c>
      <c r="O12" s="117"/>
      <c r="P12" s="92"/>
      <c r="Q12" s="113"/>
      <c r="R12" s="92"/>
      <c r="S12" s="121"/>
      <c r="T12" s="93">
        <f t="shared" si="5"/>
        <v>0</v>
      </c>
      <c r="U12" s="74"/>
      <c r="V12" s="94">
        <f t="shared" ca="1" si="6"/>
        <v>-291.5355552083347</v>
      </c>
      <c r="W12" s="89">
        <f t="shared" si="0"/>
        <v>0</v>
      </c>
    </row>
    <row r="13" spans="1:23" ht="18">
      <c r="A13" s="66">
        <v>9</v>
      </c>
      <c r="B13" s="108" t="s">
        <v>148</v>
      </c>
      <c r="C13" s="90" t="s">
        <v>161</v>
      </c>
      <c r="D13" s="140" t="s">
        <v>157</v>
      </c>
      <c r="E13" s="66">
        <v>127</v>
      </c>
      <c r="F13" s="97">
        <v>44646</v>
      </c>
      <c r="G13" s="66">
        <f>37.75</f>
        <v>37.75</v>
      </c>
      <c r="H13" s="107">
        <v>1936575</v>
      </c>
      <c r="I13" s="106">
        <f>H13/G13</f>
        <v>51300</v>
      </c>
      <c r="J13" s="117"/>
      <c r="K13" s="118" t="s">
        <v>299</v>
      </c>
      <c r="L13" s="66">
        <v>127</v>
      </c>
      <c r="M13" s="119" t="s">
        <v>300</v>
      </c>
      <c r="N13" s="148">
        <f>10.25+20.2+6.715</f>
        <v>37.164999999999999</v>
      </c>
      <c r="O13" s="117"/>
      <c r="P13" s="92">
        <f>6.716+30.45</f>
        <v>37.165999999999997</v>
      </c>
      <c r="Q13" s="113">
        <v>0.32900000000000001</v>
      </c>
      <c r="R13" s="92">
        <v>0.25600000000000001</v>
      </c>
      <c r="S13" s="121"/>
      <c r="T13" s="93">
        <f t="shared" si="5"/>
        <v>8.3266726846886741E-16</v>
      </c>
      <c r="U13" s="117"/>
      <c r="V13" s="94">
        <f t="shared" ca="1" si="6"/>
        <v>-291.5355552083347</v>
      </c>
      <c r="W13" s="89">
        <f t="shared" si="0"/>
        <v>9.0507311790094286E-16</v>
      </c>
    </row>
    <row r="14" spans="1:23" ht="18">
      <c r="A14" s="66">
        <v>10</v>
      </c>
      <c r="B14" s="108" t="s">
        <v>148</v>
      </c>
      <c r="C14" s="90" t="s">
        <v>161</v>
      </c>
      <c r="D14" s="140" t="s">
        <v>158</v>
      </c>
      <c r="E14" s="66">
        <v>128</v>
      </c>
      <c r="F14" s="97">
        <v>44646</v>
      </c>
      <c r="G14" s="66">
        <v>37.43</v>
      </c>
      <c r="H14" s="107">
        <v>1912941</v>
      </c>
      <c r="I14" s="106">
        <f t="shared" si="1"/>
        <v>51107.160032059845</v>
      </c>
      <c r="J14" s="117"/>
      <c r="K14" s="118" t="s">
        <v>261</v>
      </c>
      <c r="L14" s="66">
        <v>128</v>
      </c>
      <c r="M14" s="119" t="s">
        <v>262</v>
      </c>
      <c r="N14" s="148">
        <f>9.134+25.302</f>
        <v>34.436</v>
      </c>
      <c r="O14" s="117"/>
      <c r="P14" s="92">
        <f>G14*0.92</f>
        <v>34.435600000000001</v>
      </c>
      <c r="Q14" s="113">
        <f>G14*4.5%</f>
        <v>1.68435</v>
      </c>
      <c r="R14" s="92">
        <f>G14*3.5%</f>
        <v>1.3100500000000002</v>
      </c>
      <c r="S14" s="121"/>
      <c r="T14" s="93">
        <f t="shared" si="5"/>
        <v>-4.0000000000040004E-4</v>
      </c>
      <c r="U14" s="117"/>
      <c r="V14" s="94">
        <f t="shared" ca="1" si="6"/>
        <v>-291.5355552083347</v>
      </c>
      <c r="W14" s="89">
        <f t="shared" si="0"/>
        <v>-4.3478260869608701E-4</v>
      </c>
    </row>
    <row r="15" spans="1:23" ht="18">
      <c r="A15" s="66">
        <v>12</v>
      </c>
      <c r="B15" s="108" t="s">
        <v>148</v>
      </c>
      <c r="C15" s="90" t="s">
        <v>168</v>
      </c>
      <c r="D15" s="140" t="s">
        <v>167</v>
      </c>
      <c r="E15" s="66">
        <v>129</v>
      </c>
      <c r="F15" s="97">
        <v>44647</v>
      </c>
      <c r="G15" s="66">
        <v>41.41</v>
      </c>
      <c r="H15" s="107">
        <v>2104763</v>
      </c>
      <c r="I15" s="106">
        <f t="shared" si="1"/>
        <v>50827.408838444826</v>
      </c>
      <c r="J15" s="117"/>
      <c r="K15" s="118" t="s">
        <v>266</v>
      </c>
      <c r="L15" s="66">
        <v>129</v>
      </c>
      <c r="M15" s="119" t="s">
        <v>267</v>
      </c>
      <c r="N15" s="148">
        <f>32.666+5.431</f>
        <v>38.096999999999994</v>
      </c>
      <c r="O15" s="117"/>
      <c r="P15" s="92">
        <f t="shared" si="2"/>
        <v>38.097200000000001</v>
      </c>
      <c r="Q15" s="113">
        <f t="shared" si="3"/>
        <v>1.8634499999999998</v>
      </c>
      <c r="R15" s="92">
        <f t="shared" si="4"/>
        <v>1.4493499999999999</v>
      </c>
      <c r="S15" s="121"/>
      <c r="T15" s="93">
        <f t="shared" si="5"/>
        <v>2.0000000000264251E-4</v>
      </c>
      <c r="U15" s="117"/>
      <c r="V15" s="94">
        <f t="shared" ca="1" si="6"/>
        <v>-290.5355552083347</v>
      </c>
      <c r="W15" s="89">
        <f t="shared" si="0"/>
        <v>2.1739130435069836E-4</v>
      </c>
    </row>
    <row r="16" spans="1:23" ht="18">
      <c r="A16" s="66">
        <v>13</v>
      </c>
      <c r="B16" s="108" t="s">
        <v>148</v>
      </c>
      <c r="C16" s="90" t="s">
        <v>161</v>
      </c>
      <c r="D16" s="140" t="s">
        <v>169</v>
      </c>
      <c r="E16" s="66">
        <v>130</v>
      </c>
      <c r="F16" s="97">
        <v>44647</v>
      </c>
      <c r="G16" s="66">
        <v>37.89</v>
      </c>
      <c r="H16" s="107">
        <v>1943757</v>
      </c>
      <c r="I16" s="106">
        <f t="shared" si="1"/>
        <v>51300</v>
      </c>
      <c r="J16" s="117"/>
      <c r="K16" s="118" t="s">
        <v>270</v>
      </c>
      <c r="L16" s="66">
        <v>130</v>
      </c>
      <c r="M16" s="119" t="s">
        <v>271</v>
      </c>
      <c r="N16" s="148">
        <f>1.867+32.705+0.287</f>
        <v>34.858999999999995</v>
      </c>
      <c r="O16" s="117"/>
      <c r="P16" s="92">
        <f t="shared" si="2"/>
        <v>34.858800000000002</v>
      </c>
      <c r="Q16" s="113">
        <f t="shared" si="3"/>
        <v>1.70505</v>
      </c>
      <c r="R16" s="92">
        <f t="shared" si="4"/>
        <v>1.3261500000000002</v>
      </c>
      <c r="S16" s="121"/>
      <c r="T16" s="93">
        <f t="shared" si="5"/>
        <v>-1.9999999999420481E-4</v>
      </c>
      <c r="U16" s="117"/>
      <c r="V16" s="94">
        <f t="shared" ca="1" si="6"/>
        <v>-290.5355552083347</v>
      </c>
      <c r="W16" s="89">
        <f t="shared" si="0"/>
        <v>-2.1739130434152699E-4</v>
      </c>
    </row>
    <row r="17" spans="1:25" ht="18">
      <c r="A17" s="66">
        <v>14</v>
      </c>
      <c r="B17" s="108" t="s">
        <v>148</v>
      </c>
      <c r="C17" s="90" t="s">
        <v>161</v>
      </c>
      <c r="D17" s="140" t="s">
        <v>170</v>
      </c>
      <c r="E17" s="66">
        <v>131</v>
      </c>
      <c r="F17" s="97">
        <v>44647</v>
      </c>
      <c r="G17" s="66">
        <v>37.21</v>
      </c>
      <c r="H17" s="107">
        <v>1908873</v>
      </c>
      <c r="I17" s="106">
        <f t="shared" si="1"/>
        <v>51300</v>
      </c>
      <c r="J17" s="117"/>
      <c r="K17" s="118" t="s">
        <v>272</v>
      </c>
      <c r="L17" s="66">
        <v>131</v>
      </c>
      <c r="M17" s="119" t="s">
        <v>273</v>
      </c>
      <c r="N17" s="148">
        <f>32.851+1.382</f>
        <v>34.232999999999997</v>
      </c>
      <c r="O17" s="117"/>
      <c r="P17" s="92">
        <f t="shared" si="2"/>
        <v>34.233200000000004</v>
      </c>
      <c r="Q17" s="113">
        <f t="shared" si="3"/>
        <v>1.67445</v>
      </c>
      <c r="R17" s="92">
        <f t="shared" si="4"/>
        <v>1.3023500000000001</v>
      </c>
      <c r="S17" s="121"/>
      <c r="T17" s="93">
        <f t="shared" si="5"/>
        <v>2.0000000000375273E-4</v>
      </c>
      <c r="U17" s="117"/>
      <c r="V17" s="94">
        <f t="shared" ca="1" si="6"/>
        <v>-290.5355552083347</v>
      </c>
      <c r="W17" s="89">
        <f t="shared" si="0"/>
        <v>2.1739130435190513E-4</v>
      </c>
    </row>
    <row r="18" spans="1:25" ht="18">
      <c r="A18" s="66">
        <v>16</v>
      </c>
      <c r="B18" s="108" t="s">
        <v>148</v>
      </c>
      <c r="C18" s="90" t="s">
        <v>161</v>
      </c>
      <c r="D18" s="140" t="s">
        <v>171</v>
      </c>
      <c r="E18" s="66">
        <v>132</v>
      </c>
      <c r="F18" s="97">
        <v>44647</v>
      </c>
      <c r="G18" s="66">
        <v>37.270000000000003</v>
      </c>
      <c r="H18" s="107">
        <v>1842607</v>
      </c>
      <c r="I18" s="106">
        <f t="shared" si="1"/>
        <v>49439.415079152132</v>
      </c>
      <c r="J18" s="117"/>
      <c r="K18" s="118" t="s">
        <v>277</v>
      </c>
      <c r="L18" s="66">
        <v>132</v>
      </c>
      <c r="M18" s="119" t="s">
        <v>278</v>
      </c>
      <c r="N18" s="148">
        <f>31+3.288</f>
        <v>34.287999999999997</v>
      </c>
      <c r="O18" s="117"/>
      <c r="P18" s="92">
        <f>G18*0.92</f>
        <v>34.288400000000003</v>
      </c>
      <c r="Q18" s="113">
        <f>G18*4.5%</f>
        <v>1.6771500000000001</v>
      </c>
      <c r="R18" s="92">
        <f>G18*3.5%</f>
        <v>1.3044500000000003</v>
      </c>
      <c r="S18" s="121"/>
      <c r="T18" s="93">
        <f t="shared" si="5"/>
        <v>4.0000000000595115E-4</v>
      </c>
      <c r="U18" s="117"/>
      <c r="V18" s="94">
        <f t="shared" ca="1" si="6"/>
        <v>-290.5355552083347</v>
      </c>
      <c r="W18" s="89">
        <f t="shared" si="0"/>
        <v>4.3478260870212081E-4</v>
      </c>
    </row>
    <row r="19" spans="1:25" ht="18">
      <c r="A19" s="66">
        <v>17</v>
      </c>
      <c r="B19" s="108" t="s">
        <v>148</v>
      </c>
      <c r="C19" s="90" t="s">
        <v>161</v>
      </c>
      <c r="D19" s="140" t="s">
        <v>207</v>
      </c>
      <c r="E19" s="66">
        <v>133</v>
      </c>
      <c r="F19" s="97">
        <v>44647</v>
      </c>
      <c r="G19" s="66">
        <v>36.869999999999997</v>
      </c>
      <c r="H19" s="107">
        <v>1810317</v>
      </c>
      <c r="I19" s="106">
        <f t="shared" si="1"/>
        <v>49100</v>
      </c>
      <c r="J19" s="117"/>
      <c r="K19" s="118" t="s">
        <v>279</v>
      </c>
      <c r="L19" s="66">
        <v>133</v>
      </c>
      <c r="M19" s="119" t="s">
        <v>278</v>
      </c>
      <c r="N19" s="148">
        <f>32.483+1.437</f>
        <v>33.919999999999995</v>
      </c>
      <c r="O19" s="117"/>
      <c r="P19" s="92">
        <f>G19*0.92</f>
        <v>33.920400000000001</v>
      </c>
      <c r="Q19" s="113">
        <f>G19*4.5%</f>
        <v>1.6591499999999999</v>
      </c>
      <c r="R19" s="92">
        <f>G19*3.5%</f>
        <v>1.2904500000000001</v>
      </c>
      <c r="S19" s="121"/>
      <c r="T19" s="93">
        <f t="shared" si="5"/>
        <v>4.0000000000284253E-4</v>
      </c>
      <c r="U19" s="117"/>
      <c r="V19" s="94">
        <f t="shared" ca="1" si="6"/>
        <v>-290.5355552083347</v>
      </c>
      <c r="W19" s="89">
        <f t="shared" si="0"/>
        <v>4.347826086987419E-4</v>
      </c>
    </row>
    <row r="20" spans="1:25" ht="18">
      <c r="A20" s="66">
        <v>18</v>
      </c>
      <c r="B20" s="108" t="s">
        <v>148</v>
      </c>
      <c r="C20" s="90" t="s">
        <v>208</v>
      </c>
      <c r="D20" s="140" t="s">
        <v>172</v>
      </c>
      <c r="E20" s="66">
        <v>1</v>
      </c>
      <c r="F20" s="97">
        <v>44652</v>
      </c>
      <c r="G20" s="66">
        <v>39.340000000000003</v>
      </c>
      <c r="H20" s="107">
        <v>1931594</v>
      </c>
      <c r="I20" s="106">
        <f t="shared" si="1"/>
        <v>49099.999999999993</v>
      </c>
      <c r="J20" s="117"/>
      <c r="K20" s="118" t="s">
        <v>301</v>
      </c>
      <c r="L20" s="66">
        <v>1</v>
      </c>
      <c r="M20" s="119" t="s">
        <v>302</v>
      </c>
      <c r="N20" s="148">
        <f>28.151+8.042</f>
        <v>36.192999999999998</v>
      </c>
      <c r="O20" s="117"/>
      <c r="P20" s="92">
        <f>G20*0.92</f>
        <v>36.192800000000005</v>
      </c>
      <c r="Q20" s="113">
        <f>G20*4.5%</f>
        <v>1.7703</v>
      </c>
      <c r="R20" s="92">
        <f>G20*3.5%</f>
        <v>1.3769000000000002</v>
      </c>
      <c r="S20" s="121"/>
      <c r="T20" s="93">
        <f t="shared" si="5"/>
        <v>-1.999999999946489E-4</v>
      </c>
      <c r="U20" s="74"/>
      <c r="V20" s="94">
        <f t="shared" ca="1" si="6"/>
        <v>-285.5355552083347</v>
      </c>
      <c r="W20" s="89">
        <f t="shared" si="0"/>
        <v>-2.173913043420097E-4</v>
      </c>
    </row>
    <row r="21" spans="1:25" ht="18">
      <c r="A21" s="66">
        <v>19</v>
      </c>
      <c r="B21" s="108" t="s">
        <v>148</v>
      </c>
      <c r="C21" s="90" t="s">
        <v>53</v>
      </c>
      <c r="D21" s="140" t="s">
        <v>212</v>
      </c>
      <c r="E21" s="66">
        <v>2</v>
      </c>
      <c r="F21" s="97">
        <v>44654</v>
      </c>
      <c r="G21" s="66">
        <v>38.979999999999997</v>
      </c>
      <c r="H21" s="107">
        <v>1913918</v>
      </c>
      <c r="I21" s="106">
        <f t="shared" si="1"/>
        <v>49100.000000000007</v>
      </c>
      <c r="J21" s="117"/>
      <c r="K21" s="118" t="s">
        <v>303</v>
      </c>
      <c r="L21" s="66">
        <v>2</v>
      </c>
      <c r="M21" s="119" t="s">
        <v>304</v>
      </c>
      <c r="N21" s="148">
        <f>32.573+3.289</f>
        <v>35.862000000000002</v>
      </c>
      <c r="O21" s="117"/>
      <c r="P21" s="92">
        <f>G21*0.92</f>
        <v>35.861599999999996</v>
      </c>
      <c r="Q21" s="113">
        <f>G21*4.5%</f>
        <v>1.7540999999999998</v>
      </c>
      <c r="R21" s="92">
        <f>G21*3.5%</f>
        <v>1.3643000000000001</v>
      </c>
      <c r="S21" s="121"/>
      <c r="T21" s="93">
        <f t="shared" si="5"/>
        <v>-4.0000000000484093E-4</v>
      </c>
      <c r="U21" s="117"/>
      <c r="V21" s="94">
        <f t="shared" ca="1" si="6"/>
        <v>-283.5355552083347</v>
      </c>
      <c r="W21" s="89">
        <f t="shared" si="0"/>
        <v>-4.3478260870091404E-4</v>
      </c>
    </row>
    <row r="22" spans="1:25" ht="18">
      <c r="A22" s="66">
        <v>20</v>
      </c>
      <c r="B22" s="108" t="s">
        <v>148</v>
      </c>
      <c r="C22" s="90" t="s">
        <v>53</v>
      </c>
      <c r="D22" s="140" t="s">
        <v>213</v>
      </c>
      <c r="E22" s="66">
        <v>3</v>
      </c>
      <c r="F22" s="97">
        <v>44654</v>
      </c>
      <c r="G22" s="66">
        <v>45.07</v>
      </c>
      <c r="H22" s="107">
        <v>2212937</v>
      </c>
      <c r="I22" s="106">
        <f t="shared" si="1"/>
        <v>49100</v>
      </c>
      <c r="J22" s="117"/>
      <c r="K22" s="118" t="s">
        <v>316</v>
      </c>
      <c r="L22" s="66">
        <v>3</v>
      </c>
      <c r="M22" s="119" t="s">
        <v>317</v>
      </c>
      <c r="N22" s="148">
        <f>15.278+26.186</f>
        <v>41.463999999999999</v>
      </c>
      <c r="O22" s="117"/>
      <c r="P22" s="92">
        <f t="shared" si="2"/>
        <v>41.464400000000005</v>
      </c>
      <c r="Q22" s="113">
        <f t="shared" si="3"/>
        <v>2.0281500000000001</v>
      </c>
      <c r="R22" s="92">
        <f t="shared" si="4"/>
        <v>1.5774500000000002</v>
      </c>
      <c r="S22" s="121"/>
      <c r="T22" s="93">
        <f t="shared" si="5"/>
        <v>4.0000000000128821E-4</v>
      </c>
      <c r="U22" s="117"/>
      <c r="V22" s="94">
        <f t="shared" ca="1" si="6"/>
        <v>-283.5355552083347</v>
      </c>
      <c r="W22" s="89">
        <f t="shared" si="0"/>
        <v>4.3478260869705244E-4</v>
      </c>
    </row>
    <row r="23" spans="1:25" ht="18">
      <c r="A23" s="66">
        <v>21</v>
      </c>
      <c r="B23" s="108" t="s">
        <v>148</v>
      </c>
      <c r="C23" s="90" t="s">
        <v>53</v>
      </c>
      <c r="D23" s="140" t="s">
        <v>223</v>
      </c>
      <c r="E23" s="66">
        <v>4</v>
      </c>
      <c r="F23" s="97">
        <v>44655</v>
      </c>
      <c r="G23" s="66">
        <v>44.74</v>
      </c>
      <c r="H23" s="107">
        <v>2196734</v>
      </c>
      <c r="I23" s="106">
        <f t="shared" si="1"/>
        <v>49100</v>
      </c>
      <c r="J23" s="117"/>
      <c r="K23" s="118" t="s">
        <v>318</v>
      </c>
      <c r="L23" s="66">
        <v>4</v>
      </c>
      <c r="M23" s="119" t="s">
        <v>319</v>
      </c>
      <c r="N23" s="148">
        <f>33.287+6.305+1.569</f>
        <v>41.161000000000001</v>
      </c>
      <c r="O23" s="117"/>
      <c r="P23" s="92">
        <f t="shared" si="2"/>
        <v>41.160800000000002</v>
      </c>
      <c r="Q23" s="113">
        <f t="shared" si="3"/>
        <v>2.0133000000000001</v>
      </c>
      <c r="R23" s="92">
        <f t="shared" si="4"/>
        <v>1.5659000000000003</v>
      </c>
      <c r="S23" s="121"/>
      <c r="T23" s="93">
        <f t="shared" si="5"/>
        <v>-1.9999999999975593E-4</v>
      </c>
      <c r="U23" s="117"/>
      <c r="V23" s="94">
        <f t="shared" ca="1" si="6"/>
        <v>-282.5355552083347</v>
      </c>
      <c r="W23" s="89">
        <f t="shared" si="0"/>
        <v>-2.1739130434756082E-4</v>
      </c>
    </row>
    <row r="24" spans="1:25" ht="18">
      <c r="A24" s="66">
        <v>22</v>
      </c>
      <c r="B24" s="108" t="s">
        <v>148</v>
      </c>
      <c r="C24" s="90" t="s">
        <v>256</v>
      </c>
      <c r="D24" s="140" t="s">
        <v>257</v>
      </c>
      <c r="E24" s="66">
        <v>5</v>
      </c>
      <c r="F24" s="97">
        <v>44656</v>
      </c>
      <c r="G24" s="66">
        <v>39.28</v>
      </c>
      <c r="H24" s="107">
        <v>1928648</v>
      </c>
      <c r="I24" s="106">
        <f t="shared" si="1"/>
        <v>49100</v>
      </c>
      <c r="J24" s="117"/>
      <c r="K24" s="144" t="s">
        <v>331</v>
      </c>
      <c r="L24" s="66">
        <v>5</v>
      </c>
      <c r="M24" s="119" t="s">
        <v>320</v>
      </c>
      <c r="N24" s="148">
        <f>31.067+5.071</f>
        <v>36.137999999999998</v>
      </c>
      <c r="O24" s="117"/>
      <c r="P24" s="92">
        <f t="shared" si="2"/>
        <v>36.137600000000006</v>
      </c>
      <c r="Q24" s="113">
        <f t="shared" si="3"/>
        <v>1.7676000000000001</v>
      </c>
      <c r="R24" s="92">
        <f t="shared" si="4"/>
        <v>1.3748000000000002</v>
      </c>
      <c r="S24" s="121"/>
      <c r="T24" s="93">
        <f t="shared" si="5"/>
        <v>-3.9999999999729141E-4</v>
      </c>
      <c r="U24" s="117"/>
      <c r="V24" s="94">
        <f t="shared" ca="1" si="6"/>
        <v>-281.5355552083347</v>
      </c>
      <c r="W24" s="89">
        <f t="shared" si="0"/>
        <v>-4.3478260869270804E-4</v>
      </c>
    </row>
    <row r="25" spans="1:25" ht="18">
      <c r="A25" s="66">
        <v>23</v>
      </c>
      <c r="B25" s="108" t="s">
        <v>148</v>
      </c>
      <c r="C25" s="90" t="s">
        <v>274</v>
      </c>
      <c r="D25" s="140" t="s">
        <v>275</v>
      </c>
      <c r="E25" s="66">
        <v>12</v>
      </c>
      <c r="F25" s="97">
        <v>44659</v>
      </c>
      <c r="G25" s="66">
        <v>29.28</v>
      </c>
      <c r="H25" s="107">
        <v>1437648</v>
      </c>
      <c r="I25" s="106">
        <f t="shared" si="1"/>
        <v>49100</v>
      </c>
      <c r="J25" s="117"/>
      <c r="K25" s="118">
        <v>140</v>
      </c>
      <c r="L25" s="66">
        <v>12</v>
      </c>
      <c r="M25" s="119" t="s">
        <v>321</v>
      </c>
      <c r="N25" s="148">
        <v>26.937999999999999</v>
      </c>
      <c r="O25" s="117"/>
      <c r="P25" s="92">
        <f t="shared" si="2"/>
        <v>26.937600000000003</v>
      </c>
      <c r="Q25" s="113">
        <f t="shared" si="3"/>
        <v>1.3176000000000001</v>
      </c>
      <c r="R25" s="92">
        <f t="shared" si="4"/>
        <v>1.0248000000000002</v>
      </c>
      <c r="S25" s="121"/>
      <c r="T25" s="93">
        <f t="shared" si="5"/>
        <v>-3.9999999999795754E-4</v>
      </c>
      <c r="U25" s="117"/>
      <c r="V25" s="94">
        <f t="shared" ca="1" si="6"/>
        <v>-278.5355552083347</v>
      </c>
      <c r="W25" s="89">
        <f t="shared" si="0"/>
        <v>-4.3478260869343212E-4</v>
      </c>
    </row>
    <row r="26" spans="1:25" ht="18">
      <c r="A26" s="66">
        <v>24</v>
      </c>
      <c r="B26" s="108" t="s">
        <v>148</v>
      </c>
      <c r="C26" s="90" t="s">
        <v>256</v>
      </c>
      <c r="D26" s="140" t="s">
        <v>276</v>
      </c>
      <c r="E26" s="66">
        <v>13</v>
      </c>
      <c r="F26" s="97">
        <v>44660</v>
      </c>
      <c r="G26" s="66">
        <v>35.4</v>
      </c>
      <c r="H26" s="107">
        <v>1738140</v>
      </c>
      <c r="I26" s="106">
        <f t="shared" si="1"/>
        <v>49100</v>
      </c>
      <c r="J26" s="117"/>
      <c r="K26" s="144" t="s">
        <v>332</v>
      </c>
      <c r="L26" s="66">
        <v>13</v>
      </c>
      <c r="M26" s="119" t="s">
        <v>322</v>
      </c>
      <c r="N26" s="148">
        <f>1.106+31.462</f>
        <v>32.567999999999998</v>
      </c>
      <c r="O26" s="117"/>
      <c r="P26" s="92">
        <f t="shared" si="2"/>
        <v>32.567999999999998</v>
      </c>
      <c r="Q26" s="113">
        <f t="shared" si="3"/>
        <v>1.593</v>
      </c>
      <c r="R26" s="92">
        <f t="shared" si="4"/>
        <v>1.2390000000000001</v>
      </c>
      <c r="S26" s="121"/>
      <c r="T26" s="93">
        <f t="shared" si="5"/>
        <v>0</v>
      </c>
      <c r="U26" s="117"/>
      <c r="V26" s="94">
        <f t="shared" ca="1" si="6"/>
        <v>-277.5355552083347</v>
      </c>
      <c r="W26" s="89">
        <f t="shared" si="0"/>
        <v>0</v>
      </c>
    </row>
    <row r="27" spans="1:25" ht="18">
      <c r="A27" s="66">
        <v>25</v>
      </c>
      <c r="B27" s="108" t="s">
        <v>148</v>
      </c>
      <c r="C27" s="168" t="s">
        <v>256</v>
      </c>
      <c r="D27" s="169" t="s">
        <v>280</v>
      </c>
      <c r="E27" s="168">
        <v>15</v>
      </c>
      <c r="F27" s="162">
        <v>44662</v>
      </c>
      <c r="G27" s="168">
        <v>37.83</v>
      </c>
      <c r="H27" s="170">
        <v>1857453</v>
      </c>
      <c r="I27" s="171">
        <f t="shared" si="1"/>
        <v>49100</v>
      </c>
      <c r="J27" s="117"/>
      <c r="K27" s="249" t="s">
        <v>724</v>
      </c>
      <c r="L27" s="250">
        <v>15</v>
      </c>
      <c r="M27" s="231" t="s">
        <v>725</v>
      </c>
      <c r="N27" s="237">
        <f>1.152+32.707+0.945</f>
        <v>34.804000000000002</v>
      </c>
      <c r="O27" s="117"/>
      <c r="P27" s="92">
        <f t="shared" si="2"/>
        <v>34.803600000000003</v>
      </c>
      <c r="Q27" s="113">
        <f t="shared" si="3"/>
        <v>1.7023499999999998</v>
      </c>
      <c r="R27" s="92">
        <f t="shared" si="4"/>
        <v>1.3240500000000002</v>
      </c>
      <c r="S27" s="121"/>
      <c r="T27" s="93">
        <f t="shared" si="5"/>
        <v>-4.000000000037307E-4</v>
      </c>
      <c r="U27" s="117"/>
      <c r="V27" s="94">
        <f t="shared" ca="1" si="6"/>
        <v>-275.5355552083347</v>
      </c>
      <c r="W27" s="89">
        <f t="shared" si="0"/>
        <v>-4.3478260869970732E-4</v>
      </c>
      <c r="Y27" s="67"/>
    </row>
    <row r="28" spans="1:25" ht="18">
      <c r="A28" s="66">
        <v>26</v>
      </c>
      <c r="B28" s="108" t="s">
        <v>148</v>
      </c>
      <c r="C28" s="168" t="s">
        <v>200</v>
      </c>
      <c r="D28" s="169" t="s">
        <v>281</v>
      </c>
      <c r="E28" s="168">
        <v>16</v>
      </c>
      <c r="F28" s="162">
        <v>44663</v>
      </c>
      <c r="G28" s="168">
        <v>39.92</v>
      </c>
      <c r="H28" s="170">
        <v>1960072</v>
      </c>
      <c r="I28" s="171">
        <f t="shared" si="1"/>
        <v>49100</v>
      </c>
      <c r="J28" s="117"/>
      <c r="K28" s="222" t="s">
        <v>773</v>
      </c>
      <c r="L28" s="211">
        <v>16</v>
      </c>
      <c r="M28" s="160" t="s">
        <v>770</v>
      </c>
      <c r="N28" s="223">
        <f>32.848+2.189+0.998+0.691</f>
        <v>36.725999999999999</v>
      </c>
      <c r="O28" s="117"/>
      <c r="P28" s="92">
        <f t="shared" si="2"/>
        <v>36.726400000000005</v>
      </c>
      <c r="Q28" s="113">
        <f t="shared" si="3"/>
        <v>1.7964</v>
      </c>
      <c r="R28" s="92">
        <f t="shared" si="4"/>
        <v>1.3972000000000002</v>
      </c>
      <c r="S28" s="121"/>
      <c r="T28" s="198">
        <f t="shared" si="5"/>
        <v>4.0000000000239844E-4</v>
      </c>
      <c r="U28" s="117"/>
      <c r="V28" s="94">
        <f t="shared" ca="1" si="6"/>
        <v>-274.5355552083347</v>
      </c>
      <c r="W28" s="89">
        <f t="shared" si="0"/>
        <v>4.3478260869825915E-4</v>
      </c>
      <c r="X28" s="67">
        <f>+T28+T26+T25</f>
        <v>4.4408920985006262E-15</v>
      </c>
    </row>
    <row r="29" spans="1:25" ht="18">
      <c r="A29" s="66">
        <v>27</v>
      </c>
      <c r="B29" s="225" t="s">
        <v>148</v>
      </c>
      <c r="C29" s="201" t="s">
        <v>308</v>
      </c>
      <c r="D29" s="228" t="s">
        <v>309</v>
      </c>
      <c r="E29" s="201">
        <v>18</v>
      </c>
      <c r="F29" s="208">
        <v>44672</v>
      </c>
      <c r="G29" s="167">
        <v>25.73</v>
      </c>
      <c r="H29" s="209">
        <v>1263343</v>
      </c>
      <c r="I29" s="199">
        <f>H29/G29</f>
        <v>49100</v>
      </c>
      <c r="J29" s="117"/>
      <c r="K29" s="222" t="s">
        <v>630</v>
      </c>
      <c r="L29" s="211">
        <v>18</v>
      </c>
      <c r="M29" s="160" t="s">
        <v>631</v>
      </c>
      <c r="N29" s="223">
        <f>7.098+16.574</f>
        <v>23.672000000000001</v>
      </c>
      <c r="O29" s="238"/>
      <c r="P29" s="92">
        <f t="shared" ref="P29:P42" si="7">G29*0.92</f>
        <v>23.671600000000002</v>
      </c>
      <c r="Q29" s="113">
        <f t="shared" ref="Q29:Q42" si="8">G29*4.5%</f>
        <v>1.15785</v>
      </c>
      <c r="R29" s="92">
        <f t="shared" ref="R29:R42" si="9">G29*3.5%</f>
        <v>0.90055000000000007</v>
      </c>
      <c r="S29" s="121"/>
      <c r="T29" s="93">
        <f t="shared" ref="T29:T42" si="10">G29-N29-Q29-R29</f>
        <v>-4.0000000000028901E-4</v>
      </c>
      <c r="U29" s="122"/>
      <c r="V29" s="94">
        <f t="shared" ref="V29:V42" ca="1" si="11">360-($V$3-F29)</f>
        <v>-265.5355552083347</v>
      </c>
      <c r="W29" s="89">
        <f t="shared" ref="W29:W42" si="12">T29/0.92%/100</f>
        <v>-4.3478260869596634E-4</v>
      </c>
    </row>
    <row r="30" spans="1:25" ht="18">
      <c r="A30" s="115">
        <v>28</v>
      </c>
      <c r="B30" s="225" t="s">
        <v>148</v>
      </c>
      <c r="C30" s="211" t="s">
        <v>53</v>
      </c>
      <c r="D30" s="226" t="s">
        <v>313</v>
      </c>
      <c r="E30" s="211">
        <v>19</v>
      </c>
      <c r="F30" s="205">
        <v>44673</v>
      </c>
      <c r="G30" s="214">
        <v>17.038</v>
      </c>
      <c r="H30" s="215">
        <v>861872</v>
      </c>
      <c r="I30" s="221">
        <f>H30/G30</f>
        <v>50585.279962436907</v>
      </c>
      <c r="J30" s="117"/>
      <c r="K30" s="136">
        <v>222</v>
      </c>
      <c r="L30" s="211">
        <v>19</v>
      </c>
      <c r="M30" s="160" t="s">
        <v>446</v>
      </c>
      <c r="N30" s="190">
        <v>15.675000000000001</v>
      </c>
      <c r="O30" s="122"/>
      <c r="P30" s="92">
        <f t="shared" si="7"/>
        <v>15.67496</v>
      </c>
      <c r="Q30" s="113">
        <f t="shared" si="8"/>
        <v>0.76671</v>
      </c>
      <c r="R30" s="92">
        <f t="shared" si="9"/>
        <v>0.59633000000000003</v>
      </c>
      <c r="S30" s="121"/>
      <c r="T30" s="93">
        <f t="shared" si="10"/>
        <v>-4.0000000000484093E-5</v>
      </c>
      <c r="U30" s="122"/>
      <c r="V30" s="94">
        <f t="shared" ca="1" si="11"/>
        <v>-264.5355552083347</v>
      </c>
      <c r="W30" s="89">
        <f t="shared" si="12"/>
        <v>-4.3478260870091404E-5</v>
      </c>
    </row>
    <row r="31" spans="1:25" ht="18">
      <c r="A31" s="115"/>
      <c r="B31" s="211" t="s">
        <v>363</v>
      </c>
      <c r="C31" s="211" t="s">
        <v>364</v>
      </c>
      <c r="D31" s="227" t="s">
        <v>365</v>
      </c>
      <c r="E31" s="216">
        <v>22</v>
      </c>
      <c r="F31" s="205">
        <v>44712</v>
      </c>
      <c r="G31" s="214">
        <v>30.25</v>
      </c>
      <c r="H31" s="211">
        <v>1927569</v>
      </c>
      <c r="I31" s="216">
        <f t="shared" ref="I31:I62" si="13">H31/G31</f>
        <v>63721.289256198346</v>
      </c>
      <c r="J31" s="117"/>
      <c r="K31" s="136" t="s">
        <v>451</v>
      </c>
      <c r="L31" s="96">
        <v>22</v>
      </c>
      <c r="M31" s="160" t="s">
        <v>450</v>
      </c>
      <c r="N31" s="136">
        <f>15.397+12.433</f>
        <v>27.83</v>
      </c>
      <c r="O31" s="122"/>
      <c r="P31" s="92">
        <f t="shared" si="7"/>
        <v>27.830000000000002</v>
      </c>
      <c r="Q31" s="113">
        <f t="shared" si="8"/>
        <v>1.3612499999999998</v>
      </c>
      <c r="R31" s="92">
        <f t="shared" si="9"/>
        <v>1.0587500000000001</v>
      </c>
      <c r="S31" s="121"/>
      <c r="T31" s="93">
        <f t="shared" si="10"/>
        <v>1.7763568394002505E-15</v>
      </c>
      <c r="U31" s="122"/>
      <c r="V31" s="94">
        <f t="shared" ca="1" si="11"/>
        <v>-225.5355552083347</v>
      </c>
      <c r="W31" s="89">
        <f t="shared" si="12"/>
        <v>1.9308226515220113E-15</v>
      </c>
    </row>
    <row r="32" spans="1:25" ht="18">
      <c r="A32" s="115"/>
      <c r="B32" s="211" t="s">
        <v>363</v>
      </c>
      <c r="C32" s="201" t="s">
        <v>364</v>
      </c>
      <c r="D32" s="229" t="s">
        <v>365</v>
      </c>
      <c r="E32" s="210">
        <v>23</v>
      </c>
      <c r="F32" s="208">
        <v>44712</v>
      </c>
      <c r="G32" s="167">
        <v>30.25</v>
      </c>
      <c r="H32" s="201">
        <v>1927569</v>
      </c>
      <c r="I32" s="210">
        <f t="shared" si="13"/>
        <v>63721.289256198346</v>
      </c>
      <c r="J32" s="117"/>
      <c r="K32" s="133" t="s">
        <v>726</v>
      </c>
      <c r="L32" s="234">
        <v>23</v>
      </c>
      <c r="M32" s="231" t="s">
        <v>727</v>
      </c>
      <c r="N32" s="133">
        <f>19.894+7.244+0.692</f>
        <v>27.83</v>
      </c>
      <c r="O32" s="122"/>
      <c r="P32" s="92">
        <f t="shared" si="7"/>
        <v>27.830000000000002</v>
      </c>
      <c r="Q32" s="113">
        <f t="shared" si="8"/>
        <v>1.3612499999999998</v>
      </c>
      <c r="R32" s="92">
        <f t="shared" si="9"/>
        <v>1.0587500000000001</v>
      </c>
      <c r="S32" s="121"/>
      <c r="T32" s="93">
        <f t="shared" si="10"/>
        <v>1.7763568394002505E-15</v>
      </c>
      <c r="U32" s="122"/>
      <c r="V32" s="94">
        <f t="shared" ca="1" si="11"/>
        <v>-225.5355552083347</v>
      </c>
      <c r="W32" s="89">
        <f t="shared" si="12"/>
        <v>1.9308226515220113E-15</v>
      </c>
    </row>
    <row r="33" spans="1:23" ht="18">
      <c r="A33" s="115"/>
      <c r="B33" s="211" t="s">
        <v>363</v>
      </c>
      <c r="C33" s="211" t="s">
        <v>364</v>
      </c>
      <c r="D33" s="227" t="s">
        <v>366</v>
      </c>
      <c r="E33" s="216">
        <v>24</v>
      </c>
      <c r="F33" s="205">
        <v>44712</v>
      </c>
      <c r="G33" s="214">
        <v>30.748999999999999</v>
      </c>
      <c r="H33" s="211">
        <v>1959484</v>
      </c>
      <c r="I33" s="216">
        <f t="shared" si="13"/>
        <v>63725.12927249667</v>
      </c>
      <c r="J33" s="117"/>
      <c r="K33" s="136" t="s">
        <v>561</v>
      </c>
      <c r="L33" s="96">
        <v>24</v>
      </c>
      <c r="M33" s="160" t="s">
        <v>562</v>
      </c>
      <c r="N33" s="136">
        <f>17.699+1.957+8.633</f>
        <v>28.289000000000001</v>
      </c>
      <c r="O33" s="122"/>
      <c r="P33" s="92">
        <f t="shared" si="7"/>
        <v>28.289079999999998</v>
      </c>
      <c r="Q33" s="113">
        <f t="shared" si="8"/>
        <v>1.383705</v>
      </c>
      <c r="R33" s="92">
        <f t="shared" si="9"/>
        <v>1.0762150000000001</v>
      </c>
      <c r="S33" s="121"/>
      <c r="T33" s="93">
        <f t="shared" si="10"/>
        <v>7.9999999997193427E-5</v>
      </c>
      <c r="U33" s="122"/>
      <c r="V33" s="94">
        <f t="shared" ca="1" si="11"/>
        <v>-225.5355552083347</v>
      </c>
      <c r="W33" s="89">
        <f t="shared" si="12"/>
        <v>8.6956521736079821E-5</v>
      </c>
    </row>
    <row r="34" spans="1:23" ht="18">
      <c r="A34" s="174"/>
      <c r="B34" s="211" t="s">
        <v>363</v>
      </c>
      <c r="C34" s="211" t="s">
        <v>364</v>
      </c>
      <c r="D34" s="227" t="s">
        <v>366</v>
      </c>
      <c r="E34" s="216">
        <v>25</v>
      </c>
      <c r="F34" s="205">
        <v>44712</v>
      </c>
      <c r="G34" s="214">
        <v>29.651</v>
      </c>
      <c r="H34" s="211">
        <v>1889503</v>
      </c>
      <c r="I34" s="216">
        <f t="shared" si="13"/>
        <v>63724.764763414387</v>
      </c>
      <c r="J34" s="117"/>
      <c r="K34" s="224">
        <v>235238</v>
      </c>
      <c r="L34" s="96">
        <v>25</v>
      </c>
      <c r="M34" s="160" t="s">
        <v>455</v>
      </c>
      <c r="N34" s="136">
        <f>12.918+14.361</f>
        <v>27.279</v>
      </c>
      <c r="O34" s="122"/>
      <c r="P34" s="92">
        <f t="shared" si="7"/>
        <v>27.278919999999999</v>
      </c>
      <c r="Q34" s="113">
        <f t="shared" si="8"/>
        <v>1.334295</v>
      </c>
      <c r="R34" s="92">
        <f t="shared" si="9"/>
        <v>1.0377850000000002</v>
      </c>
      <c r="S34" s="121"/>
      <c r="T34" s="93">
        <f t="shared" si="10"/>
        <v>-8.0000000000302052E-5</v>
      </c>
      <c r="U34" s="122"/>
      <c r="V34" s="94">
        <f t="shared" ca="1" si="11"/>
        <v>-225.5355552083347</v>
      </c>
      <c r="W34" s="89">
        <f t="shared" si="12"/>
        <v>-8.6956521739458751E-5</v>
      </c>
    </row>
    <row r="35" spans="1:23" ht="18">
      <c r="A35" s="115"/>
      <c r="B35" s="211" t="s">
        <v>363</v>
      </c>
      <c r="C35" s="201" t="s">
        <v>364</v>
      </c>
      <c r="D35" s="229" t="s">
        <v>367</v>
      </c>
      <c r="E35" s="210">
        <v>26</v>
      </c>
      <c r="F35" s="208">
        <v>44712</v>
      </c>
      <c r="G35" s="167">
        <v>29.363</v>
      </c>
      <c r="H35" s="201">
        <v>1870588</v>
      </c>
      <c r="I35" s="210">
        <f t="shared" si="13"/>
        <v>63705.615911180736</v>
      </c>
      <c r="J35" s="117"/>
      <c r="K35" s="224" t="s">
        <v>774</v>
      </c>
      <c r="L35" s="96">
        <v>26</v>
      </c>
      <c r="M35" s="160" t="s">
        <v>775</v>
      </c>
      <c r="N35" s="136">
        <f>16.151+2.47+2.658+1.473+4.124+0.138</f>
        <v>27.013999999999999</v>
      </c>
      <c r="O35" s="122"/>
      <c r="P35" s="92">
        <f t="shared" si="7"/>
        <v>27.013960000000001</v>
      </c>
      <c r="Q35" s="113">
        <f t="shared" si="8"/>
        <v>1.3213349999999999</v>
      </c>
      <c r="R35" s="92">
        <f t="shared" si="9"/>
        <v>1.0277050000000001</v>
      </c>
      <c r="S35" s="121"/>
      <c r="T35" s="198">
        <f t="shared" si="10"/>
        <v>-3.9999999999817959E-5</v>
      </c>
      <c r="U35" s="122"/>
      <c r="V35" s="94">
        <f t="shared" ca="1" si="11"/>
        <v>-225.5355552083347</v>
      </c>
      <c r="W35" s="89">
        <f t="shared" si="12"/>
        <v>-4.3478260869367347E-5</v>
      </c>
    </row>
    <row r="36" spans="1:23" ht="18">
      <c r="A36" s="115"/>
      <c r="B36" s="211" t="s">
        <v>363</v>
      </c>
      <c r="C36" s="201" t="s">
        <v>364</v>
      </c>
      <c r="D36" s="229" t="s">
        <v>367</v>
      </c>
      <c r="E36" s="210">
        <v>27</v>
      </c>
      <c r="F36" s="208">
        <v>44712</v>
      </c>
      <c r="G36" s="167">
        <v>31.538</v>
      </c>
      <c r="H36" s="201">
        <v>2009150</v>
      </c>
      <c r="I36" s="210">
        <f t="shared" si="13"/>
        <v>63705.68837592745</v>
      </c>
      <c r="J36" s="117"/>
      <c r="K36" s="136" t="s">
        <v>776</v>
      </c>
      <c r="L36" s="96">
        <v>27</v>
      </c>
      <c r="M36" s="160" t="s">
        <v>777</v>
      </c>
      <c r="N36" s="136">
        <f>9.502+8.627+6.42+3.216+1.25</f>
        <v>29.015000000000001</v>
      </c>
      <c r="O36" s="122"/>
      <c r="P36" s="92">
        <f t="shared" si="7"/>
        <v>29.014960000000002</v>
      </c>
      <c r="Q36" s="113">
        <f t="shared" si="8"/>
        <v>1.4192099999999999</v>
      </c>
      <c r="R36" s="92">
        <f t="shared" si="9"/>
        <v>1.1038300000000001</v>
      </c>
      <c r="S36" s="121"/>
      <c r="T36" s="198">
        <f t="shared" si="10"/>
        <v>-4.0000000000262048E-5</v>
      </c>
      <c r="U36" s="122"/>
      <c r="V36" s="94">
        <f t="shared" ca="1" si="11"/>
        <v>-225.5355552083347</v>
      </c>
      <c r="W36" s="89">
        <f t="shared" si="12"/>
        <v>-4.3478260869850054E-5</v>
      </c>
    </row>
    <row r="37" spans="1:23" ht="18">
      <c r="A37" s="115"/>
      <c r="B37" s="211" t="s">
        <v>363</v>
      </c>
      <c r="C37" s="211" t="s">
        <v>364</v>
      </c>
      <c r="D37" s="227" t="s">
        <v>368</v>
      </c>
      <c r="E37" s="216">
        <v>28</v>
      </c>
      <c r="F37" s="205">
        <v>44712</v>
      </c>
      <c r="G37" s="214">
        <v>30.25</v>
      </c>
      <c r="H37" s="211">
        <v>1927569</v>
      </c>
      <c r="I37" s="216">
        <f t="shared" si="13"/>
        <v>63721.289256198346</v>
      </c>
      <c r="J37" s="117"/>
      <c r="K37" s="136" t="s">
        <v>512</v>
      </c>
      <c r="L37" s="96">
        <v>28</v>
      </c>
      <c r="M37" s="160" t="s">
        <v>513</v>
      </c>
      <c r="N37" s="136">
        <f>9.734+5.308+12.788</f>
        <v>27.83</v>
      </c>
      <c r="O37" s="122"/>
      <c r="P37" s="92">
        <f t="shared" si="7"/>
        <v>27.830000000000002</v>
      </c>
      <c r="Q37" s="113">
        <f t="shared" si="8"/>
        <v>1.3612499999999998</v>
      </c>
      <c r="R37" s="92">
        <f t="shared" si="9"/>
        <v>1.0587500000000001</v>
      </c>
      <c r="S37" s="121"/>
      <c r="T37" s="93">
        <f t="shared" si="10"/>
        <v>1.7763568394002505E-15</v>
      </c>
      <c r="U37" s="122"/>
      <c r="V37" s="94">
        <f t="shared" ca="1" si="11"/>
        <v>-225.5355552083347</v>
      </c>
      <c r="W37" s="89">
        <f t="shared" si="12"/>
        <v>1.9308226515220113E-15</v>
      </c>
    </row>
    <row r="38" spans="1:23" ht="18">
      <c r="A38" s="115"/>
      <c r="B38" s="66" t="s">
        <v>363</v>
      </c>
      <c r="C38" s="90" t="s">
        <v>364</v>
      </c>
      <c r="D38" s="95" t="s">
        <v>368</v>
      </c>
      <c r="E38" s="150">
        <v>29</v>
      </c>
      <c r="F38" s="97">
        <v>44712</v>
      </c>
      <c r="G38" s="100">
        <v>30.25</v>
      </c>
      <c r="H38" s="90">
        <v>1927569</v>
      </c>
      <c r="I38" s="150">
        <f t="shared" si="13"/>
        <v>63721.289256198346</v>
      </c>
      <c r="J38" s="117"/>
      <c r="K38" s="136" t="s">
        <v>528</v>
      </c>
      <c r="L38" s="96">
        <v>29</v>
      </c>
      <c r="M38" s="160" t="s">
        <v>527</v>
      </c>
      <c r="N38" s="136">
        <f>20.207+7.623</f>
        <v>27.830000000000002</v>
      </c>
      <c r="O38" s="122"/>
      <c r="P38" s="92">
        <f t="shared" si="7"/>
        <v>27.830000000000002</v>
      </c>
      <c r="Q38" s="113">
        <f t="shared" si="8"/>
        <v>1.3612499999999998</v>
      </c>
      <c r="R38" s="92">
        <f t="shared" si="9"/>
        <v>1.0587500000000001</v>
      </c>
      <c r="S38" s="121"/>
      <c r="T38" s="93">
        <f t="shared" si="10"/>
        <v>-1.7763568394002505E-15</v>
      </c>
      <c r="U38" s="122"/>
      <c r="V38" s="94">
        <f t="shared" ca="1" si="11"/>
        <v>-225.5355552083347</v>
      </c>
      <c r="W38" s="89">
        <f t="shared" si="12"/>
        <v>-1.9308226515220113E-15</v>
      </c>
    </row>
    <row r="39" spans="1:23" ht="18">
      <c r="A39" s="115"/>
      <c r="B39" s="66" t="s">
        <v>363</v>
      </c>
      <c r="C39" s="168" t="s">
        <v>364</v>
      </c>
      <c r="D39" s="172" t="s">
        <v>369</v>
      </c>
      <c r="E39" s="173">
        <v>30</v>
      </c>
      <c r="F39" s="162">
        <v>44714</v>
      </c>
      <c r="G39" s="163">
        <v>28.832000000000001</v>
      </c>
      <c r="H39" s="168">
        <v>1837971</v>
      </c>
      <c r="I39" s="173">
        <f t="shared" si="13"/>
        <v>63747.606825749164</v>
      </c>
      <c r="J39" s="122"/>
      <c r="K39" s="186" t="s">
        <v>778</v>
      </c>
      <c r="L39" s="96">
        <v>30</v>
      </c>
      <c r="M39" s="160" t="s">
        <v>779</v>
      </c>
      <c r="N39" s="136">
        <f>24.932+1.593</f>
        <v>26.524999999999999</v>
      </c>
      <c r="O39" s="122"/>
      <c r="P39" s="92">
        <f t="shared" si="7"/>
        <v>26.525440000000003</v>
      </c>
      <c r="Q39" s="113">
        <f t="shared" si="8"/>
        <v>1.2974399999999999</v>
      </c>
      <c r="R39" s="92">
        <f t="shared" si="9"/>
        <v>1.00912</v>
      </c>
      <c r="S39" s="121"/>
      <c r="T39" s="198">
        <f t="shared" si="10"/>
        <v>4.400000000022164E-4</v>
      </c>
      <c r="U39" s="122"/>
      <c r="V39" s="94">
        <f t="shared" ca="1" si="11"/>
        <v>-223.5355552083347</v>
      </c>
      <c r="W39" s="89">
        <f t="shared" si="12"/>
        <v>4.782608695676265E-4</v>
      </c>
    </row>
    <row r="40" spans="1:23" ht="18">
      <c r="A40" s="115"/>
      <c r="B40" s="66" t="s">
        <v>363</v>
      </c>
      <c r="C40" s="90" t="s">
        <v>364</v>
      </c>
      <c r="D40" s="95" t="s">
        <v>369</v>
      </c>
      <c r="E40" s="150">
        <v>31</v>
      </c>
      <c r="F40" s="138">
        <v>44714</v>
      </c>
      <c r="G40" s="100">
        <v>30.968</v>
      </c>
      <c r="H40" s="90">
        <v>1974117</v>
      </c>
      <c r="I40" s="150">
        <f t="shared" si="13"/>
        <v>63746.996900025835</v>
      </c>
      <c r="J40" s="122"/>
      <c r="K40" s="136">
        <v>448</v>
      </c>
      <c r="L40" s="96">
        <v>31</v>
      </c>
      <c r="M40" s="160" t="s">
        <v>621</v>
      </c>
      <c r="N40" s="136">
        <v>28.491</v>
      </c>
      <c r="O40" s="122"/>
      <c r="P40" s="92">
        <f t="shared" si="7"/>
        <v>28.490560000000002</v>
      </c>
      <c r="Q40" s="113">
        <f t="shared" si="8"/>
        <v>1.3935599999999999</v>
      </c>
      <c r="R40" s="92">
        <f t="shared" si="9"/>
        <v>1.0838800000000002</v>
      </c>
      <c r="S40" s="121"/>
      <c r="T40" s="93">
        <f t="shared" si="10"/>
        <v>-4.3999999999977391E-4</v>
      </c>
      <c r="U40" s="122"/>
      <c r="V40" s="94">
        <f t="shared" ca="1" si="11"/>
        <v>-223.5355552083347</v>
      </c>
      <c r="W40" s="89">
        <f t="shared" si="12"/>
        <v>-4.7826086956497161E-4</v>
      </c>
    </row>
    <row r="41" spans="1:23" ht="18">
      <c r="A41" s="115"/>
      <c r="B41" s="66" t="s">
        <v>363</v>
      </c>
      <c r="C41" s="90" t="s">
        <v>364</v>
      </c>
      <c r="D41" s="95" t="s">
        <v>370</v>
      </c>
      <c r="E41" s="150">
        <v>32</v>
      </c>
      <c r="F41" s="138">
        <v>44714</v>
      </c>
      <c r="G41" s="100">
        <v>26.606999999999999</v>
      </c>
      <c r="H41" s="90">
        <v>1696334</v>
      </c>
      <c r="I41" s="150">
        <f t="shared" si="13"/>
        <v>63755.177209005153</v>
      </c>
      <c r="J41" s="122"/>
      <c r="K41" s="115">
        <v>453</v>
      </c>
      <c r="L41" s="150">
        <v>32</v>
      </c>
      <c r="M41" s="119" t="s">
        <v>624</v>
      </c>
      <c r="N41" s="115">
        <v>24.478000000000002</v>
      </c>
      <c r="O41" s="122"/>
      <c r="P41" s="92">
        <f t="shared" si="7"/>
        <v>24.478439999999999</v>
      </c>
      <c r="Q41" s="113">
        <f t="shared" si="8"/>
        <v>1.1973149999999999</v>
      </c>
      <c r="R41" s="92">
        <f t="shared" si="9"/>
        <v>0.9312450000000001</v>
      </c>
      <c r="S41" s="121"/>
      <c r="T41" s="93">
        <f t="shared" si="10"/>
        <v>4.399999999977755E-4</v>
      </c>
      <c r="U41" s="122"/>
      <c r="V41" s="94">
        <f t="shared" ca="1" si="11"/>
        <v>-223.5355552083347</v>
      </c>
      <c r="W41" s="89">
        <f t="shared" si="12"/>
        <v>4.7826086956279947E-4</v>
      </c>
    </row>
    <row r="42" spans="1:23" ht="18">
      <c r="A42" s="115"/>
      <c r="B42" s="66" t="s">
        <v>363</v>
      </c>
      <c r="C42" s="90" t="s">
        <v>364</v>
      </c>
      <c r="D42" s="95" t="s">
        <v>370</v>
      </c>
      <c r="E42" s="150">
        <v>33</v>
      </c>
      <c r="F42" s="138">
        <v>44714</v>
      </c>
      <c r="G42" s="100">
        <v>32.993000000000002</v>
      </c>
      <c r="H42" s="90">
        <v>2103454</v>
      </c>
      <c r="I42" s="150">
        <f t="shared" si="13"/>
        <v>63754.553996302238</v>
      </c>
      <c r="J42" s="122"/>
      <c r="K42" s="235">
        <v>454455</v>
      </c>
      <c r="L42" s="150">
        <v>33</v>
      </c>
      <c r="M42" s="119" t="s">
        <v>625</v>
      </c>
      <c r="N42" s="115">
        <f>8.363+21.991</f>
        <v>30.353999999999999</v>
      </c>
      <c r="O42" s="122"/>
      <c r="P42" s="92">
        <f t="shared" si="7"/>
        <v>30.353560000000002</v>
      </c>
      <c r="Q42" s="113">
        <f t="shared" si="8"/>
        <v>1.484685</v>
      </c>
      <c r="R42" s="92">
        <f t="shared" si="9"/>
        <v>1.1547550000000002</v>
      </c>
      <c r="S42" s="121"/>
      <c r="T42" s="93">
        <f t="shared" si="10"/>
        <v>-4.3999999999733141E-4</v>
      </c>
      <c r="U42" s="122"/>
      <c r="V42" s="94">
        <f t="shared" ca="1" si="11"/>
        <v>-223.5355552083347</v>
      </c>
      <c r="W42" s="89">
        <f t="shared" si="12"/>
        <v>-4.7826086956231673E-4</v>
      </c>
    </row>
    <row r="43" spans="1:23" ht="18">
      <c r="A43" s="115"/>
      <c r="B43" s="66" t="s">
        <v>363</v>
      </c>
      <c r="C43" s="90" t="s">
        <v>364</v>
      </c>
      <c r="D43" s="95" t="s">
        <v>371</v>
      </c>
      <c r="E43" s="150">
        <v>34</v>
      </c>
      <c r="F43" s="138">
        <v>44714</v>
      </c>
      <c r="G43" s="100">
        <v>30.812999999999999</v>
      </c>
      <c r="H43" s="90">
        <v>1964562</v>
      </c>
      <c r="I43" s="150">
        <f t="shared" si="13"/>
        <v>63757.569856878596</v>
      </c>
      <c r="J43" s="133"/>
      <c r="K43" s="224">
        <v>456467475</v>
      </c>
      <c r="L43" s="96">
        <v>34</v>
      </c>
      <c r="M43" s="160" t="s">
        <v>634</v>
      </c>
      <c r="N43" s="136">
        <f>10.372+15.881+2.095</f>
        <v>28.347999999999999</v>
      </c>
      <c r="O43" s="122"/>
      <c r="P43" s="92">
        <f t="shared" ref="P43:P54" si="14">G43*0.92</f>
        <v>28.34796</v>
      </c>
      <c r="Q43" s="113">
        <f t="shared" ref="Q43:Q54" si="15">G43*4.5%</f>
        <v>1.386585</v>
      </c>
      <c r="R43" s="92">
        <f t="shared" ref="R43:R54" si="16">G43*3.5%</f>
        <v>1.0784550000000002</v>
      </c>
      <c r="S43" s="121"/>
      <c r="T43" s="93">
        <f t="shared" ref="T43:T54" si="17">G43-N43-Q43-R43</f>
        <v>-4.0000000000262048E-5</v>
      </c>
      <c r="U43" s="122"/>
      <c r="V43" s="94">
        <f t="shared" ref="V43:V54" ca="1" si="18">360-($V$3-F43)</f>
        <v>-223.5355552083347</v>
      </c>
      <c r="W43" s="89">
        <f t="shared" ref="W43:W54" si="19">T43/0.92%/100</f>
        <v>-4.3478260869850054E-5</v>
      </c>
    </row>
    <row r="44" spans="1:23" ht="18">
      <c r="A44" s="115"/>
      <c r="B44" s="66" t="s">
        <v>363</v>
      </c>
      <c r="C44" s="90" t="s">
        <v>364</v>
      </c>
      <c r="D44" s="95" t="s">
        <v>372</v>
      </c>
      <c r="E44" s="150">
        <v>35</v>
      </c>
      <c r="F44" s="138">
        <v>44714</v>
      </c>
      <c r="G44" s="100">
        <v>29.85</v>
      </c>
      <c r="H44" s="90">
        <v>1902969</v>
      </c>
      <c r="I44" s="150">
        <f t="shared" si="13"/>
        <v>63751.055276381907</v>
      </c>
      <c r="J44" s="122"/>
      <c r="K44" s="115">
        <v>476</v>
      </c>
      <c r="L44" s="150">
        <v>35</v>
      </c>
      <c r="M44" s="119" t="s">
        <v>635</v>
      </c>
      <c r="N44" s="115">
        <v>27.462</v>
      </c>
      <c r="O44" s="122"/>
      <c r="P44" s="92">
        <f t="shared" si="14"/>
        <v>27.462000000000003</v>
      </c>
      <c r="Q44" s="113">
        <f t="shared" si="15"/>
        <v>1.3432500000000001</v>
      </c>
      <c r="R44" s="92">
        <f t="shared" si="16"/>
        <v>1.0447500000000001</v>
      </c>
      <c r="S44" s="121"/>
      <c r="T44" s="93">
        <f t="shared" si="17"/>
        <v>0</v>
      </c>
      <c r="U44" s="122"/>
      <c r="V44" s="94">
        <f t="shared" ca="1" si="18"/>
        <v>-223.5355552083347</v>
      </c>
      <c r="W44" s="89">
        <f t="shared" si="19"/>
        <v>0</v>
      </c>
    </row>
    <row r="45" spans="1:23" ht="18">
      <c r="A45" s="115"/>
      <c r="B45" s="66" t="s">
        <v>363</v>
      </c>
      <c r="C45" s="90" t="s">
        <v>364</v>
      </c>
      <c r="D45" s="95" t="s">
        <v>372</v>
      </c>
      <c r="E45" s="150">
        <v>36</v>
      </c>
      <c r="F45" s="138">
        <v>44714</v>
      </c>
      <c r="G45" s="100">
        <v>29.85</v>
      </c>
      <c r="H45" s="90">
        <v>1902969</v>
      </c>
      <c r="I45" s="150">
        <f t="shared" si="13"/>
        <v>63751.055276381907</v>
      </c>
      <c r="J45" s="122"/>
      <c r="K45" s="224">
        <v>477478</v>
      </c>
      <c r="L45" s="96">
        <v>36</v>
      </c>
      <c r="M45" s="160" t="s">
        <v>636</v>
      </c>
      <c r="N45" s="136">
        <f>2.852+24.61</f>
        <v>27.462</v>
      </c>
      <c r="O45" s="122"/>
      <c r="P45" s="92">
        <f t="shared" si="14"/>
        <v>27.462000000000003</v>
      </c>
      <c r="Q45" s="113">
        <f t="shared" si="15"/>
        <v>1.3432500000000001</v>
      </c>
      <c r="R45" s="92">
        <f t="shared" si="16"/>
        <v>1.0447500000000001</v>
      </c>
      <c r="S45" s="121"/>
      <c r="T45" s="93">
        <f t="shared" si="17"/>
        <v>0</v>
      </c>
      <c r="U45" s="122"/>
      <c r="V45" s="94">
        <f t="shared" ca="1" si="18"/>
        <v>-223.5355552083347</v>
      </c>
      <c r="W45" s="89">
        <f t="shared" si="19"/>
        <v>0</v>
      </c>
    </row>
    <row r="46" spans="1:23" ht="18">
      <c r="A46" s="115"/>
      <c r="B46" s="66" t="s">
        <v>363</v>
      </c>
      <c r="C46" s="90" t="s">
        <v>364</v>
      </c>
      <c r="D46" s="95" t="s">
        <v>373</v>
      </c>
      <c r="E46" s="150">
        <v>37</v>
      </c>
      <c r="F46" s="138">
        <v>44714</v>
      </c>
      <c r="G46" s="100">
        <v>30.605</v>
      </c>
      <c r="H46" s="90">
        <v>1951823</v>
      </c>
      <c r="I46" s="150">
        <f t="shared" si="13"/>
        <v>63774.644665904263</v>
      </c>
      <c r="J46" s="122"/>
      <c r="K46" s="248" t="s">
        <v>638</v>
      </c>
      <c r="L46" s="96">
        <v>37</v>
      </c>
      <c r="M46" s="160" t="s">
        <v>639</v>
      </c>
      <c r="N46" s="136">
        <f>7.926+20.231</f>
        <v>28.157000000000004</v>
      </c>
      <c r="O46" s="122"/>
      <c r="P46" s="92">
        <f t="shared" si="14"/>
        <v>28.156600000000001</v>
      </c>
      <c r="Q46" s="113">
        <f t="shared" si="15"/>
        <v>1.3772249999999999</v>
      </c>
      <c r="R46" s="92">
        <f t="shared" si="16"/>
        <v>1.0711750000000002</v>
      </c>
      <c r="S46" s="121"/>
      <c r="T46" s="93">
        <f t="shared" si="17"/>
        <v>-4.0000000000328662E-4</v>
      </c>
      <c r="U46" s="122"/>
      <c r="V46" s="94">
        <f t="shared" ca="1" si="18"/>
        <v>-223.5355552083347</v>
      </c>
      <c r="W46" s="89">
        <f t="shared" si="19"/>
        <v>-4.3478260869922458E-4</v>
      </c>
    </row>
    <row r="47" spans="1:23" ht="18">
      <c r="A47" s="115"/>
      <c r="B47" s="66" t="s">
        <v>363</v>
      </c>
      <c r="C47" s="90" t="s">
        <v>364</v>
      </c>
      <c r="D47" s="95" t="s">
        <v>374</v>
      </c>
      <c r="E47" s="150">
        <v>38</v>
      </c>
      <c r="F47" s="138">
        <v>44714</v>
      </c>
      <c r="G47" s="100">
        <v>30.25</v>
      </c>
      <c r="H47" s="90">
        <v>1927569</v>
      </c>
      <c r="I47" s="150">
        <f t="shared" si="13"/>
        <v>63721.289256198346</v>
      </c>
      <c r="J47" s="122"/>
      <c r="K47" s="224">
        <v>485542</v>
      </c>
      <c r="L47" s="96">
        <v>38</v>
      </c>
      <c r="M47" s="160" t="s">
        <v>682</v>
      </c>
      <c r="N47" s="136">
        <f>11.784+16.046</f>
        <v>27.83</v>
      </c>
      <c r="O47" s="122"/>
      <c r="P47" s="92">
        <f t="shared" si="14"/>
        <v>27.830000000000002</v>
      </c>
      <c r="Q47" s="113">
        <f t="shared" si="15"/>
        <v>1.3612499999999998</v>
      </c>
      <c r="R47" s="92">
        <f t="shared" si="16"/>
        <v>1.0587500000000001</v>
      </c>
      <c r="S47" s="121"/>
      <c r="T47" s="93">
        <f t="shared" si="17"/>
        <v>1.7763568394002505E-15</v>
      </c>
      <c r="U47" s="122"/>
      <c r="V47" s="94">
        <f t="shared" ca="1" si="18"/>
        <v>-223.5355552083347</v>
      </c>
      <c r="W47" s="89">
        <f t="shared" si="19"/>
        <v>1.9308226515220113E-15</v>
      </c>
    </row>
    <row r="48" spans="1:23" ht="18">
      <c r="A48" s="115"/>
      <c r="B48" s="66" t="s">
        <v>363</v>
      </c>
      <c r="C48" s="90" t="s">
        <v>364</v>
      </c>
      <c r="D48" s="95" t="s">
        <v>375</v>
      </c>
      <c r="E48" s="150">
        <v>39</v>
      </c>
      <c r="F48" s="138">
        <v>44714</v>
      </c>
      <c r="G48" s="100">
        <v>30.916</v>
      </c>
      <c r="H48" s="90">
        <v>1970932</v>
      </c>
      <c r="I48" s="150">
        <f t="shared" si="13"/>
        <v>63751.196791305469</v>
      </c>
      <c r="J48" s="122"/>
      <c r="K48" s="235" t="s">
        <v>780</v>
      </c>
      <c r="L48" s="150">
        <v>39</v>
      </c>
      <c r="M48" s="119" t="s">
        <v>781</v>
      </c>
      <c r="N48" s="115">
        <f>28.251+0.192</f>
        <v>28.443000000000001</v>
      </c>
      <c r="O48" s="122"/>
      <c r="P48" s="92">
        <f t="shared" si="14"/>
        <v>28.442720000000001</v>
      </c>
      <c r="Q48" s="113">
        <f t="shared" si="15"/>
        <v>1.3912199999999999</v>
      </c>
      <c r="R48" s="92">
        <f t="shared" si="16"/>
        <v>1.08206</v>
      </c>
      <c r="S48" s="121"/>
      <c r="T48" s="198">
        <f t="shared" si="17"/>
        <v>-2.8000000000094616E-4</v>
      </c>
      <c r="U48" s="122"/>
      <c r="V48" s="94">
        <f t="shared" ca="1" si="18"/>
        <v>-223.5355552083347</v>
      </c>
      <c r="W48" s="89">
        <f t="shared" si="19"/>
        <v>-3.0434782608798497E-4</v>
      </c>
    </row>
    <row r="49" spans="1:23" ht="18">
      <c r="A49" s="115"/>
      <c r="B49" s="66" t="s">
        <v>363</v>
      </c>
      <c r="C49" s="90" t="s">
        <v>364</v>
      </c>
      <c r="D49" s="95" t="s">
        <v>375</v>
      </c>
      <c r="E49" s="150">
        <v>40</v>
      </c>
      <c r="F49" s="138">
        <v>44714</v>
      </c>
      <c r="G49" s="100">
        <v>28.783999999999999</v>
      </c>
      <c r="H49" s="90">
        <v>1835005</v>
      </c>
      <c r="I49" s="150">
        <f t="shared" si="13"/>
        <v>63750.868538076713</v>
      </c>
      <c r="J49" s="122"/>
      <c r="K49" s="115" t="s">
        <v>714</v>
      </c>
      <c r="L49" s="150">
        <v>40</v>
      </c>
      <c r="M49" s="119" t="s">
        <v>715</v>
      </c>
      <c r="N49" s="115">
        <f>16.619+9.862</f>
        <v>26.481000000000002</v>
      </c>
      <c r="O49" s="122"/>
      <c r="P49" s="92">
        <f t="shared" si="14"/>
        <v>26.481280000000002</v>
      </c>
      <c r="Q49" s="113">
        <f t="shared" si="15"/>
        <v>1.29528</v>
      </c>
      <c r="R49" s="92">
        <f t="shared" si="16"/>
        <v>1.0074400000000001</v>
      </c>
      <c r="S49" s="121"/>
      <c r="T49" s="93">
        <f>G49-N49-Q49-R49</f>
        <v>2.799999999971714E-4</v>
      </c>
      <c r="U49" s="122"/>
      <c r="V49" s="94">
        <f t="shared" ca="1" si="18"/>
        <v>-223.5355552083347</v>
      </c>
      <c r="W49" s="89">
        <f t="shared" si="19"/>
        <v>3.0434782608388197E-4</v>
      </c>
    </row>
    <row r="50" spans="1:23" ht="18">
      <c r="A50" s="115"/>
      <c r="B50" s="66" t="s">
        <v>363</v>
      </c>
      <c r="C50" s="90" t="s">
        <v>364</v>
      </c>
      <c r="D50" s="95" t="s">
        <v>373</v>
      </c>
      <c r="E50" s="150">
        <v>41</v>
      </c>
      <c r="F50" s="138">
        <v>44715</v>
      </c>
      <c r="G50" s="100">
        <v>28.495000000000001</v>
      </c>
      <c r="H50" s="90">
        <v>1817215</v>
      </c>
      <c r="I50" s="150">
        <f t="shared" si="13"/>
        <v>63773.118090893135</v>
      </c>
      <c r="J50" s="122"/>
      <c r="K50" s="115" t="s">
        <v>782</v>
      </c>
      <c r="L50" s="150">
        <v>41</v>
      </c>
      <c r="M50" s="119" t="s">
        <v>783</v>
      </c>
      <c r="N50" s="115">
        <f>22.179+4.036</f>
        <v>26.214999999999996</v>
      </c>
      <c r="O50" s="122"/>
      <c r="P50" s="92">
        <f t="shared" si="14"/>
        <v>26.215400000000002</v>
      </c>
      <c r="Q50" s="113">
        <f t="shared" si="15"/>
        <v>1.2822750000000001</v>
      </c>
      <c r="R50" s="92">
        <f t="shared" si="16"/>
        <v>0.99732500000000013</v>
      </c>
      <c r="S50" s="121"/>
      <c r="T50" s="198">
        <f t="shared" si="17"/>
        <v>4.0000000000450786E-4</v>
      </c>
      <c r="U50" s="122"/>
      <c r="V50" s="94">
        <f t="shared" ca="1" si="18"/>
        <v>-222.5355552083347</v>
      </c>
      <c r="W50" s="89">
        <f t="shared" si="19"/>
        <v>4.3478260870055208E-4</v>
      </c>
    </row>
    <row r="51" spans="1:23" ht="18">
      <c r="A51" s="115"/>
      <c r="B51" s="66" t="s">
        <v>363</v>
      </c>
      <c r="C51" s="90" t="s">
        <v>364</v>
      </c>
      <c r="D51" s="95" t="s">
        <v>371</v>
      </c>
      <c r="E51" s="150">
        <v>42</v>
      </c>
      <c r="F51" s="138">
        <v>44715</v>
      </c>
      <c r="G51" s="100">
        <v>28.687999999999999</v>
      </c>
      <c r="H51" s="90">
        <v>1829075</v>
      </c>
      <c r="I51" s="150">
        <f t="shared" si="13"/>
        <v>63757.49442275516</v>
      </c>
      <c r="J51" s="122"/>
      <c r="K51" s="186">
        <v>567</v>
      </c>
      <c r="L51" s="96">
        <v>42</v>
      </c>
      <c r="M51" s="160" t="s">
        <v>716</v>
      </c>
      <c r="N51" s="136">
        <v>26.393000000000001</v>
      </c>
      <c r="O51" s="122"/>
      <c r="P51" s="92">
        <f t="shared" si="14"/>
        <v>26.392959999999999</v>
      </c>
      <c r="Q51" s="113">
        <f t="shared" si="15"/>
        <v>1.2909599999999999</v>
      </c>
      <c r="R51" s="92">
        <f t="shared" si="16"/>
        <v>1.0040800000000001</v>
      </c>
      <c r="S51" s="121"/>
      <c r="T51" s="93">
        <f t="shared" si="17"/>
        <v>-4.000000000181636E-5</v>
      </c>
      <c r="U51" s="122"/>
      <c r="V51" s="94">
        <f t="shared" ca="1" si="18"/>
        <v>-222.5355552083347</v>
      </c>
      <c r="W51" s="89">
        <f t="shared" si="19"/>
        <v>-4.3478260871539525E-5</v>
      </c>
    </row>
    <row r="52" spans="1:23" ht="18">
      <c r="A52" s="115"/>
      <c r="B52" s="66" t="s">
        <v>363</v>
      </c>
      <c r="C52" s="90" t="s">
        <v>364</v>
      </c>
      <c r="D52" s="95" t="s">
        <v>376</v>
      </c>
      <c r="E52" s="150">
        <v>43</v>
      </c>
      <c r="F52" s="138">
        <v>44715</v>
      </c>
      <c r="G52" s="100">
        <v>26.696000000000002</v>
      </c>
      <c r="H52" s="90">
        <v>1704224</v>
      </c>
      <c r="I52" s="150">
        <f t="shared" si="13"/>
        <v>63838.178004195383</v>
      </c>
      <c r="J52" s="122"/>
      <c r="K52" s="136" t="s">
        <v>719</v>
      </c>
      <c r="L52" s="96">
        <v>43</v>
      </c>
      <c r="M52" s="160" t="s">
        <v>720</v>
      </c>
      <c r="N52" s="136">
        <f>5.842+18.718</f>
        <v>24.56</v>
      </c>
      <c r="O52" s="122"/>
      <c r="P52" s="92">
        <f t="shared" si="14"/>
        <v>24.560320000000001</v>
      </c>
      <c r="Q52" s="113">
        <f t="shared" si="15"/>
        <v>1.2013199999999999</v>
      </c>
      <c r="R52" s="92">
        <f t="shared" si="16"/>
        <v>0.93436000000000019</v>
      </c>
      <c r="S52" s="121"/>
      <c r="T52" s="93">
        <f t="shared" si="17"/>
        <v>3.200000000026515E-4</v>
      </c>
      <c r="U52" s="122"/>
      <c r="V52" s="94">
        <f t="shared" ca="1" si="18"/>
        <v>-222.5355552083347</v>
      </c>
      <c r="W52" s="89">
        <f t="shared" si="19"/>
        <v>3.4782608695940379E-4</v>
      </c>
    </row>
    <row r="53" spans="1:23" ht="18">
      <c r="A53" s="115"/>
      <c r="B53" s="66" t="s">
        <v>363</v>
      </c>
      <c r="C53" s="90" t="s">
        <v>364</v>
      </c>
      <c r="D53" s="95" t="s">
        <v>376</v>
      </c>
      <c r="E53" s="150">
        <v>44</v>
      </c>
      <c r="F53" s="138">
        <v>44715</v>
      </c>
      <c r="G53" s="100">
        <v>30.803999999999998</v>
      </c>
      <c r="H53" s="90">
        <v>1966413</v>
      </c>
      <c r="I53" s="150">
        <f t="shared" si="13"/>
        <v>63836.287495130506</v>
      </c>
      <c r="J53" s="122"/>
      <c r="K53" s="136" t="s">
        <v>728</v>
      </c>
      <c r="L53" s="96">
        <v>44</v>
      </c>
      <c r="M53" s="160" t="s">
        <v>729</v>
      </c>
      <c r="N53" s="136">
        <f>13.888+14.452</f>
        <v>28.34</v>
      </c>
      <c r="O53" s="122"/>
      <c r="P53" s="92">
        <f t="shared" si="14"/>
        <v>28.339680000000001</v>
      </c>
      <c r="Q53" s="113">
        <f t="shared" si="15"/>
        <v>1.38618</v>
      </c>
      <c r="R53" s="92">
        <f t="shared" si="16"/>
        <v>1.0781400000000001</v>
      </c>
      <c r="S53" s="121"/>
      <c r="T53" s="93">
        <f t="shared" si="17"/>
        <v>-3.2000000000143025E-4</v>
      </c>
      <c r="U53" s="122"/>
      <c r="V53" s="94">
        <f t="shared" ca="1" si="18"/>
        <v>-222.5355552083347</v>
      </c>
      <c r="W53" s="89">
        <f t="shared" si="19"/>
        <v>-3.4782608695807635E-4</v>
      </c>
    </row>
    <row r="54" spans="1:23" ht="18">
      <c r="A54" s="115"/>
      <c r="B54" s="66" t="s">
        <v>363</v>
      </c>
      <c r="C54" s="90" t="s">
        <v>364</v>
      </c>
      <c r="D54" s="95" t="s">
        <v>374</v>
      </c>
      <c r="E54" s="150">
        <v>45</v>
      </c>
      <c r="F54" s="138">
        <v>44715</v>
      </c>
      <c r="G54" s="100">
        <v>30.25</v>
      </c>
      <c r="H54" s="90">
        <v>1927569</v>
      </c>
      <c r="I54" s="150">
        <f t="shared" si="13"/>
        <v>63721.289256198346</v>
      </c>
      <c r="J54" s="122"/>
      <c r="K54" s="186" t="s">
        <v>731</v>
      </c>
      <c r="L54" s="96">
        <v>45</v>
      </c>
      <c r="M54" s="160" t="s">
        <v>730</v>
      </c>
      <c r="N54" s="136">
        <f>23.614+4.216</f>
        <v>27.830000000000002</v>
      </c>
      <c r="O54" s="122"/>
      <c r="P54" s="92">
        <f t="shared" si="14"/>
        <v>27.830000000000002</v>
      </c>
      <c r="Q54" s="113">
        <f t="shared" si="15"/>
        <v>1.3612499999999998</v>
      </c>
      <c r="R54" s="92">
        <f t="shared" si="16"/>
        <v>1.0587500000000001</v>
      </c>
      <c r="S54" s="121"/>
      <c r="T54" s="93">
        <f t="shared" si="17"/>
        <v>-1.7763568394002505E-15</v>
      </c>
      <c r="U54" s="122"/>
      <c r="V54" s="94">
        <f t="shared" ca="1" si="18"/>
        <v>-222.5355552083347</v>
      </c>
      <c r="W54" s="89">
        <f t="shared" si="19"/>
        <v>-1.9308226515220113E-15</v>
      </c>
    </row>
    <row r="55" spans="1:23" ht="18">
      <c r="A55" s="115"/>
      <c r="B55" s="66" t="s">
        <v>363</v>
      </c>
      <c r="C55" s="90" t="s">
        <v>364</v>
      </c>
      <c r="D55" s="95" t="s">
        <v>377</v>
      </c>
      <c r="E55" s="150">
        <v>46</v>
      </c>
      <c r="F55" s="138">
        <v>44715</v>
      </c>
      <c r="G55" s="100">
        <v>30.4</v>
      </c>
      <c r="H55" s="90">
        <v>1936794</v>
      </c>
      <c r="I55" s="150">
        <f t="shared" si="13"/>
        <v>63710.328947368427</v>
      </c>
      <c r="J55" s="122"/>
      <c r="K55" s="230" t="s">
        <v>768</v>
      </c>
      <c r="L55" s="234">
        <v>46</v>
      </c>
      <c r="M55" s="231" t="s">
        <v>769</v>
      </c>
      <c r="N55" s="133">
        <f>14.896+5.464+7.608</f>
        <v>27.968</v>
      </c>
      <c r="O55" s="122"/>
      <c r="P55" s="92">
        <f t="shared" ref="P55:P62" si="20">G55*0.92</f>
        <v>27.968</v>
      </c>
      <c r="Q55" s="113">
        <f t="shared" ref="Q55:Q62" si="21">G55*4.5%</f>
        <v>1.3679999999999999</v>
      </c>
      <c r="R55" s="92">
        <f t="shared" ref="R55:R62" si="22">G55*3.5%</f>
        <v>1.0640000000000001</v>
      </c>
      <c r="S55" s="121"/>
      <c r="T55" s="93">
        <f t="shared" ref="T55:T62" si="23">G55-N55-Q55-R55</f>
        <v>0</v>
      </c>
      <c r="U55" s="122"/>
      <c r="V55" s="94">
        <f t="shared" ref="V55:V62" ca="1" si="24">360-($V$3-F55)</f>
        <v>-222.5355552083347</v>
      </c>
      <c r="W55" s="89">
        <f t="shared" ref="W55:W62" si="25">T55/0.92%/100</f>
        <v>0</v>
      </c>
    </row>
    <row r="56" spans="1:23" ht="18">
      <c r="A56" s="115"/>
      <c r="B56" s="66" t="s">
        <v>363</v>
      </c>
      <c r="C56" s="90" t="s">
        <v>364</v>
      </c>
      <c r="D56" s="95" t="s">
        <v>377</v>
      </c>
      <c r="E56" s="150">
        <v>47</v>
      </c>
      <c r="F56" s="138">
        <v>44715</v>
      </c>
      <c r="G56" s="100">
        <v>30.4</v>
      </c>
      <c r="H56" s="90">
        <v>1936794</v>
      </c>
      <c r="I56" s="150">
        <f t="shared" si="13"/>
        <v>63710.328947368427</v>
      </c>
      <c r="J56" s="122"/>
      <c r="K56" s="233">
        <v>588621</v>
      </c>
      <c r="L56" s="234">
        <v>47</v>
      </c>
      <c r="M56" s="231" t="s">
        <v>754</v>
      </c>
      <c r="N56" s="133">
        <f>16.222+11.746</f>
        <v>27.968000000000004</v>
      </c>
      <c r="O56" s="122"/>
      <c r="P56" s="92">
        <f t="shared" si="20"/>
        <v>27.968</v>
      </c>
      <c r="Q56" s="113">
        <f t="shared" si="21"/>
        <v>1.3679999999999999</v>
      </c>
      <c r="R56" s="92">
        <f t="shared" si="22"/>
        <v>1.0640000000000001</v>
      </c>
      <c r="S56" s="121"/>
      <c r="T56" s="93">
        <f t="shared" si="23"/>
        <v>-4.8849813083506888E-15</v>
      </c>
      <c r="U56" s="122"/>
      <c r="V56" s="94">
        <f t="shared" ca="1" si="24"/>
        <v>-222.5355552083347</v>
      </c>
      <c r="W56" s="89">
        <f t="shared" si="25"/>
        <v>-5.3097622916855316E-15</v>
      </c>
    </row>
    <row r="57" spans="1:23" ht="18">
      <c r="A57" s="115"/>
      <c r="B57" s="66" t="s">
        <v>363</v>
      </c>
      <c r="C57" s="90" t="s">
        <v>364</v>
      </c>
      <c r="D57" s="95" t="s">
        <v>378</v>
      </c>
      <c r="E57" s="150">
        <v>48</v>
      </c>
      <c r="F57" s="138">
        <v>44715</v>
      </c>
      <c r="G57" s="100">
        <v>29.5</v>
      </c>
      <c r="H57" s="90">
        <v>1881444</v>
      </c>
      <c r="I57" s="150">
        <f t="shared" si="13"/>
        <v>63777.762711864409</v>
      </c>
      <c r="J57" s="122"/>
      <c r="K57" s="235">
        <v>622629</v>
      </c>
      <c r="L57" s="150">
        <v>48</v>
      </c>
      <c r="M57" s="119" t="s">
        <v>758</v>
      </c>
      <c r="N57" s="115">
        <f>9.953+17.187</f>
        <v>27.14</v>
      </c>
      <c r="O57" s="122"/>
      <c r="P57" s="92">
        <f t="shared" si="20"/>
        <v>27.14</v>
      </c>
      <c r="Q57" s="113">
        <f t="shared" si="21"/>
        <v>1.3274999999999999</v>
      </c>
      <c r="R57" s="92">
        <f t="shared" si="22"/>
        <v>1.0325000000000002</v>
      </c>
      <c r="S57" s="121"/>
      <c r="T57" s="93">
        <f t="shared" si="23"/>
        <v>0</v>
      </c>
      <c r="U57" s="122"/>
      <c r="V57" s="94">
        <f t="shared" ca="1" si="24"/>
        <v>-222.5355552083347</v>
      </c>
      <c r="W57" s="89">
        <f t="shared" si="25"/>
        <v>0</v>
      </c>
    </row>
    <row r="58" spans="1:23" ht="18">
      <c r="A58" s="115"/>
      <c r="B58" s="66" t="s">
        <v>363</v>
      </c>
      <c r="C58" s="90" t="s">
        <v>364</v>
      </c>
      <c r="D58" s="95" t="s">
        <v>378</v>
      </c>
      <c r="E58" s="150">
        <v>49</v>
      </c>
      <c r="F58" s="138">
        <v>44715</v>
      </c>
      <c r="G58" s="100">
        <v>29.5</v>
      </c>
      <c r="H58" s="90">
        <v>1881444</v>
      </c>
      <c r="I58" s="150">
        <f t="shared" si="13"/>
        <v>63777.762711864409</v>
      </c>
      <c r="J58" s="122"/>
      <c r="K58" s="115" t="s">
        <v>765</v>
      </c>
      <c r="L58" s="150">
        <v>49</v>
      </c>
      <c r="M58" s="119" t="s">
        <v>764</v>
      </c>
      <c r="N58" s="115">
        <f>14.818+12.322</f>
        <v>27.14</v>
      </c>
      <c r="O58" s="122"/>
      <c r="P58" s="92">
        <f t="shared" si="20"/>
        <v>27.14</v>
      </c>
      <c r="Q58" s="113">
        <f t="shared" si="21"/>
        <v>1.3274999999999999</v>
      </c>
      <c r="R58" s="92">
        <f t="shared" si="22"/>
        <v>1.0325000000000002</v>
      </c>
      <c r="S58" s="121"/>
      <c r="T58" s="93">
        <f t="shared" si="23"/>
        <v>0</v>
      </c>
      <c r="U58" s="122"/>
      <c r="V58" s="94">
        <f t="shared" ca="1" si="24"/>
        <v>-222.5355552083347</v>
      </c>
      <c r="W58" s="89">
        <f t="shared" si="25"/>
        <v>0</v>
      </c>
    </row>
    <row r="59" spans="1:23" ht="18">
      <c r="A59" s="115"/>
      <c r="B59" s="66" t="s">
        <v>363</v>
      </c>
      <c r="C59" s="90" t="s">
        <v>364</v>
      </c>
      <c r="D59" s="95" t="s">
        <v>379</v>
      </c>
      <c r="E59" s="150">
        <v>50</v>
      </c>
      <c r="F59" s="138">
        <v>44715</v>
      </c>
      <c r="G59" s="100">
        <v>32.625</v>
      </c>
      <c r="H59" s="90">
        <v>2071940</v>
      </c>
      <c r="I59" s="150">
        <f t="shared" si="13"/>
        <v>63507.739463601531</v>
      </c>
      <c r="J59" s="122"/>
      <c r="K59" s="115" t="s">
        <v>784</v>
      </c>
      <c r="L59" s="150">
        <v>50</v>
      </c>
      <c r="M59" s="119" t="s">
        <v>771</v>
      </c>
      <c r="N59" s="115">
        <f>20.312+9.703</f>
        <v>30.015000000000001</v>
      </c>
      <c r="O59" s="122"/>
      <c r="P59" s="92">
        <f t="shared" si="20"/>
        <v>30.015000000000001</v>
      </c>
      <c r="Q59" s="113">
        <f t="shared" si="21"/>
        <v>1.4681249999999999</v>
      </c>
      <c r="R59" s="92">
        <f t="shared" si="22"/>
        <v>1.1418750000000002</v>
      </c>
      <c r="S59" s="121"/>
      <c r="T59" s="93">
        <f t="shared" si="23"/>
        <v>0</v>
      </c>
      <c r="U59" s="122"/>
      <c r="V59" s="94">
        <f t="shared" ca="1" si="24"/>
        <v>-222.5355552083347</v>
      </c>
      <c r="W59" s="89">
        <f t="shared" si="25"/>
        <v>0</v>
      </c>
    </row>
    <row r="60" spans="1:23" ht="18">
      <c r="A60" s="115"/>
      <c r="B60" s="66" t="s">
        <v>363</v>
      </c>
      <c r="C60" s="90" t="s">
        <v>364</v>
      </c>
      <c r="D60" s="95" t="s">
        <v>380</v>
      </c>
      <c r="E60" s="150">
        <v>51</v>
      </c>
      <c r="F60" s="138">
        <v>44715</v>
      </c>
      <c r="G60" s="100">
        <v>31.279</v>
      </c>
      <c r="H60" s="90">
        <v>1986957</v>
      </c>
      <c r="I60" s="150">
        <f t="shared" si="13"/>
        <v>63523.674030499693</v>
      </c>
      <c r="J60" s="122"/>
      <c r="K60" s="115" t="s">
        <v>801</v>
      </c>
      <c r="L60" s="150">
        <v>51</v>
      </c>
      <c r="M60" s="119" t="s">
        <v>802</v>
      </c>
      <c r="N60" s="115">
        <f>25.481+3.296</f>
        <v>28.777000000000001</v>
      </c>
      <c r="O60" s="122"/>
      <c r="P60" s="92">
        <f t="shared" si="20"/>
        <v>28.776680000000002</v>
      </c>
      <c r="Q60" s="113">
        <f t="shared" si="21"/>
        <v>1.4075549999999999</v>
      </c>
      <c r="R60" s="92">
        <f t="shared" si="22"/>
        <v>1.0947650000000002</v>
      </c>
      <c r="S60" s="121"/>
      <c r="T60" s="93">
        <f t="shared" si="23"/>
        <v>-3.2000000000120821E-4</v>
      </c>
      <c r="U60" s="122"/>
      <c r="V60" s="94">
        <f t="shared" ca="1" si="24"/>
        <v>-222.5355552083347</v>
      </c>
      <c r="W60" s="89">
        <f t="shared" si="25"/>
        <v>-3.47826086957835E-4</v>
      </c>
    </row>
    <row r="61" spans="1:23" ht="18">
      <c r="A61" s="115"/>
      <c r="B61" s="66" t="s">
        <v>363</v>
      </c>
      <c r="C61" s="90" t="s">
        <v>364</v>
      </c>
      <c r="D61" s="95" t="s">
        <v>380</v>
      </c>
      <c r="E61" s="150">
        <v>52</v>
      </c>
      <c r="F61" s="138">
        <v>44715</v>
      </c>
      <c r="G61" s="100">
        <v>29.120999999999999</v>
      </c>
      <c r="H61" s="90">
        <v>1849925</v>
      </c>
      <c r="I61" s="150">
        <f t="shared" si="13"/>
        <v>63525.462724494355</v>
      </c>
      <c r="J61" s="122"/>
      <c r="K61" s="230" t="s">
        <v>803</v>
      </c>
      <c r="L61" s="234">
        <v>52</v>
      </c>
      <c r="M61" s="231" t="s">
        <v>804</v>
      </c>
      <c r="N61" s="133">
        <f>25.016+1.775</f>
        <v>26.790999999999997</v>
      </c>
      <c r="O61" s="122"/>
      <c r="P61" s="92">
        <f t="shared" si="20"/>
        <v>26.791319999999999</v>
      </c>
      <c r="Q61" s="113">
        <f t="shared" si="21"/>
        <v>1.3104449999999999</v>
      </c>
      <c r="R61" s="92">
        <f t="shared" si="22"/>
        <v>1.0192350000000001</v>
      </c>
      <c r="S61" s="121"/>
      <c r="T61" s="93">
        <f t="shared" si="23"/>
        <v>3.2000000000187434E-4</v>
      </c>
      <c r="U61" s="122"/>
      <c r="V61" s="94">
        <f t="shared" ca="1" si="24"/>
        <v>-222.5355552083347</v>
      </c>
      <c r="W61" s="89">
        <f t="shared" si="25"/>
        <v>3.4782608695855909E-4</v>
      </c>
    </row>
    <row r="62" spans="1:23" ht="18">
      <c r="A62" s="115"/>
      <c r="B62" s="66" t="s">
        <v>363</v>
      </c>
      <c r="C62" s="90" t="s">
        <v>364</v>
      </c>
      <c r="D62" s="95" t="s">
        <v>381</v>
      </c>
      <c r="E62" s="150">
        <v>53</v>
      </c>
      <c r="F62" s="138">
        <v>44715</v>
      </c>
      <c r="G62" s="100">
        <v>28.460999999999999</v>
      </c>
      <c r="H62" s="90">
        <v>1807108</v>
      </c>
      <c r="I62" s="150">
        <f t="shared" si="13"/>
        <v>63494.185025122097</v>
      </c>
      <c r="J62" s="122"/>
      <c r="K62" s="115" t="s">
        <v>805</v>
      </c>
      <c r="L62" s="150">
        <v>53</v>
      </c>
      <c r="M62" s="119" t="s">
        <v>806</v>
      </c>
      <c r="N62" s="115">
        <f>17.062+9.122</f>
        <v>26.184000000000001</v>
      </c>
      <c r="O62" s="122"/>
      <c r="P62" s="92">
        <f t="shared" si="20"/>
        <v>26.18412</v>
      </c>
      <c r="Q62" s="113">
        <f t="shared" si="21"/>
        <v>1.2807449999999998</v>
      </c>
      <c r="R62" s="92">
        <f t="shared" si="22"/>
        <v>0.99613499999999999</v>
      </c>
      <c r="S62" s="121"/>
      <c r="T62" s="93">
        <f t="shared" si="23"/>
        <v>1.1999999999767752E-4</v>
      </c>
      <c r="U62" s="122"/>
      <c r="V62" s="94">
        <f t="shared" ca="1" si="24"/>
        <v>-222.5355552083347</v>
      </c>
      <c r="W62" s="89">
        <f t="shared" si="25"/>
        <v>1.3043478260617121E-4</v>
      </c>
    </row>
    <row r="63" spans="1:23" ht="18">
      <c r="A63" s="115"/>
      <c r="B63" s="66" t="s">
        <v>363</v>
      </c>
      <c r="C63" s="90" t="s">
        <v>364</v>
      </c>
      <c r="D63" s="95" t="s">
        <v>381</v>
      </c>
      <c r="E63" s="150">
        <v>54</v>
      </c>
      <c r="F63" s="138">
        <v>44715</v>
      </c>
      <c r="G63" s="100">
        <v>32.838999999999999</v>
      </c>
      <c r="H63" s="90">
        <v>2085124</v>
      </c>
      <c r="I63" s="150">
        <f t="shared" ref="I63:I88" si="26">H63/G63</f>
        <v>63495.356131429093</v>
      </c>
      <c r="J63" s="122"/>
      <c r="K63" s="136">
        <v>533</v>
      </c>
      <c r="L63" s="96">
        <v>54</v>
      </c>
      <c r="M63" s="160" t="s">
        <v>672</v>
      </c>
      <c r="N63" s="136">
        <v>30.212</v>
      </c>
      <c r="O63" s="122"/>
      <c r="P63" s="92">
        <f t="shared" ref="P63:P76" si="27">G63*0.92</f>
        <v>30.211880000000001</v>
      </c>
      <c r="Q63" s="113">
        <f t="shared" ref="Q63:Q76" si="28">G63*4.5%</f>
        <v>1.4777549999999999</v>
      </c>
      <c r="R63" s="92">
        <f t="shared" ref="R63:R76" si="29">G63*3.5%</f>
        <v>1.149365</v>
      </c>
      <c r="S63" s="121"/>
      <c r="T63" s="232">
        <f t="shared" ref="T63:T76" si="30">G63-N63-Q63-R63</f>
        <v>-1.2000000000100819E-4</v>
      </c>
      <c r="U63" s="122"/>
      <c r="V63" s="94">
        <f t="shared" ref="V63:V76" ca="1" si="31">360-($V$3-F63)</f>
        <v>-222.5355552083347</v>
      </c>
      <c r="W63" s="89">
        <f t="shared" ref="W63:W76" si="32">T63/0.92%/100</f>
        <v>-1.304347826097915E-4</v>
      </c>
    </row>
    <row r="64" spans="1:23" ht="18">
      <c r="A64" s="115"/>
      <c r="B64" s="66" t="s">
        <v>363</v>
      </c>
      <c r="C64" s="90" t="s">
        <v>364</v>
      </c>
      <c r="D64" s="95" t="s">
        <v>380</v>
      </c>
      <c r="E64" s="150">
        <v>55</v>
      </c>
      <c r="F64" s="138">
        <v>44715</v>
      </c>
      <c r="G64" s="100">
        <v>28.274999999999999</v>
      </c>
      <c r="H64" s="90">
        <v>1795681</v>
      </c>
      <c r="I64" s="150">
        <f t="shared" si="26"/>
        <v>63507.727674624228</v>
      </c>
      <c r="J64" s="122"/>
      <c r="K64" s="136" t="s">
        <v>675</v>
      </c>
      <c r="L64" s="96">
        <v>55</v>
      </c>
      <c r="M64" s="160" t="s">
        <v>676</v>
      </c>
      <c r="N64" s="190">
        <f>10.94+15.073</f>
        <v>26.012999999999998</v>
      </c>
      <c r="O64" s="122"/>
      <c r="P64" s="92">
        <f t="shared" si="27"/>
        <v>26.012999999999998</v>
      </c>
      <c r="Q64" s="113">
        <f t="shared" si="28"/>
        <v>1.2723749999999998</v>
      </c>
      <c r="R64" s="92">
        <f t="shared" si="29"/>
        <v>0.98962500000000009</v>
      </c>
      <c r="S64" s="121"/>
      <c r="T64" s="93">
        <f t="shared" si="30"/>
        <v>0</v>
      </c>
      <c r="U64" s="122"/>
      <c r="V64" s="94">
        <f t="shared" ca="1" si="31"/>
        <v>-222.5355552083347</v>
      </c>
      <c r="W64" s="89">
        <f t="shared" si="32"/>
        <v>0</v>
      </c>
    </row>
    <row r="65" spans="1:23" ht="18">
      <c r="A65" s="115"/>
      <c r="B65" s="66" t="s">
        <v>363</v>
      </c>
      <c r="C65" s="168" t="s">
        <v>382</v>
      </c>
      <c r="D65" s="172" t="s">
        <v>383</v>
      </c>
      <c r="E65" s="173">
        <v>56</v>
      </c>
      <c r="F65" s="162">
        <v>44725</v>
      </c>
      <c r="G65" s="163">
        <v>30.6</v>
      </c>
      <c r="H65" s="168">
        <v>1851241</v>
      </c>
      <c r="I65" s="173">
        <f t="shared" si="26"/>
        <v>60498.071895424837</v>
      </c>
      <c r="J65" s="122"/>
      <c r="K65" s="136" t="s">
        <v>807</v>
      </c>
      <c r="L65" s="96">
        <v>56</v>
      </c>
      <c r="M65" s="160" t="s">
        <v>808</v>
      </c>
      <c r="N65" s="136">
        <f>1.418+13.308+6.946+2.322+4.158</f>
        <v>28.151999999999997</v>
      </c>
      <c r="O65" s="122"/>
      <c r="P65" s="92">
        <f t="shared" si="27"/>
        <v>28.152000000000001</v>
      </c>
      <c r="Q65" s="113">
        <f t="shared" si="28"/>
        <v>1.377</v>
      </c>
      <c r="R65" s="92">
        <f t="shared" si="29"/>
        <v>1.0710000000000002</v>
      </c>
      <c r="S65" s="121"/>
      <c r="T65" s="232">
        <f t="shared" si="30"/>
        <v>3.7747582837255322E-15</v>
      </c>
      <c r="U65" s="122"/>
      <c r="V65" s="94">
        <f t="shared" ca="1" si="31"/>
        <v>-212.5355552083347</v>
      </c>
      <c r="W65" s="89">
        <f t="shared" si="32"/>
        <v>4.1029981344842744E-15</v>
      </c>
    </row>
    <row r="66" spans="1:23" ht="18">
      <c r="A66" s="115"/>
      <c r="B66" s="66" t="s">
        <v>363</v>
      </c>
      <c r="C66" s="168" t="s">
        <v>382</v>
      </c>
      <c r="D66" s="172" t="s">
        <v>383</v>
      </c>
      <c r="E66" s="173">
        <v>57</v>
      </c>
      <c r="F66" s="162">
        <v>44725</v>
      </c>
      <c r="G66" s="163">
        <v>30.6</v>
      </c>
      <c r="H66" s="168">
        <v>1851241</v>
      </c>
      <c r="I66" s="173">
        <f t="shared" si="26"/>
        <v>60498.071895424837</v>
      </c>
      <c r="J66" s="122"/>
      <c r="K66" s="136" t="s">
        <v>809</v>
      </c>
      <c r="L66" s="96">
        <v>57</v>
      </c>
      <c r="M66" s="160" t="s">
        <v>810</v>
      </c>
      <c r="N66" s="136">
        <f>9.418+3.427+5.501+3.705+6.101</f>
        <v>28.152000000000001</v>
      </c>
      <c r="O66" s="122"/>
      <c r="P66" s="92">
        <f t="shared" si="27"/>
        <v>28.152000000000001</v>
      </c>
      <c r="Q66" s="113">
        <f t="shared" si="28"/>
        <v>1.377</v>
      </c>
      <c r="R66" s="92">
        <f t="shared" si="29"/>
        <v>1.0710000000000002</v>
      </c>
      <c r="S66" s="121"/>
      <c r="T66" s="93">
        <f t="shared" si="30"/>
        <v>0</v>
      </c>
      <c r="U66" s="122"/>
      <c r="V66" s="94">
        <f t="shared" ca="1" si="31"/>
        <v>-212.5355552083347</v>
      </c>
      <c r="W66" s="89">
        <f t="shared" si="32"/>
        <v>0</v>
      </c>
    </row>
    <row r="67" spans="1:23" ht="18">
      <c r="A67" s="115"/>
      <c r="B67" s="66" t="s">
        <v>363</v>
      </c>
      <c r="C67" s="90" t="s">
        <v>364</v>
      </c>
      <c r="D67" s="95" t="s">
        <v>384</v>
      </c>
      <c r="E67" s="150">
        <v>58</v>
      </c>
      <c r="F67" s="138">
        <v>44725</v>
      </c>
      <c r="G67" s="100">
        <v>29.85</v>
      </c>
      <c r="H67" s="90">
        <v>1896916</v>
      </c>
      <c r="I67" s="150">
        <f t="shared" si="26"/>
        <v>63548.274706867669</v>
      </c>
      <c r="J67" s="122"/>
      <c r="K67" s="136">
        <v>498</v>
      </c>
      <c r="L67" s="96">
        <v>58</v>
      </c>
      <c r="M67" s="160" t="s">
        <v>643</v>
      </c>
      <c r="N67" s="136">
        <v>27.462</v>
      </c>
      <c r="O67" s="122"/>
      <c r="P67" s="92">
        <f t="shared" si="27"/>
        <v>27.462000000000003</v>
      </c>
      <c r="Q67" s="113">
        <f t="shared" si="28"/>
        <v>1.3432500000000001</v>
      </c>
      <c r="R67" s="92">
        <f t="shared" si="29"/>
        <v>1.0447500000000001</v>
      </c>
      <c r="S67" s="121"/>
      <c r="T67" s="93">
        <f t="shared" si="30"/>
        <v>0</v>
      </c>
      <c r="U67" s="122"/>
      <c r="V67" s="94">
        <f t="shared" ca="1" si="31"/>
        <v>-212.5355552083347</v>
      </c>
      <c r="W67" s="89">
        <f t="shared" si="32"/>
        <v>0</v>
      </c>
    </row>
    <row r="68" spans="1:23" ht="18">
      <c r="A68" s="115"/>
      <c r="B68" s="66" t="s">
        <v>363</v>
      </c>
      <c r="C68" s="90" t="s">
        <v>364</v>
      </c>
      <c r="D68" s="95" t="s">
        <v>384</v>
      </c>
      <c r="E68" s="150">
        <v>59</v>
      </c>
      <c r="F68" s="138">
        <v>44725</v>
      </c>
      <c r="G68" s="100">
        <v>29.85</v>
      </c>
      <c r="H68" s="90">
        <v>1896916</v>
      </c>
      <c r="I68" s="150">
        <f t="shared" si="26"/>
        <v>63548.274706867669</v>
      </c>
      <c r="J68" s="122"/>
      <c r="K68" s="136" t="s">
        <v>659</v>
      </c>
      <c r="L68" s="96">
        <v>59</v>
      </c>
      <c r="M68" s="160" t="s">
        <v>655</v>
      </c>
      <c r="N68" s="136">
        <f>5.144+22.318</f>
        <v>27.462000000000003</v>
      </c>
      <c r="O68" s="122"/>
      <c r="P68" s="92">
        <f t="shared" si="27"/>
        <v>27.462000000000003</v>
      </c>
      <c r="Q68" s="113">
        <f t="shared" si="28"/>
        <v>1.3432500000000001</v>
      </c>
      <c r="R68" s="92">
        <f t="shared" si="29"/>
        <v>1.0447500000000001</v>
      </c>
      <c r="S68" s="121"/>
      <c r="T68" s="93">
        <f t="shared" si="30"/>
        <v>-1.9984014443252818E-15</v>
      </c>
      <c r="U68" s="122"/>
      <c r="V68" s="94">
        <f t="shared" ca="1" si="31"/>
        <v>-212.5355552083347</v>
      </c>
      <c r="W68" s="89">
        <f t="shared" si="32"/>
        <v>-2.1721754829622628E-15</v>
      </c>
    </row>
    <row r="69" spans="1:23" ht="18">
      <c r="A69" s="115"/>
      <c r="B69" s="66" t="s">
        <v>363</v>
      </c>
      <c r="C69" s="90" t="s">
        <v>382</v>
      </c>
      <c r="D69" s="261" t="s">
        <v>385</v>
      </c>
      <c r="E69" s="150">
        <v>60</v>
      </c>
      <c r="F69" s="138">
        <v>44726</v>
      </c>
      <c r="G69" s="265">
        <v>28.977</v>
      </c>
      <c r="H69" s="90">
        <v>1754099</v>
      </c>
      <c r="I69" s="150">
        <f t="shared" si="26"/>
        <v>60534.182282499911</v>
      </c>
      <c r="J69" s="122"/>
      <c r="K69" s="187">
        <v>267268670</v>
      </c>
      <c r="L69" s="96">
        <v>60</v>
      </c>
      <c r="M69" s="160" t="s">
        <v>811</v>
      </c>
      <c r="N69" s="190">
        <f>25.053+0.3+1.334</f>
        <v>26.687000000000001</v>
      </c>
      <c r="O69" s="122"/>
      <c r="P69" s="92">
        <f>G69*0.92+0.026</f>
        <v>26.684840000000001</v>
      </c>
      <c r="Q69" s="113">
        <f>G69*4.5%-0.015</f>
        <v>1.2889650000000001</v>
      </c>
      <c r="R69" s="92">
        <f>G69*3.5%-0.013</f>
        <v>1.0011950000000003</v>
      </c>
      <c r="S69" s="121"/>
      <c r="T69" s="93">
        <f>G69-N69-Q69-R69</f>
        <v>-1.6000000000127024E-4</v>
      </c>
      <c r="U69" s="122"/>
      <c r="V69" s="94">
        <f t="shared" ca="1" si="31"/>
        <v>-211.5355552083347</v>
      </c>
      <c r="W69" s="89">
        <f t="shared" si="32"/>
        <v>-1.7391304347964159E-4</v>
      </c>
    </row>
    <row r="70" spans="1:23" ht="18">
      <c r="A70" s="115"/>
      <c r="B70" s="66" t="s">
        <v>363</v>
      </c>
      <c r="C70" s="90" t="s">
        <v>382</v>
      </c>
      <c r="D70" s="261" t="s">
        <v>385</v>
      </c>
      <c r="E70" s="150">
        <v>61</v>
      </c>
      <c r="F70" s="138">
        <v>44726</v>
      </c>
      <c r="G70" s="265">
        <v>31.123000000000001</v>
      </c>
      <c r="H70" s="90">
        <v>1884033</v>
      </c>
      <c r="I70" s="150">
        <f t="shared" si="26"/>
        <v>60535.070526620184</v>
      </c>
      <c r="J70" s="122"/>
      <c r="K70" s="186" t="s">
        <v>1235</v>
      </c>
      <c r="L70" s="96">
        <v>61</v>
      </c>
      <c r="M70" s="160" t="s">
        <v>1236</v>
      </c>
      <c r="N70" s="136">
        <f>26.939+1.12+0.6</f>
        <v>28.659000000000002</v>
      </c>
      <c r="O70" s="122"/>
      <c r="P70" s="92">
        <f>G70*0.92+0.026</f>
        <v>28.659160000000004</v>
      </c>
      <c r="Q70" s="113">
        <f>G70*4.5%-0.013</f>
        <v>1.3875350000000002</v>
      </c>
      <c r="R70" s="92">
        <f>G70*3.5%-0.013</f>
        <v>1.0763050000000003</v>
      </c>
      <c r="S70" s="121"/>
      <c r="T70" s="93">
        <f t="shared" si="30"/>
        <v>1.5999999999816161E-4</v>
      </c>
      <c r="U70" s="122"/>
      <c r="V70" s="94">
        <f t="shared" ca="1" si="31"/>
        <v>-211.5355552083347</v>
      </c>
      <c r="W70" s="89">
        <f t="shared" si="32"/>
        <v>1.7391304347626262E-4</v>
      </c>
    </row>
    <row r="71" spans="1:23" ht="18">
      <c r="A71" s="115"/>
      <c r="B71" s="66" t="s">
        <v>363</v>
      </c>
      <c r="C71" s="90" t="s">
        <v>382</v>
      </c>
      <c r="D71" s="261" t="s">
        <v>386</v>
      </c>
      <c r="E71" s="150">
        <v>62</v>
      </c>
      <c r="F71" s="138">
        <v>44726</v>
      </c>
      <c r="G71" s="265">
        <v>29.218</v>
      </c>
      <c r="H71" s="90">
        <v>1768202</v>
      </c>
      <c r="I71" s="150">
        <f t="shared" si="26"/>
        <v>60517.557669929498</v>
      </c>
      <c r="J71" s="122"/>
      <c r="K71" s="224" t="s">
        <v>734</v>
      </c>
      <c r="L71" s="96">
        <v>62</v>
      </c>
      <c r="M71" s="160" t="s">
        <v>735</v>
      </c>
      <c r="N71" s="136">
        <f>16.359+10.522</f>
        <v>26.881</v>
      </c>
      <c r="O71" s="122"/>
      <c r="P71" s="92">
        <f t="shared" si="27"/>
        <v>26.880560000000003</v>
      </c>
      <c r="Q71" s="113">
        <f t="shared" si="28"/>
        <v>1.31481</v>
      </c>
      <c r="R71" s="92">
        <f t="shared" si="29"/>
        <v>1.0226300000000001</v>
      </c>
      <c r="S71" s="121"/>
      <c r="T71" s="93">
        <f t="shared" si="30"/>
        <v>-4.4000000000044004E-4</v>
      </c>
      <c r="U71" s="122"/>
      <c r="V71" s="94">
        <f t="shared" ca="1" si="31"/>
        <v>-211.5355552083347</v>
      </c>
      <c r="W71" s="89">
        <f t="shared" si="32"/>
        <v>-4.782608695656957E-4</v>
      </c>
    </row>
    <row r="72" spans="1:23" ht="18">
      <c r="A72" s="115"/>
      <c r="B72" s="66" t="s">
        <v>363</v>
      </c>
      <c r="C72" s="90" t="s">
        <v>382</v>
      </c>
      <c r="D72" s="261" t="s">
        <v>386</v>
      </c>
      <c r="E72" s="150">
        <v>63</v>
      </c>
      <c r="F72" s="138">
        <v>44726</v>
      </c>
      <c r="G72" s="265">
        <v>31.382000000000001</v>
      </c>
      <c r="H72" s="90">
        <v>1899180</v>
      </c>
      <c r="I72" s="150">
        <f t="shared" si="26"/>
        <v>60518.131412911855</v>
      </c>
      <c r="J72" s="122"/>
      <c r="K72" s="230" t="s">
        <v>736</v>
      </c>
      <c r="L72" s="234">
        <v>63</v>
      </c>
      <c r="M72" s="231" t="s">
        <v>737</v>
      </c>
      <c r="N72" s="251">
        <f>21.685+7.186</f>
        <v>28.870999999999999</v>
      </c>
      <c r="O72" s="122"/>
      <c r="P72" s="92">
        <f t="shared" si="27"/>
        <v>28.871440000000003</v>
      </c>
      <c r="Q72" s="113">
        <f t="shared" si="28"/>
        <v>1.4121900000000001</v>
      </c>
      <c r="R72" s="92">
        <f t="shared" si="29"/>
        <v>1.0983700000000001</v>
      </c>
      <c r="S72" s="121"/>
      <c r="T72" s="93">
        <f t="shared" si="30"/>
        <v>4.4000000000266049E-4</v>
      </c>
      <c r="U72" s="122"/>
      <c r="V72" s="94">
        <f t="shared" ca="1" si="31"/>
        <v>-211.5355552083347</v>
      </c>
      <c r="W72" s="89">
        <f t="shared" si="32"/>
        <v>4.7826086956810924E-4</v>
      </c>
    </row>
    <row r="73" spans="1:23" ht="18">
      <c r="A73" s="115"/>
      <c r="B73" s="66" t="s">
        <v>363</v>
      </c>
      <c r="C73" s="90" t="s">
        <v>382</v>
      </c>
      <c r="D73" s="261" t="s">
        <v>387</v>
      </c>
      <c r="E73" s="150">
        <v>64</v>
      </c>
      <c r="F73" s="138">
        <v>44726</v>
      </c>
      <c r="G73" s="265">
        <v>28.6</v>
      </c>
      <c r="H73" s="90">
        <v>1729874</v>
      </c>
      <c r="I73" s="150">
        <f t="shared" si="26"/>
        <v>60485.104895104894</v>
      </c>
      <c r="J73" s="122"/>
      <c r="K73" s="235" t="s">
        <v>821</v>
      </c>
      <c r="L73" s="150">
        <v>64</v>
      </c>
      <c r="M73" s="119" t="s">
        <v>822</v>
      </c>
      <c r="N73" s="135">
        <f>10.742+11.998+3.572</f>
        <v>26.312000000000001</v>
      </c>
      <c r="O73" s="122"/>
      <c r="P73" s="92">
        <f t="shared" si="27"/>
        <v>26.312000000000001</v>
      </c>
      <c r="Q73" s="113">
        <f t="shared" si="28"/>
        <v>1.2869999999999999</v>
      </c>
      <c r="R73" s="92">
        <f t="shared" si="29"/>
        <v>1.0010000000000001</v>
      </c>
      <c r="S73" s="121"/>
      <c r="T73" s="93">
        <f t="shared" si="30"/>
        <v>0</v>
      </c>
      <c r="U73" s="122"/>
      <c r="V73" s="94">
        <f t="shared" ca="1" si="31"/>
        <v>-211.5355552083347</v>
      </c>
      <c r="W73" s="89">
        <f t="shared" si="32"/>
        <v>0</v>
      </c>
    </row>
    <row r="74" spans="1:23" ht="18">
      <c r="A74" s="115"/>
      <c r="B74" s="66" t="s">
        <v>363</v>
      </c>
      <c r="C74" s="90" t="s">
        <v>382</v>
      </c>
      <c r="D74" s="261" t="s">
        <v>387</v>
      </c>
      <c r="E74" s="150">
        <v>65</v>
      </c>
      <c r="F74" s="138">
        <v>44726</v>
      </c>
      <c r="G74" s="265">
        <v>33</v>
      </c>
      <c r="H74" s="90">
        <v>1996008</v>
      </c>
      <c r="I74" s="150">
        <f t="shared" si="26"/>
        <v>60485.090909090912</v>
      </c>
      <c r="J74" s="122"/>
      <c r="K74" s="115" t="s">
        <v>1229</v>
      </c>
      <c r="L74" s="150">
        <v>65</v>
      </c>
      <c r="M74" s="119" t="s">
        <v>1230</v>
      </c>
      <c r="N74" s="135">
        <f>30.075+0.285</f>
        <v>30.36</v>
      </c>
      <c r="O74" s="122"/>
      <c r="P74" s="92">
        <f t="shared" si="27"/>
        <v>30.360000000000003</v>
      </c>
      <c r="Q74" s="113">
        <f t="shared" si="28"/>
        <v>1.4849999999999999</v>
      </c>
      <c r="R74" s="92">
        <f t="shared" si="29"/>
        <v>1.155</v>
      </c>
      <c r="S74" s="121"/>
      <c r="T74" s="93">
        <f t="shared" si="30"/>
        <v>0</v>
      </c>
      <c r="U74" s="122"/>
      <c r="V74" s="94">
        <f ca="1">360-($V$3-F74)</f>
        <v>-211.5355552083347</v>
      </c>
      <c r="W74" s="89">
        <f t="shared" si="32"/>
        <v>0</v>
      </c>
    </row>
    <row r="75" spans="1:23" ht="18">
      <c r="A75" s="115"/>
      <c r="B75" s="66" t="s">
        <v>363</v>
      </c>
      <c r="C75" s="90" t="s">
        <v>382</v>
      </c>
      <c r="D75" s="261" t="s">
        <v>388</v>
      </c>
      <c r="E75" s="150">
        <v>66</v>
      </c>
      <c r="F75" s="138">
        <v>44727</v>
      </c>
      <c r="G75" s="265">
        <v>27.021000000000001</v>
      </c>
      <c r="H75" s="90">
        <v>1637527</v>
      </c>
      <c r="I75" s="150">
        <f t="shared" si="26"/>
        <v>60602.013248954514</v>
      </c>
      <c r="J75" s="122"/>
      <c r="K75" s="115">
        <v>220</v>
      </c>
      <c r="L75" s="150">
        <v>66</v>
      </c>
      <c r="M75" s="119" t="s">
        <v>1228</v>
      </c>
      <c r="N75" s="135">
        <v>24.859000000000002</v>
      </c>
      <c r="O75" s="122"/>
      <c r="P75" s="92">
        <f t="shared" si="27"/>
        <v>24.85932</v>
      </c>
      <c r="Q75" s="113">
        <f t="shared" si="28"/>
        <v>1.2159450000000001</v>
      </c>
      <c r="R75" s="92">
        <f t="shared" si="29"/>
        <v>0.9457350000000001</v>
      </c>
      <c r="S75" s="121"/>
      <c r="T75" s="93">
        <f t="shared" si="30"/>
        <v>3.1999999999887674E-4</v>
      </c>
      <c r="U75" s="122"/>
      <c r="V75" s="94">
        <f t="shared" ca="1" si="31"/>
        <v>-210.5355552083347</v>
      </c>
      <c r="W75" s="89">
        <f t="shared" si="32"/>
        <v>3.4782608695530079E-4</v>
      </c>
    </row>
    <row r="76" spans="1:23" ht="18">
      <c r="A76" s="115"/>
      <c r="B76" s="66" t="s">
        <v>363</v>
      </c>
      <c r="C76" s="90" t="s">
        <v>382</v>
      </c>
      <c r="D76" s="261" t="s">
        <v>388</v>
      </c>
      <c r="E76" s="150">
        <v>67</v>
      </c>
      <c r="F76" s="138">
        <v>44727</v>
      </c>
      <c r="G76" s="265">
        <v>31.178999999999998</v>
      </c>
      <c r="H76" s="90">
        <v>1889454</v>
      </c>
      <c r="I76" s="150">
        <f t="shared" si="26"/>
        <v>60600.211680939094</v>
      </c>
      <c r="J76" s="122"/>
      <c r="K76" s="115" t="s">
        <v>1231</v>
      </c>
      <c r="L76" s="150">
        <v>67</v>
      </c>
      <c r="M76" s="119" t="s">
        <v>1232</v>
      </c>
      <c r="N76" s="115">
        <f>7.243+21.442</f>
        <v>28.685000000000002</v>
      </c>
      <c r="O76" s="122"/>
      <c r="P76" s="92">
        <f t="shared" si="27"/>
        <v>28.68468</v>
      </c>
      <c r="Q76" s="113">
        <f t="shared" si="28"/>
        <v>1.4030549999999999</v>
      </c>
      <c r="R76" s="92">
        <f t="shared" si="29"/>
        <v>1.0912650000000002</v>
      </c>
      <c r="S76" s="121"/>
      <c r="T76" s="93">
        <f t="shared" si="30"/>
        <v>-3.2000000000387274E-4</v>
      </c>
      <c r="U76" s="122"/>
      <c r="V76" s="94">
        <f t="shared" ca="1" si="31"/>
        <v>-210.5355552083347</v>
      </c>
      <c r="W76" s="89">
        <f t="shared" si="32"/>
        <v>-3.4782608696073123E-4</v>
      </c>
    </row>
    <row r="77" spans="1:23" ht="18">
      <c r="A77" s="115"/>
      <c r="B77" s="66" t="s">
        <v>363</v>
      </c>
      <c r="C77" s="90" t="s">
        <v>382</v>
      </c>
      <c r="D77" s="261" t="s">
        <v>389</v>
      </c>
      <c r="E77" s="150">
        <v>68</v>
      </c>
      <c r="F77" s="138">
        <v>44727</v>
      </c>
      <c r="G77" s="265">
        <v>29.459</v>
      </c>
      <c r="H77" s="90">
        <v>1782305</v>
      </c>
      <c r="I77" s="150">
        <f t="shared" si="26"/>
        <v>60501.205064666145</v>
      </c>
      <c r="J77" s="122"/>
      <c r="K77" s="115" t="s">
        <v>1233</v>
      </c>
      <c r="L77" s="150">
        <v>68</v>
      </c>
      <c r="M77" s="119" t="s">
        <v>1232</v>
      </c>
      <c r="N77" s="115">
        <f>11.326+15.776</f>
        <v>27.102</v>
      </c>
      <c r="O77" s="122"/>
      <c r="P77" s="92">
        <f t="shared" ref="P77:P87" si="33">G77*0.92</f>
        <v>27.10228</v>
      </c>
      <c r="Q77" s="113">
        <f t="shared" ref="Q77:Q87" si="34">G77*4.5%</f>
        <v>1.325655</v>
      </c>
      <c r="R77" s="92">
        <f t="shared" ref="R77:R87" si="35">G77*3.5%</f>
        <v>1.0310650000000001</v>
      </c>
      <c r="S77" s="121"/>
      <c r="T77" s="93">
        <f t="shared" ref="T77:T88" si="36">G77-N77-Q77-R77</f>
        <v>2.799999999991698E-4</v>
      </c>
      <c r="U77" s="122"/>
      <c r="V77" s="94">
        <f t="shared" ref="V77:V88" ca="1" si="37">360-($V$3-F77)</f>
        <v>-210.5355552083347</v>
      </c>
      <c r="W77" s="89">
        <f t="shared" ref="W77:W88" si="38">T77/0.92%/100</f>
        <v>3.0434782608605411E-4</v>
      </c>
    </row>
    <row r="78" spans="1:23" ht="18">
      <c r="A78" s="115"/>
      <c r="B78" s="66" t="s">
        <v>363</v>
      </c>
      <c r="C78" s="90" t="s">
        <v>382</v>
      </c>
      <c r="D78" s="261" t="s">
        <v>389</v>
      </c>
      <c r="E78" s="150">
        <v>69</v>
      </c>
      <c r="F78" s="138">
        <v>44727</v>
      </c>
      <c r="G78" s="265">
        <v>31.640999999999998</v>
      </c>
      <c r="H78" s="90">
        <v>1914327</v>
      </c>
      <c r="I78" s="150">
        <f t="shared" si="26"/>
        <v>60501.469612212008</v>
      </c>
      <c r="J78" s="122"/>
      <c r="K78" s="115" t="s">
        <v>1237</v>
      </c>
      <c r="L78" s="150">
        <v>69</v>
      </c>
      <c r="M78" s="119" t="s">
        <v>1234</v>
      </c>
      <c r="N78" s="115">
        <f>4.672+24.438</f>
        <v>29.11</v>
      </c>
      <c r="O78" s="122"/>
      <c r="P78" s="92">
        <f t="shared" si="33"/>
        <v>29.109719999999999</v>
      </c>
      <c r="Q78" s="113">
        <f t="shared" si="34"/>
        <v>1.4238449999999998</v>
      </c>
      <c r="R78" s="92">
        <f t="shared" si="35"/>
        <v>1.1074349999999999</v>
      </c>
      <c r="S78" s="121"/>
      <c r="T78" s="93">
        <f t="shared" si="36"/>
        <v>-2.8000000000094616E-4</v>
      </c>
      <c r="U78" s="122"/>
      <c r="V78" s="94">
        <f t="shared" ca="1" si="37"/>
        <v>-210.5355552083347</v>
      </c>
      <c r="W78" s="89">
        <f t="shared" si="38"/>
        <v>-3.0434782608798497E-4</v>
      </c>
    </row>
    <row r="79" spans="1:23" ht="18">
      <c r="A79" s="115"/>
      <c r="B79" s="66" t="s">
        <v>363</v>
      </c>
      <c r="C79" s="90" t="s">
        <v>382</v>
      </c>
      <c r="D79" s="261" t="s">
        <v>390</v>
      </c>
      <c r="E79" s="150">
        <v>70</v>
      </c>
      <c r="F79" s="138">
        <v>44727</v>
      </c>
      <c r="G79" s="265">
        <v>30.15</v>
      </c>
      <c r="H79" s="90">
        <v>1824916</v>
      </c>
      <c r="I79" s="150">
        <f t="shared" si="26"/>
        <v>60527.893864013269</v>
      </c>
      <c r="J79" s="122"/>
      <c r="K79" s="115" t="s">
        <v>1238</v>
      </c>
      <c r="L79" s="150">
        <v>70</v>
      </c>
      <c r="M79" s="119" t="s">
        <v>1239</v>
      </c>
      <c r="N79" s="115">
        <f>7.753+19.985</f>
        <v>27.738</v>
      </c>
      <c r="O79" s="122"/>
      <c r="P79" s="92">
        <f t="shared" si="33"/>
        <v>27.738</v>
      </c>
      <c r="Q79" s="113">
        <f t="shared" si="34"/>
        <v>1.3567499999999999</v>
      </c>
      <c r="R79" s="92">
        <f t="shared" si="35"/>
        <v>1.05525</v>
      </c>
      <c r="S79" s="121"/>
      <c r="T79" s="93">
        <f t="shared" si="36"/>
        <v>0</v>
      </c>
      <c r="U79" s="122"/>
      <c r="V79" s="94">
        <f t="shared" ca="1" si="37"/>
        <v>-210.5355552083347</v>
      </c>
      <c r="W79" s="89">
        <f t="shared" si="38"/>
        <v>0</v>
      </c>
    </row>
    <row r="80" spans="1:23" ht="18">
      <c r="A80" s="115"/>
      <c r="B80" s="66" t="s">
        <v>363</v>
      </c>
      <c r="C80" s="90" t="s">
        <v>382</v>
      </c>
      <c r="D80" s="261" t="s">
        <v>390</v>
      </c>
      <c r="E80" s="150">
        <v>71</v>
      </c>
      <c r="F80" s="138">
        <v>44727</v>
      </c>
      <c r="G80" s="265">
        <v>30.15</v>
      </c>
      <c r="H80" s="90">
        <v>1824916</v>
      </c>
      <c r="I80" s="150">
        <f t="shared" si="26"/>
        <v>60527.893864013269</v>
      </c>
      <c r="J80" s="122"/>
      <c r="K80" s="115" t="s">
        <v>1240</v>
      </c>
      <c r="L80" s="150">
        <v>71</v>
      </c>
      <c r="M80" s="119" t="s">
        <v>1239</v>
      </c>
      <c r="N80" s="115">
        <f>12.78+14.958</f>
        <v>27.738</v>
      </c>
      <c r="O80" s="122"/>
      <c r="P80" s="92">
        <f t="shared" si="33"/>
        <v>27.738</v>
      </c>
      <c r="Q80" s="113">
        <f t="shared" si="34"/>
        <v>1.3567499999999999</v>
      </c>
      <c r="R80" s="92">
        <f t="shared" si="35"/>
        <v>1.05525</v>
      </c>
      <c r="S80" s="121"/>
      <c r="T80" s="93">
        <f t="shared" si="36"/>
        <v>0</v>
      </c>
      <c r="U80" s="122"/>
      <c r="V80" s="94">
        <f t="shared" ca="1" si="37"/>
        <v>-210.5355552083347</v>
      </c>
      <c r="W80" s="89">
        <f t="shared" si="38"/>
        <v>0</v>
      </c>
    </row>
    <row r="81" spans="1:23" ht="18">
      <c r="A81" s="115"/>
      <c r="B81" s="66" t="s">
        <v>363</v>
      </c>
      <c r="C81" s="90" t="s">
        <v>382</v>
      </c>
      <c r="D81" s="261" t="s">
        <v>391</v>
      </c>
      <c r="E81" s="150">
        <v>72</v>
      </c>
      <c r="F81" s="138">
        <v>44728</v>
      </c>
      <c r="G81" s="265">
        <v>31.795999999999999</v>
      </c>
      <c r="H81" s="90">
        <v>1923416</v>
      </c>
      <c r="I81" s="150">
        <f t="shared" si="26"/>
        <v>60492.388979745883</v>
      </c>
      <c r="J81" s="122"/>
      <c r="K81" s="115" t="s">
        <v>1241</v>
      </c>
      <c r="L81" s="150">
        <v>72</v>
      </c>
      <c r="M81" s="119" t="s">
        <v>1239</v>
      </c>
      <c r="N81" s="115">
        <f>17.669+11.583</f>
        <v>29.252000000000002</v>
      </c>
      <c r="O81" s="122"/>
      <c r="P81" s="92">
        <f t="shared" si="33"/>
        <v>29.252320000000001</v>
      </c>
      <c r="Q81" s="113">
        <f t="shared" si="34"/>
        <v>1.43082</v>
      </c>
      <c r="R81" s="92">
        <f t="shared" si="35"/>
        <v>1.1128600000000002</v>
      </c>
      <c r="S81" s="121"/>
      <c r="T81" s="93">
        <f t="shared" si="36"/>
        <v>3.1999999999676731E-4</v>
      </c>
      <c r="U81" s="122"/>
      <c r="V81" s="94">
        <f t="shared" ca="1" si="37"/>
        <v>-209.5355552083347</v>
      </c>
      <c r="W81" s="89">
        <f t="shared" si="38"/>
        <v>3.4782608695300797E-4</v>
      </c>
    </row>
    <row r="82" spans="1:23" ht="18">
      <c r="A82" s="115"/>
      <c r="B82" s="66" t="s">
        <v>363</v>
      </c>
      <c r="C82" s="90" t="s">
        <v>382</v>
      </c>
      <c r="D82" s="261" t="s">
        <v>391</v>
      </c>
      <c r="E82" s="150">
        <v>73</v>
      </c>
      <c r="F82" s="138">
        <v>44728</v>
      </c>
      <c r="G82" s="265">
        <v>29.603999999999999</v>
      </c>
      <c r="H82" s="90">
        <v>1790766</v>
      </c>
      <c r="I82" s="150">
        <f t="shared" si="26"/>
        <v>60490.676935549251</v>
      </c>
      <c r="J82" s="122"/>
      <c r="K82" s="115" t="s">
        <v>1242</v>
      </c>
      <c r="L82" s="150">
        <v>73</v>
      </c>
      <c r="M82" s="119" t="s">
        <v>1243</v>
      </c>
      <c r="N82" s="115">
        <f>20.934+6.302</f>
        <v>27.236000000000001</v>
      </c>
      <c r="O82" s="122"/>
      <c r="P82" s="92">
        <f t="shared" si="33"/>
        <v>27.235680000000002</v>
      </c>
      <c r="Q82" s="113">
        <f t="shared" si="34"/>
        <v>1.3321799999999999</v>
      </c>
      <c r="R82" s="92">
        <f t="shared" si="35"/>
        <v>1.0361400000000001</v>
      </c>
      <c r="S82" s="121"/>
      <c r="T82" s="93">
        <f t="shared" si="36"/>
        <v>-3.2000000000143025E-4</v>
      </c>
      <c r="U82" s="122"/>
      <c r="V82" s="94">
        <f t="shared" ca="1" si="37"/>
        <v>-209.5355552083347</v>
      </c>
      <c r="W82" s="89">
        <f t="shared" si="38"/>
        <v>-3.4782608695807635E-4</v>
      </c>
    </row>
    <row r="83" spans="1:23" ht="18">
      <c r="A83" s="115"/>
      <c r="B83" s="66" t="s">
        <v>363</v>
      </c>
      <c r="C83" s="90" t="s">
        <v>382</v>
      </c>
      <c r="D83" s="261" t="s">
        <v>392</v>
      </c>
      <c r="E83" s="150">
        <v>74</v>
      </c>
      <c r="F83" s="138">
        <v>44728</v>
      </c>
      <c r="G83" s="265">
        <v>31.4</v>
      </c>
      <c r="H83" s="90">
        <v>1898041</v>
      </c>
      <c r="I83" s="150">
        <f t="shared" si="26"/>
        <v>60447.165605095543</v>
      </c>
      <c r="J83" s="122"/>
      <c r="K83" s="115" t="s">
        <v>1245</v>
      </c>
      <c r="L83" s="150">
        <v>74</v>
      </c>
      <c r="M83" s="119" t="s">
        <v>1246</v>
      </c>
      <c r="N83" s="115">
        <f>26.228+2.66</f>
        <v>28.888000000000002</v>
      </c>
      <c r="O83" s="122"/>
      <c r="P83" s="92">
        <f t="shared" si="33"/>
        <v>28.888000000000002</v>
      </c>
      <c r="Q83" s="113">
        <f t="shared" si="34"/>
        <v>1.4129999999999998</v>
      </c>
      <c r="R83" s="92">
        <f t="shared" si="35"/>
        <v>1.099</v>
      </c>
      <c r="S83" s="121"/>
      <c r="T83" s="93">
        <f t="shared" si="36"/>
        <v>-2.886579864025407E-15</v>
      </c>
      <c r="U83" s="122"/>
      <c r="V83" s="94">
        <f t="shared" ca="1" si="37"/>
        <v>-209.5355552083347</v>
      </c>
      <c r="W83" s="89">
        <f t="shared" si="38"/>
        <v>-3.1375868087232684E-15</v>
      </c>
    </row>
    <row r="84" spans="1:23" ht="18">
      <c r="A84" s="115"/>
      <c r="B84" s="66" t="s">
        <v>363</v>
      </c>
      <c r="C84" s="90" t="s">
        <v>382</v>
      </c>
      <c r="D84" s="261" t="s">
        <v>392</v>
      </c>
      <c r="E84" s="150">
        <v>75</v>
      </c>
      <c r="F84" s="138">
        <v>44728</v>
      </c>
      <c r="G84" s="265">
        <v>31.4</v>
      </c>
      <c r="H84" s="90">
        <v>1898041</v>
      </c>
      <c r="I84" s="150">
        <f t="shared" si="26"/>
        <v>60447.165605095543</v>
      </c>
      <c r="J84" s="122"/>
      <c r="K84" s="115">
        <v>238</v>
      </c>
      <c r="L84" s="150">
        <v>75</v>
      </c>
      <c r="M84" s="119" t="s">
        <v>1244</v>
      </c>
      <c r="N84" s="115">
        <v>28.888000000000002</v>
      </c>
      <c r="O84" s="122"/>
      <c r="P84" s="92">
        <f t="shared" si="33"/>
        <v>28.888000000000002</v>
      </c>
      <c r="Q84" s="113">
        <f t="shared" si="34"/>
        <v>1.4129999999999998</v>
      </c>
      <c r="R84" s="92">
        <f t="shared" si="35"/>
        <v>1.099</v>
      </c>
      <c r="S84" s="121"/>
      <c r="T84" s="93">
        <f t="shared" si="36"/>
        <v>-2.886579864025407E-15</v>
      </c>
      <c r="U84" s="122"/>
      <c r="V84" s="94">
        <f t="shared" ca="1" si="37"/>
        <v>-209.5355552083347</v>
      </c>
      <c r="W84" s="89">
        <f t="shared" si="38"/>
        <v>-3.1375868087232684E-15</v>
      </c>
    </row>
    <row r="85" spans="1:23" ht="18">
      <c r="A85" s="115"/>
      <c r="B85" s="66" t="s">
        <v>363</v>
      </c>
      <c r="C85" s="90" t="s">
        <v>382</v>
      </c>
      <c r="D85" s="261" t="s">
        <v>393</v>
      </c>
      <c r="E85" s="150">
        <v>76</v>
      </c>
      <c r="F85" s="138">
        <v>44728</v>
      </c>
      <c r="G85" s="265">
        <v>28.638999999999999</v>
      </c>
      <c r="H85" s="90">
        <v>1734356</v>
      </c>
      <c r="I85" s="150">
        <f t="shared" si="26"/>
        <v>60559.237403540625</v>
      </c>
      <c r="J85" s="122"/>
      <c r="K85" s="115" t="s">
        <v>1345</v>
      </c>
      <c r="L85" s="150">
        <v>76</v>
      </c>
      <c r="M85" s="119" t="s">
        <v>1346</v>
      </c>
      <c r="N85" s="115">
        <f>1.427+17.305+0.895+6.721</f>
        <v>26.347999999999999</v>
      </c>
      <c r="O85" s="122"/>
      <c r="P85" s="92">
        <f t="shared" si="33"/>
        <v>26.34788</v>
      </c>
      <c r="Q85" s="113">
        <f t="shared" si="34"/>
        <v>1.2887549999999999</v>
      </c>
      <c r="R85" s="92">
        <f t="shared" si="35"/>
        <v>1.0023650000000002</v>
      </c>
      <c r="S85" s="121"/>
      <c r="T85" s="93">
        <f t="shared" si="36"/>
        <v>-1.1999999999967592E-4</v>
      </c>
      <c r="U85" s="122"/>
      <c r="V85" s="94">
        <f t="shared" ca="1" si="37"/>
        <v>-209.5355552083347</v>
      </c>
      <c r="W85" s="89">
        <f t="shared" si="38"/>
        <v>-1.3043478260834338E-4</v>
      </c>
    </row>
    <row r="86" spans="1:23" ht="18">
      <c r="A86" s="115"/>
      <c r="B86" s="66" t="s">
        <v>363</v>
      </c>
      <c r="C86" s="90" t="s">
        <v>382</v>
      </c>
      <c r="D86" s="261" t="s">
        <v>393</v>
      </c>
      <c r="E86" s="150">
        <v>77</v>
      </c>
      <c r="F86" s="138">
        <v>44728</v>
      </c>
      <c r="G86" s="265">
        <v>30.760999999999999</v>
      </c>
      <c r="H86" s="90">
        <v>1862826</v>
      </c>
      <c r="I86" s="150">
        <f t="shared" si="26"/>
        <v>60558.044276844055</v>
      </c>
      <c r="J86" s="122"/>
      <c r="K86" s="115" t="s">
        <v>1350</v>
      </c>
      <c r="L86" s="150">
        <v>77</v>
      </c>
      <c r="M86" s="119" t="s">
        <v>1347</v>
      </c>
      <c r="N86" s="115">
        <f>18.882+9.418</f>
        <v>28.3</v>
      </c>
      <c r="O86" s="122"/>
      <c r="P86" s="92">
        <f t="shared" si="33"/>
        <v>28.30012</v>
      </c>
      <c r="Q86" s="113">
        <f t="shared" si="34"/>
        <v>1.3842449999999999</v>
      </c>
      <c r="R86" s="92">
        <f t="shared" si="35"/>
        <v>1.076635</v>
      </c>
      <c r="S86" s="121"/>
      <c r="T86" s="93">
        <f t="shared" si="36"/>
        <v>1.199999999985657E-4</v>
      </c>
      <c r="U86" s="122"/>
      <c r="V86" s="94">
        <f t="shared" ca="1" si="37"/>
        <v>-209.5355552083347</v>
      </c>
      <c r="W86" s="89">
        <f t="shared" si="38"/>
        <v>1.3043478260713664E-4</v>
      </c>
    </row>
    <row r="87" spans="1:23" ht="18">
      <c r="A87" s="115"/>
      <c r="B87" s="66" t="s">
        <v>363</v>
      </c>
      <c r="C87" s="90" t="s">
        <v>382</v>
      </c>
      <c r="D87" s="261" t="s">
        <v>394</v>
      </c>
      <c r="E87" s="150">
        <v>78</v>
      </c>
      <c r="F87" s="138">
        <v>44728</v>
      </c>
      <c r="G87" s="265">
        <v>29.795999999999999</v>
      </c>
      <c r="H87" s="90">
        <v>1802048</v>
      </c>
      <c r="I87" s="150">
        <f t="shared" si="26"/>
        <v>60479.527453349445</v>
      </c>
      <c r="J87" s="122"/>
      <c r="K87" s="115" t="s">
        <v>1353</v>
      </c>
      <c r="L87" s="150">
        <v>78</v>
      </c>
      <c r="M87" s="119" t="s">
        <v>1352</v>
      </c>
      <c r="N87" s="115">
        <f>20.138+7.274</f>
        <v>27.412000000000003</v>
      </c>
      <c r="O87" s="122"/>
      <c r="P87" s="92">
        <f t="shared" si="33"/>
        <v>27.412320000000001</v>
      </c>
      <c r="Q87" s="113">
        <f t="shared" si="34"/>
        <v>1.3408199999999999</v>
      </c>
      <c r="R87" s="92">
        <f t="shared" si="35"/>
        <v>1.0428600000000001</v>
      </c>
      <c r="S87" s="121"/>
      <c r="T87" s="93">
        <f t="shared" si="36"/>
        <v>3.1999999999676731E-4</v>
      </c>
      <c r="U87" s="122"/>
      <c r="V87" s="94">
        <f t="shared" ca="1" si="37"/>
        <v>-209.5355552083347</v>
      </c>
      <c r="W87" s="89">
        <f t="shared" si="38"/>
        <v>3.4782608695300797E-4</v>
      </c>
    </row>
    <row r="88" spans="1:23" ht="18">
      <c r="A88" s="115"/>
      <c r="B88" s="66" t="s">
        <v>363</v>
      </c>
      <c r="C88" s="90" t="s">
        <v>382</v>
      </c>
      <c r="D88" s="261" t="s">
        <v>394</v>
      </c>
      <c r="E88" s="150">
        <v>79</v>
      </c>
      <c r="F88" s="138">
        <v>44728</v>
      </c>
      <c r="G88" s="265">
        <v>32.003999999999998</v>
      </c>
      <c r="H88" s="90">
        <v>1935533</v>
      </c>
      <c r="I88" s="150">
        <f t="shared" si="26"/>
        <v>60477.846519185106</v>
      </c>
      <c r="J88" s="122"/>
      <c r="K88" s="235" t="s">
        <v>1453</v>
      </c>
      <c r="L88" s="150">
        <v>79</v>
      </c>
      <c r="M88" s="119" t="s">
        <v>1454</v>
      </c>
      <c r="N88" s="115">
        <f>21.123+6.742+1.569</f>
        <v>29.434000000000001</v>
      </c>
      <c r="O88" s="122"/>
      <c r="P88" s="92">
        <f>G88*0.92-0.01</f>
        <v>29.433679999999999</v>
      </c>
      <c r="Q88" s="113">
        <v>1.4450000000000001</v>
      </c>
      <c r="R88" s="92">
        <v>1.125</v>
      </c>
      <c r="S88" s="121"/>
      <c r="T88" s="93">
        <f t="shared" si="36"/>
        <v>-3.3306690738754696E-15</v>
      </c>
      <c r="U88" s="122"/>
      <c r="V88" s="94">
        <f t="shared" ca="1" si="37"/>
        <v>-209.5355552083347</v>
      </c>
      <c r="W88" s="89">
        <f t="shared" si="38"/>
        <v>-3.6202924716037714E-15</v>
      </c>
    </row>
    <row r="89" spans="1:23" ht="18.75">
      <c r="A89" s="103"/>
      <c r="B89" s="103"/>
      <c r="C89" s="103"/>
      <c r="D89" s="110"/>
      <c r="E89" s="104"/>
      <c r="F89" s="111"/>
      <c r="G89" s="102">
        <f>SUM(G5:G88)</f>
        <v>2714.04</v>
      </c>
      <c r="H89" s="103"/>
      <c r="I89" s="103"/>
      <c r="J89" s="103"/>
      <c r="K89" s="103"/>
      <c r="L89" s="103"/>
      <c r="M89" s="101"/>
      <c r="N89" s="102">
        <f>SUM(N5:N88)</f>
        <v>2511.4989999999993</v>
      </c>
      <c r="O89" s="103"/>
      <c r="P89" s="102">
        <f>SUM(P5:P88)</f>
        <v>2360.2263999999996</v>
      </c>
      <c r="Q89" s="102">
        <f>SUM(Q5:Q88)</f>
        <v>113.93171999999991</v>
      </c>
      <c r="R89" s="102">
        <f>SUM(R5:R88)</f>
        <v>88.610560000000035</v>
      </c>
      <c r="S89" s="112"/>
      <c r="T89" s="102">
        <f>SUM(T5:T88)</f>
        <v>-1.2800000000064427E-3</v>
      </c>
      <c r="U89" s="103"/>
      <c r="V89" s="105"/>
      <c r="W89" s="102">
        <f>SUM(W5:W88)</f>
        <v>-1.3913043478330897E-3</v>
      </c>
    </row>
    <row r="90" spans="1:23" ht="18">
      <c r="A90" s="145"/>
      <c r="B90" s="145"/>
      <c r="C90" s="334" t="s">
        <v>1714</v>
      </c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</row>
    <row r="91" spans="1:23" s="312" customFormat="1" ht="18">
      <c r="A91" s="115"/>
      <c r="B91" s="260" t="s">
        <v>505</v>
      </c>
      <c r="C91" s="90" t="s">
        <v>1615</v>
      </c>
      <c r="D91" s="131" t="s">
        <v>1616</v>
      </c>
      <c r="E91" s="317">
        <v>68</v>
      </c>
      <c r="F91" s="138">
        <v>45142</v>
      </c>
      <c r="G91" s="252">
        <v>31.78</v>
      </c>
      <c r="H91" s="90">
        <v>1637941.2</v>
      </c>
      <c r="I91" s="150">
        <f t="shared" ref="I91:I236" si="39">H91/G91</f>
        <v>51540</v>
      </c>
      <c r="J91" s="122"/>
      <c r="K91" s="186">
        <v>705</v>
      </c>
      <c r="L91" s="262">
        <f>E91</f>
        <v>68</v>
      </c>
      <c r="M91" s="160" t="s">
        <v>1713</v>
      </c>
      <c r="N91" s="136">
        <v>29.238</v>
      </c>
      <c r="O91" s="122"/>
      <c r="P91" s="92">
        <f t="shared" ref="P91" si="40">G91*0.92</f>
        <v>29.237600000000004</v>
      </c>
      <c r="Q91" s="113">
        <f t="shared" ref="Q91" si="41">G91*4.5%</f>
        <v>1.4300999999999999</v>
      </c>
      <c r="R91" s="92">
        <f t="shared" ref="R91" si="42">G91*3.5%</f>
        <v>1.1123000000000001</v>
      </c>
      <c r="S91" s="121"/>
      <c r="T91" s="93">
        <f t="shared" ref="T91" si="43">G91-N91-Q91-R91</f>
        <v>-3.9999999999840163E-4</v>
      </c>
      <c r="U91" s="122"/>
      <c r="V91" s="94">
        <f t="shared" ref="V91:V97" ca="1" si="44">360-($V$3-F91)</f>
        <v>204.4644447916653</v>
      </c>
      <c r="W91" s="141">
        <f t="shared" ref="W91:W236" si="45">T91/0.92%/100</f>
        <v>-4.3478260869391481E-4</v>
      </c>
    </row>
    <row r="92" spans="1:23" s="312" customFormat="1" ht="18">
      <c r="A92" s="115"/>
      <c r="B92" s="260" t="s">
        <v>505</v>
      </c>
      <c r="C92" s="90" t="s">
        <v>1615</v>
      </c>
      <c r="D92" s="131" t="s">
        <v>1617</v>
      </c>
      <c r="E92" s="317">
        <v>69</v>
      </c>
      <c r="F92" s="138">
        <v>45142</v>
      </c>
      <c r="G92" s="252">
        <v>39.799999999999997</v>
      </c>
      <c r="H92" s="90">
        <v>2051291.9999999998</v>
      </c>
      <c r="I92" s="150">
        <f t="shared" si="39"/>
        <v>51540</v>
      </c>
      <c r="J92" s="122"/>
      <c r="K92" s="186" t="s">
        <v>1726</v>
      </c>
      <c r="L92" s="262">
        <f t="shared" ref="L92:L155" si="46">E92</f>
        <v>69</v>
      </c>
      <c r="M92" s="160" t="s">
        <v>1728</v>
      </c>
      <c r="N92" s="136">
        <f>27.568+9.048</f>
        <v>36.616</v>
      </c>
      <c r="O92" s="122"/>
      <c r="P92" s="92">
        <f t="shared" ref="P92:P234" si="47">G92*0.92</f>
        <v>36.616</v>
      </c>
      <c r="Q92" s="113">
        <f t="shared" ref="Q92:Q234" si="48">G92*4.5%</f>
        <v>1.7909999999999997</v>
      </c>
      <c r="R92" s="92">
        <f t="shared" ref="R92:R234" si="49">G92*3.5%</f>
        <v>1.393</v>
      </c>
      <c r="S92" s="121"/>
      <c r="T92" s="93">
        <f t="shared" ref="T92:T236" si="50">G92-N92-Q92-R92</f>
        <v>-2.2204460492503131E-15</v>
      </c>
      <c r="U92" s="122"/>
      <c r="V92" s="94">
        <f t="shared" ca="1" si="44"/>
        <v>204.4644447916653</v>
      </c>
      <c r="W92" s="141">
        <f t="shared" si="45"/>
        <v>-2.4135283144025143E-15</v>
      </c>
    </row>
    <row r="93" spans="1:23" s="312" customFormat="1" ht="18">
      <c r="A93" s="318"/>
      <c r="B93" s="319" t="s">
        <v>505</v>
      </c>
      <c r="C93" s="320" t="s">
        <v>1615</v>
      </c>
      <c r="D93" s="321" t="s">
        <v>1618</v>
      </c>
      <c r="E93" s="322">
        <v>70</v>
      </c>
      <c r="F93" s="323">
        <v>45142</v>
      </c>
      <c r="G93" s="324">
        <v>27.02</v>
      </c>
      <c r="H93" s="320">
        <v>1392610.8</v>
      </c>
      <c r="I93" s="325">
        <f t="shared" si="39"/>
        <v>51540</v>
      </c>
      <c r="J93" s="326"/>
      <c r="K93" s="335" t="s">
        <v>1727</v>
      </c>
      <c r="L93" s="262">
        <f t="shared" si="46"/>
        <v>70</v>
      </c>
      <c r="M93" s="328" t="s">
        <v>1729</v>
      </c>
      <c r="N93" s="327">
        <f>9.752+15.106</f>
        <v>24.858000000000001</v>
      </c>
      <c r="O93" s="326"/>
      <c r="P93" s="329">
        <f t="shared" si="47"/>
        <v>24.8584</v>
      </c>
      <c r="Q93" s="330">
        <f t="shared" si="48"/>
        <v>1.2159</v>
      </c>
      <c r="R93" s="329">
        <f t="shared" si="49"/>
        <v>0.9457000000000001</v>
      </c>
      <c r="S93" s="331"/>
      <c r="T93" s="332">
        <f t="shared" si="50"/>
        <v>3.9999999999895675E-4</v>
      </c>
      <c r="U93" s="326"/>
      <c r="V93" s="333">
        <f t="shared" ca="1" si="44"/>
        <v>204.4644447916653</v>
      </c>
      <c r="W93" s="89">
        <f t="shared" si="45"/>
        <v>4.3478260869451822E-4</v>
      </c>
    </row>
    <row r="94" spans="1:23" s="312" customFormat="1" ht="18">
      <c r="A94" s="115"/>
      <c r="B94" s="260" t="s">
        <v>505</v>
      </c>
      <c r="C94" s="90" t="s">
        <v>1615</v>
      </c>
      <c r="D94" s="131" t="s">
        <v>1619</v>
      </c>
      <c r="E94" s="317">
        <v>71</v>
      </c>
      <c r="F94" s="138">
        <v>45142</v>
      </c>
      <c r="G94" s="252">
        <v>41.36</v>
      </c>
      <c r="H94" s="90">
        <v>2131694.4</v>
      </c>
      <c r="I94" s="150">
        <f t="shared" si="39"/>
        <v>51540</v>
      </c>
      <c r="J94" s="122"/>
      <c r="K94" s="187" t="s">
        <v>1730</v>
      </c>
      <c r="L94" s="262">
        <f t="shared" si="46"/>
        <v>71</v>
      </c>
      <c r="M94" s="160" t="s">
        <v>1724</v>
      </c>
      <c r="N94" s="136">
        <f>8.219+29.832</f>
        <v>38.051000000000002</v>
      </c>
      <c r="O94" s="122"/>
      <c r="P94" s="92">
        <f t="shared" si="47"/>
        <v>38.051200000000001</v>
      </c>
      <c r="Q94" s="113">
        <f t="shared" si="48"/>
        <v>1.8612</v>
      </c>
      <c r="R94" s="92">
        <f t="shared" si="49"/>
        <v>1.4476000000000002</v>
      </c>
      <c r="S94" s="121"/>
      <c r="T94" s="93">
        <f t="shared" si="50"/>
        <v>1.9999999999731344E-4</v>
      </c>
      <c r="U94" s="122"/>
      <c r="V94" s="94">
        <f t="shared" ca="1" si="44"/>
        <v>204.4644447916653</v>
      </c>
      <c r="W94" s="89">
        <f t="shared" si="45"/>
        <v>2.173913043449059E-4</v>
      </c>
    </row>
    <row r="95" spans="1:23" s="312" customFormat="1" ht="18">
      <c r="A95" s="115"/>
      <c r="B95" s="260" t="s">
        <v>505</v>
      </c>
      <c r="C95" s="90" t="s">
        <v>1615</v>
      </c>
      <c r="D95" s="131" t="s">
        <v>1620</v>
      </c>
      <c r="E95" s="317">
        <v>72</v>
      </c>
      <c r="F95" s="138">
        <v>45142</v>
      </c>
      <c r="G95" s="252">
        <v>41.36</v>
      </c>
      <c r="H95" s="90">
        <v>2131694.4</v>
      </c>
      <c r="I95" s="150">
        <f t="shared" si="39"/>
        <v>51540</v>
      </c>
      <c r="J95" s="122"/>
      <c r="K95" s="186" t="s">
        <v>1752</v>
      </c>
      <c r="L95" s="262">
        <f t="shared" si="46"/>
        <v>72</v>
      </c>
      <c r="M95" s="160" t="s">
        <v>1753</v>
      </c>
      <c r="N95" s="136">
        <f>2.827+29.354+5.87</f>
        <v>38.050999999999995</v>
      </c>
      <c r="O95" s="122"/>
      <c r="P95" s="92">
        <f t="shared" si="47"/>
        <v>38.051200000000001</v>
      </c>
      <c r="Q95" s="113">
        <f t="shared" si="48"/>
        <v>1.8612</v>
      </c>
      <c r="R95" s="92">
        <f t="shared" si="49"/>
        <v>1.4476000000000002</v>
      </c>
      <c r="S95" s="121"/>
      <c r="T95" s="93">
        <f t="shared" si="50"/>
        <v>2.0000000000441887E-4</v>
      </c>
      <c r="U95" s="122"/>
      <c r="V95" s="94">
        <f t="shared" ca="1" si="44"/>
        <v>204.4644447916653</v>
      </c>
      <c r="W95" s="89">
        <f t="shared" si="45"/>
        <v>2.1739130435262922E-4</v>
      </c>
    </row>
    <row r="96" spans="1:23" s="312" customFormat="1" ht="18">
      <c r="A96" s="115"/>
      <c r="B96" s="260" t="s">
        <v>505</v>
      </c>
      <c r="C96" s="90" t="s">
        <v>1615</v>
      </c>
      <c r="D96" s="131" t="s">
        <v>1621</v>
      </c>
      <c r="E96" s="317">
        <v>73</v>
      </c>
      <c r="F96" s="138">
        <v>45142</v>
      </c>
      <c r="G96" s="252">
        <v>27</v>
      </c>
      <c r="H96" s="90">
        <v>1391580</v>
      </c>
      <c r="I96" s="150">
        <f t="shared" si="39"/>
        <v>51540</v>
      </c>
      <c r="J96" s="122"/>
      <c r="K96" s="186">
        <v>731</v>
      </c>
      <c r="L96" s="262">
        <f t="shared" si="46"/>
        <v>73</v>
      </c>
      <c r="M96" s="160" t="s">
        <v>1751</v>
      </c>
      <c r="N96" s="136">
        <v>24.84</v>
      </c>
      <c r="O96" s="122"/>
      <c r="P96" s="92">
        <f t="shared" si="47"/>
        <v>24.84</v>
      </c>
      <c r="Q96" s="113">
        <f t="shared" si="48"/>
        <v>1.2149999999999999</v>
      </c>
      <c r="R96" s="92">
        <f t="shared" si="49"/>
        <v>0.94500000000000006</v>
      </c>
      <c r="S96" s="121"/>
      <c r="T96" s="93">
        <f t="shared" si="50"/>
        <v>0</v>
      </c>
      <c r="U96" s="122"/>
      <c r="V96" s="94">
        <f t="shared" ca="1" si="44"/>
        <v>204.4644447916653</v>
      </c>
      <c r="W96" s="89">
        <f t="shared" si="45"/>
        <v>0</v>
      </c>
    </row>
    <row r="97" spans="1:23" s="312" customFormat="1" ht="18">
      <c r="A97" s="115"/>
      <c r="B97" s="260" t="s">
        <v>505</v>
      </c>
      <c r="C97" s="90" t="s">
        <v>1615</v>
      </c>
      <c r="D97" s="131" t="s">
        <v>1622</v>
      </c>
      <c r="E97" s="317">
        <v>74</v>
      </c>
      <c r="F97" s="138">
        <v>45142</v>
      </c>
      <c r="G97" s="252">
        <v>31.84</v>
      </c>
      <c r="H97" s="90">
        <v>1641033.6</v>
      </c>
      <c r="I97" s="150">
        <f t="shared" si="39"/>
        <v>51540</v>
      </c>
      <c r="J97" s="122"/>
      <c r="K97" s="186" t="s">
        <v>1754</v>
      </c>
      <c r="L97" s="262">
        <f t="shared" si="46"/>
        <v>74</v>
      </c>
      <c r="M97" s="160" t="s">
        <v>1755</v>
      </c>
      <c r="N97" s="136">
        <f>27.164+0.115+2.129</f>
        <v>29.408000000000001</v>
      </c>
      <c r="O97" s="122"/>
      <c r="P97" s="92">
        <v>29.408000000000001</v>
      </c>
      <c r="Q97" s="113">
        <v>1.373</v>
      </c>
      <c r="R97" s="92">
        <v>1.0589999999999999</v>
      </c>
      <c r="S97" s="121"/>
      <c r="T97" s="93">
        <f t="shared" si="50"/>
        <v>0</v>
      </c>
      <c r="U97" s="122"/>
      <c r="V97" s="94">
        <f t="shared" ca="1" si="44"/>
        <v>204.4644447916653</v>
      </c>
      <c r="W97" s="89">
        <f t="shared" si="45"/>
        <v>0</v>
      </c>
    </row>
    <row r="98" spans="1:23" s="312" customFormat="1" ht="18">
      <c r="A98" s="115"/>
      <c r="B98" s="260" t="s">
        <v>505</v>
      </c>
      <c r="C98" s="90" t="s">
        <v>1615</v>
      </c>
      <c r="D98" s="131" t="s">
        <v>1623</v>
      </c>
      <c r="E98" s="317">
        <v>75</v>
      </c>
      <c r="F98" s="138">
        <v>45142</v>
      </c>
      <c r="G98" s="252">
        <v>41.38</v>
      </c>
      <c r="H98" s="90">
        <v>2132725.2000000002</v>
      </c>
      <c r="I98" s="150">
        <f t="shared" si="39"/>
        <v>51540</v>
      </c>
      <c r="J98" s="122"/>
      <c r="K98" s="186" t="s">
        <v>1757</v>
      </c>
      <c r="L98" s="262">
        <f t="shared" si="46"/>
        <v>75</v>
      </c>
      <c r="M98" s="160" t="s">
        <v>1755</v>
      </c>
      <c r="N98" s="136">
        <f>5.634+32.436</f>
        <v>38.07</v>
      </c>
      <c r="O98" s="122"/>
      <c r="P98" s="92">
        <f t="shared" si="47"/>
        <v>38.069600000000001</v>
      </c>
      <c r="Q98" s="113">
        <f t="shared" si="48"/>
        <v>1.8621000000000001</v>
      </c>
      <c r="R98" s="92">
        <f t="shared" si="49"/>
        <v>1.4483000000000001</v>
      </c>
      <c r="S98" s="121"/>
      <c r="T98" s="93">
        <f t="shared" si="50"/>
        <v>-3.9999999999795754E-4</v>
      </c>
      <c r="U98" s="122"/>
      <c r="V98" s="94">
        <f ca="1">360-($V$3-F98)</f>
        <v>204.4644447916653</v>
      </c>
      <c r="W98" s="89">
        <f t="shared" si="45"/>
        <v>-4.3478260869343212E-4</v>
      </c>
    </row>
    <row r="99" spans="1:23" s="312" customFormat="1" ht="18">
      <c r="A99" s="115"/>
      <c r="B99" s="260" t="s">
        <v>505</v>
      </c>
      <c r="C99" s="90" t="s">
        <v>1615</v>
      </c>
      <c r="D99" s="131" t="s">
        <v>1624</v>
      </c>
      <c r="E99" s="317">
        <v>76</v>
      </c>
      <c r="F99" s="138">
        <v>45142</v>
      </c>
      <c r="G99" s="252">
        <v>39.840000000000003</v>
      </c>
      <c r="H99" s="90">
        <v>2053353.6</v>
      </c>
      <c r="I99" s="150">
        <f t="shared" si="39"/>
        <v>51540</v>
      </c>
      <c r="J99" s="122"/>
      <c r="K99" s="187" t="s">
        <v>1765</v>
      </c>
      <c r="L99" s="262">
        <f t="shared" si="46"/>
        <v>76</v>
      </c>
      <c r="M99" s="160" t="s">
        <v>1766</v>
      </c>
      <c r="N99" s="136">
        <f>0.83+32.823+3</f>
        <v>36.652999999999999</v>
      </c>
      <c r="O99" s="122"/>
      <c r="P99" s="92">
        <f t="shared" si="47"/>
        <v>36.652800000000006</v>
      </c>
      <c r="Q99" s="113">
        <f t="shared" si="48"/>
        <v>1.7928000000000002</v>
      </c>
      <c r="R99" s="92">
        <f t="shared" si="49"/>
        <v>1.3944000000000003</v>
      </c>
      <c r="S99" s="121"/>
      <c r="T99" s="93">
        <f t="shared" si="50"/>
        <v>-1.9999999999575913E-4</v>
      </c>
      <c r="U99" s="122"/>
      <c r="V99" s="94">
        <f t="shared" ref="V99:V236" ca="1" si="51">360-($V$3-F99)</f>
        <v>204.4644447916653</v>
      </c>
      <c r="W99" s="89">
        <f t="shared" si="45"/>
        <v>-2.1739130434321645E-4</v>
      </c>
    </row>
    <row r="100" spans="1:23" s="312" customFormat="1" ht="18">
      <c r="A100" s="115"/>
      <c r="B100" s="260" t="s">
        <v>505</v>
      </c>
      <c r="C100" s="90" t="s">
        <v>1615</v>
      </c>
      <c r="D100" s="131" t="s">
        <v>1625</v>
      </c>
      <c r="E100" s="317">
        <v>77</v>
      </c>
      <c r="F100" s="138">
        <v>45142</v>
      </c>
      <c r="G100" s="252">
        <v>31.86</v>
      </c>
      <c r="H100" s="90">
        <v>1642064.4</v>
      </c>
      <c r="I100" s="150">
        <f t="shared" si="39"/>
        <v>51540</v>
      </c>
      <c r="J100" s="122"/>
      <c r="K100" s="186" t="s">
        <v>1792</v>
      </c>
      <c r="L100" s="262">
        <f t="shared" si="46"/>
        <v>77</v>
      </c>
      <c r="M100" s="160" t="s">
        <v>1764</v>
      </c>
      <c r="N100" s="136">
        <f>23.251+6.06</f>
        <v>29.311</v>
      </c>
      <c r="O100" s="122"/>
      <c r="P100" s="92">
        <f t="shared" si="47"/>
        <v>29.311199999999999</v>
      </c>
      <c r="Q100" s="113">
        <f t="shared" si="48"/>
        <v>1.4337</v>
      </c>
      <c r="R100" s="92">
        <f t="shared" si="49"/>
        <v>1.1151</v>
      </c>
      <c r="S100" s="121"/>
      <c r="T100" s="93">
        <f t="shared" si="50"/>
        <v>1.9999999999953388E-4</v>
      </c>
      <c r="U100" s="122"/>
      <c r="V100" s="94">
        <f t="shared" ca="1" si="51"/>
        <v>204.4644447916653</v>
      </c>
      <c r="W100" s="89">
        <f t="shared" si="45"/>
        <v>2.1739130434731945E-4</v>
      </c>
    </row>
    <row r="101" spans="1:23" s="312" customFormat="1" ht="18">
      <c r="A101" s="115"/>
      <c r="B101" s="260"/>
      <c r="C101" s="90"/>
      <c r="D101" s="131"/>
      <c r="E101" s="317"/>
      <c r="F101" s="138"/>
      <c r="G101" s="252"/>
      <c r="H101" s="90"/>
      <c r="I101" s="150"/>
      <c r="J101" s="122"/>
      <c r="K101" s="186"/>
      <c r="L101" s="262"/>
      <c r="M101" s="160"/>
      <c r="N101" s="136"/>
      <c r="O101" s="122"/>
      <c r="P101" s="92"/>
      <c r="Q101" s="113"/>
      <c r="R101" s="92"/>
      <c r="S101" s="121"/>
      <c r="T101" s="93"/>
      <c r="U101" s="122"/>
      <c r="V101" s="94"/>
      <c r="W101" s="89"/>
    </row>
    <row r="102" spans="1:23" s="312" customFormat="1" ht="18">
      <c r="A102" s="115"/>
      <c r="B102" s="260" t="s">
        <v>505</v>
      </c>
      <c r="C102" s="175" t="s">
        <v>1698</v>
      </c>
      <c r="D102" s="131" t="s">
        <v>1705</v>
      </c>
      <c r="E102" s="317">
        <v>109</v>
      </c>
      <c r="F102" s="138">
        <v>45155</v>
      </c>
      <c r="G102" s="252">
        <v>39.86</v>
      </c>
      <c r="H102" s="90">
        <v>1843525</v>
      </c>
      <c r="I102" s="150">
        <f t="shared" si="39"/>
        <v>46250</v>
      </c>
      <c r="J102" s="122"/>
      <c r="K102" s="186" t="s">
        <v>1938</v>
      </c>
      <c r="L102" s="262">
        <f t="shared" si="46"/>
        <v>109</v>
      </c>
      <c r="M102" s="160" t="s">
        <v>1939</v>
      </c>
      <c r="N102" s="136">
        <f>33.463+3.208</f>
        <v>36.670999999999999</v>
      </c>
      <c r="O102" s="122"/>
      <c r="P102" s="92">
        <f t="shared" si="47"/>
        <v>36.671199999999999</v>
      </c>
      <c r="Q102" s="113">
        <f t="shared" si="48"/>
        <v>1.7936999999999999</v>
      </c>
      <c r="R102" s="92">
        <f t="shared" si="49"/>
        <v>1.3951</v>
      </c>
      <c r="S102" s="121"/>
      <c r="T102" s="93">
        <f t="shared" si="50"/>
        <v>2.0000000000020002E-4</v>
      </c>
      <c r="U102" s="122"/>
      <c r="V102" s="94">
        <f t="shared" ca="1" si="51"/>
        <v>217.4644447916653</v>
      </c>
      <c r="W102" s="89">
        <f t="shared" si="45"/>
        <v>2.173913043480435E-4</v>
      </c>
    </row>
    <row r="103" spans="1:23" s="312" customFormat="1" ht="18">
      <c r="A103" s="115"/>
      <c r="B103" s="260" t="s">
        <v>505</v>
      </c>
      <c r="C103" s="175" t="s">
        <v>1698</v>
      </c>
      <c r="D103" s="131" t="s">
        <v>1706</v>
      </c>
      <c r="E103" s="317">
        <v>111</v>
      </c>
      <c r="F103" s="138">
        <v>45155</v>
      </c>
      <c r="G103" s="252">
        <v>41.4</v>
      </c>
      <c r="H103" s="90">
        <v>1914750</v>
      </c>
      <c r="I103" s="150">
        <f t="shared" si="39"/>
        <v>46250</v>
      </c>
      <c r="J103" s="122"/>
      <c r="K103" s="186" t="s">
        <v>1940</v>
      </c>
      <c r="L103" s="262">
        <f t="shared" si="46"/>
        <v>111</v>
      </c>
      <c r="M103" s="160" t="s">
        <v>1941</v>
      </c>
      <c r="N103" s="136">
        <f>32.382+5.706</f>
        <v>38.088000000000001</v>
      </c>
      <c r="O103" s="122"/>
      <c r="P103" s="92">
        <f t="shared" si="47"/>
        <v>38.088000000000001</v>
      </c>
      <c r="Q103" s="113">
        <f t="shared" si="48"/>
        <v>1.8629999999999998</v>
      </c>
      <c r="R103" s="92">
        <f t="shared" si="49"/>
        <v>1.4490000000000001</v>
      </c>
      <c r="S103" s="121"/>
      <c r="T103" s="93">
        <f t="shared" si="50"/>
        <v>-2.2204460492503131E-15</v>
      </c>
      <c r="U103" s="122"/>
      <c r="V103" s="94">
        <f t="shared" ca="1" si="51"/>
        <v>217.4644447916653</v>
      </c>
      <c r="W103" s="89">
        <f t="shared" si="45"/>
        <v>-2.4135283144025143E-15</v>
      </c>
    </row>
    <row r="104" spans="1:23" s="312" customFormat="1" ht="18">
      <c r="A104" s="115"/>
      <c r="B104" s="260" t="s">
        <v>505</v>
      </c>
      <c r="C104" s="175" t="s">
        <v>1698</v>
      </c>
      <c r="D104" s="131" t="s">
        <v>1707</v>
      </c>
      <c r="E104" s="317">
        <v>110</v>
      </c>
      <c r="F104" s="138">
        <v>45155</v>
      </c>
      <c r="G104" s="252">
        <v>39.880000000000003</v>
      </c>
      <c r="H104" s="90">
        <v>1844450.0000000002</v>
      </c>
      <c r="I104" s="150">
        <f t="shared" si="39"/>
        <v>46250</v>
      </c>
      <c r="J104" s="122"/>
      <c r="K104" s="186" t="s">
        <v>1952</v>
      </c>
      <c r="L104" s="262">
        <f t="shared" si="46"/>
        <v>110</v>
      </c>
      <c r="M104" s="160" t="s">
        <v>1953</v>
      </c>
      <c r="N104" s="136">
        <f>30.834+5.856</f>
        <v>36.69</v>
      </c>
      <c r="O104" s="122"/>
      <c r="P104" s="92">
        <f t="shared" si="47"/>
        <v>36.689600000000006</v>
      </c>
      <c r="Q104" s="113">
        <f t="shared" si="48"/>
        <v>1.7946</v>
      </c>
      <c r="R104" s="92">
        <f t="shared" si="49"/>
        <v>1.3958000000000002</v>
      </c>
      <c r="S104" s="121"/>
      <c r="T104" s="93">
        <f t="shared" si="50"/>
        <v>-3.9999999999529301E-4</v>
      </c>
      <c r="U104" s="122"/>
      <c r="V104" s="94">
        <f t="shared" ca="1" si="51"/>
        <v>217.4644447916653</v>
      </c>
      <c r="W104" s="89">
        <f t="shared" si="45"/>
        <v>-4.3478260869053589E-4</v>
      </c>
    </row>
    <row r="105" spans="1:23" s="312" customFormat="1" ht="18">
      <c r="A105" s="115"/>
      <c r="B105" s="260"/>
      <c r="C105" s="175"/>
      <c r="D105" s="131"/>
      <c r="E105" s="317"/>
      <c r="F105" s="138"/>
      <c r="G105" s="252"/>
      <c r="H105" s="90"/>
      <c r="I105" s="150"/>
      <c r="J105" s="122"/>
      <c r="K105" s="186"/>
      <c r="L105" s="262"/>
      <c r="M105" s="160"/>
      <c r="N105" s="136"/>
      <c r="O105" s="122"/>
      <c r="P105" s="92"/>
      <c r="Q105" s="113"/>
      <c r="R105" s="92"/>
      <c r="S105" s="121"/>
      <c r="T105" s="93"/>
      <c r="U105" s="122"/>
      <c r="V105" s="94"/>
      <c r="W105" s="89"/>
    </row>
    <row r="106" spans="1:23" s="312" customFormat="1" ht="18">
      <c r="A106" s="115"/>
      <c r="B106" s="260" t="s">
        <v>505</v>
      </c>
      <c r="C106" s="90" t="s">
        <v>1615</v>
      </c>
      <c r="D106" s="261" t="s">
        <v>1767</v>
      </c>
      <c r="E106" s="342">
        <v>128</v>
      </c>
      <c r="F106" s="138">
        <v>45160</v>
      </c>
      <c r="G106" s="265">
        <v>41.4</v>
      </c>
      <c r="H106" s="150">
        <v>2133756</v>
      </c>
      <c r="I106" s="150">
        <f t="shared" si="39"/>
        <v>51540</v>
      </c>
      <c r="J106" s="122"/>
      <c r="K106" s="136" t="s">
        <v>1984</v>
      </c>
      <c r="L106" s="262">
        <f t="shared" si="46"/>
        <v>128</v>
      </c>
      <c r="M106" s="160" t="s">
        <v>1985</v>
      </c>
      <c r="N106" s="136">
        <f>19.568+15.912+2.608</f>
        <v>38.088000000000001</v>
      </c>
      <c r="O106" s="122"/>
      <c r="P106" s="92">
        <f t="shared" si="47"/>
        <v>38.088000000000001</v>
      </c>
      <c r="Q106" s="113">
        <f t="shared" si="48"/>
        <v>1.8629999999999998</v>
      </c>
      <c r="R106" s="92">
        <f t="shared" si="49"/>
        <v>1.4490000000000001</v>
      </c>
      <c r="S106" s="121"/>
      <c r="T106" s="93">
        <f t="shared" si="50"/>
        <v>-2.2204460492503131E-15</v>
      </c>
      <c r="U106" s="122"/>
      <c r="V106" s="94">
        <f t="shared" ca="1" si="51"/>
        <v>222.4644447916653</v>
      </c>
      <c r="W106" s="89">
        <f t="shared" si="45"/>
        <v>-2.4135283144025143E-15</v>
      </c>
    </row>
    <row r="107" spans="1:23" s="312" customFormat="1" ht="18">
      <c r="A107" s="115"/>
      <c r="B107" s="260" t="s">
        <v>505</v>
      </c>
      <c r="C107" s="90" t="s">
        <v>1615</v>
      </c>
      <c r="D107" s="261" t="s">
        <v>1768</v>
      </c>
      <c r="E107" s="317">
        <v>129</v>
      </c>
      <c r="F107" s="138">
        <v>45160</v>
      </c>
      <c r="G107" s="265">
        <v>41.3</v>
      </c>
      <c r="H107" s="150">
        <v>2128602</v>
      </c>
      <c r="I107" s="150">
        <f t="shared" si="39"/>
        <v>51540</v>
      </c>
      <c r="J107" s="122"/>
      <c r="K107" s="136" t="s">
        <v>1990</v>
      </c>
      <c r="L107" s="262">
        <f t="shared" si="46"/>
        <v>129</v>
      </c>
      <c r="M107" s="160" t="s">
        <v>1991</v>
      </c>
      <c r="N107" s="136">
        <f>30.116+7.88</f>
        <v>37.996000000000002</v>
      </c>
      <c r="O107" s="122"/>
      <c r="P107" s="92">
        <f t="shared" si="47"/>
        <v>37.996000000000002</v>
      </c>
      <c r="Q107" s="113">
        <f t="shared" si="48"/>
        <v>1.8584999999999998</v>
      </c>
      <c r="R107" s="92">
        <f t="shared" si="49"/>
        <v>1.4455</v>
      </c>
      <c r="S107" s="121"/>
      <c r="T107" s="93">
        <f t="shared" si="50"/>
        <v>-4.8849813083506888E-15</v>
      </c>
      <c r="U107" s="122"/>
      <c r="V107" s="94">
        <f t="shared" ca="1" si="51"/>
        <v>222.4644447916653</v>
      </c>
      <c r="W107" s="89">
        <f t="shared" si="45"/>
        <v>-5.3097622916855316E-15</v>
      </c>
    </row>
    <row r="108" spans="1:23" s="312" customFormat="1" ht="18">
      <c r="A108" s="115"/>
      <c r="B108" s="260" t="s">
        <v>505</v>
      </c>
      <c r="C108" s="90" t="s">
        <v>1615</v>
      </c>
      <c r="D108" s="261" t="s">
        <v>1769</v>
      </c>
      <c r="E108" s="317">
        <v>130</v>
      </c>
      <c r="F108" s="138">
        <v>45160</v>
      </c>
      <c r="G108" s="265">
        <v>41.34</v>
      </c>
      <c r="H108" s="150">
        <v>2130663.6</v>
      </c>
      <c r="I108" s="150">
        <f t="shared" ref="I108:I234" si="52">H108/G108</f>
        <v>51540</v>
      </c>
      <c r="J108" s="122"/>
      <c r="K108" s="136" t="s">
        <v>1992</v>
      </c>
      <c r="L108" s="262">
        <f t="shared" si="46"/>
        <v>130</v>
      </c>
      <c r="M108" s="160" t="s">
        <v>1991</v>
      </c>
      <c r="N108" s="136">
        <f>32.359+5.674</f>
        <v>38.033000000000001</v>
      </c>
      <c r="O108" s="122"/>
      <c r="P108" s="92">
        <f t="shared" si="47"/>
        <v>38.032800000000002</v>
      </c>
      <c r="Q108" s="113">
        <f t="shared" si="48"/>
        <v>1.8603000000000001</v>
      </c>
      <c r="R108" s="92">
        <f t="shared" si="49"/>
        <v>1.4469000000000003</v>
      </c>
      <c r="S108" s="121"/>
      <c r="T108" s="93">
        <f t="shared" ref="T108:T234" si="53">G108-N108-Q108-R108</f>
        <v>-1.9999999999820162E-4</v>
      </c>
      <c r="U108" s="122"/>
      <c r="V108" s="94">
        <f t="shared" ref="V108:V234" ca="1" si="54">360-($V$3-F108)</f>
        <v>222.4644447916653</v>
      </c>
      <c r="W108" s="89">
        <f t="shared" ref="W108:W234" si="55">T108/0.92%/100</f>
        <v>-2.1739130434587133E-4</v>
      </c>
    </row>
    <row r="109" spans="1:23" s="312" customFormat="1" ht="18">
      <c r="A109" s="115"/>
      <c r="B109" s="260" t="s">
        <v>505</v>
      </c>
      <c r="C109" s="90" t="s">
        <v>1615</v>
      </c>
      <c r="D109" s="261" t="s">
        <v>1770</v>
      </c>
      <c r="E109" s="317">
        <v>131</v>
      </c>
      <c r="F109" s="138">
        <v>45160</v>
      </c>
      <c r="G109" s="265">
        <v>39.76</v>
      </c>
      <c r="H109" s="150">
        <v>2049230.4</v>
      </c>
      <c r="I109" s="150">
        <f t="shared" ref="I109:I121" si="56">H109/G109</f>
        <v>51540</v>
      </c>
      <c r="J109" s="122"/>
      <c r="K109" s="136" t="s">
        <v>1993</v>
      </c>
      <c r="L109" s="262">
        <f t="shared" si="46"/>
        <v>131</v>
      </c>
      <c r="M109" s="160" t="s">
        <v>1994</v>
      </c>
      <c r="N109" s="136">
        <f>18.557+18.022</f>
        <v>36.578999999999994</v>
      </c>
      <c r="O109" s="122"/>
      <c r="P109" s="92">
        <f t="shared" ref="P109:P121" si="57">G109*0.92</f>
        <v>36.5792</v>
      </c>
      <c r="Q109" s="113">
        <f t="shared" ref="Q109:Q121" si="58">G109*4.5%</f>
        <v>1.7891999999999999</v>
      </c>
      <c r="R109" s="92">
        <f t="shared" ref="R109:R121" si="59">G109*3.5%</f>
        <v>1.3916000000000002</v>
      </c>
      <c r="S109" s="121"/>
      <c r="T109" s="93">
        <f t="shared" ref="T109:T121" si="60">G109-N109-Q109-R109</f>
        <v>2.0000000000441887E-4</v>
      </c>
      <c r="U109" s="122"/>
      <c r="V109" s="94">
        <f t="shared" ref="V109:V121" ca="1" si="61">360-($V$3-F109)</f>
        <v>222.4644447916653</v>
      </c>
      <c r="W109" s="89">
        <f t="shared" ref="W109:W121" si="62">T109/0.92%/100</f>
        <v>2.1739130435262922E-4</v>
      </c>
    </row>
    <row r="110" spans="1:23" s="312" customFormat="1" ht="18">
      <c r="A110" s="115"/>
      <c r="B110" s="260" t="s">
        <v>505</v>
      </c>
      <c r="C110" s="90" t="s">
        <v>1615</v>
      </c>
      <c r="D110" s="261" t="s">
        <v>1771</v>
      </c>
      <c r="E110" s="317">
        <v>132</v>
      </c>
      <c r="F110" s="138">
        <v>45160</v>
      </c>
      <c r="G110" s="265">
        <v>39.86</v>
      </c>
      <c r="H110" s="150">
        <v>2054384.4</v>
      </c>
      <c r="I110" s="150">
        <f t="shared" si="56"/>
        <v>51540</v>
      </c>
      <c r="J110" s="122"/>
      <c r="K110" s="136" t="s">
        <v>2018</v>
      </c>
      <c r="L110" s="262">
        <f t="shared" si="46"/>
        <v>132</v>
      </c>
      <c r="M110" s="160" t="s">
        <v>2019</v>
      </c>
      <c r="N110" s="136">
        <f>14.962+21.286+0.423</f>
        <v>36.671000000000006</v>
      </c>
      <c r="O110" s="122"/>
      <c r="P110" s="92">
        <f t="shared" si="57"/>
        <v>36.671199999999999</v>
      </c>
      <c r="Q110" s="113">
        <f t="shared" si="58"/>
        <v>1.7936999999999999</v>
      </c>
      <c r="R110" s="92">
        <f t="shared" si="59"/>
        <v>1.3951</v>
      </c>
      <c r="S110" s="121"/>
      <c r="T110" s="93">
        <f t="shared" si="60"/>
        <v>1.9999999999309459E-4</v>
      </c>
      <c r="U110" s="122"/>
      <c r="V110" s="94">
        <f t="shared" ca="1" si="61"/>
        <v>222.4644447916653</v>
      </c>
      <c r="W110" s="89">
        <f t="shared" si="62"/>
        <v>2.1739130434032022E-4</v>
      </c>
    </row>
    <row r="111" spans="1:23" s="312" customFormat="1" ht="18">
      <c r="A111" s="115"/>
      <c r="B111" s="260" t="s">
        <v>505</v>
      </c>
      <c r="C111" s="90" t="s">
        <v>1615</v>
      </c>
      <c r="D111" s="261" t="s">
        <v>1772</v>
      </c>
      <c r="E111" s="317">
        <v>133</v>
      </c>
      <c r="F111" s="138">
        <v>45160</v>
      </c>
      <c r="G111" s="265">
        <v>39.74</v>
      </c>
      <c r="H111" s="150">
        <v>2048199.6</v>
      </c>
      <c r="I111" s="150">
        <f t="shared" si="56"/>
        <v>51540</v>
      </c>
      <c r="J111" s="122"/>
      <c r="K111" s="186" t="s">
        <v>2027</v>
      </c>
      <c r="L111" s="262">
        <f t="shared" si="46"/>
        <v>133</v>
      </c>
      <c r="M111" s="160" t="s">
        <v>2028</v>
      </c>
      <c r="N111" s="136">
        <f>32.032+4.529</f>
        <v>36.560999999999993</v>
      </c>
      <c r="O111" s="122"/>
      <c r="P111" s="92">
        <f t="shared" si="57"/>
        <v>36.5608</v>
      </c>
      <c r="Q111" s="113">
        <f t="shared" si="58"/>
        <v>1.7883</v>
      </c>
      <c r="R111" s="92">
        <f t="shared" si="59"/>
        <v>1.3909000000000002</v>
      </c>
      <c r="S111" s="121"/>
      <c r="T111" s="93">
        <f t="shared" si="60"/>
        <v>-1.9999999999109619E-4</v>
      </c>
      <c r="U111" s="122"/>
      <c r="V111" s="94">
        <f t="shared" ca="1" si="61"/>
        <v>222.4644447916653</v>
      </c>
      <c r="W111" s="89">
        <f t="shared" si="62"/>
        <v>-2.1739130433814802E-4</v>
      </c>
    </row>
    <row r="112" spans="1:23" s="312" customFormat="1" ht="18">
      <c r="A112" s="115"/>
      <c r="B112" s="260" t="s">
        <v>505</v>
      </c>
      <c r="C112" s="90" t="s">
        <v>1615</v>
      </c>
      <c r="D112" s="261" t="s">
        <v>1773</v>
      </c>
      <c r="E112" s="317">
        <v>134</v>
      </c>
      <c r="F112" s="138">
        <v>45160</v>
      </c>
      <c r="G112" s="265">
        <v>41.4</v>
      </c>
      <c r="H112" s="150">
        <v>2133756</v>
      </c>
      <c r="I112" s="150">
        <f t="shared" si="56"/>
        <v>51540</v>
      </c>
      <c r="J112" s="122"/>
      <c r="K112" s="136" t="s">
        <v>2029</v>
      </c>
      <c r="L112" s="262">
        <f t="shared" si="46"/>
        <v>134</v>
      </c>
      <c r="M112" s="160" t="s">
        <v>2030</v>
      </c>
      <c r="N112" s="136">
        <f>28.188+9.9</f>
        <v>38.088000000000001</v>
      </c>
      <c r="O112" s="122"/>
      <c r="P112" s="92">
        <f t="shared" si="57"/>
        <v>38.088000000000001</v>
      </c>
      <c r="Q112" s="113">
        <f t="shared" si="58"/>
        <v>1.8629999999999998</v>
      </c>
      <c r="R112" s="92">
        <f t="shared" si="59"/>
        <v>1.4490000000000001</v>
      </c>
      <c r="S112" s="121"/>
      <c r="T112" s="93">
        <f t="shared" si="60"/>
        <v>-2.2204460492503131E-15</v>
      </c>
      <c r="U112" s="122"/>
      <c r="V112" s="94">
        <f t="shared" ca="1" si="61"/>
        <v>222.4644447916653</v>
      </c>
      <c r="W112" s="89">
        <f t="shared" si="62"/>
        <v>-2.4135283144025143E-15</v>
      </c>
    </row>
    <row r="113" spans="1:23" s="312" customFormat="1" ht="18">
      <c r="A113" s="115"/>
      <c r="B113" s="260" t="s">
        <v>505</v>
      </c>
      <c r="C113" s="90" t="s">
        <v>1615</v>
      </c>
      <c r="D113" s="261" t="s">
        <v>1774</v>
      </c>
      <c r="E113" s="317">
        <v>135</v>
      </c>
      <c r="F113" s="138">
        <v>45160</v>
      </c>
      <c r="G113" s="265">
        <v>41.44</v>
      </c>
      <c r="H113" s="150">
        <v>2135817.6</v>
      </c>
      <c r="I113" s="150">
        <f t="shared" si="56"/>
        <v>51540.000000000007</v>
      </c>
      <c r="J113" s="122"/>
      <c r="K113" s="136" t="s">
        <v>2031</v>
      </c>
      <c r="L113" s="262">
        <f t="shared" si="46"/>
        <v>135</v>
      </c>
      <c r="M113" s="160" t="s">
        <v>2030</v>
      </c>
      <c r="N113" s="136">
        <f>22.486+15.639</f>
        <v>38.125</v>
      </c>
      <c r="O113" s="122"/>
      <c r="P113" s="92">
        <f t="shared" si="57"/>
        <v>38.1248</v>
      </c>
      <c r="Q113" s="113">
        <f t="shared" si="58"/>
        <v>1.8647999999999998</v>
      </c>
      <c r="R113" s="92">
        <f t="shared" si="59"/>
        <v>1.4504000000000001</v>
      </c>
      <c r="S113" s="121"/>
      <c r="T113" s="93">
        <f t="shared" si="60"/>
        <v>-2.0000000000219842E-4</v>
      </c>
      <c r="U113" s="122"/>
      <c r="V113" s="94">
        <f t="shared" ca="1" si="61"/>
        <v>222.4644447916653</v>
      </c>
      <c r="W113" s="89">
        <f t="shared" si="62"/>
        <v>-2.1739130435021565E-4</v>
      </c>
    </row>
    <row r="114" spans="1:23" s="312" customFormat="1" ht="18">
      <c r="A114" s="115"/>
      <c r="B114" s="260" t="s">
        <v>505</v>
      </c>
      <c r="C114" s="90" t="s">
        <v>1615</v>
      </c>
      <c r="D114" s="261" t="s">
        <v>1775</v>
      </c>
      <c r="E114" s="317">
        <v>136</v>
      </c>
      <c r="F114" s="138">
        <v>45160</v>
      </c>
      <c r="G114" s="265">
        <v>27.14</v>
      </c>
      <c r="H114" s="150">
        <v>1398795.6</v>
      </c>
      <c r="I114" s="150">
        <f t="shared" si="56"/>
        <v>51540</v>
      </c>
      <c r="J114" s="122"/>
      <c r="K114" s="136" t="s">
        <v>2032</v>
      </c>
      <c r="L114" s="262">
        <f>E114</f>
        <v>136</v>
      </c>
      <c r="M114" s="160" t="s">
        <v>2030</v>
      </c>
      <c r="N114" s="136">
        <f>17.049+7.92</f>
        <v>24.969000000000001</v>
      </c>
      <c r="O114" s="122"/>
      <c r="P114" s="92">
        <f t="shared" si="57"/>
        <v>24.968800000000002</v>
      </c>
      <c r="Q114" s="113">
        <f t="shared" si="58"/>
        <v>1.2213000000000001</v>
      </c>
      <c r="R114" s="92">
        <f t="shared" si="59"/>
        <v>0.94990000000000008</v>
      </c>
      <c r="S114" s="121"/>
      <c r="T114" s="93">
        <f t="shared" si="60"/>
        <v>-2.0000000000075513E-4</v>
      </c>
      <c r="U114" s="122"/>
      <c r="V114" s="94">
        <f t="shared" ca="1" si="61"/>
        <v>222.4644447916653</v>
      </c>
      <c r="W114" s="89">
        <f t="shared" si="62"/>
        <v>-2.1739130434864689E-4</v>
      </c>
    </row>
    <row r="115" spans="1:23" s="312" customFormat="1" ht="18">
      <c r="A115" s="115"/>
      <c r="B115" s="260" t="s">
        <v>505</v>
      </c>
      <c r="C115" s="90" t="s">
        <v>1615</v>
      </c>
      <c r="D115" s="261" t="s">
        <v>1776</v>
      </c>
      <c r="E115" s="317">
        <v>137</v>
      </c>
      <c r="F115" s="138">
        <v>45160</v>
      </c>
      <c r="G115" s="265">
        <v>41.3</v>
      </c>
      <c r="H115" s="150">
        <v>2128602</v>
      </c>
      <c r="I115" s="150">
        <f t="shared" si="56"/>
        <v>51540</v>
      </c>
      <c r="J115" s="122"/>
      <c r="K115" s="136" t="s">
        <v>2033</v>
      </c>
      <c r="L115" s="262">
        <f t="shared" si="46"/>
        <v>137</v>
      </c>
      <c r="M115" s="160" t="s">
        <v>2034</v>
      </c>
      <c r="N115" s="136">
        <f>24.876+13.12</f>
        <v>37.996000000000002</v>
      </c>
      <c r="O115" s="122"/>
      <c r="P115" s="92">
        <f t="shared" si="57"/>
        <v>37.996000000000002</v>
      </c>
      <c r="Q115" s="113">
        <f t="shared" si="58"/>
        <v>1.8584999999999998</v>
      </c>
      <c r="R115" s="92">
        <f t="shared" si="59"/>
        <v>1.4455</v>
      </c>
      <c r="S115" s="121"/>
      <c r="T115" s="93">
        <f t="shared" si="60"/>
        <v>-4.8849813083506888E-15</v>
      </c>
      <c r="U115" s="122"/>
      <c r="V115" s="94">
        <f t="shared" ca="1" si="61"/>
        <v>222.4644447916653</v>
      </c>
      <c r="W115" s="89">
        <f t="shared" si="62"/>
        <v>-5.3097622916855316E-15</v>
      </c>
    </row>
    <row r="116" spans="1:23" s="312" customFormat="1" ht="18">
      <c r="A116" s="115"/>
      <c r="B116" s="260" t="s">
        <v>505</v>
      </c>
      <c r="C116" s="90" t="s">
        <v>1615</v>
      </c>
      <c r="D116" s="261" t="s">
        <v>1777</v>
      </c>
      <c r="E116" s="317">
        <v>138</v>
      </c>
      <c r="F116" s="138">
        <v>45160</v>
      </c>
      <c r="G116" s="265">
        <v>41.34</v>
      </c>
      <c r="H116" s="150">
        <v>2130663.6</v>
      </c>
      <c r="I116" s="150">
        <f t="shared" si="56"/>
        <v>51540</v>
      </c>
      <c r="J116" s="122"/>
      <c r="K116" s="136" t="s">
        <v>2044</v>
      </c>
      <c r="L116" s="262">
        <f t="shared" si="46"/>
        <v>138</v>
      </c>
      <c r="M116" s="160" t="s">
        <v>2041</v>
      </c>
      <c r="N116" s="136">
        <f>10.419+27.614</f>
        <v>38.033000000000001</v>
      </c>
      <c r="O116" s="122"/>
      <c r="P116" s="92">
        <f t="shared" si="57"/>
        <v>38.032800000000002</v>
      </c>
      <c r="Q116" s="113">
        <f t="shared" si="58"/>
        <v>1.8603000000000001</v>
      </c>
      <c r="R116" s="92">
        <f t="shared" si="59"/>
        <v>1.4469000000000003</v>
      </c>
      <c r="S116" s="121"/>
      <c r="T116" s="93">
        <f t="shared" si="60"/>
        <v>-1.9999999999820162E-4</v>
      </c>
      <c r="U116" s="122"/>
      <c r="V116" s="94">
        <f t="shared" ca="1" si="61"/>
        <v>222.4644447916653</v>
      </c>
      <c r="W116" s="89">
        <f t="shared" si="62"/>
        <v>-2.1739130434587133E-4</v>
      </c>
    </row>
    <row r="117" spans="1:23" s="312" customFormat="1" ht="18">
      <c r="A117" s="115"/>
      <c r="B117" s="260" t="s">
        <v>505</v>
      </c>
      <c r="C117" s="90" t="s">
        <v>1615</v>
      </c>
      <c r="D117" s="261" t="s">
        <v>1778</v>
      </c>
      <c r="E117" s="317">
        <v>139</v>
      </c>
      <c r="F117" s="138">
        <v>45160</v>
      </c>
      <c r="G117" s="265">
        <v>12.66</v>
      </c>
      <c r="H117" s="150">
        <v>652496.4</v>
      </c>
      <c r="I117" s="150">
        <f t="shared" si="56"/>
        <v>51540</v>
      </c>
      <c r="J117" s="122"/>
      <c r="K117" s="136" t="s">
        <v>2049</v>
      </c>
      <c r="L117" s="262">
        <f t="shared" si="46"/>
        <v>139</v>
      </c>
      <c r="M117" s="160" t="s">
        <v>2050</v>
      </c>
      <c r="N117" s="136">
        <f>5.608+6.039</f>
        <v>11.646999999999998</v>
      </c>
      <c r="O117" s="122"/>
      <c r="P117" s="92">
        <f t="shared" si="57"/>
        <v>11.6472</v>
      </c>
      <c r="Q117" s="113">
        <f t="shared" si="58"/>
        <v>0.56969999999999998</v>
      </c>
      <c r="R117" s="92">
        <f t="shared" si="59"/>
        <v>0.44310000000000005</v>
      </c>
      <c r="S117" s="121"/>
      <c r="T117" s="93">
        <f t="shared" si="60"/>
        <v>2.0000000000164331E-4</v>
      </c>
      <c r="U117" s="122"/>
      <c r="V117" s="94">
        <f t="shared" ca="1" si="61"/>
        <v>222.4644447916653</v>
      </c>
      <c r="W117" s="89">
        <f t="shared" si="62"/>
        <v>2.1739130434961229E-4</v>
      </c>
    </row>
    <row r="118" spans="1:23" s="312" customFormat="1" ht="18">
      <c r="A118" s="115"/>
      <c r="B118" s="260" t="s">
        <v>505</v>
      </c>
      <c r="C118" s="90" t="s">
        <v>1615</v>
      </c>
      <c r="D118" s="261" t="s">
        <v>1779</v>
      </c>
      <c r="E118" s="317">
        <v>140</v>
      </c>
      <c r="F118" s="138">
        <v>45160</v>
      </c>
      <c r="G118" s="265">
        <v>27.04</v>
      </c>
      <c r="H118" s="150">
        <v>1393641.5999999999</v>
      </c>
      <c r="I118" s="150">
        <f t="shared" si="56"/>
        <v>51540</v>
      </c>
      <c r="J118" s="122"/>
      <c r="K118" s="136" t="s">
        <v>2051</v>
      </c>
      <c r="L118" s="262">
        <f t="shared" si="46"/>
        <v>140</v>
      </c>
      <c r="M118" s="160" t="s">
        <v>2052</v>
      </c>
      <c r="N118" s="136">
        <f>13.489+11.388</f>
        <v>24.877000000000002</v>
      </c>
      <c r="O118" s="122"/>
      <c r="P118" s="92">
        <f t="shared" si="57"/>
        <v>24.876799999999999</v>
      </c>
      <c r="Q118" s="113">
        <f t="shared" si="58"/>
        <v>1.2167999999999999</v>
      </c>
      <c r="R118" s="92">
        <f t="shared" si="59"/>
        <v>0.94640000000000002</v>
      </c>
      <c r="S118" s="121"/>
      <c r="T118" s="93">
        <f t="shared" si="60"/>
        <v>-2.0000000000319762E-4</v>
      </c>
      <c r="U118" s="122"/>
      <c r="V118" s="94">
        <f t="shared" ca="1" si="61"/>
        <v>222.4644447916653</v>
      </c>
      <c r="W118" s="89">
        <f t="shared" si="62"/>
        <v>-2.1739130435130178E-4</v>
      </c>
    </row>
    <row r="119" spans="1:23" s="312" customFormat="1" ht="18">
      <c r="A119" s="115"/>
      <c r="B119" s="260" t="s">
        <v>505</v>
      </c>
      <c r="C119" s="90" t="s">
        <v>1615</v>
      </c>
      <c r="D119" s="261" t="s">
        <v>1780</v>
      </c>
      <c r="E119" s="317">
        <v>141</v>
      </c>
      <c r="F119" s="138">
        <v>45160</v>
      </c>
      <c r="G119" s="265">
        <v>31.74</v>
      </c>
      <c r="H119" s="150">
        <v>1635879.5999999999</v>
      </c>
      <c r="I119" s="150">
        <f t="shared" si="56"/>
        <v>51540</v>
      </c>
      <c r="J119" s="122"/>
      <c r="K119" s="136" t="s">
        <v>2053</v>
      </c>
      <c r="L119" s="262">
        <f t="shared" si="46"/>
        <v>141</v>
      </c>
      <c r="M119" s="160" t="s">
        <v>2052</v>
      </c>
      <c r="N119" s="136">
        <f>21.233+7.968</f>
        <v>29.201000000000001</v>
      </c>
      <c r="O119" s="122"/>
      <c r="P119" s="92">
        <f t="shared" si="57"/>
        <v>29.200800000000001</v>
      </c>
      <c r="Q119" s="113">
        <f t="shared" si="58"/>
        <v>1.4282999999999999</v>
      </c>
      <c r="R119" s="92">
        <f t="shared" si="59"/>
        <v>1.1109</v>
      </c>
      <c r="S119" s="121"/>
      <c r="T119" s="93">
        <f t="shared" si="60"/>
        <v>-2.0000000000197637E-4</v>
      </c>
      <c r="U119" s="122"/>
      <c r="V119" s="94">
        <f t="shared" ca="1" si="61"/>
        <v>222.4644447916653</v>
      </c>
      <c r="W119" s="89">
        <f t="shared" si="62"/>
        <v>-2.1739130434997433E-4</v>
      </c>
    </row>
    <row r="120" spans="1:23" s="312" customFormat="1" ht="18">
      <c r="A120" s="115"/>
      <c r="B120" s="260" t="s">
        <v>505</v>
      </c>
      <c r="C120" s="90" t="s">
        <v>1615</v>
      </c>
      <c r="D120" s="261" t="s">
        <v>1781</v>
      </c>
      <c r="E120" s="317">
        <v>142</v>
      </c>
      <c r="F120" s="138">
        <v>45160</v>
      </c>
      <c r="G120" s="265">
        <v>31.8</v>
      </c>
      <c r="H120" s="150">
        <v>1638972</v>
      </c>
      <c r="I120" s="150">
        <f t="shared" si="56"/>
        <v>51540</v>
      </c>
      <c r="J120" s="122"/>
      <c r="K120" s="136" t="s">
        <v>2057</v>
      </c>
      <c r="L120" s="262">
        <f t="shared" si="46"/>
        <v>142</v>
      </c>
      <c r="M120" s="160" t="s">
        <v>2058</v>
      </c>
      <c r="N120" s="136">
        <f>23.774+5.482</f>
        <v>29.256</v>
      </c>
      <c r="O120" s="122"/>
      <c r="P120" s="92">
        <f t="shared" si="57"/>
        <v>29.256</v>
      </c>
      <c r="Q120" s="113">
        <f t="shared" si="58"/>
        <v>1.431</v>
      </c>
      <c r="R120" s="92">
        <f t="shared" si="59"/>
        <v>1.1130000000000002</v>
      </c>
      <c r="S120" s="121"/>
      <c r="T120" s="93">
        <f t="shared" si="60"/>
        <v>0</v>
      </c>
      <c r="U120" s="122"/>
      <c r="V120" s="94">
        <f t="shared" ca="1" si="61"/>
        <v>222.4644447916653</v>
      </c>
      <c r="W120" s="89">
        <f t="shared" si="62"/>
        <v>0</v>
      </c>
    </row>
    <row r="121" spans="1:23" s="312" customFormat="1" ht="18">
      <c r="A121" s="115"/>
      <c r="B121" s="260" t="s">
        <v>505</v>
      </c>
      <c r="C121" s="90" t="s">
        <v>1615</v>
      </c>
      <c r="D121" s="261" t="s">
        <v>1782</v>
      </c>
      <c r="E121" s="317">
        <v>143</v>
      </c>
      <c r="F121" s="138">
        <v>45160</v>
      </c>
      <c r="G121" s="265">
        <v>39.659999999999997</v>
      </c>
      <c r="H121" s="150">
        <v>2044076.4</v>
      </c>
      <c r="I121" s="150">
        <f t="shared" si="56"/>
        <v>51540</v>
      </c>
      <c r="J121" s="122"/>
      <c r="K121" s="136" t="s">
        <v>2060</v>
      </c>
      <c r="L121" s="262">
        <f t="shared" si="46"/>
        <v>143</v>
      </c>
      <c r="M121" s="160" t="s">
        <v>2064</v>
      </c>
      <c r="N121" s="136">
        <f>27.6+8.887</f>
        <v>36.487000000000002</v>
      </c>
      <c r="O121" s="122"/>
      <c r="P121" s="92">
        <f t="shared" si="57"/>
        <v>36.487200000000001</v>
      </c>
      <c r="Q121" s="113">
        <f t="shared" si="58"/>
        <v>1.7846999999999997</v>
      </c>
      <c r="R121" s="92">
        <f t="shared" si="59"/>
        <v>1.3881000000000001</v>
      </c>
      <c r="S121" s="121"/>
      <c r="T121" s="93">
        <f t="shared" si="60"/>
        <v>1.9999999999487095E-4</v>
      </c>
      <c r="U121" s="122"/>
      <c r="V121" s="94">
        <f t="shared" ca="1" si="61"/>
        <v>222.4644447916653</v>
      </c>
      <c r="W121" s="89">
        <f t="shared" si="62"/>
        <v>2.1739130434225102E-4</v>
      </c>
    </row>
    <row r="122" spans="1:23" s="312" customFormat="1" ht="18">
      <c r="A122" s="115"/>
      <c r="B122" s="260" t="s">
        <v>505</v>
      </c>
      <c r="C122" s="90" t="s">
        <v>1615</v>
      </c>
      <c r="D122" s="261" t="s">
        <v>1783</v>
      </c>
      <c r="E122" s="317">
        <v>144</v>
      </c>
      <c r="F122" s="138">
        <v>45160</v>
      </c>
      <c r="G122" s="265">
        <v>39.76</v>
      </c>
      <c r="H122" s="150">
        <v>2049230.4</v>
      </c>
      <c r="I122" s="150">
        <f t="shared" si="52"/>
        <v>51540</v>
      </c>
      <c r="J122" s="122"/>
      <c r="K122" s="136" t="s">
        <v>2063</v>
      </c>
      <c r="L122" s="262">
        <f t="shared" si="46"/>
        <v>144</v>
      </c>
      <c r="M122" s="160" t="s">
        <v>2064</v>
      </c>
      <c r="N122" s="136">
        <f>24.196+12.383</f>
        <v>36.579000000000001</v>
      </c>
      <c r="O122" s="122"/>
      <c r="P122" s="92">
        <f t="shared" si="47"/>
        <v>36.5792</v>
      </c>
      <c r="Q122" s="113">
        <f t="shared" si="48"/>
        <v>1.7891999999999999</v>
      </c>
      <c r="R122" s="92">
        <f t="shared" si="49"/>
        <v>1.3916000000000002</v>
      </c>
      <c r="S122" s="121"/>
      <c r="T122" s="93">
        <f t="shared" si="53"/>
        <v>1.9999999999731344E-4</v>
      </c>
      <c r="U122" s="122"/>
      <c r="V122" s="94">
        <f t="shared" ca="1" si="54"/>
        <v>222.4644447916653</v>
      </c>
      <c r="W122" s="89">
        <f t="shared" si="55"/>
        <v>2.173913043449059E-4</v>
      </c>
    </row>
    <row r="123" spans="1:23" s="312" customFormat="1" ht="18">
      <c r="A123" s="115"/>
      <c r="B123" s="260" t="s">
        <v>505</v>
      </c>
      <c r="C123" s="90" t="s">
        <v>1615</v>
      </c>
      <c r="D123" s="261" t="s">
        <v>1784</v>
      </c>
      <c r="E123" s="317">
        <v>145</v>
      </c>
      <c r="F123" s="138">
        <v>45160</v>
      </c>
      <c r="G123" s="265">
        <v>9.5</v>
      </c>
      <c r="H123" s="150">
        <v>489630</v>
      </c>
      <c r="I123" s="150">
        <f t="shared" si="52"/>
        <v>51540</v>
      </c>
      <c r="J123" s="122"/>
      <c r="K123" s="186">
        <v>941</v>
      </c>
      <c r="L123" s="262">
        <f t="shared" si="46"/>
        <v>145</v>
      </c>
      <c r="M123" s="160" t="s">
        <v>2059</v>
      </c>
      <c r="N123" s="136">
        <v>8.74</v>
      </c>
      <c r="O123" s="122"/>
      <c r="P123" s="92">
        <f t="shared" si="47"/>
        <v>8.74</v>
      </c>
      <c r="Q123" s="113">
        <f t="shared" si="48"/>
        <v>0.42749999999999999</v>
      </c>
      <c r="R123" s="92">
        <f t="shared" si="49"/>
        <v>0.33250000000000002</v>
      </c>
      <c r="S123" s="121"/>
      <c r="T123" s="93">
        <f t="shared" si="53"/>
        <v>0</v>
      </c>
      <c r="U123" s="122"/>
      <c r="V123" s="94">
        <f t="shared" ca="1" si="54"/>
        <v>222.4644447916653</v>
      </c>
      <c r="W123" s="89">
        <f t="shared" si="55"/>
        <v>0</v>
      </c>
    </row>
    <row r="124" spans="1:23" s="312" customFormat="1" ht="18">
      <c r="A124" s="115"/>
      <c r="B124" s="260" t="s">
        <v>505</v>
      </c>
      <c r="C124" s="90" t="s">
        <v>1615</v>
      </c>
      <c r="D124" s="261" t="s">
        <v>1785</v>
      </c>
      <c r="E124" s="317">
        <v>146</v>
      </c>
      <c r="F124" s="138">
        <v>45160</v>
      </c>
      <c r="G124" s="265">
        <v>25.28</v>
      </c>
      <c r="H124" s="150">
        <v>1302931.2</v>
      </c>
      <c r="I124" s="150">
        <f t="shared" si="52"/>
        <v>51539.999999999993</v>
      </c>
      <c r="J124" s="122"/>
      <c r="K124" s="136" t="s">
        <v>2065</v>
      </c>
      <c r="L124" s="262">
        <f t="shared" si="46"/>
        <v>146</v>
      </c>
      <c r="M124" s="160" t="s">
        <v>2066</v>
      </c>
      <c r="N124" s="136">
        <f>11.464+11.794</f>
        <v>23.258000000000003</v>
      </c>
      <c r="O124" s="122"/>
      <c r="P124" s="92">
        <f t="shared" si="47"/>
        <v>23.257600000000004</v>
      </c>
      <c r="Q124" s="113">
        <f t="shared" si="48"/>
        <v>1.1375999999999999</v>
      </c>
      <c r="R124" s="92">
        <f t="shared" si="49"/>
        <v>0.88480000000000014</v>
      </c>
      <c r="S124" s="121"/>
      <c r="T124" s="93">
        <f t="shared" si="53"/>
        <v>-4.0000000000162128E-4</v>
      </c>
      <c r="U124" s="122"/>
      <c r="V124" s="94">
        <f t="shared" ca="1" si="54"/>
        <v>222.4644447916653</v>
      </c>
      <c r="W124" s="89">
        <f t="shared" si="55"/>
        <v>-4.3478260869741445E-4</v>
      </c>
    </row>
    <row r="125" spans="1:23" s="312" customFormat="1" ht="18">
      <c r="A125" s="115"/>
      <c r="B125" s="260" t="s">
        <v>505</v>
      </c>
      <c r="C125" s="90" t="s">
        <v>1615</v>
      </c>
      <c r="D125" s="261" t="s">
        <v>1786</v>
      </c>
      <c r="E125" s="317">
        <v>147</v>
      </c>
      <c r="F125" s="138">
        <v>45160</v>
      </c>
      <c r="G125" s="265">
        <v>41.32</v>
      </c>
      <c r="H125" s="150">
        <v>2129632.7999999998</v>
      </c>
      <c r="I125" s="150">
        <f t="shared" si="52"/>
        <v>51539.999999999993</v>
      </c>
      <c r="J125" s="122"/>
      <c r="K125" s="186" t="s">
        <v>2164</v>
      </c>
      <c r="L125" s="262">
        <f t="shared" si="46"/>
        <v>147</v>
      </c>
      <c r="M125" s="160" t="s">
        <v>2160</v>
      </c>
      <c r="N125" s="136">
        <f>21.055+9.743+7.216</f>
        <v>38.014000000000003</v>
      </c>
      <c r="O125" s="122"/>
      <c r="P125" s="92">
        <f t="shared" si="47"/>
        <v>38.014400000000002</v>
      </c>
      <c r="Q125" s="113">
        <f t="shared" si="48"/>
        <v>1.8593999999999999</v>
      </c>
      <c r="R125" s="92">
        <f t="shared" si="49"/>
        <v>1.4462000000000002</v>
      </c>
      <c r="S125" s="121"/>
      <c r="T125" s="93">
        <f t="shared" si="53"/>
        <v>3.9999999999729141E-4</v>
      </c>
      <c r="U125" s="122"/>
      <c r="V125" s="94">
        <f t="shared" ca="1" si="54"/>
        <v>222.4644447916653</v>
      </c>
      <c r="W125" s="89">
        <f t="shared" si="55"/>
        <v>4.3478260869270804E-4</v>
      </c>
    </row>
    <row r="126" spans="1:23" s="312" customFormat="1" ht="18">
      <c r="A126" s="115"/>
      <c r="B126" s="260" t="s">
        <v>505</v>
      </c>
      <c r="C126" s="90" t="s">
        <v>1615</v>
      </c>
      <c r="D126" s="261" t="s">
        <v>1787</v>
      </c>
      <c r="E126" s="317">
        <v>148</v>
      </c>
      <c r="F126" s="138">
        <v>45160</v>
      </c>
      <c r="G126" s="265">
        <v>39.840000000000003</v>
      </c>
      <c r="H126" s="150">
        <v>2053353.6</v>
      </c>
      <c r="I126" s="150">
        <f t="shared" si="52"/>
        <v>51540</v>
      </c>
      <c r="J126" s="122"/>
      <c r="K126" s="186" t="s">
        <v>2165</v>
      </c>
      <c r="L126" s="262">
        <f t="shared" si="46"/>
        <v>148</v>
      </c>
      <c r="M126" s="160" t="s">
        <v>2161</v>
      </c>
      <c r="N126" s="136">
        <f>32.552+4.101</f>
        <v>36.652999999999999</v>
      </c>
      <c r="O126" s="122"/>
      <c r="P126" s="92">
        <f t="shared" si="47"/>
        <v>36.652800000000006</v>
      </c>
      <c r="Q126" s="113">
        <f t="shared" si="48"/>
        <v>1.7928000000000002</v>
      </c>
      <c r="R126" s="92">
        <f t="shared" si="49"/>
        <v>1.3944000000000003</v>
      </c>
      <c r="S126" s="121"/>
      <c r="T126" s="93">
        <f t="shared" si="53"/>
        <v>-1.9999999999575913E-4</v>
      </c>
      <c r="U126" s="122"/>
      <c r="V126" s="94">
        <f t="shared" ca="1" si="54"/>
        <v>222.4644447916653</v>
      </c>
      <c r="W126" s="89">
        <f t="shared" si="55"/>
        <v>-2.1739130434321645E-4</v>
      </c>
    </row>
    <row r="127" spans="1:23" s="312" customFormat="1" ht="18">
      <c r="A127" s="115"/>
      <c r="B127" s="260" t="s">
        <v>505</v>
      </c>
      <c r="C127" s="175" t="s">
        <v>1698</v>
      </c>
      <c r="D127" s="131" t="s">
        <v>1788</v>
      </c>
      <c r="E127" s="317">
        <v>149</v>
      </c>
      <c r="F127" s="138">
        <v>45160</v>
      </c>
      <c r="G127" s="252">
        <v>39.880000000000003</v>
      </c>
      <c r="H127" s="90">
        <v>1844450.0000000002</v>
      </c>
      <c r="I127" s="150">
        <f t="shared" si="52"/>
        <v>46250</v>
      </c>
      <c r="J127" s="122"/>
      <c r="K127" s="186" t="s">
        <v>2166</v>
      </c>
      <c r="L127" s="262">
        <f t="shared" si="46"/>
        <v>149</v>
      </c>
      <c r="M127" s="160" t="s">
        <v>2162</v>
      </c>
      <c r="N127" s="136">
        <f>27.477+9.213</f>
        <v>36.69</v>
      </c>
      <c r="O127" s="122"/>
      <c r="P127" s="92">
        <f t="shared" si="47"/>
        <v>36.689600000000006</v>
      </c>
      <c r="Q127" s="113">
        <f t="shared" si="48"/>
        <v>1.7946</v>
      </c>
      <c r="R127" s="92">
        <f t="shared" si="49"/>
        <v>1.3958000000000002</v>
      </c>
      <c r="S127" s="121"/>
      <c r="T127" s="93">
        <f t="shared" si="53"/>
        <v>-3.9999999999529301E-4</v>
      </c>
      <c r="U127" s="122"/>
      <c r="V127" s="94">
        <f t="shared" ca="1" si="54"/>
        <v>222.4644447916653</v>
      </c>
      <c r="W127" s="89">
        <f t="shared" si="55"/>
        <v>-4.3478260869053589E-4</v>
      </c>
    </row>
    <row r="128" spans="1:23" s="312" customFormat="1" ht="18">
      <c r="A128" s="115"/>
      <c r="B128" s="260" t="s">
        <v>505</v>
      </c>
      <c r="C128" s="175" t="s">
        <v>1698</v>
      </c>
      <c r="D128" s="131" t="s">
        <v>1789</v>
      </c>
      <c r="E128" s="317">
        <v>150</v>
      </c>
      <c r="F128" s="138">
        <v>45160</v>
      </c>
      <c r="G128" s="252">
        <v>35.14</v>
      </c>
      <c r="H128" s="90">
        <v>1625225</v>
      </c>
      <c r="I128" s="150">
        <f t="shared" si="52"/>
        <v>46250</v>
      </c>
      <c r="J128" s="122"/>
      <c r="K128" s="186" t="s">
        <v>2167</v>
      </c>
      <c r="L128" s="262">
        <f t="shared" si="46"/>
        <v>150</v>
      </c>
      <c r="M128" s="160" t="s">
        <v>2168</v>
      </c>
      <c r="N128" s="136">
        <f>12.274+20.055</f>
        <v>32.329000000000001</v>
      </c>
      <c r="O128" s="122"/>
      <c r="P128" s="92">
        <f t="shared" si="47"/>
        <v>32.328800000000001</v>
      </c>
      <c r="Q128" s="113">
        <f t="shared" si="48"/>
        <v>1.5812999999999999</v>
      </c>
      <c r="R128" s="92">
        <f t="shared" si="49"/>
        <v>1.2299000000000002</v>
      </c>
      <c r="S128" s="121"/>
      <c r="T128" s="93">
        <f t="shared" si="53"/>
        <v>-2.0000000000020002E-4</v>
      </c>
      <c r="U128" s="122"/>
      <c r="V128" s="94">
        <f t="shared" ca="1" si="54"/>
        <v>222.4644447916653</v>
      </c>
      <c r="W128" s="89">
        <f t="shared" si="55"/>
        <v>-2.173913043480435E-4</v>
      </c>
    </row>
    <row r="129" spans="1:23" s="312" customFormat="1" ht="18">
      <c r="A129" s="115"/>
      <c r="B129" s="260" t="s">
        <v>1194</v>
      </c>
      <c r="C129" s="175" t="s">
        <v>2077</v>
      </c>
      <c r="D129" s="131" t="s">
        <v>2078</v>
      </c>
      <c r="E129" s="317">
        <v>167</v>
      </c>
      <c r="F129" s="138">
        <v>45191</v>
      </c>
      <c r="G129" s="265">
        <v>31.75</v>
      </c>
      <c r="H129" s="150">
        <v>1560512.5</v>
      </c>
      <c r="I129" s="150">
        <f t="shared" ref="I129:I136" si="63">H129/G129</f>
        <v>49150</v>
      </c>
      <c r="J129" s="122"/>
      <c r="K129" s="186">
        <v>1042</v>
      </c>
      <c r="L129" s="262">
        <f t="shared" si="46"/>
        <v>167</v>
      </c>
      <c r="M129" s="160" t="s">
        <v>2163</v>
      </c>
      <c r="N129" s="136">
        <v>29.21</v>
      </c>
      <c r="O129" s="122"/>
      <c r="P129" s="92">
        <f t="shared" si="47"/>
        <v>29.21</v>
      </c>
      <c r="Q129" s="113">
        <f t="shared" si="48"/>
        <v>1.42875</v>
      </c>
      <c r="R129" s="92">
        <f t="shared" si="49"/>
        <v>1.1112500000000001</v>
      </c>
      <c r="S129" s="121"/>
      <c r="T129" s="93">
        <f t="shared" si="53"/>
        <v>0</v>
      </c>
      <c r="U129" s="122"/>
      <c r="V129" s="94">
        <f t="shared" ca="1" si="54"/>
        <v>253.4644447916653</v>
      </c>
      <c r="W129" s="89">
        <f t="shared" si="55"/>
        <v>0</v>
      </c>
    </row>
    <row r="130" spans="1:23" s="312" customFormat="1" ht="18">
      <c r="A130" s="115"/>
      <c r="B130" s="260" t="s">
        <v>1194</v>
      </c>
      <c r="C130" s="175" t="s">
        <v>2077</v>
      </c>
      <c r="D130" s="131" t="s">
        <v>2085</v>
      </c>
      <c r="E130" s="317">
        <v>168</v>
      </c>
      <c r="F130" s="138">
        <v>45191</v>
      </c>
      <c r="G130" s="265">
        <v>31.6</v>
      </c>
      <c r="H130" s="150">
        <v>1568940</v>
      </c>
      <c r="I130" s="150">
        <f t="shared" si="63"/>
        <v>49650</v>
      </c>
      <c r="J130" s="122"/>
      <c r="K130" s="186" t="s">
        <v>2169</v>
      </c>
      <c r="L130" s="262">
        <f t="shared" si="46"/>
        <v>168</v>
      </c>
      <c r="M130" s="160" t="s">
        <v>2170</v>
      </c>
      <c r="N130" s="136">
        <f>3.519+12.554+12.999</f>
        <v>29.072000000000003</v>
      </c>
      <c r="O130" s="122"/>
      <c r="P130" s="92">
        <f t="shared" si="47"/>
        <v>29.072000000000003</v>
      </c>
      <c r="Q130" s="113">
        <f t="shared" si="48"/>
        <v>1.4219999999999999</v>
      </c>
      <c r="R130" s="92">
        <f t="shared" si="49"/>
        <v>1.1060000000000001</v>
      </c>
      <c r="S130" s="121"/>
      <c r="T130" s="93">
        <f t="shared" si="53"/>
        <v>0</v>
      </c>
      <c r="U130" s="122"/>
      <c r="V130" s="94">
        <f t="shared" ca="1" si="54"/>
        <v>253.4644447916653</v>
      </c>
      <c r="W130" s="89">
        <f t="shared" si="55"/>
        <v>0</v>
      </c>
    </row>
    <row r="131" spans="1:23" s="312" customFormat="1" ht="18">
      <c r="A131" s="115"/>
      <c r="B131" s="260" t="s">
        <v>1194</v>
      </c>
      <c r="C131" s="175" t="s">
        <v>2077</v>
      </c>
      <c r="D131" s="131" t="s">
        <v>2083</v>
      </c>
      <c r="E131" s="317">
        <v>169</v>
      </c>
      <c r="F131" s="138">
        <v>45191</v>
      </c>
      <c r="G131" s="265">
        <v>31.83</v>
      </c>
      <c r="H131" s="150">
        <v>1564444.5</v>
      </c>
      <c r="I131" s="150">
        <f t="shared" si="63"/>
        <v>49150</v>
      </c>
      <c r="J131" s="122"/>
      <c r="K131" s="186" t="s">
        <v>2171</v>
      </c>
      <c r="L131" s="262">
        <f t="shared" si="46"/>
        <v>169</v>
      </c>
      <c r="M131" s="160" t="s">
        <v>2172</v>
      </c>
      <c r="N131" s="136">
        <f>19.684+9.6</f>
        <v>29.283999999999999</v>
      </c>
      <c r="O131" s="122"/>
      <c r="P131" s="92">
        <f t="shared" ref="P131:P233" si="64">G131*0.92</f>
        <v>29.2836</v>
      </c>
      <c r="Q131" s="113">
        <f t="shared" ref="Q131:Q233" si="65">G131*4.5%</f>
        <v>1.4323499999999998</v>
      </c>
      <c r="R131" s="92">
        <f t="shared" ref="R131:R233" si="66">G131*3.5%</f>
        <v>1.11405</v>
      </c>
      <c r="S131" s="121"/>
      <c r="T131" s="93">
        <f t="shared" ref="T131:T233" si="67">G131-N131-Q131-R131</f>
        <v>-4.0000000000040004E-4</v>
      </c>
      <c r="U131" s="122"/>
      <c r="V131" s="94">
        <f t="shared" ref="V131:V233" ca="1" si="68">360-($V$3-F131)</f>
        <v>253.4644447916653</v>
      </c>
      <c r="W131" s="89">
        <f t="shared" ref="W131:W233" si="69">T131/0.92%/100</f>
        <v>-4.3478260869608701E-4</v>
      </c>
    </row>
    <row r="132" spans="1:23" s="312" customFormat="1" ht="18">
      <c r="A132" s="115"/>
      <c r="B132" s="260" t="s">
        <v>1194</v>
      </c>
      <c r="C132" s="175" t="s">
        <v>2077</v>
      </c>
      <c r="D132" s="131" t="s">
        <v>2081</v>
      </c>
      <c r="E132" s="317">
        <v>170</v>
      </c>
      <c r="F132" s="138">
        <v>45191</v>
      </c>
      <c r="G132" s="265">
        <v>31.93</v>
      </c>
      <c r="H132" s="150">
        <v>1569359.5</v>
      </c>
      <c r="I132" s="150">
        <f t="shared" si="63"/>
        <v>49150</v>
      </c>
      <c r="J132" s="122"/>
      <c r="K132" s="186" t="s">
        <v>2182</v>
      </c>
      <c r="L132" s="262">
        <f t="shared" si="46"/>
        <v>170</v>
      </c>
      <c r="M132" s="160" t="s">
        <v>2183</v>
      </c>
      <c r="N132" s="136">
        <f>23.207+6.169</f>
        <v>29.376000000000001</v>
      </c>
      <c r="O132" s="122"/>
      <c r="P132" s="92">
        <f t="shared" si="64"/>
        <v>29.375600000000002</v>
      </c>
      <c r="Q132" s="113">
        <f t="shared" si="65"/>
        <v>1.43685</v>
      </c>
      <c r="R132" s="92">
        <f t="shared" si="66"/>
        <v>1.11755</v>
      </c>
      <c r="S132" s="121"/>
      <c r="T132" s="93">
        <f t="shared" si="67"/>
        <v>-4.0000000000151026E-4</v>
      </c>
      <c r="U132" s="122"/>
      <c r="V132" s="94">
        <f t="shared" ca="1" si="68"/>
        <v>253.4644447916653</v>
      </c>
      <c r="W132" s="89">
        <f t="shared" si="69"/>
        <v>-4.3478260869729378E-4</v>
      </c>
    </row>
    <row r="133" spans="1:23" s="312" customFormat="1" ht="18">
      <c r="A133" s="115"/>
      <c r="B133" s="260" t="s">
        <v>1194</v>
      </c>
      <c r="C133" s="175" t="s">
        <v>2077</v>
      </c>
      <c r="D133" s="131" t="s">
        <v>2080</v>
      </c>
      <c r="E133" s="317">
        <v>171</v>
      </c>
      <c r="F133" s="138">
        <v>45191</v>
      </c>
      <c r="G133" s="265">
        <v>31.81</v>
      </c>
      <c r="H133" s="150">
        <v>1563461.5</v>
      </c>
      <c r="I133" s="150">
        <f t="shared" si="63"/>
        <v>49150</v>
      </c>
      <c r="J133" s="122"/>
      <c r="K133" s="186" t="s">
        <v>2184</v>
      </c>
      <c r="L133" s="262">
        <f t="shared" si="46"/>
        <v>171</v>
      </c>
      <c r="M133" s="160" t="s">
        <v>2185</v>
      </c>
      <c r="N133" s="136">
        <f>26.676+2.589</f>
        <v>29.264999999999997</v>
      </c>
      <c r="O133" s="122"/>
      <c r="P133" s="92">
        <f t="shared" si="64"/>
        <v>29.2652</v>
      </c>
      <c r="Q133" s="113">
        <f t="shared" si="65"/>
        <v>1.4314499999999999</v>
      </c>
      <c r="R133" s="92">
        <f t="shared" si="66"/>
        <v>1.1133500000000001</v>
      </c>
      <c r="S133" s="121"/>
      <c r="T133" s="93">
        <f t="shared" si="67"/>
        <v>2.0000000000175433E-4</v>
      </c>
      <c r="U133" s="122"/>
      <c r="V133" s="94">
        <f t="shared" ca="1" si="68"/>
        <v>253.4644447916653</v>
      </c>
      <c r="W133" s="89">
        <f t="shared" si="69"/>
        <v>2.1739130434973296E-4</v>
      </c>
    </row>
    <row r="134" spans="1:23" s="312" customFormat="1" ht="18">
      <c r="A134" s="115"/>
      <c r="B134" s="260" t="s">
        <v>1194</v>
      </c>
      <c r="C134" s="175" t="s">
        <v>2077</v>
      </c>
      <c r="D134" s="131" t="s">
        <v>2079</v>
      </c>
      <c r="E134" s="317">
        <v>172</v>
      </c>
      <c r="F134" s="138">
        <v>45191</v>
      </c>
      <c r="G134" s="265">
        <v>34.29</v>
      </c>
      <c r="H134" s="150">
        <v>1685353.5</v>
      </c>
      <c r="I134" s="150">
        <f t="shared" si="63"/>
        <v>49150</v>
      </c>
      <c r="J134" s="122"/>
      <c r="K134" s="186" t="s">
        <v>2186</v>
      </c>
      <c r="L134" s="262">
        <f t="shared" si="46"/>
        <v>172</v>
      </c>
      <c r="M134" s="160" t="s">
        <v>2181</v>
      </c>
      <c r="N134" s="136">
        <f>29.624+1.923</f>
        <v>31.546999999999997</v>
      </c>
      <c r="O134" s="122"/>
      <c r="P134" s="92">
        <f t="shared" si="64"/>
        <v>31.546800000000001</v>
      </c>
      <c r="Q134" s="113">
        <f t="shared" si="65"/>
        <v>1.5430499999999998</v>
      </c>
      <c r="R134" s="92">
        <f t="shared" si="66"/>
        <v>1.2001500000000001</v>
      </c>
      <c r="S134" s="121"/>
      <c r="T134" s="93">
        <f t="shared" si="67"/>
        <v>-1.9999999999775753E-4</v>
      </c>
      <c r="U134" s="122"/>
      <c r="V134" s="94">
        <f t="shared" ca="1" si="68"/>
        <v>253.4644447916653</v>
      </c>
      <c r="W134" s="89">
        <f t="shared" si="69"/>
        <v>-2.1739130434538862E-4</v>
      </c>
    </row>
    <row r="135" spans="1:23" s="312" customFormat="1" ht="18">
      <c r="A135" s="115"/>
      <c r="B135" s="260" t="s">
        <v>1194</v>
      </c>
      <c r="C135" s="175" t="s">
        <v>2077</v>
      </c>
      <c r="D135" s="131" t="s">
        <v>2082</v>
      </c>
      <c r="E135" s="317">
        <v>173</v>
      </c>
      <c r="F135" s="138">
        <v>45191</v>
      </c>
      <c r="G135" s="265">
        <v>34.85</v>
      </c>
      <c r="H135" s="150">
        <v>1712877.5</v>
      </c>
      <c r="I135" s="150">
        <f t="shared" si="63"/>
        <v>49150</v>
      </c>
      <c r="J135" s="122"/>
      <c r="K135" s="186" t="s">
        <v>2201</v>
      </c>
      <c r="L135" s="262">
        <f t="shared" si="46"/>
        <v>173</v>
      </c>
      <c r="M135" s="160" t="s">
        <v>2202</v>
      </c>
      <c r="N135" s="136">
        <f>30.854+1.208</f>
        <v>32.061999999999998</v>
      </c>
      <c r="O135" s="122"/>
      <c r="P135" s="92">
        <f t="shared" si="64"/>
        <v>32.062000000000005</v>
      </c>
      <c r="Q135" s="113">
        <f t="shared" si="65"/>
        <v>1.5682499999999999</v>
      </c>
      <c r="R135" s="92">
        <f t="shared" si="66"/>
        <v>1.2197500000000001</v>
      </c>
      <c r="S135" s="121"/>
      <c r="T135" s="93">
        <f t="shared" si="67"/>
        <v>3.7747582837255322E-15</v>
      </c>
      <c r="U135" s="122"/>
      <c r="V135" s="94">
        <f t="shared" ca="1" si="68"/>
        <v>253.4644447916653</v>
      </c>
      <c r="W135" s="89">
        <f t="shared" si="69"/>
        <v>4.1029981344842744E-15</v>
      </c>
    </row>
    <row r="136" spans="1:23" s="312" customFormat="1" ht="18">
      <c r="A136" s="115"/>
      <c r="B136" s="260" t="s">
        <v>1194</v>
      </c>
      <c r="C136" s="175" t="s">
        <v>2077</v>
      </c>
      <c r="D136" s="131" t="s">
        <v>2084</v>
      </c>
      <c r="E136" s="317">
        <v>174</v>
      </c>
      <c r="F136" s="138">
        <v>45191</v>
      </c>
      <c r="G136" s="265">
        <v>31.77</v>
      </c>
      <c r="H136" s="150">
        <v>1577380.5</v>
      </c>
      <c r="I136" s="150">
        <f t="shared" si="63"/>
        <v>49650</v>
      </c>
      <c r="J136" s="122"/>
      <c r="K136" s="186">
        <v>1072</v>
      </c>
      <c r="L136" s="262">
        <f t="shared" si="46"/>
        <v>174</v>
      </c>
      <c r="M136" s="160" t="s">
        <v>2190</v>
      </c>
      <c r="N136" s="136">
        <v>29.228000000000002</v>
      </c>
      <c r="O136" s="122"/>
      <c r="P136" s="92">
        <f t="shared" si="64"/>
        <v>29.228400000000001</v>
      </c>
      <c r="Q136" s="113">
        <f t="shared" si="65"/>
        <v>1.4296499999999999</v>
      </c>
      <c r="R136" s="92">
        <f t="shared" si="66"/>
        <v>1.11195</v>
      </c>
      <c r="S136" s="121"/>
      <c r="T136" s="93">
        <f t="shared" si="67"/>
        <v>3.9999999999817959E-4</v>
      </c>
      <c r="U136" s="122"/>
      <c r="V136" s="94">
        <f t="shared" ca="1" si="68"/>
        <v>253.4644447916653</v>
      </c>
      <c r="W136" s="89">
        <f t="shared" si="69"/>
        <v>4.3478260869367347E-4</v>
      </c>
    </row>
    <row r="137" spans="1:23" s="312" customFormat="1" ht="18">
      <c r="A137" s="115"/>
      <c r="B137" s="260" t="s">
        <v>1194</v>
      </c>
      <c r="C137" s="175" t="s">
        <v>52</v>
      </c>
      <c r="D137" s="131" t="s">
        <v>2134</v>
      </c>
      <c r="E137" s="317">
        <v>177</v>
      </c>
      <c r="F137" s="138">
        <v>45202</v>
      </c>
      <c r="G137" s="252">
        <v>33.56</v>
      </c>
      <c r="H137" s="150">
        <v>1582354</v>
      </c>
      <c r="I137" s="150">
        <f t="shared" ref="I137:I233" si="70">H137/G137</f>
        <v>47150</v>
      </c>
      <c r="J137" s="122"/>
      <c r="K137" s="186" t="s">
        <v>2191</v>
      </c>
      <c r="L137" s="262">
        <f t="shared" si="46"/>
        <v>177</v>
      </c>
      <c r="M137" s="160" t="s">
        <v>2192</v>
      </c>
      <c r="N137" s="136">
        <f>3.189+27.686</f>
        <v>30.875</v>
      </c>
      <c r="O137" s="122"/>
      <c r="P137" s="92">
        <f t="shared" si="64"/>
        <v>30.875200000000003</v>
      </c>
      <c r="Q137" s="113">
        <f t="shared" si="65"/>
        <v>1.5102</v>
      </c>
      <c r="R137" s="92">
        <f t="shared" si="66"/>
        <v>1.1746000000000001</v>
      </c>
      <c r="S137" s="121"/>
      <c r="T137" s="93">
        <f t="shared" si="67"/>
        <v>2.0000000000219842E-4</v>
      </c>
      <c r="U137" s="122"/>
      <c r="V137" s="94">
        <f t="shared" ca="1" si="68"/>
        <v>264.4644447916653</v>
      </c>
      <c r="W137" s="89">
        <f t="shared" si="69"/>
        <v>2.1739130435021565E-4</v>
      </c>
    </row>
    <row r="138" spans="1:23" s="312" customFormat="1" ht="18">
      <c r="A138" s="115"/>
      <c r="B138" s="260" t="s">
        <v>1194</v>
      </c>
      <c r="C138" s="175" t="s">
        <v>52</v>
      </c>
      <c r="D138" s="131" t="s">
        <v>2135</v>
      </c>
      <c r="E138" s="317">
        <v>178</v>
      </c>
      <c r="F138" s="138">
        <v>45202</v>
      </c>
      <c r="G138" s="252">
        <v>32.6</v>
      </c>
      <c r="H138" s="150">
        <v>1537090</v>
      </c>
      <c r="I138" s="150">
        <f t="shared" si="70"/>
        <v>47150</v>
      </c>
      <c r="J138" s="122"/>
      <c r="K138" s="186" t="s">
        <v>2208</v>
      </c>
      <c r="L138" s="262">
        <f t="shared" si="46"/>
        <v>178</v>
      </c>
      <c r="M138" s="160" t="s">
        <v>2209</v>
      </c>
      <c r="N138" s="136">
        <f>4.702+12.402+12.402+0.486</f>
        <v>29.992000000000001</v>
      </c>
      <c r="O138" s="122"/>
      <c r="P138" s="92">
        <f t="shared" si="64"/>
        <v>29.992000000000001</v>
      </c>
      <c r="Q138" s="113">
        <f t="shared" si="65"/>
        <v>1.4670000000000001</v>
      </c>
      <c r="R138" s="92">
        <f t="shared" si="66"/>
        <v>1.1410000000000002</v>
      </c>
      <c r="S138" s="121"/>
      <c r="T138" s="93">
        <f t="shared" si="67"/>
        <v>0</v>
      </c>
      <c r="U138" s="122"/>
      <c r="V138" s="94">
        <f t="shared" ca="1" si="68"/>
        <v>264.4644447916653</v>
      </c>
      <c r="W138" s="89">
        <f t="shared" si="69"/>
        <v>0</v>
      </c>
    </row>
    <row r="139" spans="1:23" s="312" customFormat="1" ht="18">
      <c r="A139" s="115"/>
      <c r="B139" s="260" t="s">
        <v>1194</v>
      </c>
      <c r="C139" s="175" t="s">
        <v>52</v>
      </c>
      <c r="D139" s="131" t="s">
        <v>2136</v>
      </c>
      <c r="E139" s="317">
        <v>179</v>
      </c>
      <c r="F139" s="138">
        <v>45202</v>
      </c>
      <c r="G139" s="252">
        <v>33.93</v>
      </c>
      <c r="H139" s="150">
        <v>1599799.5</v>
      </c>
      <c r="I139" s="150">
        <f t="shared" si="70"/>
        <v>47150</v>
      </c>
      <c r="J139" s="122"/>
      <c r="K139" s="186">
        <v>1099</v>
      </c>
      <c r="L139" s="262">
        <f t="shared" si="46"/>
        <v>179</v>
      </c>
      <c r="M139" s="160" t="s">
        <v>2210</v>
      </c>
      <c r="N139" s="136">
        <v>31.216000000000001</v>
      </c>
      <c r="O139" s="122"/>
      <c r="P139" s="92">
        <f t="shared" si="64"/>
        <v>31.215600000000002</v>
      </c>
      <c r="Q139" s="113">
        <f t="shared" si="65"/>
        <v>1.52685</v>
      </c>
      <c r="R139" s="92">
        <f t="shared" si="66"/>
        <v>1.1875500000000001</v>
      </c>
      <c r="S139" s="121"/>
      <c r="T139" s="93">
        <f t="shared" si="67"/>
        <v>-4.0000000000151026E-4</v>
      </c>
      <c r="U139" s="122"/>
      <c r="V139" s="94">
        <f t="shared" ca="1" si="68"/>
        <v>264.4644447916653</v>
      </c>
      <c r="W139" s="89">
        <f t="shared" si="69"/>
        <v>-4.3478260869729378E-4</v>
      </c>
    </row>
    <row r="140" spans="1:23" s="312" customFormat="1" ht="18">
      <c r="A140" s="115"/>
      <c r="B140" s="260" t="s">
        <v>1194</v>
      </c>
      <c r="C140" s="175" t="s">
        <v>52</v>
      </c>
      <c r="D140" s="131" t="s">
        <v>2137</v>
      </c>
      <c r="E140" s="317">
        <v>180</v>
      </c>
      <c r="F140" s="138">
        <v>45202</v>
      </c>
      <c r="G140" s="252">
        <v>32.630000000000003</v>
      </c>
      <c r="H140" s="150">
        <v>1538504.5000000002</v>
      </c>
      <c r="I140" s="150">
        <f t="shared" si="70"/>
        <v>47150</v>
      </c>
      <c r="J140" s="122"/>
      <c r="K140" s="186" t="s">
        <v>2211</v>
      </c>
      <c r="L140" s="262">
        <f t="shared" si="46"/>
        <v>180</v>
      </c>
      <c r="M140" s="160" t="s">
        <v>2212</v>
      </c>
      <c r="N140" s="136">
        <f>0.956+29.064</f>
        <v>30.02</v>
      </c>
      <c r="O140" s="122"/>
      <c r="P140" s="92">
        <f t="shared" si="64"/>
        <v>30.019600000000004</v>
      </c>
      <c r="Q140" s="113">
        <f t="shared" si="65"/>
        <v>1.46835</v>
      </c>
      <c r="R140" s="92">
        <f t="shared" si="66"/>
        <v>1.1420500000000002</v>
      </c>
      <c r="S140" s="121"/>
      <c r="T140" s="93">
        <f t="shared" si="67"/>
        <v>-3.9999999999729141E-4</v>
      </c>
      <c r="U140" s="122"/>
      <c r="V140" s="94">
        <f t="shared" ca="1" si="68"/>
        <v>264.4644447916653</v>
      </c>
      <c r="W140" s="89">
        <f t="shared" si="69"/>
        <v>-4.3478260869270804E-4</v>
      </c>
    </row>
    <row r="141" spans="1:23" s="312" customFormat="1" ht="18">
      <c r="A141" s="115"/>
      <c r="B141" s="260" t="s">
        <v>1194</v>
      </c>
      <c r="C141" s="175" t="s">
        <v>52</v>
      </c>
      <c r="D141" s="131" t="s">
        <v>2138</v>
      </c>
      <c r="E141" s="317">
        <v>181</v>
      </c>
      <c r="F141" s="138">
        <v>45202</v>
      </c>
      <c r="G141" s="252">
        <v>33.380000000000003</v>
      </c>
      <c r="H141" s="150">
        <v>1573867.0000000002</v>
      </c>
      <c r="I141" s="150">
        <f t="shared" si="70"/>
        <v>47150</v>
      </c>
      <c r="J141" s="122"/>
      <c r="K141" s="186" t="s">
        <v>2213</v>
      </c>
      <c r="L141" s="262">
        <f t="shared" si="46"/>
        <v>181</v>
      </c>
      <c r="M141" s="160" t="s">
        <v>2212</v>
      </c>
      <c r="N141" s="136">
        <f>3.725+26.985</f>
        <v>30.71</v>
      </c>
      <c r="O141" s="122"/>
      <c r="P141" s="92">
        <f t="shared" si="64"/>
        <v>30.709600000000005</v>
      </c>
      <c r="Q141" s="113">
        <f t="shared" si="65"/>
        <v>1.5021</v>
      </c>
      <c r="R141" s="92">
        <f t="shared" si="66"/>
        <v>1.1683000000000001</v>
      </c>
      <c r="S141" s="121"/>
      <c r="T141" s="93">
        <f t="shared" si="67"/>
        <v>-3.9999999999840163E-4</v>
      </c>
      <c r="U141" s="122"/>
      <c r="V141" s="94">
        <f t="shared" ca="1" si="68"/>
        <v>264.4644447916653</v>
      </c>
      <c r="W141" s="89">
        <f t="shared" si="69"/>
        <v>-4.3478260869391481E-4</v>
      </c>
    </row>
    <row r="142" spans="1:23" s="312" customFormat="1" ht="18">
      <c r="A142" s="115"/>
      <c r="B142" s="260" t="s">
        <v>1194</v>
      </c>
      <c r="C142" s="175" t="s">
        <v>52</v>
      </c>
      <c r="D142" s="131" t="s">
        <v>2139</v>
      </c>
      <c r="E142" s="317">
        <v>182</v>
      </c>
      <c r="F142" s="138">
        <v>45202</v>
      </c>
      <c r="G142" s="252">
        <v>32.4</v>
      </c>
      <c r="H142" s="150">
        <v>1527660</v>
      </c>
      <c r="I142" s="150">
        <f t="shared" si="70"/>
        <v>47150</v>
      </c>
      <c r="J142" s="122"/>
      <c r="K142" s="186" t="s">
        <v>2214</v>
      </c>
      <c r="L142" s="262">
        <f t="shared" si="46"/>
        <v>182</v>
      </c>
      <c r="M142" s="160" t="s">
        <v>2212</v>
      </c>
      <c r="N142" s="136">
        <f>5.204+24.604</f>
        <v>29.808</v>
      </c>
      <c r="O142" s="122"/>
      <c r="P142" s="92">
        <f t="shared" si="64"/>
        <v>29.808</v>
      </c>
      <c r="Q142" s="113">
        <f t="shared" si="65"/>
        <v>1.458</v>
      </c>
      <c r="R142" s="92">
        <f t="shared" si="66"/>
        <v>1.1340000000000001</v>
      </c>
      <c r="S142" s="121"/>
      <c r="T142" s="93">
        <f t="shared" si="67"/>
        <v>0</v>
      </c>
      <c r="U142" s="122"/>
      <c r="V142" s="94">
        <f t="shared" ca="1" si="68"/>
        <v>264.4644447916653</v>
      </c>
      <c r="W142" s="89">
        <f t="shared" si="69"/>
        <v>0</v>
      </c>
    </row>
    <row r="143" spans="1:23" s="312" customFormat="1" ht="18">
      <c r="A143" s="115"/>
      <c r="B143" s="260" t="s">
        <v>1194</v>
      </c>
      <c r="C143" s="175" t="s">
        <v>52</v>
      </c>
      <c r="D143" s="131" t="s">
        <v>2140</v>
      </c>
      <c r="E143" s="317">
        <v>183</v>
      </c>
      <c r="F143" s="138">
        <v>45202</v>
      </c>
      <c r="G143" s="252">
        <v>31.48</v>
      </c>
      <c r="H143" s="150">
        <v>1484282</v>
      </c>
      <c r="I143" s="150">
        <f t="shared" si="70"/>
        <v>47150</v>
      </c>
      <c r="J143" s="122"/>
      <c r="K143" s="186" t="s">
        <v>2215</v>
      </c>
      <c r="L143" s="262">
        <f t="shared" si="46"/>
        <v>183</v>
      </c>
      <c r="M143" s="160" t="s">
        <v>2212</v>
      </c>
      <c r="N143" s="136">
        <f>8.169+20.793</f>
        <v>28.962</v>
      </c>
      <c r="O143" s="122"/>
      <c r="P143" s="92">
        <f t="shared" si="64"/>
        <v>28.961600000000001</v>
      </c>
      <c r="Q143" s="113">
        <f t="shared" si="65"/>
        <v>1.4165999999999999</v>
      </c>
      <c r="R143" s="92">
        <f t="shared" si="66"/>
        <v>1.1018000000000001</v>
      </c>
      <c r="S143" s="121"/>
      <c r="T143" s="93">
        <f t="shared" si="67"/>
        <v>-3.9999999999928981E-4</v>
      </c>
      <c r="U143" s="122"/>
      <c r="V143" s="94">
        <f t="shared" ca="1" si="68"/>
        <v>264.4644447916653</v>
      </c>
      <c r="W143" s="89">
        <f t="shared" si="69"/>
        <v>-4.3478260869488018E-4</v>
      </c>
    </row>
    <row r="144" spans="1:23" s="312" customFormat="1" ht="18">
      <c r="A144" s="115"/>
      <c r="B144" s="260" t="s">
        <v>1194</v>
      </c>
      <c r="C144" s="175" t="s">
        <v>52</v>
      </c>
      <c r="D144" s="131" t="s">
        <v>2141</v>
      </c>
      <c r="E144" s="317">
        <v>184</v>
      </c>
      <c r="F144" s="138">
        <v>45202</v>
      </c>
      <c r="G144" s="252">
        <v>30.38</v>
      </c>
      <c r="H144" s="150">
        <v>1432417</v>
      </c>
      <c r="I144" s="150">
        <f t="shared" si="70"/>
        <v>47150</v>
      </c>
      <c r="J144" s="122"/>
      <c r="K144" s="186" t="s">
        <v>2216</v>
      </c>
      <c r="L144" s="262">
        <f t="shared" si="46"/>
        <v>184</v>
      </c>
      <c r="M144" s="160" t="s">
        <v>2217</v>
      </c>
      <c r="N144" s="136">
        <f>11.512+16.438</f>
        <v>27.95</v>
      </c>
      <c r="O144" s="122"/>
      <c r="P144" s="92">
        <f t="shared" si="64"/>
        <v>27.9496</v>
      </c>
      <c r="Q144" s="113">
        <f t="shared" si="65"/>
        <v>1.3671</v>
      </c>
      <c r="R144" s="92">
        <f t="shared" si="66"/>
        <v>1.0633000000000001</v>
      </c>
      <c r="S144" s="121"/>
      <c r="T144" s="93">
        <f t="shared" si="67"/>
        <v>-4.0000000000040004E-4</v>
      </c>
      <c r="U144" s="122"/>
      <c r="V144" s="94">
        <f t="shared" ca="1" si="68"/>
        <v>264.4644447916653</v>
      </c>
      <c r="W144" s="89">
        <f t="shared" si="69"/>
        <v>-4.3478260869608701E-4</v>
      </c>
    </row>
    <row r="145" spans="1:23" s="312" customFormat="1" ht="18">
      <c r="A145" s="115"/>
      <c r="B145" s="260" t="s">
        <v>1194</v>
      </c>
      <c r="C145" s="175" t="s">
        <v>53</v>
      </c>
      <c r="D145" s="131" t="s">
        <v>2142</v>
      </c>
      <c r="E145" s="317">
        <v>185</v>
      </c>
      <c r="F145" s="138">
        <v>45202</v>
      </c>
      <c r="G145" s="252">
        <v>32.36</v>
      </c>
      <c r="H145" s="150">
        <v>1590494</v>
      </c>
      <c r="I145" s="150">
        <f t="shared" si="70"/>
        <v>49150</v>
      </c>
      <c r="J145" s="122"/>
      <c r="K145" s="186" t="s">
        <v>2218</v>
      </c>
      <c r="L145" s="262">
        <f t="shared" si="46"/>
        <v>185</v>
      </c>
      <c r="M145" s="160" t="s">
        <v>2219</v>
      </c>
      <c r="N145" s="136">
        <f>16.475+13.296</f>
        <v>29.771000000000001</v>
      </c>
      <c r="O145" s="122"/>
      <c r="P145" s="92">
        <f t="shared" si="64"/>
        <v>29.7712</v>
      </c>
      <c r="Q145" s="113">
        <f t="shared" si="65"/>
        <v>1.4561999999999999</v>
      </c>
      <c r="R145" s="92">
        <f t="shared" si="66"/>
        <v>1.1326000000000001</v>
      </c>
      <c r="S145" s="121"/>
      <c r="T145" s="93">
        <f t="shared" si="67"/>
        <v>1.9999999999864571E-4</v>
      </c>
      <c r="U145" s="122"/>
      <c r="V145" s="94">
        <f t="shared" ca="1" si="68"/>
        <v>264.4644447916653</v>
      </c>
      <c r="W145" s="89">
        <f t="shared" si="69"/>
        <v>2.1739130434635402E-4</v>
      </c>
    </row>
    <row r="146" spans="1:23" s="312" customFormat="1" ht="18">
      <c r="A146" s="115"/>
      <c r="B146" s="260" t="s">
        <v>1194</v>
      </c>
      <c r="C146" s="175" t="s">
        <v>53</v>
      </c>
      <c r="D146" s="131" t="s">
        <v>2143</v>
      </c>
      <c r="E146" s="317">
        <v>186</v>
      </c>
      <c r="F146" s="138">
        <v>45202</v>
      </c>
      <c r="G146" s="252">
        <v>32.32</v>
      </c>
      <c r="H146" s="150">
        <v>1588528</v>
      </c>
      <c r="I146" s="150">
        <f t="shared" si="70"/>
        <v>49150</v>
      </c>
      <c r="J146" s="122"/>
      <c r="K146" s="186" t="s">
        <v>2220</v>
      </c>
      <c r="L146" s="262">
        <f t="shared" si="46"/>
        <v>186</v>
      </c>
      <c r="M146" s="160" t="s">
        <v>2219</v>
      </c>
      <c r="N146" s="136">
        <f>19.261+10.473</f>
        <v>29.734000000000002</v>
      </c>
      <c r="O146" s="122"/>
      <c r="P146" s="92">
        <f t="shared" si="64"/>
        <v>29.734400000000001</v>
      </c>
      <c r="Q146" s="113">
        <f t="shared" si="65"/>
        <v>1.4543999999999999</v>
      </c>
      <c r="R146" s="92">
        <f t="shared" si="66"/>
        <v>1.1312000000000002</v>
      </c>
      <c r="S146" s="121"/>
      <c r="T146" s="93">
        <f t="shared" si="67"/>
        <v>3.9999999999840163E-4</v>
      </c>
      <c r="U146" s="122"/>
      <c r="V146" s="94">
        <f t="shared" ca="1" si="68"/>
        <v>264.4644447916653</v>
      </c>
      <c r="W146" s="89">
        <f t="shared" si="69"/>
        <v>4.3478260869391481E-4</v>
      </c>
    </row>
    <row r="147" spans="1:23" s="312" customFormat="1" ht="18">
      <c r="A147" s="115"/>
      <c r="B147" s="260" t="s">
        <v>1194</v>
      </c>
      <c r="C147" s="175" t="s">
        <v>53</v>
      </c>
      <c r="D147" s="131" t="s">
        <v>2144</v>
      </c>
      <c r="E147" s="317">
        <v>187</v>
      </c>
      <c r="F147" s="138">
        <v>45202</v>
      </c>
      <c r="G147" s="252">
        <v>29.66</v>
      </c>
      <c r="H147" s="150">
        <v>1457789</v>
      </c>
      <c r="I147" s="150">
        <f t="shared" si="70"/>
        <v>49150</v>
      </c>
      <c r="J147" s="122"/>
      <c r="K147" s="186" t="s">
        <v>2221</v>
      </c>
      <c r="L147" s="262">
        <f t="shared" si="46"/>
        <v>187</v>
      </c>
      <c r="M147" s="160" t="s">
        <v>2219</v>
      </c>
      <c r="N147" s="136">
        <f>13.707+13.58</f>
        <v>27.286999999999999</v>
      </c>
      <c r="O147" s="122"/>
      <c r="P147" s="92">
        <f t="shared" si="64"/>
        <v>27.287200000000002</v>
      </c>
      <c r="Q147" s="113">
        <f t="shared" si="65"/>
        <v>1.3347</v>
      </c>
      <c r="R147" s="92">
        <f t="shared" si="66"/>
        <v>1.0381</v>
      </c>
      <c r="S147" s="121"/>
      <c r="T147" s="93">
        <f t="shared" si="67"/>
        <v>2.000000000010882E-4</v>
      </c>
      <c r="U147" s="122"/>
      <c r="V147" s="94">
        <f t="shared" ca="1" si="68"/>
        <v>264.4644447916653</v>
      </c>
      <c r="W147" s="89">
        <f t="shared" si="69"/>
        <v>2.1739130434900893E-4</v>
      </c>
    </row>
    <row r="148" spans="1:23" s="312" customFormat="1" ht="18">
      <c r="A148" s="115"/>
      <c r="B148" s="260" t="s">
        <v>1194</v>
      </c>
      <c r="C148" s="175" t="s">
        <v>53</v>
      </c>
      <c r="D148" s="131" t="s">
        <v>2145</v>
      </c>
      <c r="E148" s="317">
        <v>188</v>
      </c>
      <c r="F148" s="138">
        <v>45202</v>
      </c>
      <c r="G148" s="252">
        <v>32.11</v>
      </c>
      <c r="H148" s="150">
        <v>1578206.5</v>
      </c>
      <c r="I148" s="150">
        <f t="shared" si="70"/>
        <v>49150</v>
      </c>
      <c r="J148" s="122"/>
      <c r="K148" s="186" t="s">
        <v>2222</v>
      </c>
      <c r="L148" s="262">
        <f t="shared" si="46"/>
        <v>188</v>
      </c>
      <c r="M148" s="160" t="s">
        <v>2219</v>
      </c>
      <c r="N148" s="136">
        <f>18.573+10.968</f>
        <v>29.541</v>
      </c>
      <c r="O148" s="122"/>
      <c r="P148" s="92">
        <f t="shared" si="64"/>
        <v>29.5412</v>
      </c>
      <c r="Q148" s="113">
        <f t="shared" si="65"/>
        <v>1.44495</v>
      </c>
      <c r="R148" s="92">
        <f t="shared" si="66"/>
        <v>1.12385</v>
      </c>
      <c r="S148" s="121"/>
      <c r="T148" s="93">
        <f t="shared" si="67"/>
        <v>1.9999999999908979E-4</v>
      </c>
      <c r="U148" s="122"/>
      <c r="V148" s="94">
        <f t="shared" ca="1" si="68"/>
        <v>264.4644447916653</v>
      </c>
      <c r="W148" s="89">
        <f t="shared" si="69"/>
        <v>2.1739130434683673E-4</v>
      </c>
    </row>
    <row r="149" spans="1:23" s="312" customFormat="1" ht="18">
      <c r="A149" s="115"/>
      <c r="B149" s="260" t="s">
        <v>505</v>
      </c>
      <c r="C149" s="90" t="s">
        <v>55</v>
      </c>
      <c r="D149" s="131" t="s">
        <v>2189</v>
      </c>
      <c r="E149" s="357">
        <v>191</v>
      </c>
      <c r="F149" s="138">
        <v>45208</v>
      </c>
      <c r="G149" s="252">
        <v>67.39</v>
      </c>
      <c r="H149" s="150">
        <v>3401847.2</v>
      </c>
      <c r="I149" s="150">
        <f t="shared" si="70"/>
        <v>50480</v>
      </c>
      <c r="J149" s="122"/>
      <c r="K149" s="186" t="s">
        <v>2223</v>
      </c>
      <c r="L149" s="262">
        <f t="shared" si="46"/>
        <v>191</v>
      </c>
      <c r="M149" s="160" t="s">
        <v>2224</v>
      </c>
      <c r="N149" s="136">
        <f>29.124+32.531+0.344</f>
        <v>61.999000000000002</v>
      </c>
      <c r="O149" s="122"/>
      <c r="P149" s="92">
        <f t="shared" si="64"/>
        <v>61.998800000000003</v>
      </c>
      <c r="Q149" s="113">
        <f t="shared" si="65"/>
        <v>3.0325500000000001</v>
      </c>
      <c r="R149" s="92">
        <f t="shared" si="66"/>
        <v>2.3586500000000004</v>
      </c>
      <c r="S149" s="121"/>
      <c r="T149" s="93">
        <f t="shared" si="67"/>
        <v>-2.0000000000219842E-4</v>
      </c>
      <c r="U149" s="122"/>
      <c r="V149" s="94">
        <f t="shared" ca="1" si="68"/>
        <v>270.4644447916653</v>
      </c>
      <c r="W149" s="89">
        <f t="shared" si="69"/>
        <v>-2.1739130435021565E-4</v>
      </c>
    </row>
    <row r="150" spans="1:23" s="312" customFormat="1" ht="18">
      <c r="A150" s="115"/>
      <c r="B150" s="260" t="s">
        <v>505</v>
      </c>
      <c r="C150" s="90" t="s">
        <v>55</v>
      </c>
      <c r="D150" s="131" t="s">
        <v>2189</v>
      </c>
      <c r="E150" s="357">
        <v>192</v>
      </c>
      <c r="F150" s="138">
        <v>45208</v>
      </c>
      <c r="G150" s="252">
        <v>63.54</v>
      </c>
      <c r="H150" s="150">
        <v>3207499.2</v>
      </c>
      <c r="I150" s="150">
        <f t="shared" si="70"/>
        <v>50480</v>
      </c>
      <c r="J150" s="122"/>
      <c r="K150" s="186" t="s">
        <v>2225</v>
      </c>
      <c r="L150" s="262">
        <f t="shared" si="46"/>
        <v>192</v>
      </c>
      <c r="M150" s="160" t="s">
        <v>2219</v>
      </c>
      <c r="N150" s="136">
        <f>32.646+25.811</f>
        <v>58.457000000000001</v>
      </c>
      <c r="O150" s="122"/>
      <c r="P150" s="92">
        <f t="shared" si="64"/>
        <v>58.456800000000001</v>
      </c>
      <c r="Q150" s="113">
        <f t="shared" si="65"/>
        <v>2.8592999999999997</v>
      </c>
      <c r="R150" s="92">
        <f t="shared" si="66"/>
        <v>2.2239</v>
      </c>
      <c r="S150" s="121"/>
      <c r="T150" s="93">
        <f t="shared" si="67"/>
        <v>-2.0000000000131024E-4</v>
      </c>
      <c r="U150" s="122"/>
      <c r="V150" s="94">
        <f t="shared" ca="1" si="68"/>
        <v>270.4644447916653</v>
      </c>
      <c r="W150" s="89">
        <f t="shared" si="69"/>
        <v>-2.1739130434925025E-4</v>
      </c>
    </row>
    <row r="151" spans="1:23" s="312" customFormat="1" ht="18">
      <c r="A151" s="115"/>
      <c r="B151" s="260" t="s">
        <v>505</v>
      </c>
      <c r="C151" s="90" t="s">
        <v>55</v>
      </c>
      <c r="D151" s="131" t="s">
        <v>2189</v>
      </c>
      <c r="E151" s="357">
        <v>193</v>
      </c>
      <c r="F151" s="138">
        <v>45208</v>
      </c>
      <c r="G151" s="252">
        <v>40.15</v>
      </c>
      <c r="H151" s="150">
        <v>2026772</v>
      </c>
      <c r="I151" s="150">
        <f t="shared" ref="I151:I173" si="71">H151/G151</f>
        <v>50480</v>
      </c>
      <c r="J151" s="122"/>
      <c r="K151" s="186" t="s">
        <v>2226</v>
      </c>
      <c r="L151" s="262">
        <f t="shared" si="46"/>
        <v>193</v>
      </c>
      <c r="M151" s="160" t="s">
        <v>2219</v>
      </c>
      <c r="N151" s="136">
        <f>6.221+30.717</f>
        <v>36.938000000000002</v>
      </c>
      <c r="O151" s="122"/>
      <c r="P151" s="92">
        <f t="shared" ref="P151:P173" si="72">G151*0.92</f>
        <v>36.938000000000002</v>
      </c>
      <c r="Q151" s="113">
        <f t="shared" ref="Q151:Q173" si="73">G151*4.5%</f>
        <v>1.8067499999999999</v>
      </c>
      <c r="R151" s="92">
        <f t="shared" ref="R151:R173" si="74">G151*3.5%</f>
        <v>1.4052500000000001</v>
      </c>
      <c r="S151" s="121"/>
      <c r="T151" s="93">
        <f t="shared" ref="T151:T173" si="75">G151-N151-Q151-R151</f>
        <v>-3.7747582837255322E-15</v>
      </c>
      <c r="U151" s="122"/>
      <c r="V151" s="94">
        <f t="shared" ref="V151:V173" ca="1" si="76">360-($V$3-F151)</f>
        <v>270.4644447916653</v>
      </c>
      <c r="W151" s="89">
        <f t="shared" ref="W151:W173" si="77">T151/0.92%/100</f>
        <v>-4.1029981344842744E-15</v>
      </c>
    </row>
    <row r="152" spans="1:23" s="312" customFormat="1" ht="18">
      <c r="A152" s="115"/>
      <c r="B152" s="260" t="s">
        <v>505</v>
      </c>
      <c r="C152" s="90" t="s">
        <v>55</v>
      </c>
      <c r="D152" s="131" t="s">
        <v>2189</v>
      </c>
      <c r="E152" s="357">
        <v>194</v>
      </c>
      <c r="F152" s="138">
        <v>45208</v>
      </c>
      <c r="G152" s="252">
        <v>31.76</v>
      </c>
      <c r="H152" s="150">
        <v>1603244.8</v>
      </c>
      <c r="I152" s="150">
        <f t="shared" ref="I152:I162" si="78">H152/G152</f>
        <v>50480</v>
      </c>
      <c r="J152" s="122"/>
      <c r="K152" s="186" t="s">
        <v>2227</v>
      </c>
      <c r="L152" s="262">
        <f t="shared" si="46"/>
        <v>194</v>
      </c>
      <c r="M152" s="160" t="s">
        <v>2228</v>
      </c>
      <c r="N152" s="136">
        <f>2.377+16.015+2.272+4.792+3.763</f>
        <v>29.218999999999994</v>
      </c>
      <c r="O152" s="122"/>
      <c r="P152" s="92">
        <f t="shared" ref="P152:P162" si="79">G152*0.92</f>
        <v>29.219200000000004</v>
      </c>
      <c r="Q152" s="113">
        <f t="shared" ref="Q152:Q162" si="80">G152*4.5%</f>
        <v>1.4292</v>
      </c>
      <c r="R152" s="92">
        <f t="shared" ref="R152:R162" si="81">G152*3.5%</f>
        <v>1.1116000000000001</v>
      </c>
      <c r="S152" s="121"/>
      <c r="T152" s="93">
        <f t="shared" ref="T152:T162" si="82">G152-N152-Q152-R152</f>
        <v>2.0000000000730545E-4</v>
      </c>
      <c r="U152" s="122"/>
      <c r="V152" s="94">
        <f t="shared" ref="V152:V162" ca="1" si="83">360-($V$3-F152)</f>
        <v>270.4644447916653</v>
      </c>
      <c r="W152" s="89">
        <f t="shared" ref="W152:W162" si="84">T152/0.92%/100</f>
        <v>2.1739130435576676E-4</v>
      </c>
    </row>
    <row r="153" spans="1:23" s="312" customFormat="1" ht="18">
      <c r="A153" s="115"/>
      <c r="B153" s="260" t="s">
        <v>505</v>
      </c>
      <c r="C153" s="90" t="s">
        <v>55</v>
      </c>
      <c r="D153" s="131" t="s">
        <v>2189</v>
      </c>
      <c r="E153" s="357">
        <v>195</v>
      </c>
      <c r="F153" s="138">
        <v>45208</v>
      </c>
      <c r="G153" s="252">
        <v>41.97</v>
      </c>
      <c r="H153" s="150">
        <v>2118645.6</v>
      </c>
      <c r="I153" s="150">
        <f t="shared" si="78"/>
        <v>50480</v>
      </c>
      <c r="J153" s="122"/>
      <c r="K153" s="186" t="s">
        <v>2231</v>
      </c>
      <c r="L153" s="262">
        <f t="shared" si="46"/>
        <v>195</v>
      </c>
      <c r="M153" s="160" t="s">
        <v>2232</v>
      </c>
      <c r="N153" s="136">
        <f>31.769+3.945+2.898</f>
        <v>38.612000000000002</v>
      </c>
      <c r="O153" s="122"/>
      <c r="P153" s="92">
        <f t="shared" si="79"/>
        <v>38.612400000000001</v>
      </c>
      <c r="Q153" s="113">
        <f t="shared" si="80"/>
        <v>1.8886499999999999</v>
      </c>
      <c r="R153" s="92">
        <f t="shared" si="81"/>
        <v>1.4689500000000002</v>
      </c>
      <c r="S153" s="121"/>
      <c r="T153" s="93">
        <f t="shared" si="82"/>
        <v>3.9999999999684732E-4</v>
      </c>
      <c r="U153" s="122"/>
      <c r="V153" s="94">
        <f t="shared" ca="1" si="83"/>
        <v>270.4644447916653</v>
      </c>
      <c r="W153" s="89">
        <f t="shared" si="84"/>
        <v>4.3478260869222541E-4</v>
      </c>
    </row>
    <row r="154" spans="1:23" s="312" customFormat="1" ht="18">
      <c r="A154" s="115"/>
      <c r="B154" s="260" t="s">
        <v>505</v>
      </c>
      <c r="C154" s="90" t="s">
        <v>55</v>
      </c>
      <c r="D154" s="131" t="s">
        <v>2189</v>
      </c>
      <c r="E154" s="357">
        <v>196</v>
      </c>
      <c r="F154" s="138">
        <v>45208</v>
      </c>
      <c r="G154" s="252">
        <v>31.82</v>
      </c>
      <c r="H154" s="150">
        <v>1606273.6</v>
      </c>
      <c r="I154" s="150">
        <f t="shared" si="78"/>
        <v>50480</v>
      </c>
      <c r="J154" s="122"/>
      <c r="K154" s="186" t="s">
        <v>2233</v>
      </c>
      <c r="L154" s="262">
        <f t="shared" si="46"/>
        <v>196</v>
      </c>
      <c r="M154" s="160" t="s">
        <v>2234</v>
      </c>
      <c r="N154" s="136">
        <f>25.163+4.111</f>
        <v>29.274000000000001</v>
      </c>
      <c r="O154" s="122"/>
      <c r="P154" s="92">
        <f t="shared" si="79"/>
        <v>29.2744</v>
      </c>
      <c r="Q154" s="113">
        <f t="shared" si="80"/>
        <v>1.4319</v>
      </c>
      <c r="R154" s="92">
        <f t="shared" si="81"/>
        <v>1.1137000000000001</v>
      </c>
      <c r="S154" s="121"/>
      <c r="T154" s="93">
        <f t="shared" si="82"/>
        <v>3.9999999999928981E-4</v>
      </c>
      <c r="U154" s="122"/>
      <c r="V154" s="94">
        <f t="shared" ca="1" si="83"/>
        <v>270.4644447916653</v>
      </c>
      <c r="W154" s="89">
        <f t="shared" si="84"/>
        <v>4.3478260869488018E-4</v>
      </c>
    </row>
    <row r="155" spans="1:23" s="312" customFormat="1" ht="18">
      <c r="A155" s="115"/>
      <c r="B155" s="260" t="s">
        <v>505</v>
      </c>
      <c r="C155" s="90" t="s">
        <v>55</v>
      </c>
      <c r="D155" s="131" t="s">
        <v>2189</v>
      </c>
      <c r="E155" s="357">
        <v>197</v>
      </c>
      <c r="F155" s="138">
        <v>45208</v>
      </c>
      <c r="G155" s="252">
        <v>33.65</v>
      </c>
      <c r="H155" s="150">
        <v>1698652</v>
      </c>
      <c r="I155" s="150">
        <f t="shared" si="78"/>
        <v>50480</v>
      </c>
      <c r="J155" s="122"/>
      <c r="K155" s="186" t="s">
        <v>2236</v>
      </c>
      <c r="L155" s="262">
        <f t="shared" si="46"/>
        <v>197</v>
      </c>
      <c r="M155" s="160" t="s">
        <v>2237</v>
      </c>
      <c r="N155" s="136">
        <f>25.487+5.471</f>
        <v>30.957999999999998</v>
      </c>
      <c r="O155" s="122"/>
      <c r="P155" s="92">
        <f t="shared" si="79"/>
        <v>30.957999999999998</v>
      </c>
      <c r="Q155" s="113">
        <f t="shared" si="80"/>
        <v>1.5142499999999999</v>
      </c>
      <c r="R155" s="92">
        <f t="shared" si="81"/>
        <v>1.1777500000000001</v>
      </c>
      <c r="S155" s="121"/>
      <c r="T155" s="93">
        <f t="shared" si="82"/>
        <v>0</v>
      </c>
      <c r="U155" s="122"/>
      <c r="V155" s="94">
        <f t="shared" ca="1" si="83"/>
        <v>270.4644447916653</v>
      </c>
      <c r="W155" s="89">
        <f t="shared" si="84"/>
        <v>0</v>
      </c>
    </row>
    <row r="156" spans="1:23" s="312" customFormat="1" ht="18">
      <c r="A156" s="115"/>
      <c r="B156" s="260" t="s">
        <v>505</v>
      </c>
      <c r="C156" s="90" t="s">
        <v>55</v>
      </c>
      <c r="D156" s="131" t="s">
        <v>2189</v>
      </c>
      <c r="E156" s="357">
        <v>198</v>
      </c>
      <c r="F156" s="138">
        <v>45208</v>
      </c>
      <c r="G156" s="252">
        <v>33.78</v>
      </c>
      <c r="H156" s="150">
        <v>1705214.4000000001</v>
      </c>
      <c r="I156" s="150">
        <f t="shared" si="78"/>
        <v>50480</v>
      </c>
      <c r="J156" s="122"/>
      <c r="K156" s="186" t="s">
        <v>2238</v>
      </c>
      <c r="L156" s="262">
        <f t="shared" ref="L156:L217" si="85">E156</f>
        <v>198</v>
      </c>
      <c r="M156" s="160" t="s">
        <v>2240</v>
      </c>
      <c r="N156" s="136">
        <f>13.607+14.756+2.715</f>
        <v>31.077999999999999</v>
      </c>
      <c r="O156" s="122"/>
      <c r="P156" s="92">
        <f t="shared" si="79"/>
        <v>31.077600000000004</v>
      </c>
      <c r="Q156" s="113">
        <f t="shared" si="80"/>
        <v>1.5201</v>
      </c>
      <c r="R156" s="92">
        <f t="shared" si="81"/>
        <v>1.1823000000000001</v>
      </c>
      <c r="S156" s="121"/>
      <c r="T156" s="93">
        <f t="shared" si="82"/>
        <v>-3.9999999999840163E-4</v>
      </c>
      <c r="U156" s="122"/>
      <c r="V156" s="94">
        <f t="shared" ca="1" si="83"/>
        <v>270.4644447916653</v>
      </c>
      <c r="W156" s="89">
        <f t="shared" si="84"/>
        <v>-4.3478260869391481E-4</v>
      </c>
    </row>
    <row r="157" spans="1:23" s="312" customFormat="1" ht="18">
      <c r="A157" s="115"/>
      <c r="B157" s="260" t="s">
        <v>505</v>
      </c>
      <c r="C157" s="90" t="s">
        <v>55</v>
      </c>
      <c r="D157" s="131" t="s">
        <v>2189</v>
      </c>
      <c r="E157" s="357">
        <v>199</v>
      </c>
      <c r="F157" s="138">
        <v>45208</v>
      </c>
      <c r="G157" s="252">
        <v>33.729999999999997</v>
      </c>
      <c r="H157" s="150">
        <v>1702690.4</v>
      </c>
      <c r="I157" s="150">
        <f t="shared" si="78"/>
        <v>50480</v>
      </c>
      <c r="J157" s="122"/>
      <c r="K157" s="186" t="s">
        <v>2239</v>
      </c>
      <c r="L157" s="262">
        <f t="shared" si="85"/>
        <v>199</v>
      </c>
      <c r="M157" s="160" t="s">
        <v>2237</v>
      </c>
      <c r="N157" s="136">
        <f>26.603+4.429</f>
        <v>31.032000000000004</v>
      </c>
      <c r="O157" s="122"/>
      <c r="P157" s="92">
        <f t="shared" si="79"/>
        <v>31.031599999999997</v>
      </c>
      <c r="Q157" s="113">
        <f t="shared" si="80"/>
        <v>1.5178499999999997</v>
      </c>
      <c r="R157" s="92">
        <f t="shared" si="81"/>
        <v>1.18055</v>
      </c>
      <c r="S157" s="121"/>
      <c r="T157" s="93">
        <f t="shared" si="82"/>
        <v>-4.0000000000639524E-4</v>
      </c>
      <c r="U157" s="122"/>
      <c r="V157" s="94">
        <f t="shared" ca="1" si="83"/>
        <v>270.4644447916653</v>
      </c>
      <c r="W157" s="89">
        <f t="shared" si="84"/>
        <v>-4.3478260870260355E-4</v>
      </c>
    </row>
    <row r="158" spans="1:23" s="312" customFormat="1" ht="18">
      <c r="A158" s="115"/>
      <c r="B158" s="260" t="s">
        <v>505</v>
      </c>
      <c r="C158" s="90" t="s">
        <v>55</v>
      </c>
      <c r="D158" s="131" t="s">
        <v>2189</v>
      </c>
      <c r="E158" s="357">
        <v>200</v>
      </c>
      <c r="F158" s="138">
        <v>45208</v>
      </c>
      <c r="G158" s="252">
        <v>31.81</v>
      </c>
      <c r="H158" s="150">
        <v>1605768.8</v>
      </c>
      <c r="I158" s="150">
        <f t="shared" si="78"/>
        <v>50480</v>
      </c>
      <c r="J158" s="122"/>
      <c r="K158" s="186" t="s">
        <v>2241</v>
      </c>
      <c r="L158" s="262">
        <f t="shared" si="85"/>
        <v>200</v>
      </c>
      <c r="M158" s="160" t="s">
        <v>2235</v>
      </c>
      <c r="N158" s="136">
        <f>14.473+14.792</f>
        <v>29.265000000000001</v>
      </c>
      <c r="O158" s="122"/>
      <c r="P158" s="92">
        <f t="shared" si="79"/>
        <v>29.2652</v>
      </c>
      <c r="Q158" s="113">
        <f t="shared" si="80"/>
        <v>1.4314499999999999</v>
      </c>
      <c r="R158" s="92">
        <f t="shared" si="81"/>
        <v>1.1133500000000001</v>
      </c>
      <c r="S158" s="121"/>
      <c r="T158" s="93">
        <f t="shared" si="82"/>
        <v>1.9999999999820162E-4</v>
      </c>
      <c r="U158" s="122"/>
      <c r="V158" s="94">
        <f t="shared" ca="1" si="83"/>
        <v>270.4644447916653</v>
      </c>
      <c r="W158" s="89">
        <f t="shared" si="84"/>
        <v>2.1739130434587133E-4</v>
      </c>
    </row>
    <row r="159" spans="1:23" s="312" customFormat="1" ht="18">
      <c r="A159" s="115"/>
      <c r="B159" s="260" t="s">
        <v>505</v>
      </c>
      <c r="C159" s="90" t="s">
        <v>55</v>
      </c>
      <c r="D159" s="131" t="s">
        <v>2189</v>
      </c>
      <c r="E159" s="357">
        <v>201</v>
      </c>
      <c r="F159" s="138">
        <v>45208</v>
      </c>
      <c r="G159" s="252">
        <v>31.84</v>
      </c>
      <c r="H159" s="150">
        <v>1607283.2</v>
      </c>
      <c r="I159" s="150">
        <f t="shared" si="78"/>
        <v>50480</v>
      </c>
      <c r="J159" s="122"/>
      <c r="K159" s="186" t="s">
        <v>2242</v>
      </c>
      <c r="L159" s="262">
        <f t="shared" si="85"/>
        <v>201</v>
      </c>
      <c r="M159" s="160" t="s">
        <v>2243</v>
      </c>
      <c r="N159" s="136">
        <f>17.494+11.799</f>
        <v>29.292999999999999</v>
      </c>
      <c r="O159" s="122"/>
      <c r="P159" s="92">
        <f t="shared" si="79"/>
        <v>29.2928</v>
      </c>
      <c r="Q159" s="113">
        <f t="shared" si="80"/>
        <v>1.4327999999999999</v>
      </c>
      <c r="R159" s="92">
        <f t="shared" si="81"/>
        <v>1.1144000000000001</v>
      </c>
      <c r="S159" s="121"/>
      <c r="T159" s="93">
        <f t="shared" si="82"/>
        <v>-1.9999999999931184E-4</v>
      </c>
      <c r="U159" s="122"/>
      <c r="V159" s="94">
        <f t="shared" ca="1" si="83"/>
        <v>270.4644447916653</v>
      </c>
      <c r="W159" s="89">
        <f t="shared" si="84"/>
        <v>-2.173913043470781E-4</v>
      </c>
    </row>
    <row r="160" spans="1:23" s="312" customFormat="1" ht="18">
      <c r="A160" s="115"/>
      <c r="B160" s="260" t="s">
        <v>505</v>
      </c>
      <c r="C160" s="90" t="s">
        <v>55</v>
      </c>
      <c r="D160" s="131" t="s">
        <v>2189</v>
      </c>
      <c r="E160" s="357">
        <v>202</v>
      </c>
      <c r="F160" s="138">
        <v>45208</v>
      </c>
      <c r="G160" s="252">
        <v>33.659999999999997</v>
      </c>
      <c r="H160" s="150">
        <v>1699156.7999999998</v>
      </c>
      <c r="I160" s="150">
        <f t="shared" si="78"/>
        <v>50480</v>
      </c>
      <c r="J160" s="122"/>
      <c r="K160" s="186" t="s">
        <v>2244</v>
      </c>
      <c r="L160" s="262">
        <f t="shared" si="85"/>
        <v>202</v>
      </c>
      <c r="M160" s="160" t="s">
        <v>2245</v>
      </c>
      <c r="N160" s="136">
        <f>21.276+9.691</f>
        <v>30.966999999999999</v>
      </c>
      <c r="O160" s="122"/>
      <c r="P160" s="92">
        <f t="shared" si="79"/>
        <v>30.967199999999998</v>
      </c>
      <c r="Q160" s="113">
        <f t="shared" si="80"/>
        <v>1.5146999999999997</v>
      </c>
      <c r="R160" s="92">
        <f t="shared" si="81"/>
        <v>1.1780999999999999</v>
      </c>
      <c r="S160" s="121"/>
      <c r="T160" s="93">
        <f t="shared" si="82"/>
        <v>1.9999999999820162E-4</v>
      </c>
      <c r="U160" s="122"/>
      <c r="V160" s="94">
        <f t="shared" ca="1" si="83"/>
        <v>270.4644447916653</v>
      </c>
      <c r="W160" s="89">
        <f t="shared" si="84"/>
        <v>2.1739130434587133E-4</v>
      </c>
    </row>
    <row r="161" spans="1:23" s="312" customFormat="1" ht="18">
      <c r="A161" s="115"/>
      <c r="B161" s="260" t="s">
        <v>505</v>
      </c>
      <c r="C161" s="90" t="s">
        <v>55</v>
      </c>
      <c r="D161" s="131" t="s">
        <v>2189</v>
      </c>
      <c r="E161" s="357">
        <v>203</v>
      </c>
      <c r="F161" s="138">
        <v>45208</v>
      </c>
      <c r="G161" s="252">
        <v>33.549999999999997</v>
      </c>
      <c r="H161" s="150">
        <v>1693603.9999999998</v>
      </c>
      <c r="I161" s="150">
        <f t="shared" si="78"/>
        <v>50480</v>
      </c>
      <c r="J161" s="122"/>
      <c r="K161" s="186" t="s">
        <v>2246</v>
      </c>
      <c r="L161" s="262">
        <f t="shared" si="85"/>
        <v>203</v>
      </c>
      <c r="M161" s="160" t="s">
        <v>2247</v>
      </c>
      <c r="N161" s="136">
        <f>27.638+3.228</f>
        <v>30.866000000000003</v>
      </c>
      <c r="O161" s="122"/>
      <c r="P161" s="92">
        <f t="shared" ref="P161" si="86">G161*0.92</f>
        <v>30.866</v>
      </c>
      <c r="Q161" s="113">
        <f t="shared" ref="Q161" si="87">G161*4.5%</f>
        <v>1.5097499999999999</v>
      </c>
      <c r="R161" s="92">
        <f t="shared" ref="R161" si="88">G161*3.5%</f>
        <v>1.17425</v>
      </c>
      <c r="S161" s="121"/>
      <c r="T161" s="93">
        <f t="shared" si="82"/>
        <v>-5.9952043329758453E-15</v>
      </c>
      <c r="U161" s="122"/>
      <c r="V161" s="94">
        <f t="shared" ca="1" si="83"/>
        <v>270.4644447916653</v>
      </c>
      <c r="W161" s="89">
        <f t="shared" si="84"/>
        <v>-6.5165264488867879E-15</v>
      </c>
    </row>
    <row r="162" spans="1:23" s="312" customFormat="1" ht="18">
      <c r="A162" s="115"/>
      <c r="B162" s="260" t="s">
        <v>505</v>
      </c>
      <c r="C162" s="90" t="s">
        <v>55</v>
      </c>
      <c r="D162" s="131" t="s">
        <v>2189</v>
      </c>
      <c r="E162" s="357">
        <v>204</v>
      </c>
      <c r="F162" s="138">
        <v>45208</v>
      </c>
      <c r="G162" s="252">
        <v>31.64</v>
      </c>
      <c r="H162" s="150">
        <v>1597187.2</v>
      </c>
      <c r="I162" s="150">
        <f t="shared" si="78"/>
        <v>50480</v>
      </c>
      <c r="J162" s="122"/>
      <c r="K162" s="186" t="s">
        <v>2253</v>
      </c>
      <c r="L162" s="262">
        <f t="shared" si="85"/>
        <v>204</v>
      </c>
      <c r="M162" s="160" t="s">
        <v>2254</v>
      </c>
      <c r="N162" s="136">
        <f>28.68+0.429</f>
        <v>29.108999999999998</v>
      </c>
      <c r="O162" s="122"/>
      <c r="P162" s="92">
        <f t="shared" si="79"/>
        <v>29.108800000000002</v>
      </c>
      <c r="Q162" s="113">
        <f t="shared" si="80"/>
        <v>1.4238</v>
      </c>
      <c r="R162" s="92">
        <f t="shared" si="81"/>
        <v>1.1074000000000002</v>
      </c>
      <c r="S162" s="121"/>
      <c r="T162" s="93">
        <f t="shared" si="82"/>
        <v>-1.9999999999775753E-4</v>
      </c>
      <c r="U162" s="122"/>
      <c r="V162" s="94">
        <f t="shared" ca="1" si="83"/>
        <v>270.4644447916653</v>
      </c>
      <c r="W162" s="89">
        <f t="shared" si="84"/>
        <v>-2.1739130434538862E-4</v>
      </c>
    </row>
    <row r="163" spans="1:23" s="312" customFormat="1" ht="18">
      <c r="A163" s="115"/>
      <c r="B163" s="260" t="s">
        <v>505</v>
      </c>
      <c r="C163" s="90" t="s">
        <v>55</v>
      </c>
      <c r="D163" s="131" t="s">
        <v>2189</v>
      </c>
      <c r="E163" s="357">
        <v>205</v>
      </c>
      <c r="F163" s="138">
        <v>45208</v>
      </c>
      <c r="G163" s="252">
        <v>31.5</v>
      </c>
      <c r="H163" s="150">
        <v>1590120</v>
      </c>
      <c r="I163" s="150">
        <f t="shared" si="71"/>
        <v>50480</v>
      </c>
      <c r="J163" s="122"/>
      <c r="K163" s="186">
        <v>1159</v>
      </c>
      <c r="L163" s="262">
        <f t="shared" si="85"/>
        <v>205</v>
      </c>
      <c r="M163" s="160" t="s">
        <v>2252</v>
      </c>
      <c r="N163" s="136">
        <v>28.98</v>
      </c>
      <c r="O163" s="122"/>
      <c r="P163" s="92">
        <f t="shared" si="72"/>
        <v>28.98</v>
      </c>
      <c r="Q163" s="113">
        <f t="shared" si="73"/>
        <v>1.4175</v>
      </c>
      <c r="R163" s="92">
        <f t="shared" si="74"/>
        <v>1.1025</v>
      </c>
      <c r="S163" s="121"/>
      <c r="T163" s="93">
        <f t="shared" si="75"/>
        <v>0</v>
      </c>
      <c r="U163" s="122"/>
      <c r="V163" s="94">
        <f t="shared" ca="1" si="76"/>
        <v>270.4644447916653</v>
      </c>
      <c r="W163" s="89">
        <f t="shared" si="77"/>
        <v>0</v>
      </c>
    </row>
    <row r="164" spans="1:23" s="312" customFormat="1" ht="18">
      <c r="A164" s="115"/>
      <c r="B164" s="260" t="s">
        <v>505</v>
      </c>
      <c r="C164" s="90" t="s">
        <v>55</v>
      </c>
      <c r="D164" s="131" t="s">
        <v>2189</v>
      </c>
      <c r="E164" s="357">
        <v>206</v>
      </c>
      <c r="F164" s="138">
        <v>45208</v>
      </c>
      <c r="G164" s="252">
        <v>31.67</v>
      </c>
      <c r="H164" s="150">
        <v>1598701.6</v>
      </c>
      <c r="I164" s="150">
        <f t="shared" si="71"/>
        <v>50480</v>
      </c>
      <c r="J164" s="122"/>
      <c r="K164" s="186" t="s">
        <v>2255</v>
      </c>
      <c r="L164" s="262">
        <f t="shared" si="85"/>
        <v>206</v>
      </c>
      <c r="M164" s="160" t="s">
        <v>2256</v>
      </c>
      <c r="N164" s="136">
        <f>3.139+25.997</f>
        <v>29.135999999999999</v>
      </c>
      <c r="O164" s="122"/>
      <c r="P164" s="92">
        <f t="shared" si="72"/>
        <v>29.136400000000002</v>
      </c>
      <c r="Q164" s="113">
        <f t="shared" si="73"/>
        <v>1.4251499999999999</v>
      </c>
      <c r="R164" s="92">
        <f t="shared" si="74"/>
        <v>1.1084500000000002</v>
      </c>
      <c r="S164" s="121"/>
      <c r="T164" s="93">
        <f t="shared" si="75"/>
        <v>4.0000000000239844E-4</v>
      </c>
      <c r="U164" s="122"/>
      <c r="V164" s="94">
        <f t="shared" ca="1" si="76"/>
        <v>270.4644447916653</v>
      </c>
      <c r="W164" s="89">
        <f t="shared" si="77"/>
        <v>4.3478260869825915E-4</v>
      </c>
    </row>
    <row r="165" spans="1:23" s="312" customFormat="1" ht="18">
      <c r="A165" s="115"/>
      <c r="B165" s="260" t="s">
        <v>505</v>
      </c>
      <c r="C165" s="90" t="s">
        <v>55</v>
      </c>
      <c r="D165" s="131" t="s">
        <v>2189</v>
      </c>
      <c r="E165" s="357">
        <v>207</v>
      </c>
      <c r="F165" s="138">
        <v>45208</v>
      </c>
      <c r="G165" s="252">
        <v>50.82</v>
      </c>
      <c r="H165" s="150">
        <v>2565393.6</v>
      </c>
      <c r="I165" s="150">
        <f t="shared" si="71"/>
        <v>50480</v>
      </c>
      <c r="J165" s="122"/>
      <c r="K165" s="186" t="s">
        <v>2258</v>
      </c>
      <c r="L165" s="262">
        <f t="shared" si="85"/>
        <v>207</v>
      </c>
      <c r="M165" s="160" t="s">
        <v>2259</v>
      </c>
      <c r="N165" s="136">
        <f>30.902+6.548+9.304</f>
        <v>46.754000000000005</v>
      </c>
      <c r="O165" s="122"/>
      <c r="P165" s="92">
        <f t="shared" si="72"/>
        <v>46.754400000000004</v>
      </c>
      <c r="Q165" s="113">
        <f t="shared" si="73"/>
        <v>2.2868999999999997</v>
      </c>
      <c r="R165" s="92">
        <f t="shared" si="74"/>
        <v>1.7787000000000002</v>
      </c>
      <c r="S165" s="121"/>
      <c r="T165" s="93">
        <f t="shared" si="75"/>
        <v>3.9999999999551505E-4</v>
      </c>
      <c r="U165" s="122"/>
      <c r="V165" s="94">
        <f t="shared" ca="1" si="76"/>
        <v>270.4644447916653</v>
      </c>
      <c r="W165" s="89">
        <f t="shared" si="77"/>
        <v>4.3478260869077724E-4</v>
      </c>
    </row>
    <row r="166" spans="1:23" s="312" customFormat="1" ht="18">
      <c r="A166" s="115"/>
      <c r="B166" s="260" t="s">
        <v>505</v>
      </c>
      <c r="C166" s="90" t="s">
        <v>55</v>
      </c>
      <c r="D166" s="131" t="s">
        <v>2189</v>
      </c>
      <c r="E166" s="357">
        <v>208</v>
      </c>
      <c r="F166" s="138">
        <v>45208</v>
      </c>
      <c r="G166" s="252">
        <v>50.76</v>
      </c>
      <c r="H166" s="150">
        <v>2562364.7999999998</v>
      </c>
      <c r="I166" s="150">
        <f t="shared" si="71"/>
        <v>50480</v>
      </c>
      <c r="J166" s="122"/>
      <c r="K166" s="186" t="s">
        <v>2260</v>
      </c>
      <c r="L166" s="262">
        <f t="shared" si="85"/>
        <v>208</v>
      </c>
      <c r="M166" s="160" t="s">
        <v>2257</v>
      </c>
      <c r="N166" s="136">
        <f>32.483+14.216</f>
        <v>46.698999999999998</v>
      </c>
      <c r="O166" s="122"/>
      <c r="P166" s="92">
        <f t="shared" si="72"/>
        <v>46.699199999999998</v>
      </c>
      <c r="Q166" s="113">
        <f t="shared" si="73"/>
        <v>2.2841999999999998</v>
      </c>
      <c r="R166" s="92">
        <f t="shared" si="74"/>
        <v>1.7766000000000002</v>
      </c>
      <c r="S166" s="121"/>
      <c r="T166" s="93">
        <f t="shared" si="75"/>
        <v>1.9999999999997797E-4</v>
      </c>
      <c r="U166" s="122"/>
      <c r="V166" s="94">
        <f t="shared" ca="1" si="76"/>
        <v>270.4644447916653</v>
      </c>
      <c r="W166" s="89">
        <f t="shared" si="77"/>
        <v>2.1739130434780213E-4</v>
      </c>
    </row>
    <row r="167" spans="1:23" s="312" customFormat="1" ht="18">
      <c r="A167" s="115"/>
      <c r="B167" s="260" t="s">
        <v>505</v>
      </c>
      <c r="C167" s="90" t="s">
        <v>55</v>
      </c>
      <c r="D167" s="131" t="s">
        <v>2189</v>
      </c>
      <c r="E167" s="357">
        <v>209</v>
      </c>
      <c r="F167" s="138">
        <v>45208</v>
      </c>
      <c r="G167" s="252">
        <v>33.97</v>
      </c>
      <c r="H167" s="150">
        <v>1714805.5999999999</v>
      </c>
      <c r="I167" s="150">
        <f t="shared" si="71"/>
        <v>50480</v>
      </c>
      <c r="J167" s="122"/>
      <c r="K167" s="186" t="s">
        <v>2261</v>
      </c>
      <c r="L167" s="262">
        <f t="shared" si="85"/>
        <v>209</v>
      </c>
      <c r="M167" s="160" t="s">
        <v>2262</v>
      </c>
      <c r="N167" s="136">
        <f>8.604+22.648</f>
        <v>31.251999999999999</v>
      </c>
      <c r="O167" s="122"/>
      <c r="P167" s="92">
        <f t="shared" si="72"/>
        <v>31.252400000000002</v>
      </c>
      <c r="Q167" s="113">
        <f t="shared" si="73"/>
        <v>1.5286499999999998</v>
      </c>
      <c r="R167" s="92">
        <f t="shared" si="74"/>
        <v>1.1889500000000002</v>
      </c>
      <c r="S167" s="121"/>
      <c r="T167" s="93">
        <f t="shared" si="75"/>
        <v>3.9999999999995595E-4</v>
      </c>
      <c r="U167" s="122"/>
      <c r="V167" s="94">
        <f t="shared" ca="1" si="76"/>
        <v>270.4644447916653</v>
      </c>
      <c r="W167" s="89">
        <f t="shared" si="77"/>
        <v>4.3478260869560427E-4</v>
      </c>
    </row>
    <row r="168" spans="1:23" s="312" customFormat="1" ht="18">
      <c r="A168" s="115"/>
      <c r="B168" s="260" t="s">
        <v>505</v>
      </c>
      <c r="C168" s="90" t="s">
        <v>55</v>
      </c>
      <c r="D168" s="131" t="s">
        <v>2189</v>
      </c>
      <c r="E168" s="357">
        <v>210</v>
      </c>
      <c r="F168" s="138">
        <v>45208</v>
      </c>
      <c r="G168" s="252">
        <v>40.24</v>
      </c>
      <c r="H168" s="150">
        <v>2031315.2000000002</v>
      </c>
      <c r="I168" s="150">
        <f t="shared" si="71"/>
        <v>50480</v>
      </c>
      <c r="J168" s="122"/>
      <c r="K168" s="186" t="s">
        <v>2272</v>
      </c>
      <c r="L168" s="262">
        <f t="shared" si="85"/>
        <v>210</v>
      </c>
      <c r="M168" s="160" t="s">
        <v>2270</v>
      </c>
      <c r="N168" s="136">
        <f>9.448+27.573</f>
        <v>37.021000000000001</v>
      </c>
      <c r="O168" s="122"/>
      <c r="P168" s="92">
        <f t="shared" si="72"/>
        <v>37.020800000000001</v>
      </c>
      <c r="Q168" s="113">
        <f t="shared" si="73"/>
        <v>1.8108</v>
      </c>
      <c r="R168" s="92">
        <f t="shared" si="74"/>
        <v>1.4084000000000001</v>
      </c>
      <c r="S168" s="121"/>
      <c r="T168" s="93">
        <f t="shared" si="75"/>
        <v>-1.9999999999886775E-4</v>
      </c>
      <c r="U168" s="122"/>
      <c r="V168" s="94">
        <f t="shared" ca="1" si="76"/>
        <v>270.4644447916653</v>
      </c>
      <c r="W168" s="89">
        <f t="shared" si="77"/>
        <v>-2.1739130434659539E-4</v>
      </c>
    </row>
    <row r="169" spans="1:23" s="312" customFormat="1" ht="18">
      <c r="A169" s="115"/>
      <c r="B169" s="260" t="s">
        <v>505</v>
      </c>
      <c r="C169" s="90" t="s">
        <v>55</v>
      </c>
      <c r="D169" s="131" t="s">
        <v>2189</v>
      </c>
      <c r="E169" s="357">
        <v>211</v>
      </c>
      <c r="F169" s="138">
        <v>45208</v>
      </c>
      <c r="G169" s="252">
        <v>31.74</v>
      </c>
      <c r="H169" s="150">
        <v>1602235.2</v>
      </c>
      <c r="I169" s="150">
        <f t="shared" si="71"/>
        <v>50480</v>
      </c>
      <c r="J169" s="122"/>
      <c r="K169" s="186" t="s">
        <v>2281</v>
      </c>
      <c r="L169" s="262">
        <f t="shared" si="85"/>
        <v>211</v>
      </c>
      <c r="M169" s="160" t="s">
        <v>2275</v>
      </c>
      <c r="N169" s="136">
        <f>11.925+17.276</f>
        <v>29.201000000000001</v>
      </c>
      <c r="O169" s="122"/>
      <c r="P169" s="92">
        <f t="shared" si="72"/>
        <v>29.200800000000001</v>
      </c>
      <c r="Q169" s="113">
        <f t="shared" si="73"/>
        <v>1.4282999999999999</v>
      </c>
      <c r="R169" s="92">
        <f t="shared" si="74"/>
        <v>1.1109</v>
      </c>
      <c r="S169" s="121"/>
      <c r="T169" s="93">
        <f t="shared" si="75"/>
        <v>-2.0000000000197637E-4</v>
      </c>
      <c r="U169" s="122"/>
      <c r="V169" s="94">
        <f t="shared" ca="1" si="76"/>
        <v>270.4644447916653</v>
      </c>
      <c r="W169" s="89">
        <f t="shared" si="77"/>
        <v>-2.1739130434997433E-4</v>
      </c>
    </row>
    <row r="170" spans="1:23" s="312" customFormat="1" ht="18">
      <c r="A170" s="115"/>
      <c r="B170" s="260" t="s">
        <v>505</v>
      </c>
      <c r="C170" s="90" t="s">
        <v>55</v>
      </c>
      <c r="D170" s="131" t="s">
        <v>2189</v>
      </c>
      <c r="E170" s="357">
        <v>212</v>
      </c>
      <c r="F170" s="138">
        <v>45208</v>
      </c>
      <c r="G170" s="252">
        <v>31.72</v>
      </c>
      <c r="H170" s="150">
        <v>1601225.5999999999</v>
      </c>
      <c r="I170" s="150">
        <f t="shared" si="71"/>
        <v>50480</v>
      </c>
      <c r="J170" s="122"/>
      <c r="K170" s="186" t="s">
        <v>2282</v>
      </c>
      <c r="L170" s="262">
        <f t="shared" si="85"/>
        <v>212</v>
      </c>
      <c r="M170" s="160" t="s">
        <v>2276</v>
      </c>
      <c r="N170" s="136">
        <f>14.93+14.252</f>
        <v>29.182000000000002</v>
      </c>
      <c r="O170" s="122"/>
      <c r="P170" s="92">
        <f t="shared" si="72"/>
        <v>29.182400000000001</v>
      </c>
      <c r="Q170" s="113">
        <f t="shared" si="73"/>
        <v>1.4274</v>
      </c>
      <c r="R170" s="92">
        <f t="shared" si="74"/>
        <v>1.1102000000000001</v>
      </c>
      <c r="S170" s="121"/>
      <c r="T170" s="93">
        <f t="shared" si="75"/>
        <v>3.9999999999662528E-4</v>
      </c>
      <c r="U170" s="122"/>
      <c r="V170" s="94">
        <f t="shared" ca="1" si="76"/>
        <v>270.4644447916653</v>
      </c>
      <c r="W170" s="89">
        <f t="shared" si="77"/>
        <v>4.3478260869198401E-4</v>
      </c>
    </row>
    <row r="171" spans="1:23" s="312" customFormat="1" ht="18">
      <c r="A171" s="115"/>
      <c r="B171" s="260" t="s">
        <v>505</v>
      </c>
      <c r="C171" s="90" t="s">
        <v>55</v>
      </c>
      <c r="D171" s="131" t="s">
        <v>2189</v>
      </c>
      <c r="E171" s="357">
        <v>213</v>
      </c>
      <c r="F171" s="138">
        <v>45208</v>
      </c>
      <c r="G171" s="252">
        <v>42.28</v>
      </c>
      <c r="H171" s="150">
        <v>2134294.4</v>
      </c>
      <c r="I171" s="150">
        <f t="shared" si="71"/>
        <v>50480</v>
      </c>
      <c r="J171" s="122"/>
      <c r="K171" s="186" t="s">
        <v>2283</v>
      </c>
      <c r="L171" s="262">
        <f t="shared" si="85"/>
        <v>213</v>
      </c>
      <c r="M171" s="160" t="s">
        <v>2276</v>
      </c>
      <c r="N171" s="136">
        <f>13.994+24.904</f>
        <v>38.897999999999996</v>
      </c>
      <c r="O171" s="122"/>
      <c r="P171" s="92">
        <f t="shared" si="72"/>
        <v>38.897600000000004</v>
      </c>
      <c r="Q171" s="113">
        <f t="shared" si="73"/>
        <v>1.9026000000000001</v>
      </c>
      <c r="R171" s="92">
        <f t="shared" si="74"/>
        <v>1.4798000000000002</v>
      </c>
      <c r="S171" s="121"/>
      <c r="T171" s="93">
        <f t="shared" si="75"/>
        <v>-3.9999999999529301E-4</v>
      </c>
      <c r="U171" s="122"/>
      <c r="V171" s="94">
        <f t="shared" ca="1" si="76"/>
        <v>270.4644447916653</v>
      </c>
      <c r="W171" s="89">
        <f t="shared" si="77"/>
        <v>-4.3478260869053589E-4</v>
      </c>
    </row>
    <row r="172" spans="1:23" s="312" customFormat="1" ht="18">
      <c r="A172" s="115"/>
      <c r="B172" s="260" t="s">
        <v>505</v>
      </c>
      <c r="C172" s="90" t="s">
        <v>55</v>
      </c>
      <c r="D172" s="131" t="s">
        <v>2189</v>
      </c>
      <c r="E172" s="357">
        <v>214</v>
      </c>
      <c r="F172" s="138">
        <v>45208</v>
      </c>
      <c r="G172" s="252">
        <v>31.75</v>
      </c>
      <c r="H172" s="150">
        <v>1602740</v>
      </c>
      <c r="I172" s="150">
        <f t="shared" si="71"/>
        <v>50480</v>
      </c>
      <c r="J172" s="122"/>
      <c r="K172" s="186" t="s">
        <v>2284</v>
      </c>
      <c r="L172" s="262">
        <f t="shared" si="85"/>
        <v>214</v>
      </c>
      <c r="M172" s="160" t="s">
        <v>2276</v>
      </c>
      <c r="N172" s="136">
        <f>0.921+28.289</f>
        <v>29.21</v>
      </c>
      <c r="O172" s="122"/>
      <c r="P172" s="92">
        <f t="shared" si="72"/>
        <v>29.21</v>
      </c>
      <c r="Q172" s="113">
        <f t="shared" si="73"/>
        <v>1.42875</v>
      </c>
      <c r="R172" s="92">
        <f t="shared" si="74"/>
        <v>1.1112500000000001</v>
      </c>
      <c r="S172" s="121"/>
      <c r="T172" s="93">
        <f t="shared" si="75"/>
        <v>0</v>
      </c>
      <c r="U172" s="122"/>
      <c r="V172" s="94">
        <f t="shared" ca="1" si="76"/>
        <v>270.4644447916653</v>
      </c>
      <c r="W172" s="89">
        <f t="shared" si="77"/>
        <v>0</v>
      </c>
    </row>
    <row r="173" spans="1:23" s="312" customFormat="1" ht="18">
      <c r="A173" s="115"/>
      <c r="B173" s="260" t="s">
        <v>505</v>
      </c>
      <c r="C173" s="90" t="s">
        <v>55</v>
      </c>
      <c r="D173" s="131" t="s">
        <v>2189</v>
      </c>
      <c r="E173" s="357">
        <v>215</v>
      </c>
      <c r="F173" s="138">
        <v>45208</v>
      </c>
      <c r="G173" s="252">
        <v>31.86</v>
      </c>
      <c r="H173" s="150">
        <v>1608292.8</v>
      </c>
      <c r="I173" s="150">
        <f t="shared" si="71"/>
        <v>50480</v>
      </c>
      <c r="J173" s="122"/>
      <c r="K173" s="186" t="s">
        <v>2285</v>
      </c>
      <c r="L173" s="262">
        <f t="shared" si="85"/>
        <v>215</v>
      </c>
      <c r="M173" s="160" t="s">
        <v>2286</v>
      </c>
      <c r="N173" s="136">
        <f>4.368+24.943</f>
        <v>29.311</v>
      </c>
      <c r="O173" s="122"/>
      <c r="P173" s="92">
        <f t="shared" si="72"/>
        <v>29.311199999999999</v>
      </c>
      <c r="Q173" s="113">
        <f t="shared" si="73"/>
        <v>1.4337</v>
      </c>
      <c r="R173" s="92">
        <f t="shared" si="74"/>
        <v>1.1151</v>
      </c>
      <c r="S173" s="121"/>
      <c r="T173" s="93">
        <f t="shared" si="75"/>
        <v>1.9999999999953388E-4</v>
      </c>
      <c r="U173" s="122"/>
      <c r="V173" s="94">
        <f t="shared" ca="1" si="76"/>
        <v>270.4644447916653</v>
      </c>
      <c r="W173" s="89">
        <f t="shared" si="77"/>
        <v>2.1739130434731945E-4</v>
      </c>
    </row>
    <row r="174" spans="1:23" s="312" customFormat="1" ht="18">
      <c r="A174" s="115"/>
      <c r="B174" s="260" t="s">
        <v>505</v>
      </c>
      <c r="C174" s="90" t="s">
        <v>55</v>
      </c>
      <c r="D174" s="131" t="s">
        <v>2189</v>
      </c>
      <c r="E174" s="357">
        <v>216</v>
      </c>
      <c r="F174" s="138">
        <v>45208</v>
      </c>
      <c r="G174" s="252">
        <v>31.72</v>
      </c>
      <c r="H174" s="150">
        <v>1601225.5999999999</v>
      </c>
      <c r="I174" s="150">
        <f t="shared" si="70"/>
        <v>50480</v>
      </c>
      <c r="J174" s="122"/>
      <c r="K174" s="186" t="s">
        <v>2306</v>
      </c>
      <c r="L174" s="262">
        <f t="shared" si="85"/>
        <v>216</v>
      </c>
      <c r="M174" s="160" t="s">
        <v>2303</v>
      </c>
      <c r="N174" s="136">
        <f>8.097+21.085</f>
        <v>29.182000000000002</v>
      </c>
      <c r="O174" s="122"/>
      <c r="P174" s="92">
        <f t="shared" si="64"/>
        <v>29.182400000000001</v>
      </c>
      <c r="Q174" s="113">
        <f t="shared" si="65"/>
        <v>1.4274</v>
      </c>
      <c r="R174" s="92">
        <f t="shared" si="66"/>
        <v>1.1102000000000001</v>
      </c>
      <c r="S174" s="121"/>
      <c r="T174" s="93">
        <f t="shared" si="67"/>
        <v>3.9999999999662528E-4</v>
      </c>
      <c r="U174" s="122"/>
      <c r="V174" s="94">
        <f t="shared" ca="1" si="68"/>
        <v>270.4644447916653</v>
      </c>
      <c r="W174" s="89">
        <f t="shared" si="69"/>
        <v>4.3478260869198401E-4</v>
      </c>
    </row>
    <row r="175" spans="1:23" s="312" customFormat="1" ht="18">
      <c r="A175" s="115"/>
      <c r="B175" s="260" t="s">
        <v>505</v>
      </c>
      <c r="C175" s="90" t="s">
        <v>55</v>
      </c>
      <c r="D175" s="131" t="s">
        <v>2189</v>
      </c>
      <c r="E175" s="357">
        <v>217</v>
      </c>
      <c r="F175" s="138">
        <v>45208</v>
      </c>
      <c r="G175" s="252">
        <v>31.69</v>
      </c>
      <c r="H175" s="150">
        <v>1599711.2</v>
      </c>
      <c r="I175" s="150">
        <f t="shared" si="70"/>
        <v>50480</v>
      </c>
      <c r="J175" s="122"/>
      <c r="K175" s="186" t="s">
        <v>2312</v>
      </c>
      <c r="L175" s="262">
        <f t="shared" si="85"/>
        <v>217</v>
      </c>
      <c r="M175" s="160" t="s">
        <v>2309</v>
      </c>
      <c r="N175" s="136">
        <f>11.157+17.998</f>
        <v>29.155000000000001</v>
      </c>
      <c r="O175" s="122"/>
      <c r="P175" s="92">
        <f t="shared" si="64"/>
        <v>29.154800000000002</v>
      </c>
      <c r="Q175" s="113">
        <f t="shared" si="65"/>
        <v>1.42605</v>
      </c>
      <c r="R175" s="92">
        <f t="shared" si="66"/>
        <v>1.1091500000000001</v>
      </c>
      <c r="S175" s="121"/>
      <c r="T175" s="93">
        <f>G175-N175-Q175-R175</f>
        <v>-1.9999999999997797E-4</v>
      </c>
      <c r="U175" s="122"/>
      <c r="V175" s="94">
        <f t="shared" ca="1" si="68"/>
        <v>270.4644447916653</v>
      </c>
      <c r="W175" s="89">
        <f t="shared" si="69"/>
        <v>-2.1739130434780213E-4</v>
      </c>
    </row>
    <row r="176" spans="1:23" s="312" customFormat="1" ht="18">
      <c r="A176" s="115"/>
      <c r="B176" s="260" t="s">
        <v>505</v>
      </c>
      <c r="C176" s="90" t="s">
        <v>55</v>
      </c>
      <c r="D176" s="131" t="s">
        <v>2189</v>
      </c>
      <c r="E176" s="357">
        <v>218</v>
      </c>
      <c r="F176" s="138">
        <v>45208</v>
      </c>
      <c r="G176" s="252">
        <v>40.18</v>
      </c>
      <c r="H176" s="150">
        <v>2028286.4</v>
      </c>
      <c r="I176" s="150">
        <f t="shared" si="70"/>
        <v>50480</v>
      </c>
      <c r="J176" s="122"/>
      <c r="K176" s="186" t="s">
        <v>2338</v>
      </c>
      <c r="L176" s="262">
        <f t="shared" si="85"/>
        <v>218</v>
      </c>
      <c r="M176" s="160" t="s">
        <v>2339</v>
      </c>
      <c r="N176" s="136">
        <f>22.122+14.844</f>
        <v>36.966000000000001</v>
      </c>
      <c r="O176" s="122"/>
      <c r="P176" s="92">
        <f t="shared" si="64"/>
        <v>36.965600000000002</v>
      </c>
      <c r="Q176" s="113">
        <f t="shared" si="65"/>
        <v>1.8080999999999998</v>
      </c>
      <c r="R176" s="92">
        <f t="shared" si="66"/>
        <v>1.4063000000000001</v>
      </c>
      <c r="S176" s="121"/>
      <c r="T176" s="93">
        <f t="shared" si="67"/>
        <v>-4.0000000000128821E-4</v>
      </c>
      <c r="U176" s="122"/>
      <c r="V176" s="94">
        <f t="shared" ca="1" si="68"/>
        <v>270.4644447916653</v>
      </c>
      <c r="W176" s="89">
        <f t="shared" si="69"/>
        <v>-4.3478260869705244E-4</v>
      </c>
    </row>
    <row r="177" spans="1:23" s="312" customFormat="1" ht="18">
      <c r="A177" s="115"/>
      <c r="B177" s="260"/>
      <c r="C177" s="90"/>
      <c r="D177" s="131"/>
      <c r="E177" s="357"/>
      <c r="F177" s="138"/>
      <c r="G177" s="252"/>
      <c r="H177" s="150"/>
      <c r="I177" s="150"/>
      <c r="J177" s="122"/>
      <c r="K177" s="186"/>
      <c r="L177" s="262"/>
      <c r="M177" s="160"/>
      <c r="N177" s="136"/>
      <c r="O177" s="122"/>
      <c r="P177" s="92"/>
      <c r="Q177" s="113"/>
      <c r="R177" s="92"/>
      <c r="S177" s="121"/>
      <c r="T177" s="93"/>
      <c r="U177" s="122"/>
      <c r="V177" s="94"/>
      <c r="W177" s="89"/>
    </row>
    <row r="178" spans="1:23" s="312" customFormat="1" ht="18">
      <c r="A178" s="115"/>
      <c r="B178" s="260" t="s">
        <v>2301</v>
      </c>
      <c r="C178" s="130" t="s">
        <v>2289</v>
      </c>
      <c r="D178" s="131" t="s">
        <v>2290</v>
      </c>
      <c r="E178" s="317">
        <v>243</v>
      </c>
      <c r="F178" s="138">
        <v>45226</v>
      </c>
      <c r="G178" s="252">
        <v>33.43</v>
      </c>
      <c r="H178" s="150">
        <v>1711616</v>
      </c>
      <c r="I178" s="150">
        <f t="shared" si="70"/>
        <v>51200</v>
      </c>
      <c r="J178" s="122"/>
      <c r="K178" s="186" t="s">
        <v>2341</v>
      </c>
      <c r="L178" s="262">
        <f t="shared" si="85"/>
        <v>243</v>
      </c>
      <c r="M178" s="160" t="s">
        <v>2342</v>
      </c>
      <c r="N178" s="136">
        <f>17.421+0.121+13.214</f>
        <v>30.756</v>
      </c>
      <c r="O178" s="122"/>
      <c r="P178" s="92">
        <f t="shared" si="64"/>
        <v>30.755600000000001</v>
      </c>
      <c r="Q178" s="113">
        <f t="shared" si="65"/>
        <v>1.5043499999999999</v>
      </c>
      <c r="R178" s="92">
        <f t="shared" si="66"/>
        <v>1.17005</v>
      </c>
      <c r="S178" s="121"/>
      <c r="T178" s="93">
        <f t="shared" si="67"/>
        <v>-4.0000000000040004E-4</v>
      </c>
      <c r="U178" s="122"/>
      <c r="V178" s="94">
        <f t="shared" ca="1" si="68"/>
        <v>288.4644447916653</v>
      </c>
      <c r="W178" s="89">
        <f t="shared" si="69"/>
        <v>-4.3478260869608701E-4</v>
      </c>
    </row>
    <row r="179" spans="1:23" s="312" customFormat="1" ht="18">
      <c r="A179" s="115"/>
      <c r="B179" s="260" t="s">
        <v>2301</v>
      </c>
      <c r="C179" s="130" t="s">
        <v>2289</v>
      </c>
      <c r="D179" s="131" t="s">
        <v>2291</v>
      </c>
      <c r="E179" s="317">
        <v>244</v>
      </c>
      <c r="F179" s="138">
        <v>45226</v>
      </c>
      <c r="G179" s="252">
        <v>31.23</v>
      </c>
      <c r="H179" s="150">
        <v>1598976</v>
      </c>
      <c r="I179" s="150">
        <f t="shared" ref="I179:I200" si="89">H179/G179</f>
        <v>51200</v>
      </c>
      <c r="J179" s="122"/>
      <c r="K179" s="186" t="s">
        <v>2344</v>
      </c>
      <c r="L179" s="262">
        <f t="shared" si="85"/>
        <v>244</v>
      </c>
      <c r="M179" s="160" t="s">
        <v>2340</v>
      </c>
      <c r="N179" s="136">
        <f>19.288+9.444</f>
        <v>28.731999999999999</v>
      </c>
      <c r="O179" s="122"/>
      <c r="P179" s="92">
        <f t="shared" ref="P179:P200" si="90">G179*0.92</f>
        <v>28.7316</v>
      </c>
      <c r="Q179" s="113">
        <f t="shared" ref="Q179:Q200" si="91">G179*4.5%</f>
        <v>1.4053499999999999</v>
      </c>
      <c r="R179" s="92">
        <f t="shared" ref="R179:R200" si="92">G179*3.5%</f>
        <v>1.0930500000000001</v>
      </c>
      <c r="S179" s="121"/>
      <c r="T179" s="93">
        <f t="shared" ref="T179:T200" si="93">G179-N179-Q179-R179</f>
        <v>-3.9999999999884572E-4</v>
      </c>
      <c r="U179" s="122"/>
      <c r="V179" s="94">
        <f t="shared" ref="V179:V200" ca="1" si="94">360-($V$3-F179)</f>
        <v>288.4644447916653</v>
      </c>
      <c r="W179" s="89">
        <f t="shared" ref="W179:W200" si="95">T179/0.92%/100</f>
        <v>-4.3478260869439755E-4</v>
      </c>
    </row>
    <row r="180" spans="1:23" s="312" customFormat="1" ht="18">
      <c r="A180" s="115"/>
      <c r="B180" s="260" t="s">
        <v>505</v>
      </c>
      <c r="C180" s="175" t="s">
        <v>94</v>
      </c>
      <c r="D180" s="131" t="s">
        <v>2292</v>
      </c>
      <c r="E180" s="359">
        <v>245</v>
      </c>
      <c r="F180" s="138">
        <v>45226</v>
      </c>
      <c r="G180" s="252">
        <v>31.92</v>
      </c>
      <c r="H180" s="150">
        <v>1611321.6</v>
      </c>
      <c r="I180" s="150">
        <f t="shared" ref="I180:I191" si="96">H180/G180</f>
        <v>50480</v>
      </c>
      <c r="J180" s="122"/>
      <c r="K180" s="186" t="s">
        <v>2350</v>
      </c>
      <c r="L180" s="262">
        <f t="shared" si="85"/>
        <v>245</v>
      </c>
      <c r="M180" s="160" t="s">
        <v>2349</v>
      </c>
      <c r="N180" s="136">
        <f>23.314+6.052</f>
        <v>29.366</v>
      </c>
      <c r="O180" s="122"/>
      <c r="P180" s="92">
        <f t="shared" ref="P180:P191" si="97">G180*0.92</f>
        <v>29.366400000000002</v>
      </c>
      <c r="Q180" s="113">
        <f t="shared" ref="Q180:Q191" si="98">G180*4.5%</f>
        <v>1.4364000000000001</v>
      </c>
      <c r="R180" s="92">
        <f t="shared" ref="R180:R191" si="99">G180*3.5%</f>
        <v>1.1172000000000002</v>
      </c>
      <c r="S180" s="121"/>
      <c r="T180" s="93">
        <f t="shared" ref="T180:T191" si="100">G180-N180-Q180-R180</f>
        <v>4.000000000017323E-4</v>
      </c>
      <c r="U180" s="122"/>
      <c r="V180" s="94">
        <f t="shared" ref="V180:V191" ca="1" si="101">360-($V$3-F180)</f>
        <v>288.4644447916653</v>
      </c>
      <c r="W180" s="89">
        <f t="shared" ref="W180:W191" si="102">T180/0.92%/100</f>
        <v>4.3478260869753512E-4</v>
      </c>
    </row>
    <row r="181" spans="1:23" s="312" customFormat="1" ht="18">
      <c r="A181" s="115"/>
      <c r="B181" s="260" t="s">
        <v>505</v>
      </c>
      <c r="C181" s="175" t="s">
        <v>94</v>
      </c>
      <c r="D181" s="131" t="s">
        <v>2293</v>
      </c>
      <c r="E181" s="359">
        <v>246</v>
      </c>
      <c r="F181" s="138">
        <v>45226</v>
      </c>
      <c r="G181" s="252">
        <v>31.96</v>
      </c>
      <c r="H181" s="150">
        <v>1613340.8</v>
      </c>
      <c r="I181" s="150">
        <f t="shared" si="96"/>
        <v>50480</v>
      </c>
      <c r="J181" s="122"/>
      <c r="K181" s="186" t="s">
        <v>2397</v>
      </c>
      <c r="L181" s="262">
        <f t="shared" si="85"/>
        <v>246</v>
      </c>
      <c r="M181" s="160" t="s">
        <v>2398</v>
      </c>
      <c r="N181" s="136">
        <f>25.97+3.433</f>
        <v>29.402999999999999</v>
      </c>
      <c r="O181" s="122"/>
      <c r="P181" s="92">
        <f t="shared" si="97"/>
        <v>29.403200000000002</v>
      </c>
      <c r="Q181" s="113">
        <f t="shared" si="98"/>
        <v>1.4381999999999999</v>
      </c>
      <c r="R181" s="92">
        <f t="shared" si="99"/>
        <v>1.1186</v>
      </c>
      <c r="S181" s="121"/>
      <c r="T181" s="93">
        <f t="shared" si="100"/>
        <v>2.0000000000219842E-4</v>
      </c>
      <c r="U181" s="122"/>
      <c r="V181" s="94">
        <f t="shared" ca="1" si="101"/>
        <v>288.4644447916653</v>
      </c>
      <c r="W181" s="89">
        <f t="shared" si="102"/>
        <v>2.1739130435021565E-4</v>
      </c>
    </row>
    <row r="182" spans="1:23" s="312" customFormat="1" ht="18">
      <c r="A182" s="115"/>
      <c r="B182" s="260" t="s">
        <v>505</v>
      </c>
      <c r="C182" s="175" t="s">
        <v>94</v>
      </c>
      <c r="D182" s="131" t="s">
        <v>2294</v>
      </c>
      <c r="E182" s="359">
        <v>247</v>
      </c>
      <c r="F182" s="138">
        <v>45226</v>
      </c>
      <c r="G182" s="252">
        <v>42.6</v>
      </c>
      <c r="H182" s="150">
        <v>2150448</v>
      </c>
      <c r="I182" s="150">
        <f t="shared" si="96"/>
        <v>50480</v>
      </c>
      <c r="J182" s="122"/>
      <c r="K182" s="186" t="s">
        <v>2400</v>
      </c>
      <c r="L182" s="262">
        <f t="shared" si="85"/>
        <v>247</v>
      </c>
      <c r="M182" s="160" t="s">
        <v>2398</v>
      </c>
      <c r="N182" s="136">
        <f>32.15+7.042</f>
        <v>39.192</v>
      </c>
      <c r="O182" s="122"/>
      <c r="P182" s="92">
        <f t="shared" si="97"/>
        <v>39.192</v>
      </c>
      <c r="Q182" s="113">
        <f t="shared" si="98"/>
        <v>1.917</v>
      </c>
      <c r="R182" s="92">
        <f t="shared" si="99"/>
        <v>1.4910000000000001</v>
      </c>
      <c r="S182" s="121"/>
      <c r="T182" s="93">
        <f t="shared" si="100"/>
        <v>0</v>
      </c>
      <c r="U182" s="122"/>
      <c r="V182" s="94">
        <f t="shared" ca="1" si="101"/>
        <v>288.4644447916653</v>
      </c>
      <c r="W182" s="89">
        <f t="shared" si="102"/>
        <v>0</v>
      </c>
    </row>
    <row r="183" spans="1:23" s="312" customFormat="1" ht="18">
      <c r="A183" s="115"/>
      <c r="B183" s="260" t="s">
        <v>505</v>
      </c>
      <c r="C183" s="175" t="s">
        <v>94</v>
      </c>
      <c r="D183" s="131" t="s">
        <v>2295</v>
      </c>
      <c r="E183" s="359">
        <v>248</v>
      </c>
      <c r="F183" s="138">
        <v>45226</v>
      </c>
      <c r="G183" s="252">
        <v>42.6</v>
      </c>
      <c r="H183" s="150">
        <v>2150448</v>
      </c>
      <c r="I183" s="150">
        <f t="shared" si="96"/>
        <v>50480</v>
      </c>
      <c r="J183" s="122"/>
      <c r="K183" s="186" t="s">
        <v>2401</v>
      </c>
      <c r="L183" s="262">
        <f t="shared" si="85"/>
        <v>248</v>
      </c>
      <c r="M183" s="160" t="s">
        <v>2399</v>
      </c>
      <c r="N183" s="136">
        <f>32.361+6.831</f>
        <v>39.192</v>
      </c>
      <c r="O183" s="122"/>
      <c r="P183" s="92">
        <f t="shared" si="97"/>
        <v>39.192</v>
      </c>
      <c r="Q183" s="113">
        <f t="shared" si="98"/>
        <v>1.917</v>
      </c>
      <c r="R183" s="92">
        <f t="shared" si="99"/>
        <v>1.4910000000000001</v>
      </c>
      <c r="S183" s="121"/>
      <c r="T183" s="93">
        <f t="shared" si="100"/>
        <v>0</v>
      </c>
      <c r="U183" s="122"/>
      <c r="V183" s="94">
        <f t="shared" ca="1" si="101"/>
        <v>288.4644447916653</v>
      </c>
      <c r="W183" s="89">
        <f t="shared" si="102"/>
        <v>0</v>
      </c>
    </row>
    <row r="184" spans="1:23" s="312" customFormat="1" ht="18">
      <c r="A184" s="115"/>
      <c r="B184" s="260" t="s">
        <v>505</v>
      </c>
      <c r="C184" s="175" t="s">
        <v>94</v>
      </c>
      <c r="D184" s="131" t="s">
        <v>2296</v>
      </c>
      <c r="E184" s="359">
        <v>249</v>
      </c>
      <c r="F184" s="138">
        <v>45226</v>
      </c>
      <c r="G184" s="252">
        <v>1.8540000000000001</v>
      </c>
      <c r="H184" s="150">
        <v>93589.92</v>
      </c>
      <c r="I184" s="150">
        <f t="shared" si="96"/>
        <v>50480</v>
      </c>
      <c r="J184" s="122"/>
      <c r="K184" s="186">
        <v>1262</v>
      </c>
      <c r="L184" s="262">
        <f t="shared" si="85"/>
        <v>249</v>
      </c>
      <c r="M184" s="160" t="s">
        <v>2402</v>
      </c>
      <c r="N184" s="136">
        <v>1.706</v>
      </c>
      <c r="O184" s="122"/>
      <c r="P184" s="92">
        <f t="shared" si="97"/>
        <v>1.7056800000000001</v>
      </c>
      <c r="Q184" s="113">
        <f t="shared" si="98"/>
        <v>8.3430000000000004E-2</v>
      </c>
      <c r="R184" s="92">
        <f t="shared" si="99"/>
        <v>6.4890000000000003E-2</v>
      </c>
      <c r="S184" s="121"/>
      <c r="T184" s="93">
        <f t="shared" si="100"/>
        <v>-3.1999999999987594E-4</v>
      </c>
      <c r="U184" s="122"/>
      <c r="V184" s="94">
        <f t="shared" ca="1" si="101"/>
        <v>288.4644447916653</v>
      </c>
      <c r="W184" s="89">
        <f t="shared" si="102"/>
        <v>-3.4782608695638694E-4</v>
      </c>
    </row>
    <row r="185" spans="1:23" s="312" customFormat="1" ht="18">
      <c r="A185" s="115"/>
      <c r="B185" s="260" t="s">
        <v>505</v>
      </c>
      <c r="C185" s="175" t="s">
        <v>94</v>
      </c>
      <c r="D185" s="131" t="s">
        <v>2297</v>
      </c>
      <c r="E185" s="359">
        <v>250</v>
      </c>
      <c r="F185" s="138">
        <v>45226</v>
      </c>
      <c r="G185" s="252">
        <v>25.425999999999998</v>
      </c>
      <c r="H185" s="150">
        <v>1283504.48</v>
      </c>
      <c r="I185" s="150">
        <f t="shared" si="96"/>
        <v>50480</v>
      </c>
      <c r="J185" s="122"/>
      <c r="K185" s="186" t="s">
        <v>2403</v>
      </c>
      <c r="L185" s="262">
        <f t="shared" si="85"/>
        <v>250</v>
      </c>
      <c r="M185" s="160" t="s">
        <v>2404</v>
      </c>
      <c r="N185" s="136">
        <f>13.763+9.629</f>
        <v>23.391999999999999</v>
      </c>
      <c r="O185" s="122"/>
      <c r="P185" s="92">
        <f t="shared" si="97"/>
        <v>23.391919999999999</v>
      </c>
      <c r="Q185" s="113">
        <f t="shared" si="98"/>
        <v>1.1441699999999999</v>
      </c>
      <c r="R185" s="92">
        <f t="shared" si="99"/>
        <v>0.88990999999999998</v>
      </c>
      <c r="S185" s="121"/>
      <c r="T185" s="93">
        <f t="shared" si="100"/>
        <v>-8.0000000000968186E-5</v>
      </c>
      <c r="U185" s="122"/>
      <c r="V185" s="94">
        <f t="shared" ca="1" si="101"/>
        <v>288.4644447916653</v>
      </c>
      <c r="W185" s="89">
        <f t="shared" si="102"/>
        <v>-8.6956521740182808E-5</v>
      </c>
    </row>
    <row r="186" spans="1:23" s="312" customFormat="1" ht="18">
      <c r="A186" s="115"/>
      <c r="B186" s="260" t="s">
        <v>505</v>
      </c>
      <c r="C186" s="175" t="s">
        <v>94</v>
      </c>
      <c r="D186" s="131" t="s">
        <v>2298</v>
      </c>
      <c r="E186" s="359">
        <v>251</v>
      </c>
      <c r="F186" s="138">
        <v>45226</v>
      </c>
      <c r="G186" s="252">
        <v>27.6</v>
      </c>
      <c r="H186" s="150">
        <v>1393248</v>
      </c>
      <c r="I186" s="150">
        <f t="shared" si="96"/>
        <v>50480</v>
      </c>
      <c r="J186" s="122"/>
      <c r="K186" s="186" t="s">
        <v>2418</v>
      </c>
      <c r="L186" s="262">
        <f t="shared" si="85"/>
        <v>251</v>
      </c>
      <c r="M186" s="160" t="s">
        <v>2419</v>
      </c>
      <c r="N186" s="136">
        <f>21.763+3.629</f>
        <v>25.392000000000003</v>
      </c>
      <c r="O186" s="122"/>
      <c r="P186" s="92">
        <f t="shared" si="97"/>
        <v>25.392000000000003</v>
      </c>
      <c r="Q186" s="113">
        <f t="shared" si="98"/>
        <v>1.242</v>
      </c>
      <c r="R186" s="92">
        <f t="shared" si="99"/>
        <v>0.96600000000000019</v>
      </c>
      <c r="S186" s="121"/>
      <c r="T186" s="93">
        <f t="shared" si="100"/>
        <v>-1.7763568394002505E-15</v>
      </c>
      <c r="U186" s="122"/>
      <c r="V186" s="94">
        <f t="shared" ca="1" si="101"/>
        <v>288.4644447916653</v>
      </c>
      <c r="W186" s="89">
        <f t="shared" si="102"/>
        <v>-1.9308226515220113E-15</v>
      </c>
    </row>
    <row r="187" spans="1:23" s="312" customFormat="1" ht="18">
      <c r="A187" s="115"/>
      <c r="B187" s="260" t="s">
        <v>505</v>
      </c>
      <c r="C187" s="175" t="s">
        <v>94</v>
      </c>
      <c r="D187" s="131" t="s">
        <v>2299</v>
      </c>
      <c r="E187" s="359">
        <v>252</v>
      </c>
      <c r="F187" s="138">
        <v>45226</v>
      </c>
      <c r="G187" s="252">
        <v>27.68</v>
      </c>
      <c r="H187" s="150">
        <v>1397286.4</v>
      </c>
      <c r="I187" s="150">
        <f t="shared" si="96"/>
        <v>50480</v>
      </c>
      <c r="J187" s="122"/>
      <c r="K187" s="186" t="s">
        <v>2420</v>
      </c>
      <c r="L187" s="262">
        <f t="shared" si="85"/>
        <v>252</v>
      </c>
      <c r="M187" s="160" t="s">
        <v>2419</v>
      </c>
      <c r="N187" s="136">
        <f>24.682+0.784</f>
        <v>25.465999999999998</v>
      </c>
      <c r="O187" s="122"/>
      <c r="P187" s="92">
        <f t="shared" si="97"/>
        <v>25.465600000000002</v>
      </c>
      <c r="Q187" s="113">
        <f t="shared" si="98"/>
        <v>1.2456</v>
      </c>
      <c r="R187" s="92">
        <f t="shared" si="99"/>
        <v>0.96880000000000011</v>
      </c>
      <c r="S187" s="121"/>
      <c r="T187" s="93">
        <f t="shared" si="100"/>
        <v>-3.9999999999795754E-4</v>
      </c>
      <c r="U187" s="122"/>
      <c r="V187" s="94">
        <f t="shared" ca="1" si="101"/>
        <v>288.4644447916653</v>
      </c>
      <c r="W187" s="89">
        <f t="shared" si="102"/>
        <v>-4.3478260869343212E-4</v>
      </c>
    </row>
    <row r="188" spans="1:23" s="312" customFormat="1" ht="18">
      <c r="A188" s="115"/>
      <c r="B188" s="260" t="s">
        <v>505</v>
      </c>
      <c r="C188" s="358" t="s">
        <v>55</v>
      </c>
      <c r="D188" s="131" t="s">
        <v>2189</v>
      </c>
      <c r="E188" s="359">
        <v>253</v>
      </c>
      <c r="F188" s="138">
        <v>45226</v>
      </c>
      <c r="G188" s="252">
        <v>50.65</v>
      </c>
      <c r="H188" s="150">
        <v>2556812</v>
      </c>
      <c r="I188" s="150">
        <f t="shared" si="96"/>
        <v>50480</v>
      </c>
      <c r="J188" s="122"/>
      <c r="K188" s="186" t="s">
        <v>2427</v>
      </c>
      <c r="L188" s="262">
        <f t="shared" si="85"/>
        <v>253</v>
      </c>
      <c r="M188" s="160" t="s">
        <v>2424</v>
      </c>
      <c r="N188" s="136">
        <f>28.233+18.365</f>
        <v>46.597999999999999</v>
      </c>
      <c r="O188" s="122"/>
      <c r="P188" s="92">
        <f t="shared" si="97"/>
        <v>46.597999999999999</v>
      </c>
      <c r="Q188" s="113">
        <f t="shared" si="98"/>
        <v>2.2792499999999998</v>
      </c>
      <c r="R188" s="92">
        <f t="shared" si="99"/>
        <v>1.77275</v>
      </c>
      <c r="S188" s="121"/>
      <c r="T188" s="93">
        <f t="shared" si="100"/>
        <v>0</v>
      </c>
      <c r="U188" s="122"/>
      <c r="V188" s="94">
        <f t="shared" ca="1" si="101"/>
        <v>288.4644447916653</v>
      </c>
      <c r="W188" s="89">
        <f t="shared" si="102"/>
        <v>0</v>
      </c>
    </row>
    <row r="189" spans="1:23" s="312" customFormat="1" ht="18">
      <c r="A189" s="115"/>
      <c r="B189" s="260" t="s">
        <v>505</v>
      </c>
      <c r="C189" s="358" t="s">
        <v>55</v>
      </c>
      <c r="D189" s="131" t="s">
        <v>2189</v>
      </c>
      <c r="E189" s="359">
        <v>254</v>
      </c>
      <c r="F189" s="138">
        <v>45226</v>
      </c>
      <c r="G189" s="252">
        <v>54.65</v>
      </c>
      <c r="H189" s="150">
        <v>2758732</v>
      </c>
      <c r="I189" s="150">
        <f t="shared" si="96"/>
        <v>50480</v>
      </c>
      <c r="J189" s="122"/>
      <c r="K189" s="186" t="s">
        <v>2429</v>
      </c>
      <c r="L189" s="262">
        <f t="shared" si="85"/>
        <v>254</v>
      </c>
      <c r="M189" s="160" t="s">
        <v>2428</v>
      </c>
      <c r="N189" s="136">
        <f>32.593+17.685</f>
        <v>50.278000000000006</v>
      </c>
      <c r="O189" s="122"/>
      <c r="P189" s="92">
        <f t="shared" si="97"/>
        <v>50.277999999999999</v>
      </c>
      <c r="Q189" s="113">
        <f t="shared" si="98"/>
        <v>2.4592499999999999</v>
      </c>
      <c r="R189" s="92">
        <f t="shared" si="99"/>
        <v>1.9127500000000002</v>
      </c>
      <c r="S189" s="121"/>
      <c r="T189" s="93">
        <f t="shared" si="100"/>
        <v>-7.3274719625260332E-15</v>
      </c>
      <c r="U189" s="122"/>
      <c r="V189" s="94">
        <f t="shared" ca="1" si="101"/>
        <v>288.4644447916653</v>
      </c>
      <c r="W189" s="89">
        <f t="shared" si="102"/>
        <v>-7.964643437528297E-15</v>
      </c>
    </row>
    <row r="190" spans="1:23" s="312" customFormat="1" ht="18">
      <c r="A190" s="115"/>
      <c r="B190" s="260" t="s">
        <v>505</v>
      </c>
      <c r="C190" s="358" t="s">
        <v>55</v>
      </c>
      <c r="D190" s="131" t="s">
        <v>2189</v>
      </c>
      <c r="E190" s="359">
        <v>255</v>
      </c>
      <c r="F190" s="138">
        <v>45226</v>
      </c>
      <c r="G190" s="252">
        <v>40.26</v>
      </c>
      <c r="H190" s="150">
        <v>2032324.7999999998</v>
      </c>
      <c r="I190" s="150">
        <f t="shared" si="96"/>
        <v>50480</v>
      </c>
      <c r="J190" s="122"/>
      <c r="K190" s="186" t="s">
        <v>2433</v>
      </c>
      <c r="L190" s="262">
        <f t="shared" si="85"/>
        <v>255</v>
      </c>
      <c r="M190" s="160" t="s">
        <v>2430</v>
      </c>
      <c r="N190" s="136">
        <f>32.035+5.004</f>
        <v>37.038999999999994</v>
      </c>
      <c r="O190" s="122"/>
      <c r="P190" s="92">
        <f t="shared" si="97"/>
        <v>37.039200000000001</v>
      </c>
      <c r="Q190" s="113">
        <f t="shared" si="98"/>
        <v>1.8116999999999999</v>
      </c>
      <c r="R190" s="92">
        <f t="shared" si="99"/>
        <v>1.4091</v>
      </c>
      <c r="S190" s="121"/>
      <c r="T190" s="93">
        <f t="shared" si="100"/>
        <v>2.0000000000375273E-4</v>
      </c>
      <c r="U190" s="122"/>
      <c r="V190" s="94">
        <f t="shared" ca="1" si="101"/>
        <v>288.4644447916653</v>
      </c>
      <c r="W190" s="89">
        <f t="shared" si="102"/>
        <v>2.1739130435190513E-4</v>
      </c>
    </row>
    <row r="191" spans="1:23" s="312" customFormat="1" ht="18">
      <c r="A191" s="115"/>
      <c r="B191" s="260" t="s">
        <v>505</v>
      </c>
      <c r="C191" s="358" t="s">
        <v>55</v>
      </c>
      <c r="D191" s="131" t="s">
        <v>2189</v>
      </c>
      <c r="E191" s="359">
        <v>256</v>
      </c>
      <c r="F191" s="138">
        <v>45226</v>
      </c>
      <c r="G191" s="252">
        <v>31.75</v>
      </c>
      <c r="H191" s="150">
        <v>1602740</v>
      </c>
      <c r="I191" s="150">
        <f t="shared" si="96"/>
        <v>50480</v>
      </c>
      <c r="J191" s="122"/>
      <c r="K191" s="186" t="s">
        <v>2434</v>
      </c>
      <c r="L191" s="262">
        <f t="shared" si="85"/>
        <v>256</v>
      </c>
      <c r="M191" s="160" t="s">
        <v>2430</v>
      </c>
      <c r="N191" s="136">
        <f>14.69+14.52</f>
        <v>29.21</v>
      </c>
      <c r="O191" s="122"/>
      <c r="P191" s="92">
        <f t="shared" si="97"/>
        <v>29.21</v>
      </c>
      <c r="Q191" s="113">
        <f t="shared" si="98"/>
        <v>1.42875</v>
      </c>
      <c r="R191" s="92">
        <f t="shared" si="99"/>
        <v>1.1112500000000001</v>
      </c>
      <c r="S191" s="121"/>
      <c r="T191" s="93">
        <f t="shared" si="100"/>
        <v>0</v>
      </c>
      <c r="U191" s="122"/>
      <c r="V191" s="94">
        <f t="shared" ca="1" si="101"/>
        <v>288.4644447916653</v>
      </c>
      <c r="W191" s="89">
        <f t="shared" si="102"/>
        <v>0</v>
      </c>
    </row>
    <row r="192" spans="1:23" s="312" customFormat="1" ht="18">
      <c r="A192" s="115"/>
      <c r="B192" s="260" t="s">
        <v>505</v>
      </c>
      <c r="C192" s="358" t="s">
        <v>55</v>
      </c>
      <c r="D192" s="131" t="s">
        <v>2189</v>
      </c>
      <c r="E192" s="359">
        <v>257</v>
      </c>
      <c r="F192" s="138">
        <v>45226</v>
      </c>
      <c r="G192" s="252">
        <v>33.448999999999998</v>
      </c>
      <c r="H192" s="150">
        <v>1688505.52</v>
      </c>
      <c r="I192" s="150">
        <f t="shared" si="89"/>
        <v>50480</v>
      </c>
      <c r="J192" s="122"/>
      <c r="K192" s="186" t="s">
        <v>2437</v>
      </c>
      <c r="L192" s="262">
        <f t="shared" si="85"/>
        <v>257</v>
      </c>
      <c r="M192" s="160" t="s">
        <v>2436</v>
      </c>
      <c r="N192" s="136">
        <f>14.778+12.412+3.583</f>
        <v>30.773000000000003</v>
      </c>
      <c r="O192" s="122"/>
      <c r="P192" s="92">
        <f t="shared" si="90"/>
        <v>30.77308</v>
      </c>
      <c r="Q192" s="113">
        <f t="shared" si="91"/>
        <v>1.5052049999999999</v>
      </c>
      <c r="R192" s="92">
        <f t="shared" si="92"/>
        <v>1.170715</v>
      </c>
      <c r="S192" s="121"/>
      <c r="T192" s="93">
        <f t="shared" si="93"/>
        <v>7.9999999994972981E-5</v>
      </c>
      <c r="U192" s="122"/>
      <c r="V192" s="94">
        <f t="shared" ca="1" si="94"/>
        <v>288.4644447916653</v>
      </c>
      <c r="W192" s="89">
        <f t="shared" si="95"/>
        <v>8.6956521733666279E-5</v>
      </c>
    </row>
    <row r="193" spans="1:23" s="312" customFormat="1" ht="18">
      <c r="A193" s="115"/>
      <c r="B193" s="260" t="s">
        <v>505</v>
      </c>
      <c r="C193" s="130" t="s">
        <v>94</v>
      </c>
      <c r="D193" s="131" t="s">
        <v>2300</v>
      </c>
      <c r="E193" s="357">
        <v>258</v>
      </c>
      <c r="F193" s="138">
        <v>45226</v>
      </c>
      <c r="G193" s="252">
        <v>6.37</v>
      </c>
      <c r="H193" s="150">
        <v>321557.59999999998</v>
      </c>
      <c r="I193" s="150">
        <f t="shared" si="89"/>
        <v>50479.999999999993</v>
      </c>
      <c r="J193" s="122"/>
      <c r="K193" s="186">
        <v>1327</v>
      </c>
      <c r="L193" s="262">
        <f t="shared" si="85"/>
        <v>258</v>
      </c>
      <c r="M193" s="160" t="s">
        <v>2449</v>
      </c>
      <c r="N193" s="136">
        <v>5.86</v>
      </c>
      <c r="O193" s="122"/>
      <c r="P193" s="92">
        <f t="shared" si="90"/>
        <v>5.8604000000000003</v>
      </c>
      <c r="Q193" s="113">
        <f t="shared" si="91"/>
        <v>0.28665000000000002</v>
      </c>
      <c r="R193" s="92">
        <f t="shared" si="92"/>
        <v>0.22295000000000004</v>
      </c>
      <c r="S193" s="121"/>
      <c r="T193" s="93">
        <f t="shared" si="93"/>
        <v>3.999999999997339E-4</v>
      </c>
      <c r="U193" s="122"/>
      <c r="V193" s="94">
        <f t="shared" ca="1" si="94"/>
        <v>288.4644447916653</v>
      </c>
      <c r="W193" s="89">
        <f t="shared" si="95"/>
        <v>4.3478260869536292E-4</v>
      </c>
    </row>
    <row r="194" spans="1:23" s="312" customFormat="1" ht="18">
      <c r="A194" s="115"/>
      <c r="B194" s="260" t="s">
        <v>505</v>
      </c>
      <c r="C194" s="130" t="s">
        <v>94</v>
      </c>
      <c r="D194" s="131" t="s">
        <v>2300</v>
      </c>
      <c r="E194" s="357">
        <v>259</v>
      </c>
      <c r="F194" s="138">
        <v>45226</v>
      </c>
      <c r="G194" s="252">
        <v>51.14</v>
      </c>
      <c r="H194" s="150">
        <v>2581547.2000000002</v>
      </c>
      <c r="I194" s="150">
        <f t="shared" si="89"/>
        <v>50480</v>
      </c>
      <c r="J194" s="122"/>
      <c r="K194" s="186" t="s">
        <v>2452</v>
      </c>
      <c r="L194" s="262">
        <f t="shared" si="85"/>
        <v>259</v>
      </c>
      <c r="M194" s="160" t="s">
        <v>2453</v>
      </c>
      <c r="N194" s="136">
        <f>33.003+14.046</f>
        <v>47.048999999999999</v>
      </c>
      <c r="O194" s="122"/>
      <c r="P194" s="92">
        <f t="shared" si="90"/>
        <v>47.0488</v>
      </c>
      <c r="Q194" s="113">
        <f t="shared" si="91"/>
        <v>2.3012999999999999</v>
      </c>
      <c r="R194" s="92">
        <f t="shared" si="92"/>
        <v>1.7899000000000003</v>
      </c>
      <c r="S194" s="121"/>
      <c r="T194" s="93">
        <f t="shared" si="93"/>
        <v>-1.9999999999908979E-4</v>
      </c>
      <c r="U194" s="122"/>
      <c r="V194" s="94">
        <f t="shared" ca="1" si="94"/>
        <v>288.4644447916653</v>
      </c>
      <c r="W194" s="89">
        <f t="shared" si="95"/>
        <v>-2.1739130434683673E-4</v>
      </c>
    </row>
    <row r="195" spans="1:23" s="312" customFormat="1" ht="18">
      <c r="A195" s="115"/>
      <c r="B195" s="260" t="s">
        <v>505</v>
      </c>
      <c r="C195" s="130" t="s">
        <v>94</v>
      </c>
      <c r="D195" s="131" t="s">
        <v>2300</v>
      </c>
      <c r="E195" s="357">
        <v>260</v>
      </c>
      <c r="F195" s="138">
        <v>45226</v>
      </c>
      <c r="G195" s="252">
        <v>31.97</v>
      </c>
      <c r="H195" s="150">
        <v>1613845.5999999999</v>
      </c>
      <c r="I195" s="150">
        <f t="shared" si="89"/>
        <v>50480</v>
      </c>
      <c r="J195" s="122"/>
      <c r="K195" s="186" t="s">
        <v>2454</v>
      </c>
      <c r="L195" s="262">
        <f t="shared" si="85"/>
        <v>260</v>
      </c>
      <c r="M195" s="160" t="s">
        <v>2455</v>
      </c>
      <c r="N195" s="136">
        <f>28.61+0.802</f>
        <v>29.411999999999999</v>
      </c>
      <c r="O195" s="122"/>
      <c r="P195" s="92">
        <f t="shared" si="90"/>
        <v>29.412400000000002</v>
      </c>
      <c r="Q195" s="113">
        <f t="shared" si="91"/>
        <v>1.43865</v>
      </c>
      <c r="R195" s="92">
        <f t="shared" si="92"/>
        <v>1.1189500000000001</v>
      </c>
      <c r="S195" s="121"/>
      <c r="T195" s="93">
        <f t="shared" si="93"/>
        <v>3.999999999997339E-4</v>
      </c>
      <c r="U195" s="122"/>
      <c r="V195" s="94">
        <f t="shared" ca="1" si="94"/>
        <v>288.4644447916653</v>
      </c>
      <c r="W195" s="89">
        <f t="shared" si="95"/>
        <v>4.3478260869536292E-4</v>
      </c>
    </row>
    <row r="196" spans="1:23" s="312" customFormat="1" ht="18">
      <c r="A196" s="115"/>
      <c r="B196" s="260" t="s">
        <v>505</v>
      </c>
      <c r="C196" s="130" t="s">
        <v>94</v>
      </c>
      <c r="D196" s="131" t="s">
        <v>2300</v>
      </c>
      <c r="E196" s="357">
        <v>261</v>
      </c>
      <c r="F196" s="138">
        <v>45226</v>
      </c>
      <c r="G196" s="252">
        <v>18.541</v>
      </c>
      <c r="H196" s="150">
        <v>935949.68</v>
      </c>
      <c r="I196" s="150">
        <f t="shared" si="89"/>
        <v>50480</v>
      </c>
      <c r="J196" s="122"/>
      <c r="K196" s="186" t="s">
        <v>2456</v>
      </c>
      <c r="L196" s="262">
        <f t="shared" si="85"/>
        <v>261</v>
      </c>
      <c r="M196" s="160" t="s">
        <v>2451</v>
      </c>
      <c r="N196" s="136">
        <f>12.026+5.032</f>
        <v>17.058</v>
      </c>
      <c r="O196" s="122"/>
      <c r="P196" s="92">
        <f t="shared" si="90"/>
        <v>17.05772</v>
      </c>
      <c r="Q196" s="113">
        <f t="shared" si="91"/>
        <v>0.834345</v>
      </c>
      <c r="R196" s="92">
        <f t="shared" si="92"/>
        <v>0.64893500000000004</v>
      </c>
      <c r="S196" s="121"/>
      <c r="T196" s="93">
        <f t="shared" si="93"/>
        <v>-2.7999999999950287E-4</v>
      </c>
      <c r="U196" s="122"/>
      <c r="V196" s="94">
        <f t="shared" ca="1" si="94"/>
        <v>288.4644447916653</v>
      </c>
      <c r="W196" s="89">
        <f t="shared" si="95"/>
        <v>-3.0434782608641618E-4</v>
      </c>
    </row>
    <row r="197" spans="1:23" s="312" customFormat="1" ht="18">
      <c r="A197" s="115"/>
      <c r="B197" s="260" t="s">
        <v>505</v>
      </c>
      <c r="C197" s="130" t="s">
        <v>94</v>
      </c>
      <c r="D197" s="131" t="s">
        <v>2300</v>
      </c>
      <c r="E197" s="357">
        <v>262</v>
      </c>
      <c r="F197" s="138">
        <v>45226</v>
      </c>
      <c r="G197" s="252">
        <v>31.95</v>
      </c>
      <c r="H197" s="150">
        <v>1612836</v>
      </c>
      <c r="I197" s="150">
        <f t="shared" si="89"/>
        <v>50480</v>
      </c>
      <c r="J197" s="122"/>
      <c r="K197" s="186" t="s">
        <v>2458</v>
      </c>
      <c r="L197" s="262">
        <f t="shared" si="85"/>
        <v>262</v>
      </c>
      <c r="M197" s="160" t="s">
        <v>2459</v>
      </c>
      <c r="N197" s="136">
        <f>6.633+22.761</f>
        <v>29.393999999999998</v>
      </c>
      <c r="O197" s="122"/>
      <c r="P197" s="92">
        <f t="shared" si="90"/>
        <v>29.394000000000002</v>
      </c>
      <c r="Q197" s="113">
        <f t="shared" si="91"/>
        <v>1.4377499999999999</v>
      </c>
      <c r="R197" s="92">
        <f t="shared" si="92"/>
        <v>1.1182500000000002</v>
      </c>
      <c r="S197" s="121"/>
      <c r="T197" s="93">
        <f t="shared" si="93"/>
        <v>0</v>
      </c>
      <c r="U197" s="122"/>
      <c r="V197" s="94">
        <f t="shared" ca="1" si="94"/>
        <v>288.4644447916653</v>
      </c>
      <c r="W197" s="89">
        <f t="shared" si="95"/>
        <v>0</v>
      </c>
    </row>
    <row r="198" spans="1:23" s="312" customFormat="1" ht="18">
      <c r="A198" s="115"/>
      <c r="B198" s="260" t="s">
        <v>505</v>
      </c>
      <c r="C198" s="130" t="s">
        <v>94</v>
      </c>
      <c r="D198" s="131" t="s">
        <v>2300</v>
      </c>
      <c r="E198" s="357">
        <v>263</v>
      </c>
      <c r="F198" s="138">
        <v>45226</v>
      </c>
      <c r="G198" s="252">
        <v>31.92</v>
      </c>
      <c r="H198" s="150">
        <v>1611321.6</v>
      </c>
      <c r="I198" s="150">
        <f t="shared" si="89"/>
        <v>50480</v>
      </c>
      <c r="J198" s="122"/>
      <c r="K198" s="186" t="s">
        <v>2460</v>
      </c>
      <c r="L198" s="262">
        <f t="shared" si="85"/>
        <v>263</v>
      </c>
      <c r="M198" s="160" t="s">
        <v>2461</v>
      </c>
      <c r="N198" s="136">
        <f>9.589+19.777</f>
        <v>29.366</v>
      </c>
      <c r="O198" s="122"/>
      <c r="P198" s="92">
        <f t="shared" si="90"/>
        <v>29.366400000000002</v>
      </c>
      <c r="Q198" s="113">
        <f t="shared" si="91"/>
        <v>1.4364000000000001</v>
      </c>
      <c r="R198" s="92">
        <f t="shared" si="92"/>
        <v>1.1172000000000002</v>
      </c>
      <c r="S198" s="121"/>
      <c r="T198" s="93">
        <f t="shared" si="93"/>
        <v>4.000000000017323E-4</v>
      </c>
      <c r="U198" s="122"/>
      <c r="V198" s="94">
        <f t="shared" ca="1" si="94"/>
        <v>288.4644447916653</v>
      </c>
      <c r="W198" s="89">
        <f t="shared" si="95"/>
        <v>4.3478260869753512E-4</v>
      </c>
    </row>
    <row r="199" spans="1:23" s="312" customFormat="1" ht="18">
      <c r="A199" s="115"/>
      <c r="B199" s="260" t="s">
        <v>505</v>
      </c>
      <c r="C199" s="130" t="s">
        <v>94</v>
      </c>
      <c r="D199" s="131" t="s">
        <v>2300</v>
      </c>
      <c r="E199" s="357">
        <v>264</v>
      </c>
      <c r="F199" s="138">
        <v>45226</v>
      </c>
      <c r="G199" s="252">
        <v>31.99</v>
      </c>
      <c r="H199" s="150">
        <v>1614855.2</v>
      </c>
      <c r="I199" s="150">
        <f t="shared" si="89"/>
        <v>50480</v>
      </c>
      <c r="J199" s="122"/>
      <c r="K199" s="186" t="s">
        <v>2471</v>
      </c>
      <c r="L199" s="262">
        <f t="shared" si="85"/>
        <v>264</v>
      </c>
      <c r="M199" s="160" t="s">
        <v>2472</v>
      </c>
      <c r="N199" s="136">
        <f>13.358+16.073</f>
        <v>29.431000000000001</v>
      </c>
      <c r="O199" s="122"/>
      <c r="P199" s="92">
        <f t="shared" si="90"/>
        <v>29.430800000000001</v>
      </c>
      <c r="Q199" s="113">
        <f t="shared" si="91"/>
        <v>1.4395499999999999</v>
      </c>
      <c r="R199" s="92">
        <f t="shared" si="92"/>
        <v>1.11965</v>
      </c>
      <c r="S199" s="121"/>
      <c r="T199" s="93">
        <f t="shared" si="93"/>
        <v>-2.0000000000242046E-4</v>
      </c>
      <c r="U199" s="122"/>
      <c r="V199" s="94">
        <f t="shared" ca="1" si="94"/>
        <v>288.4644447916653</v>
      </c>
      <c r="W199" s="89">
        <f t="shared" si="95"/>
        <v>-2.1739130435045702E-4</v>
      </c>
    </row>
    <row r="200" spans="1:23" s="312" customFormat="1" ht="18">
      <c r="A200" s="115"/>
      <c r="B200" s="260" t="s">
        <v>505</v>
      </c>
      <c r="C200" s="130" t="s">
        <v>94</v>
      </c>
      <c r="D200" s="131" t="s">
        <v>2300</v>
      </c>
      <c r="E200" s="357">
        <v>265</v>
      </c>
      <c r="F200" s="138">
        <v>45226</v>
      </c>
      <c r="G200" s="252">
        <v>31.96</v>
      </c>
      <c r="H200" s="150">
        <v>1613340.8</v>
      </c>
      <c r="I200" s="150">
        <f t="shared" si="89"/>
        <v>50480</v>
      </c>
      <c r="J200" s="122"/>
      <c r="K200" s="186" t="s">
        <v>2486</v>
      </c>
      <c r="L200" s="262">
        <f t="shared" si="85"/>
        <v>265</v>
      </c>
      <c r="M200" s="160" t="s">
        <v>2487</v>
      </c>
      <c r="N200" s="136">
        <f>15.829+13.574</f>
        <v>29.402999999999999</v>
      </c>
      <c r="O200" s="122"/>
      <c r="P200" s="92">
        <f t="shared" si="90"/>
        <v>29.403200000000002</v>
      </c>
      <c r="Q200" s="113">
        <f t="shared" si="91"/>
        <v>1.4381999999999999</v>
      </c>
      <c r="R200" s="92">
        <f t="shared" si="92"/>
        <v>1.1186</v>
      </c>
      <c r="S200" s="121"/>
      <c r="T200" s="93">
        <f t="shared" si="93"/>
        <v>2.0000000000219842E-4</v>
      </c>
      <c r="U200" s="122"/>
      <c r="V200" s="94">
        <f t="shared" ca="1" si="94"/>
        <v>288.4644447916653</v>
      </c>
      <c r="W200" s="89">
        <f t="shared" si="95"/>
        <v>2.1739130435021565E-4</v>
      </c>
    </row>
    <row r="201" spans="1:23" s="312" customFormat="1" ht="18">
      <c r="A201" s="115"/>
      <c r="B201" s="260" t="s">
        <v>505</v>
      </c>
      <c r="C201" s="130" t="s">
        <v>94</v>
      </c>
      <c r="D201" s="131" t="s">
        <v>2300</v>
      </c>
      <c r="E201" s="357">
        <v>266</v>
      </c>
      <c r="F201" s="138">
        <v>45226</v>
      </c>
      <c r="G201" s="252">
        <v>2.13</v>
      </c>
      <c r="H201" s="150">
        <v>107522.4</v>
      </c>
      <c r="I201" s="150">
        <f t="shared" si="70"/>
        <v>50480</v>
      </c>
      <c r="J201" s="122"/>
      <c r="K201" s="186">
        <v>1372</v>
      </c>
      <c r="L201" s="262">
        <f t="shared" si="85"/>
        <v>266</v>
      </c>
      <c r="M201" s="160" t="s">
        <v>2485</v>
      </c>
      <c r="N201" s="136">
        <v>1.96</v>
      </c>
      <c r="O201" s="122"/>
      <c r="P201" s="92">
        <f t="shared" si="64"/>
        <v>1.9596</v>
      </c>
      <c r="Q201" s="113">
        <f t="shared" si="65"/>
        <v>9.5849999999999991E-2</v>
      </c>
      <c r="R201" s="92">
        <f t="shared" si="66"/>
        <v>7.4550000000000005E-2</v>
      </c>
      <c r="S201" s="121"/>
      <c r="T201" s="93">
        <f t="shared" si="67"/>
        <v>-4.0000000000006697E-4</v>
      </c>
      <c r="U201" s="122"/>
      <c r="V201" s="94">
        <f t="shared" ca="1" si="68"/>
        <v>288.4644447916653</v>
      </c>
      <c r="W201" s="89">
        <f t="shared" si="69"/>
        <v>-4.3478260869572494E-4</v>
      </c>
    </row>
    <row r="202" spans="1:23" s="312" customFormat="1" ht="18">
      <c r="A202" s="115"/>
      <c r="B202" s="260"/>
      <c r="C202" s="90"/>
      <c r="D202" s="131"/>
      <c r="E202" s="150"/>
      <c r="F202" s="138"/>
      <c r="G202" s="265"/>
      <c r="H202" s="90"/>
      <c r="I202" s="150"/>
      <c r="J202" s="122"/>
      <c r="K202" s="186"/>
      <c r="L202" s="262"/>
      <c r="M202" s="160"/>
      <c r="N202" s="136"/>
      <c r="O202" s="122"/>
      <c r="P202" s="92"/>
      <c r="Q202" s="113"/>
      <c r="R202" s="92"/>
      <c r="S202" s="121"/>
      <c r="T202" s="93"/>
      <c r="U202" s="122"/>
      <c r="V202" s="94">
        <f t="shared" ca="1" si="68"/>
        <v>-44937.535555208335</v>
      </c>
      <c r="W202" s="89">
        <f t="shared" si="69"/>
        <v>0</v>
      </c>
    </row>
    <row r="203" spans="1:23" s="312" customFormat="1" ht="18">
      <c r="A203" s="115"/>
      <c r="B203" s="260" t="s">
        <v>505</v>
      </c>
      <c r="C203" s="130" t="s">
        <v>94</v>
      </c>
      <c r="D203" s="131" t="s">
        <v>2351</v>
      </c>
      <c r="E203" s="361">
        <v>271</v>
      </c>
      <c r="F203" s="138">
        <v>45234</v>
      </c>
      <c r="G203" s="252">
        <v>6.1619999999999999</v>
      </c>
      <c r="H203" s="150">
        <v>311057.76</v>
      </c>
      <c r="I203" s="150">
        <f t="shared" ref="I203:I231" si="103">H203/G203</f>
        <v>50480</v>
      </c>
      <c r="J203" s="122"/>
      <c r="K203" s="186">
        <v>1373</v>
      </c>
      <c r="L203" s="262">
        <f t="shared" si="85"/>
        <v>271</v>
      </c>
      <c r="M203" s="160" t="s">
        <v>2485</v>
      </c>
      <c r="N203" s="136">
        <v>5.6689999999999996</v>
      </c>
      <c r="O203" s="122"/>
      <c r="P203" s="92">
        <f t="shared" ref="P203:P231" si="104">G203*0.92</f>
        <v>5.6690399999999999</v>
      </c>
      <c r="Q203" s="113">
        <f t="shared" ref="Q203:Q231" si="105">G203*4.5%</f>
        <v>0.27728999999999998</v>
      </c>
      <c r="R203" s="92">
        <f t="shared" ref="R203:R231" si="106">G203*3.5%</f>
        <v>0.21567000000000003</v>
      </c>
      <c r="S203" s="121"/>
      <c r="T203" s="93">
        <f t="shared" ref="T203:T231" si="107">G203-N203-Q203-R203</f>
        <v>4.0000000000317559E-5</v>
      </c>
      <c r="U203" s="122"/>
      <c r="V203" s="94">
        <f t="shared" ref="V203:V231" ca="1" si="108">360-($V$3-F203)</f>
        <v>296.4644447916653</v>
      </c>
      <c r="W203" s="89">
        <f t="shared" ref="W203:W231" si="109">T203/0.92%/100</f>
        <v>4.3478260869910396E-5</v>
      </c>
    </row>
    <row r="204" spans="1:23" s="312" customFormat="1" ht="18">
      <c r="A204" s="115"/>
      <c r="B204" s="260" t="s">
        <v>505</v>
      </c>
      <c r="C204" s="130" t="s">
        <v>94</v>
      </c>
      <c r="D204" s="131" t="s">
        <v>2352</v>
      </c>
      <c r="E204" s="361">
        <v>272</v>
      </c>
      <c r="F204" s="138">
        <v>45234</v>
      </c>
      <c r="G204" s="252">
        <v>17.2</v>
      </c>
      <c r="H204" s="150">
        <v>868256</v>
      </c>
      <c r="I204" s="150">
        <f t="shared" si="103"/>
        <v>50480</v>
      </c>
      <c r="J204" s="122"/>
      <c r="K204" s="186" t="s">
        <v>2495</v>
      </c>
      <c r="L204" s="262">
        <f t="shared" si="85"/>
        <v>272</v>
      </c>
      <c r="M204" s="160" t="s">
        <v>2492</v>
      </c>
      <c r="N204" s="136">
        <f>10.85+4.974</f>
        <v>15.824</v>
      </c>
      <c r="O204" s="122"/>
      <c r="P204" s="92">
        <f t="shared" si="104"/>
        <v>15.824</v>
      </c>
      <c r="Q204" s="113">
        <f t="shared" si="105"/>
        <v>0.77399999999999991</v>
      </c>
      <c r="R204" s="92">
        <f t="shared" si="106"/>
        <v>0.60199999999999998</v>
      </c>
      <c r="S204" s="121"/>
      <c r="T204" s="93">
        <f t="shared" si="107"/>
        <v>0</v>
      </c>
      <c r="U204" s="122"/>
      <c r="V204" s="94">
        <f t="shared" ca="1" si="108"/>
        <v>296.4644447916653</v>
      </c>
      <c r="W204" s="89">
        <f t="shared" si="109"/>
        <v>0</v>
      </c>
    </row>
    <row r="205" spans="1:23" s="312" customFormat="1" ht="18">
      <c r="A205" s="115"/>
      <c r="B205" s="260" t="s">
        <v>505</v>
      </c>
      <c r="C205" s="130" t="s">
        <v>55</v>
      </c>
      <c r="D205" s="131" t="s">
        <v>2353</v>
      </c>
      <c r="E205" s="361">
        <v>273</v>
      </c>
      <c r="F205" s="138">
        <v>45234</v>
      </c>
      <c r="G205" s="252">
        <v>40.200000000000003</v>
      </c>
      <c r="H205" s="150">
        <v>2182860</v>
      </c>
      <c r="I205" s="150">
        <f t="shared" ref="I205:I216" si="110">H205/G205</f>
        <v>54299.999999999993</v>
      </c>
      <c r="J205" s="122"/>
      <c r="K205" s="186" t="s">
        <v>2496</v>
      </c>
      <c r="L205" s="262">
        <f t="shared" si="85"/>
        <v>273</v>
      </c>
      <c r="M205" s="160" t="s">
        <v>2499</v>
      </c>
      <c r="N205" s="136">
        <f>32.704+4.28</f>
        <v>36.984000000000002</v>
      </c>
      <c r="O205" s="122"/>
      <c r="P205" s="92">
        <f t="shared" ref="P205:P216" si="111">G205*0.92</f>
        <v>36.984000000000002</v>
      </c>
      <c r="Q205" s="113">
        <f t="shared" ref="Q205:Q216" si="112">G205*4.5%</f>
        <v>1.8090000000000002</v>
      </c>
      <c r="R205" s="92">
        <f t="shared" ref="R205:R216" si="113">G205*3.5%</f>
        <v>1.4070000000000003</v>
      </c>
      <c r="S205" s="121"/>
      <c r="T205" s="93">
        <f t="shared" ref="T205:T216" si="114">G205-N205-Q205-R205</f>
        <v>0</v>
      </c>
      <c r="U205" s="122"/>
      <c r="V205" s="94">
        <f t="shared" ref="V205:V216" ca="1" si="115">360-($V$3-F205)</f>
        <v>296.4644447916653</v>
      </c>
      <c r="W205" s="89">
        <f t="shared" ref="W205:W216" si="116">T205/0.92%/100</f>
        <v>0</v>
      </c>
    </row>
    <row r="206" spans="1:23" s="312" customFormat="1" ht="18">
      <c r="A206" s="115"/>
      <c r="B206" s="260" t="s">
        <v>505</v>
      </c>
      <c r="C206" s="130" t="s">
        <v>55</v>
      </c>
      <c r="D206" s="131" t="s">
        <v>2354</v>
      </c>
      <c r="E206" s="361">
        <v>274</v>
      </c>
      <c r="F206" s="138">
        <v>45234</v>
      </c>
      <c r="G206" s="252">
        <v>40.1</v>
      </c>
      <c r="H206" s="150">
        <v>2177430</v>
      </c>
      <c r="I206" s="150">
        <f t="shared" si="110"/>
        <v>54300</v>
      </c>
      <c r="J206" s="122"/>
      <c r="K206" s="186" t="s">
        <v>2497</v>
      </c>
      <c r="L206" s="262">
        <f t="shared" si="85"/>
        <v>274</v>
      </c>
      <c r="M206" s="160" t="s">
        <v>2500</v>
      </c>
      <c r="N206" s="136">
        <f>32.901+3.991</f>
        <v>36.892000000000003</v>
      </c>
      <c r="O206" s="122"/>
      <c r="P206" s="92">
        <f t="shared" si="111"/>
        <v>36.892000000000003</v>
      </c>
      <c r="Q206" s="113">
        <f t="shared" si="112"/>
        <v>1.8045</v>
      </c>
      <c r="R206" s="92">
        <f t="shared" si="113"/>
        <v>1.4035000000000002</v>
      </c>
      <c r="S206" s="121"/>
      <c r="T206" s="93">
        <f t="shared" si="114"/>
        <v>-1.7763568394002505E-15</v>
      </c>
      <c r="U206" s="122"/>
      <c r="V206" s="94">
        <f t="shared" ca="1" si="115"/>
        <v>296.4644447916653</v>
      </c>
      <c r="W206" s="89">
        <f t="shared" si="116"/>
        <v>-1.9308226515220113E-15</v>
      </c>
    </row>
    <row r="207" spans="1:23" s="312" customFormat="1" ht="18">
      <c r="A207" s="115"/>
      <c r="B207" s="260" t="s">
        <v>505</v>
      </c>
      <c r="C207" s="130" t="s">
        <v>55</v>
      </c>
      <c r="D207" s="131" t="s">
        <v>2355</v>
      </c>
      <c r="E207" s="361">
        <v>275</v>
      </c>
      <c r="F207" s="138">
        <v>45234</v>
      </c>
      <c r="G207" s="252">
        <v>40.06</v>
      </c>
      <c r="H207" s="150">
        <v>2175258</v>
      </c>
      <c r="I207" s="150">
        <f t="shared" si="110"/>
        <v>54300</v>
      </c>
      <c r="J207" s="122"/>
      <c r="K207" s="186" t="s">
        <v>2498</v>
      </c>
      <c r="L207" s="262">
        <f t="shared" si="85"/>
        <v>275</v>
      </c>
      <c r="M207" s="160" t="s">
        <v>2492</v>
      </c>
      <c r="N207" s="136">
        <f>31.946+4.909</f>
        <v>36.855000000000004</v>
      </c>
      <c r="O207" s="122"/>
      <c r="P207" s="92">
        <f t="shared" si="111"/>
        <v>36.855200000000004</v>
      </c>
      <c r="Q207" s="113">
        <f t="shared" si="112"/>
        <v>1.8027</v>
      </c>
      <c r="R207" s="92">
        <f t="shared" si="113"/>
        <v>1.4021000000000001</v>
      </c>
      <c r="S207" s="121"/>
      <c r="T207" s="93">
        <f t="shared" si="114"/>
        <v>1.9999999999820162E-4</v>
      </c>
      <c r="U207" s="122"/>
      <c r="V207" s="94">
        <f t="shared" ca="1" si="115"/>
        <v>296.4644447916653</v>
      </c>
      <c r="W207" s="89">
        <f t="shared" si="116"/>
        <v>2.1739130434587133E-4</v>
      </c>
    </row>
    <row r="208" spans="1:23" s="312" customFormat="1" ht="18">
      <c r="A208" s="115"/>
      <c r="B208" s="260" t="s">
        <v>505</v>
      </c>
      <c r="C208" s="130" t="s">
        <v>55</v>
      </c>
      <c r="D208" s="131" t="s">
        <v>2356</v>
      </c>
      <c r="E208" s="361">
        <v>276</v>
      </c>
      <c r="F208" s="138">
        <v>45234</v>
      </c>
      <c r="G208" s="252">
        <v>33.9</v>
      </c>
      <c r="H208" s="150">
        <v>1840770</v>
      </c>
      <c r="I208" s="150">
        <f t="shared" si="110"/>
        <v>54300</v>
      </c>
      <c r="J208" s="122"/>
      <c r="K208" s="186" t="s">
        <v>2502</v>
      </c>
      <c r="L208" s="262">
        <f t="shared" si="85"/>
        <v>276</v>
      </c>
      <c r="M208" s="160" t="s">
        <v>2503</v>
      </c>
      <c r="N208" s="136">
        <f>14.799+16.389</f>
        <v>31.187999999999999</v>
      </c>
      <c r="O208" s="122"/>
      <c r="P208" s="92">
        <f t="shared" si="111"/>
        <v>31.187999999999999</v>
      </c>
      <c r="Q208" s="113">
        <f t="shared" si="112"/>
        <v>1.5254999999999999</v>
      </c>
      <c r="R208" s="92">
        <f t="shared" si="113"/>
        <v>1.1865000000000001</v>
      </c>
      <c r="S208" s="121"/>
      <c r="T208" s="93">
        <f t="shared" si="114"/>
        <v>0</v>
      </c>
      <c r="U208" s="122"/>
      <c r="V208" s="94">
        <f t="shared" ca="1" si="115"/>
        <v>296.4644447916653</v>
      </c>
      <c r="W208" s="89">
        <f t="shared" si="116"/>
        <v>0</v>
      </c>
    </row>
    <row r="209" spans="1:23" s="312" customFormat="1" ht="18">
      <c r="A209" s="115"/>
      <c r="B209" s="260" t="s">
        <v>505</v>
      </c>
      <c r="C209" s="130" t="s">
        <v>55</v>
      </c>
      <c r="D209" s="131" t="s">
        <v>2357</v>
      </c>
      <c r="E209" s="361">
        <v>277</v>
      </c>
      <c r="F209" s="138">
        <v>45234</v>
      </c>
      <c r="G209" s="252">
        <v>42.44</v>
      </c>
      <c r="H209" s="150">
        <v>2304492</v>
      </c>
      <c r="I209" s="150">
        <f t="shared" si="110"/>
        <v>54300</v>
      </c>
      <c r="J209" s="122"/>
      <c r="K209" s="186" t="s">
        <v>2592</v>
      </c>
      <c r="L209" s="262">
        <f t="shared" si="85"/>
        <v>277</v>
      </c>
      <c r="M209" s="160" t="s">
        <v>2594</v>
      </c>
      <c r="N209" s="136">
        <f>32.615+0.647+5.783</f>
        <v>39.045000000000002</v>
      </c>
      <c r="O209" s="122"/>
      <c r="P209" s="92">
        <f t="shared" si="111"/>
        <v>39.044800000000002</v>
      </c>
      <c r="Q209" s="113">
        <f t="shared" si="112"/>
        <v>1.9097999999999997</v>
      </c>
      <c r="R209" s="92">
        <f t="shared" si="113"/>
        <v>1.4854000000000001</v>
      </c>
      <c r="S209" s="121"/>
      <c r="T209" s="93">
        <f t="shared" si="114"/>
        <v>-2.0000000000375273E-4</v>
      </c>
      <c r="U209" s="122"/>
      <c r="V209" s="94">
        <f t="shared" ca="1" si="115"/>
        <v>296.4644447916653</v>
      </c>
      <c r="W209" s="89">
        <f t="shared" si="116"/>
        <v>-2.1739130435190513E-4</v>
      </c>
    </row>
    <row r="210" spans="1:23" s="312" customFormat="1" ht="18">
      <c r="A210" s="115"/>
      <c r="B210" s="260" t="s">
        <v>505</v>
      </c>
      <c r="C210" s="130" t="s">
        <v>55</v>
      </c>
      <c r="D210" s="131" t="s">
        <v>2358</v>
      </c>
      <c r="E210" s="361">
        <v>278</v>
      </c>
      <c r="F210" s="138">
        <v>45234</v>
      </c>
      <c r="G210" s="252">
        <v>40.200000000000003</v>
      </c>
      <c r="H210" s="150">
        <v>2182860</v>
      </c>
      <c r="I210" s="150">
        <f t="shared" si="110"/>
        <v>54299.999999999993</v>
      </c>
      <c r="J210" s="122"/>
      <c r="K210" s="186" t="s">
        <v>2593</v>
      </c>
      <c r="L210" s="262">
        <f t="shared" si="85"/>
        <v>278</v>
      </c>
      <c r="M210" s="160" t="s">
        <v>2595</v>
      </c>
      <c r="N210" s="136">
        <f>32.465+4.519</f>
        <v>36.984000000000002</v>
      </c>
      <c r="O210" s="122"/>
      <c r="P210" s="92">
        <f t="shared" si="111"/>
        <v>36.984000000000002</v>
      </c>
      <c r="Q210" s="113">
        <f t="shared" si="112"/>
        <v>1.8090000000000002</v>
      </c>
      <c r="R210" s="92">
        <f t="shared" si="113"/>
        <v>1.4070000000000003</v>
      </c>
      <c r="S210" s="121"/>
      <c r="T210" s="93">
        <f t="shared" si="114"/>
        <v>0</v>
      </c>
      <c r="U210" s="122"/>
      <c r="V210" s="94">
        <f t="shared" ca="1" si="115"/>
        <v>296.4644447916653</v>
      </c>
      <c r="W210" s="89">
        <f t="shared" si="116"/>
        <v>0</v>
      </c>
    </row>
    <row r="211" spans="1:23" s="312" customFormat="1" ht="18">
      <c r="A211" s="115"/>
      <c r="B211" s="260" t="s">
        <v>505</v>
      </c>
      <c r="C211" s="130" t="s">
        <v>55</v>
      </c>
      <c r="D211" s="131" t="s">
        <v>2359</v>
      </c>
      <c r="E211" s="361">
        <v>279</v>
      </c>
      <c r="F211" s="138">
        <v>45234</v>
      </c>
      <c r="G211" s="252">
        <v>27.54</v>
      </c>
      <c r="H211" s="150">
        <v>1495422</v>
      </c>
      <c r="I211" s="150">
        <f t="shared" si="110"/>
        <v>54300</v>
      </c>
      <c r="J211" s="122"/>
      <c r="K211" s="186" t="s">
        <v>2638</v>
      </c>
      <c r="L211" s="262">
        <f t="shared" si="85"/>
        <v>279</v>
      </c>
      <c r="M211" s="160" t="s">
        <v>2639</v>
      </c>
      <c r="N211" s="136">
        <f>21.66+3.677</f>
        <v>25.337</v>
      </c>
      <c r="O211" s="122"/>
      <c r="P211" s="92">
        <f t="shared" si="111"/>
        <v>25.3368</v>
      </c>
      <c r="Q211" s="113">
        <f t="shared" si="112"/>
        <v>1.2392999999999998</v>
      </c>
      <c r="R211" s="92">
        <f t="shared" si="113"/>
        <v>0.96390000000000009</v>
      </c>
      <c r="S211" s="121"/>
      <c r="T211" s="93">
        <f t="shared" si="114"/>
        <v>-2.0000000000053308E-4</v>
      </c>
      <c r="U211" s="122"/>
      <c r="V211" s="94">
        <f t="shared" ca="1" si="115"/>
        <v>296.4644447916653</v>
      </c>
      <c r="W211" s="89">
        <f t="shared" si="116"/>
        <v>-2.1739130434840552E-4</v>
      </c>
    </row>
    <row r="212" spans="1:23" s="312" customFormat="1" ht="18">
      <c r="A212" s="115"/>
      <c r="B212" s="260" t="s">
        <v>505</v>
      </c>
      <c r="C212" s="130" t="s">
        <v>55</v>
      </c>
      <c r="D212" s="131" t="s">
        <v>2360</v>
      </c>
      <c r="E212" s="361">
        <v>280</v>
      </c>
      <c r="F212" s="138">
        <v>45234</v>
      </c>
      <c r="G212" s="252">
        <v>42.36</v>
      </c>
      <c r="H212" s="150">
        <v>2300148</v>
      </c>
      <c r="I212" s="150">
        <f t="shared" si="110"/>
        <v>54300</v>
      </c>
      <c r="J212" s="122"/>
      <c r="K212" s="186" t="s">
        <v>2640</v>
      </c>
      <c r="L212" s="262">
        <f t="shared" si="85"/>
        <v>280</v>
      </c>
      <c r="M212" s="160" t="s">
        <v>2639</v>
      </c>
      <c r="N212" s="136">
        <f>32.781+6.19</f>
        <v>38.970999999999997</v>
      </c>
      <c r="O212" s="122"/>
      <c r="P212" s="92">
        <f t="shared" si="111"/>
        <v>38.971200000000003</v>
      </c>
      <c r="Q212" s="113">
        <f t="shared" si="112"/>
        <v>1.9061999999999999</v>
      </c>
      <c r="R212" s="92">
        <f t="shared" si="113"/>
        <v>1.4826000000000001</v>
      </c>
      <c r="S212" s="121"/>
      <c r="T212" s="93">
        <f t="shared" si="114"/>
        <v>2.0000000000286455E-4</v>
      </c>
      <c r="U212" s="122"/>
      <c r="V212" s="94">
        <f t="shared" ca="1" si="115"/>
        <v>296.4644447916653</v>
      </c>
      <c r="W212" s="89">
        <f t="shared" si="116"/>
        <v>2.1739130435093973E-4</v>
      </c>
    </row>
    <row r="213" spans="1:23" s="312" customFormat="1" ht="18">
      <c r="A213" s="115"/>
      <c r="B213" s="260" t="s">
        <v>505</v>
      </c>
      <c r="C213" s="130" t="s">
        <v>55</v>
      </c>
      <c r="D213" s="131" t="s">
        <v>2361</v>
      </c>
      <c r="E213" s="361">
        <v>281</v>
      </c>
      <c r="F213" s="138">
        <v>45234</v>
      </c>
      <c r="G213" s="252">
        <v>31.6</v>
      </c>
      <c r="H213" s="150">
        <v>1715880</v>
      </c>
      <c r="I213" s="150">
        <f t="shared" si="110"/>
        <v>54300</v>
      </c>
      <c r="J213" s="122"/>
      <c r="K213" s="186" t="s">
        <v>2661</v>
      </c>
      <c r="L213" s="262">
        <f t="shared" si="85"/>
        <v>281</v>
      </c>
      <c r="M213" s="160" t="s">
        <v>2662</v>
      </c>
      <c r="N213" s="136">
        <f>22.789+6.283</f>
        <v>29.072000000000003</v>
      </c>
      <c r="O213" s="122"/>
      <c r="P213" s="92">
        <f t="shared" si="111"/>
        <v>29.072000000000003</v>
      </c>
      <c r="Q213" s="113">
        <f t="shared" si="112"/>
        <v>1.4219999999999999</v>
      </c>
      <c r="R213" s="92">
        <f t="shared" si="113"/>
        <v>1.1060000000000001</v>
      </c>
      <c r="S213" s="121"/>
      <c r="T213" s="93">
        <f t="shared" si="114"/>
        <v>0</v>
      </c>
      <c r="U213" s="122"/>
      <c r="V213" s="94">
        <f t="shared" ca="1" si="115"/>
        <v>296.4644447916653</v>
      </c>
      <c r="W213" s="89">
        <f t="shared" si="116"/>
        <v>0</v>
      </c>
    </row>
    <row r="214" spans="1:23" s="312" customFormat="1" ht="18">
      <c r="A214" s="115"/>
      <c r="B214" s="260" t="s">
        <v>505</v>
      </c>
      <c r="C214" s="130" t="s">
        <v>55</v>
      </c>
      <c r="D214" s="131" t="s">
        <v>2362</v>
      </c>
      <c r="E214" s="361">
        <v>282</v>
      </c>
      <c r="F214" s="138">
        <v>45234</v>
      </c>
      <c r="G214" s="252">
        <v>27.54</v>
      </c>
      <c r="H214" s="150">
        <v>1495422</v>
      </c>
      <c r="I214" s="150">
        <f t="shared" si="110"/>
        <v>54300</v>
      </c>
      <c r="J214" s="122"/>
      <c r="K214" s="186">
        <v>1506</v>
      </c>
      <c r="L214" s="262">
        <f t="shared" si="85"/>
        <v>282</v>
      </c>
      <c r="M214" s="160" t="s">
        <v>2653</v>
      </c>
      <c r="N214" s="136">
        <v>25.337</v>
      </c>
      <c r="O214" s="122"/>
      <c r="P214" s="92">
        <f t="shared" si="111"/>
        <v>25.3368</v>
      </c>
      <c r="Q214" s="113">
        <f t="shared" si="112"/>
        <v>1.2392999999999998</v>
      </c>
      <c r="R214" s="92">
        <f t="shared" si="113"/>
        <v>0.96390000000000009</v>
      </c>
      <c r="S214" s="121"/>
      <c r="T214" s="93">
        <f t="shared" si="114"/>
        <v>-2.0000000000053308E-4</v>
      </c>
      <c r="U214" s="122"/>
      <c r="V214" s="94">
        <f t="shared" ca="1" si="115"/>
        <v>296.4644447916653</v>
      </c>
      <c r="W214" s="89">
        <f t="shared" si="116"/>
        <v>-2.1739130434840552E-4</v>
      </c>
    </row>
    <row r="215" spans="1:23" s="312" customFormat="1" ht="18">
      <c r="A215" s="115"/>
      <c r="B215" s="260" t="s">
        <v>505</v>
      </c>
      <c r="C215" s="130" t="s">
        <v>55</v>
      </c>
      <c r="D215" s="131" t="s">
        <v>2363</v>
      </c>
      <c r="E215" s="361">
        <v>283</v>
      </c>
      <c r="F215" s="138">
        <v>45234</v>
      </c>
      <c r="G215" s="252">
        <v>27.56</v>
      </c>
      <c r="H215" s="150">
        <v>1496508</v>
      </c>
      <c r="I215" s="150">
        <f t="shared" si="110"/>
        <v>54300</v>
      </c>
      <c r="J215" s="122"/>
      <c r="K215" s="186" t="s">
        <v>2676</v>
      </c>
      <c r="L215" s="262">
        <f t="shared" si="85"/>
        <v>283</v>
      </c>
      <c r="M215" s="160" t="s">
        <v>2677</v>
      </c>
      <c r="N215" s="136">
        <f>8.032+17.323</f>
        <v>25.355</v>
      </c>
      <c r="O215" s="122"/>
      <c r="P215" s="92">
        <f t="shared" si="111"/>
        <v>25.3552</v>
      </c>
      <c r="Q215" s="113">
        <f t="shared" si="112"/>
        <v>1.2402</v>
      </c>
      <c r="R215" s="92">
        <f t="shared" si="113"/>
        <v>0.96460000000000001</v>
      </c>
      <c r="S215" s="121"/>
      <c r="T215" s="93">
        <f t="shared" si="114"/>
        <v>1.9999999999831264E-4</v>
      </c>
      <c r="U215" s="122"/>
      <c r="V215" s="94">
        <f t="shared" ca="1" si="115"/>
        <v>296.4644447916653</v>
      </c>
      <c r="W215" s="89">
        <f t="shared" si="116"/>
        <v>2.17391304345992E-4</v>
      </c>
    </row>
    <row r="216" spans="1:23" s="312" customFormat="1" ht="18">
      <c r="A216" s="115"/>
      <c r="B216" s="260" t="s">
        <v>505</v>
      </c>
      <c r="C216" s="130" t="s">
        <v>55</v>
      </c>
      <c r="D216" s="131" t="s">
        <v>2364</v>
      </c>
      <c r="E216" s="361">
        <v>284</v>
      </c>
      <c r="F216" s="138">
        <v>45234</v>
      </c>
      <c r="G216" s="252">
        <v>27.56</v>
      </c>
      <c r="H216" s="150">
        <v>1496508</v>
      </c>
      <c r="I216" s="150">
        <f t="shared" si="110"/>
        <v>54300</v>
      </c>
      <c r="J216" s="122"/>
      <c r="K216" s="186" t="s">
        <v>2678</v>
      </c>
      <c r="L216" s="262">
        <f t="shared" si="85"/>
        <v>284</v>
      </c>
      <c r="M216" s="160" t="s">
        <v>2675</v>
      </c>
      <c r="N216" s="136">
        <f>15.027+10.328</f>
        <v>25.354999999999997</v>
      </c>
      <c r="O216" s="122"/>
      <c r="P216" s="92">
        <f t="shared" si="111"/>
        <v>25.3552</v>
      </c>
      <c r="Q216" s="113">
        <f t="shared" si="112"/>
        <v>1.2402</v>
      </c>
      <c r="R216" s="92">
        <f t="shared" si="113"/>
        <v>0.96460000000000001</v>
      </c>
      <c r="S216" s="121"/>
      <c r="T216" s="93">
        <f t="shared" si="114"/>
        <v>2.0000000000186535E-4</v>
      </c>
      <c r="U216" s="122"/>
      <c r="V216" s="94">
        <f t="shared" ca="1" si="115"/>
        <v>296.4644447916653</v>
      </c>
      <c r="W216" s="89">
        <f t="shared" si="116"/>
        <v>2.1739130434985366E-4</v>
      </c>
    </row>
    <row r="217" spans="1:23" s="312" customFormat="1" ht="18">
      <c r="A217" s="115"/>
      <c r="B217" s="260" t="s">
        <v>505</v>
      </c>
      <c r="C217" s="130" t="s">
        <v>55</v>
      </c>
      <c r="D217" s="131" t="s">
        <v>2365</v>
      </c>
      <c r="E217" s="361">
        <v>285</v>
      </c>
      <c r="F217" s="138">
        <v>45234</v>
      </c>
      <c r="G217" s="252">
        <v>42.36</v>
      </c>
      <c r="H217" s="150">
        <v>2300148</v>
      </c>
      <c r="I217" s="150">
        <f t="shared" si="103"/>
        <v>54300</v>
      </c>
      <c r="J217" s="122"/>
      <c r="K217" s="186" t="s">
        <v>2697</v>
      </c>
      <c r="L217" s="262">
        <f t="shared" si="85"/>
        <v>285</v>
      </c>
      <c r="M217" s="160" t="s">
        <v>2698</v>
      </c>
      <c r="N217" s="136">
        <f>22.663+16.308</f>
        <v>38.971000000000004</v>
      </c>
      <c r="O217" s="122"/>
      <c r="P217" s="92">
        <f t="shared" si="104"/>
        <v>38.971200000000003</v>
      </c>
      <c r="Q217" s="113">
        <f t="shared" si="105"/>
        <v>1.9061999999999999</v>
      </c>
      <c r="R217" s="92">
        <f t="shared" si="106"/>
        <v>1.4826000000000001</v>
      </c>
      <c r="S217" s="121"/>
      <c r="T217" s="93">
        <f t="shared" si="107"/>
        <v>1.9999999999575913E-4</v>
      </c>
      <c r="U217" s="122"/>
      <c r="V217" s="94">
        <f t="shared" ca="1" si="108"/>
        <v>296.4644447916653</v>
      </c>
      <c r="W217" s="89">
        <f t="shared" si="109"/>
        <v>2.1739130434321645E-4</v>
      </c>
    </row>
    <row r="218" spans="1:23" s="312" customFormat="1" ht="18">
      <c r="A218" s="115"/>
      <c r="B218" s="260" t="s">
        <v>505</v>
      </c>
      <c r="C218" s="130" t="s">
        <v>55</v>
      </c>
      <c r="D218" s="131" t="s">
        <v>2366</v>
      </c>
      <c r="E218" s="361">
        <v>286</v>
      </c>
      <c r="F218" s="138">
        <v>45234</v>
      </c>
      <c r="G218" s="252">
        <v>27.56</v>
      </c>
      <c r="H218" s="234">
        <v>1496508</v>
      </c>
      <c r="I218" s="150">
        <f t="shared" si="103"/>
        <v>54300</v>
      </c>
      <c r="J218" s="122"/>
      <c r="K218" s="186" t="s">
        <v>2699</v>
      </c>
      <c r="L218" s="262">
        <f t="shared" ref="L218:L281" si="117">E218</f>
        <v>286</v>
      </c>
      <c r="M218" s="160" t="s">
        <v>2696</v>
      </c>
      <c r="N218" s="136">
        <f>22.746+2.609</f>
        <v>25.354999999999997</v>
      </c>
      <c r="O218" s="122"/>
      <c r="P218" s="92">
        <f t="shared" si="104"/>
        <v>25.3552</v>
      </c>
      <c r="Q218" s="113">
        <f t="shared" si="105"/>
        <v>1.2402</v>
      </c>
      <c r="R218" s="92">
        <f t="shared" si="106"/>
        <v>0.96460000000000001</v>
      </c>
      <c r="S218" s="121"/>
      <c r="T218" s="93">
        <f t="shared" si="107"/>
        <v>2.0000000000186535E-4</v>
      </c>
      <c r="U218" s="122"/>
      <c r="V218" s="94">
        <f t="shared" ca="1" si="108"/>
        <v>296.4644447916653</v>
      </c>
      <c r="W218" s="89">
        <f t="shared" si="109"/>
        <v>2.1739130434985366E-4</v>
      </c>
    </row>
    <row r="219" spans="1:23" s="312" customFormat="1" ht="18">
      <c r="A219" s="115"/>
      <c r="B219" s="260" t="s">
        <v>505</v>
      </c>
      <c r="C219" s="130" t="s">
        <v>55</v>
      </c>
      <c r="D219" s="131" t="s">
        <v>2367</v>
      </c>
      <c r="E219" s="361">
        <v>287</v>
      </c>
      <c r="F219" s="138">
        <v>45234</v>
      </c>
      <c r="G219" s="252">
        <v>31.72</v>
      </c>
      <c r="H219" s="150">
        <v>1722396</v>
      </c>
      <c r="I219" s="150">
        <f t="shared" si="103"/>
        <v>54300</v>
      </c>
      <c r="J219" s="122"/>
      <c r="K219" s="186" t="s">
        <v>2700</v>
      </c>
      <c r="L219" s="262">
        <f t="shared" si="117"/>
        <v>287</v>
      </c>
      <c r="M219" s="160" t="s">
        <v>2693</v>
      </c>
      <c r="N219" s="136">
        <v>29.181999999999999</v>
      </c>
      <c r="O219" s="122"/>
      <c r="P219" s="92">
        <f t="shared" si="104"/>
        <v>29.182400000000001</v>
      </c>
      <c r="Q219" s="113">
        <f t="shared" si="105"/>
        <v>1.4274</v>
      </c>
      <c r="R219" s="92">
        <f t="shared" si="106"/>
        <v>1.1102000000000001</v>
      </c>
      <c r="S219" s="121"/>
      <c r="T219" s="93">
        <f t="shared" si="107"/>
        <v>4.0000000000017799E-4</v>
      </c>
      <c r="U219" s="122"/>
      <c r="V219" s="94">
        <f t="shared" ca="1" si="108"/>
        <v>296.4644447916653</v>
      </c>
      <c r="W219" s="89">
        <f t="shared" si="109"/>
        <v>4.3478260869584561E-4</v>
      </c>
    </row>
    <row r="220" spans="1:23" s="312" customFormat="1" ht="18">
      <c r="A220" s="115"/>
      <c r="B220" s="260" t="s">
        <v>505</v>
      </c>
      <c r="C220" s="130" t="s">
        <v>55</v>
      </c>
      <c r="D220" s="131" t="s">
        <v>2368</v>
      </c>
      <c r="E220" s="361">
        <v>288</v>
      </c>
      <c r="F220" s="138">
        <v>45234</v>
      </c>
      <c r="G220" s="252">
        <v>27.44</v>
      </c>
      <c r="H220" s="150">
        <v>1489992</v>
      </c>
      <c r="I220" s="150">
        <f t="shared" si="103"/>
        <v>54300</v>
      </c>
      <c r="J220" s="122"/>
      <c r="K220" s="186" t="s">
        <v>2701</v>
      </c>
      <c r="L220" s="262">
        <f t="shared" si="117"/>
        <v>288</v>
      </c>
      <c r="M220" s="160" t="s">
        <v>2693</v>
      </c>
      <c r="N220" s="136">
        <f>1.172+24.073</f>
        <v>25.245000000000001</v>
      </c>
      <c r="O220" s="122"/>
      <c r="P220" s="92">
        <f t="shared" si="104"/>
        <v>25.244800000000001</v>
      </c>
      <c r="Q220" s="113">
        <f t="shared" si="105"/>
        <v>1.2348000000000001</v>
      </c>
      <c r="R220" s="92">
        <f t="shared" si="106"/>
        <v>0.96040000000000014</v>
      </c>
      <c r="S220" s="121"/>
      <c r="T220" s="93">
        <f t="shared" si="107"/>
        <v>-1.9999999999997797E-4</v>
      </c>
      <c r="U220" s="122"/>
      <c r="V220" s="94">
        <f t="shared" ca="1" si="108"/>
        <v>296.4644447916653</v>
      </c>
      <c r="W220" s="89">
        <f t="shared" si="109"/>
        <v>-2.1739130434780213E-4</v>
      </c>
    </row>
    <row r="221" spans="1:23" s="312" customFormat="1" ht="18">
      <c r="A221" s="115"/>
      <c r="B221" s="260" t="s">
        <v>505</v>
      </c>
      <c r="C221" s="130" t="s">
        <v>55</v>
      </c>
      <c r="D221" s="131" t="s">
        <v>2369</v>
      </c>
      <c r="E221" s="361">
        <v>289</v>
      </c>
      <c r="F221" s="138">
        <v>45234</v>
      </c>
      <c r="G221" s="252">
        <v>27.54</v>
      </c>
      <c r="H221" s="150">
        <v>1495422</v>
      </c>
      <c r="I221" s="150">
        <f t="shared" si="103"/>
        <v>54300</v>
      </c>
      <c r="J221" s="122"/>
      <c r="K221" s="186" t="s">
        <v>2703</v>
      </c>
      <c r="L221" s="262">
        <f t="shared" si="117"/>
        <v>289</v>
      </c>
      <c r="M221" s="160" t="s">
        <v>2696</v>
      </c>
      <c r="N221" s="136">
        <f>8.664+16.673</f>
        <v>25.336999999999996</v>
      </c>
      <c r="O221" s="122"/>
      <c r="P221" s="92">
        <f t="shared" si="104"/>
        <v>25.3368</v>
      </c>
      <c r="Q221" s="113">
        <f t="shared" si="105"/>
        <v>1.2392999999999998</v>
      </c>
      <c r="R221" s="92">
        <f t="shared" si="106"/>
        <v>0.96390000000000009</v>
      </c>
      <c r="S221" s="121"/>
      <c r="T221" s="93">
        <f t="shared" si="107"/>
        <v>-1.9999999999698037E-4</v>
      </c>
      <c r="U221" s="122"/>
      <c r="V221" s="94">
        <f t="shared" ca="1" si="108"/>
        <v>296.4644447916653</v>
      </c>
      <c r="W221" s="89">
        <f t="shared" si="109"/>
        <v>-2.1739130434454389E-4</v>
      </c>
    </row>
    <row r="222" spans="1:23" s="312" customFormat="1" ht="18">
      <c r="A222" s="115"/>
      <c r="B222" s="260" t="s">
        <v>505</v>
      </c>
      <c r="C222" s="130" t="s">
        <v>55</v>
      </c>
      <c r="D222" s="131" t="s">
        <v>2370</v>
      </c>
      <c r="E222" s="361">
        <v>290</v>
      </c>
      <c r="F222" s="138">
        <v>45234</v>
      </c>
      <c r="G222" s="252">
        <v>27.52</v>
      </c>
      <c r="H222" s="150">
        <v>1494336</v>
      </c>
      <c r="I222" s="150">
        <f t="shared" si="103"/>
        <v>54300</v>
      </c>
      <c r="J222" s="122"/>
      <c r="K222" s="186" t="s">
        <v>2711</v>
      </c>
      <c r="L222" s="262">
        <f t="shared" si="117"/>
        <v>290</v>
      </c>
      <c r="M222" s="160" t="s">
        <v>2706</v>
      </c>
      <c r="N222" s="136">
        <f>15.899+9.419</f>
        <v>25.317999999999998</v>
      </c>
      <c r="O222" s="122"/>
      <c r="P222" s="92">
        <f t="shared" si="104"/>
        <v>25.3184</v>
      </c>
      <c r="Q222" s="113">
        <f t="shared" si="105"/>
        <v>1.2383999999999999</v>
      </c>
      <c r="R222" s="92">
        <f t="shared" si="106"/>
        <v>0.96320000000000006</v>
      </c>
      <c r="S222" s="121"/>
      <c r="T222" s="93">
        <f t="shared" si="107"/>
        <v>4.000000000017323E-4</v>
      </c>
      <c r="U222" s="122"/>
      <c r="V222" s="94">
        <f t="shared" ca="1" si="108"/>
        <v>296.4644447916653</v>
      </c>
      <c r="W222" s="89">
        <f t="shared" si="109"/>
        <v>4.3478260869753512E-4</v>
      </c>
    </row>
    <row r="223" spans="1:23" s="312" customFormat="1" ht="18">
      <c r="A223" s="115"/>
      <c r="B223" s="260" t="s">
        <v>505</v>
      </c>
      <c r="C223" s="130" t="s">
        <v>55</v>
      </c>
      <c r="D223" s="131" t="s">
        <v>2371</v>
      </c>
      <c r="E223" s="361">
        <v>291</v>
      </c>
      <c r="F223" s="138">
        <v>45234</v>
      </c>
      <c r="G223" s="252">
        <v>25.4</v>
      </c>
      <c r="H223" s="150">
        <v>1379220</v>
      </c>
      <c r="I223" s="150">
        <f t="shared" si="103"/>
        <v>54300</v>
      </c>
      <c r="J223" s="122"/>
      <c r="K223" s="186" t="s">
        <v>2719</v>
      </c>
      <c r="L223" s="262">
        <f t="shared" si="117"/>
        <v>291</v>
      </c>
      <c r="M223" s="160" t="s">
        <v>2715</v>
      </c>
      <c r="N223" s="136">
        <f>22.878+0.49</f>
        <v>23.367999999999999</v>
      </c>
      <c r="O223" s="122"/>
      <c r="P223" s="92">
        <f t="shared" si="104"/>
        <v>23.367999999999999</v>
      </c>
      <c r="Q223" s="113">
        <f t="shared" si="105"/>
        <v>1.1429999999999998</v>
      </c>
      <c r="R223" s="92">
        <f t="shared" si="106"/>
        <v>0.88900000000000001</v>
      </c>
      <c r="S223" s="121"/>
      <c r="T223" s="93">
        <f t="shared" si="107"/>
        <v>0</v>
      </c>
      <c r="U223" s="122"/>
      <c r="V223" s="94">
        <f t="shared" ca="1" si="108"/>
        <v>296.4644447916653</v>
      </c>
      <c r="W223" s="89">
        <f t="shared" si="109"/>
        <v>0</v>
      </c>
    </row>
    <row r="224" spans="1:23" s="312" customFormat="1" ht="18">
      <c r="A224" s="115"/>
      <c r="B224" s="260" t="s">
        <v>505</v>
      </c>
      <c r="C224" s="130" t="s">
        <v>55</v>
      </c>
      <c r="D224" s="131" t="s">
        <v>2372</v>
      </c>
      <c r="E224" s="361">
        <v>292</v>
      </c>
      <c r="F224" s="138">
        <v>45234</v>
      </c>
      <c r="G224" s="252">
        <v>12.667999999999999</v>
      </c>
      <c r="H224" s="150">
        <v>687872.39999999991</v>
      </c>
      <c r="I224" s="150">
        <f t="shared" si="103"/>
        <v>54299.999999999993</v>
      </c>
      <c r="J224" s="122"/>
      <c r="K224" s="186">
        <v>1592</v>
      </c>
      <c r="L224" s="262">
        <f t="shared" si="117"/>
        <v>292</v>
      </c>
      <c r="M224" s="160" t="s">
        <v>2716</v>
      </c>
      <c r="N224" s="136">
        <v>11.654999999999999</v>
      </c>
      <c r="O224" s="122"/>
      <c r="P224" s="92">
        <f t="shared" si="104"/>
        <v>11.65456</v>
      </c>
      <c r="Q224" s="113">
        <f t="shared" si="105"/>
        <v>0.5700599999999999</v>
      </c>
      <c r="R224" s="92">
        <f t="shared" si="106"/>
        <v>0.44338</v>
      </c>
      <c r="S224" s="121"/>
      <c r="T224" s="93">
        <f t="shared" si="107"/>
        <v>-4.3999999999999595E-4</v>
      </c>
      <c r="U224" s="122"/>
      <c r="V224" s="94">
        <f t="shared" ca="1" si="108"/>
        <v>296.4644447916653</v>
      </c>
      <c r="W224" s="89">
        <f t="shared" si="109"/>
        <v>-4.7826086956521296E-4</v>
      </c>
    </row>
    <row r="225" spans="1:23" s="312" customFormat="1" ht="18">
      <c r="A225" s="115"/>
      <c r="B225" s="260" t="s">
        <v>505</v>
      </c>
      <c r="C225" s="130" t="s">
        <v>55</v>
      </c>
      <c r="D225" s="131" t="s">
        <v>2373</v>
      </c>
      <c r="E225" s="361">
        <v>293</v>
      </c>
      <c r="F225" s="138">
        <v>45234</v>
      </c>
      <c r="G225" s="252">
        <v>14.792</v>
      </c>
      <c r="H225" s="150">
        <v>803205.6</v>
      </c>
      <c r="I225" s="150">
        <f t="shared" si="103"/>
        <v>54300</v>
      </c>
      <c r="J225" s="122"/>
      <c r="K225" s="186">
        <v>1593</v>
      </c>
      <c r="L225" s="262">
        <f t="shared" si="117"/>
        <v>293</v>
      </c>
      <c r="M225" s="160" t="s">
        <v>2716</v>
      </c>
      <c r="N225" s="136">
        <v>13.609</v>
      </c>
      <c r="O225" s="122"/>
      <c r="P225" s="92">
        <f t="shared" si="104"/>
        <v>13.608640000000001</v>
      </c>
      <c r="Q225" s="113">
        <f t="shared" si="105"/>
        <v>0.66564000000000001</v>
      </c>
      <c r="R225" s="92">
        <f t="shared" si="106"/>
        <v>0.51772000000000007</v>
      </c>
      <c r="S225" s="121"/>
      <c r="T225" s="93">
        <f t="shared" si="107"/>
        <v>-3.6000000000024901E-4</v>
      </c>
      <c r="U225" s="122"/>
      <c r="V225" s="94">
        <f t="shared" ca="1" si="108"/>
        <v>296.4644447916653</v>
      </c>
      <c r="W225" s="89">
        <f t="shared" si="109"/>
        <v>-3.9130434782635759E-4</v>
      </c>
    </row>
    <row r="226" spans="1:23" s="312" customFormat="1" ht="18">
      <c r="A226" s="115"/>
      <c r="B226" s="260" t="s">
        <v>505</v>
      </c>
      <c r="C226" s="130" t="s">
        <v>55</v>
      </c>
      <c r="D226" s="131" t="s">
        <v>2374</v>
      </c>
      <c r="E226" s="361">
        <v>294</v>
      </c>
      <c r="F226" s="138">
        <v>45234</v>
      </c>
      <c r="G226" s="252">
        <v>42.2</v>
      </c>
      <c r="H226" s="150">
        <v>2291460</v>
      </c>
      <c r="I226" s="150">
        <f t="shared" si="103"/>
        <v>54299.999999999993</v>
      </c>
      <c r="J226" s="122"/>
      <c r="K226" s="186" t="s">
        <v>2721</v>
      </c>
      <c r="L226" s="262">
        <f t="shared" si="117"/>
        <v>294</v>
      </c>
      <c r="M226" s="160" t="s">
        <v>2715</v>
      </c>
      <c r="N226" s="136">
        <f>32.061+6.763</f>
        <v>38.823999999999998</v>
      </c>
      <c r="O226" s="122"/>
      <c r="P226" s="92">
        <f t="shared" si="104"/>
        <v>38.824000000000005</v>
      </c>
      <c r="Q226" s="113">
        <f t="shared" si="105"/>
        <v>1.899</v>
      </c>
      <c r="R226" s="92">
        <f t="shared" si="106"/>
        <v>1.4770000000000003</v>
      </c>
      <c r="S226" s="121"/>
      <c r="T226" s="93">
        <f t="shared" si="107"/>
        <v>4.4408920985006262E-15</v>
      </c>
      <c r="U226" s="122"/>
      <c r="V226" s="94">
        <f t="shared" ca="1" si="108"/>
        <v>296.4644447916653</v>
      </c>
      <c r="W226" s="89">
        <f t="shared" si="109"/>
        <v>4.8270566288050286E-15</v>
      </c>
    </row>
    <row r="227" spans="1:23" s="312" customFormat="1" ht="18">
      <c r="A227" s="115"/>
      <c r="B227" s="260" t="s">
        <v>505</v>
      </c>
      <c r="C227" s="130" t="s">
        <v>55</v>
      </c>
      <c r="D227" s="131" t="s">
        <v>2375</v>
      </c>
      <c r="E227" s="361">
        <v>295</v>
      </c>
      <c r="F227" s="138">
        <v>45234</v>
      </c>
      <c r="G227" s="252">
        <v>21.198</v>
      </c>
      <c r="H227" s="150">
        <v>1151051.3999999999</v>
      </c>
      <c r="I227" s="150">
        <f t="shared" si="103"/>
        <v>54299.999999999993</v>
      </c>
      <c r="J227" s="122"/>
      <c r="K227" s="186" t="s">
        <v>2722</v>
      </c>
      <c r="L227" s="262">
        <f t="shared" si="117"/>
        <v>295</v>
      </c>
      <c r="M227" s="160" t="s">
        <v>2718</v>
      </c>
      <c r="N227" s="136">
        <f>6.56+12.942</f>
        <v>19.501999999999999</v>
      </c>
      <c r="O227" s="122"/>
      <c r="P227" s="92">
        <f t="shared" si="104"/>
        <v>19.50216</v>
      </c>
      <c r="Q227" s="113">
        <f t="shared" si="105"/>
        <v>0.95391000000000004</v>
      </c>
      <c r="R227" s="92">
        <f t="shared" si="106"/>
        <v>0.74193000000000009</v>
      </c>
      <c r="S227" s="121"/>
      <c r="T227" s="93">
        <f t="shared" si="107"/>
        <v>1.6000000000138126E-4</v>
      </c>
      <c r="U227" s="122"/>
      <c r="V227" s="94">
        <f t="shared" ca="1" si="108"/>
        <v>296.4644447916653</v>
      </c>
      <c r="W227" s="89">
        <f t="shared" si="109"/>
        <v>1.7391304347976223E-4</v>
      </c>
    </row>
    <row r="228" spans="1:23" s="312" customFormat="1" ht="18">
      <c r="A228" s="115"/>
      <c r="B228" s="260" t="s">
        <v>505</v>
      </c>
      <c r="C228" s="130" t="s">
        <v>55</v>
      </c>
      <c r="D228" s="131" t="s">
        <v>2376</v>
      </c>
      <c r="E228" s="361">
        <v>296</v>
      </c>
      <c r="F228" s="138">
        <v>45234</v>
      </c>
      <c r="G228" s="252">
        <v>40.18</v>
      </c>
      <c r="H228" s="150">
        <v>2181774</v>
      </c>
      <c r="I228" s="150">
        <f t="shared" si="103"/>
        <v>54300</v>
      </c>
      <c r="J228" s="122"/>
      <c r="K228" s="186" t="s">
        <v>2723</v>
      </c>
      <c r="L228" s="262">
        <f t="shared" si="117"/>
        <v>296</v>
      </c>
      <c r="M228" s="160" t="s">
        <v>2718</v>
      </c>
      <c r="N228" s="136">
        <f>32.757+4.209</f>
        <v>36.965999999999994</v>
      </c>
      <c r="O228" s="122"/>
      <c r="P228" s="92">
        <f t="shared" si="104"/>
        <v>36.965600000000002</v>
      </c>
      <c r="Q228" s="113">
        <f t="shared" si="105"/>
        <v>1.8080999999999998</v>
      </c>
      <c r="R228" s="92">
        <f t="shared" si="106"/>
        <v>1.4063000000000001</v>
      </c>
      <c r="S228" s="121"/>
      <c r="T228" s="93">
        <f t="shared" si="107"/>
        <v>-3.9999999999418279E-4</v>
      </c>
      <c r="U228" s="122"/>
      <c r="V228" s="94">
        <f t="shared" ca="1" si="108"/>
        <v>296.4644447916653</v>
      </c>
      <c r="W228" s="89">
        <f t="shared" si="109"/>
        <v>-4.3478260868932907E-4</v>
      </c>
    </row>
    <row r="229" spans="1:23" s="312" customFormat="1" ht="18">
      <c r="A229" s="115"/>
      <c r="B229" s="260" t="s">
        <v>505</v>
      </c>
      <c r="C229" s="130" t="s">
        <v>55</v>
      </c>
      <c r="D229" s="131" t="s">
        <v>2377</v>
      </c>
      <c r="E229" s="361">
        <v>297</v>
      </c>
      <c r="F229" s="138">
        <v>45234</v>
      </c>
      <c r="G229" s="252">
        <v>26.56</v>
      </c>
      <c r="H229" s="150">
        <v>1442208</v>
      </c>
      <c r="I229" s="150">
        <f t="shared" si="103"/>
        <v>54300</v>
      </c>
      <c r="J229" s="122"/>
      <c r="K229" s="186" t="s">
        <v>2724</v>
      </c>
      <c r="L229" s="262">
        <f t="shared" si="117"/>
        <v>297</v>
      </c>
      <c r="M229" s="160" t="s">
        <v>2725</v>
      </c>
      <c r="N229" s="136">
        <f>8.969+15.466</f>
        <v>24.434999999999999</v>
      </c>
      <c r="O229" s="122"/>
      <c r="P229" s="92">
        <f t="shared" si="104"/>
        <v>24.435199999999998</v>
      </c>
      <c r="Q229" s="113">
        <f t="shared" si="105"/>
        <v>1.1951999999999998</v>
      </c>
      <c r="R229" s="92">
        <f t="shared" si="106"/>
        <v>0.92960000000000009</v>
      </c>
      <c r="S229" s="121"/>
      <c r="T229" s="93">
        <f t="shared" si="107"/>
        <v>2.00000000000089E-4</v>
      </c>
      <c r="U229" s="122"/>
      <c r="V229" s="94">
        <f t="shared" ca="1" si="108"/>
        <v>296.4644447916653</v>
      </c>
      <c r="W229" s="89">
        <f t="shared" si="109"/>
        <v>2.1739130434792281E-4</v>
      </c>
    </row>
    <row r="230" spans="1:23" s="312" customFormat="1" ht="18">
      <c r="A230" s="115"/>
      <c r="B230" s="260" t="s">
        <v>505</v>
      </c>
      <c r="C230" s="130" t="s">
        <v>55</v>
      </c>
      <c r="D230" s="131" t="s">
        <v>2378</v>
      </c>
      <c r="E230" s="361">
        <v>298</v>
      </c>
      <c r="F230" s="138">
        <v>45234</v>
      </c>
      <c r="G230" s="252">
        <v>15.512</v>
      </c>
      <c r="H230" s="150">
        <v>842301.6</v>
      </c>
      <c r="I230" s="150">
        <f t="shared" si="103"/>
        <v>54300</v>
      </c>
      <c r="J230" s="122"/>
      <c r="K230" s="186">
        <v>1608</v>
      </c>
      <c r="L230" s="262">
        <f t="shared" si="117"/>
        <v>298</v>
      </c>
      <c r="M230" s="160" t="s">
        <v>2726</v>
      </c>
      <c r="N230" s="136">
        <v>14.271000000000001</v>
      </c>
      <c r="O230" s="122"/>
      <c r="P230" s="92">
        <f t="shared" si="104"/>
        <v>14.271040000000001</v>
      </c>
      <c r="Q230" s="113">
        <f t="shared" si="105"/>
        <v>0.69803999999999999</v>
      </c>
      <c r="R230" s="92">
        <f t="shared" si="106"/>
        <v>0.54292000000000007</v>
      </c>
      <c r="S230" s="121"/>
      <c r="T230" s="93">
        <f t="shared" si="107"/>
        <v>3.9999999999595914E-5</v>
      </c>
      <c r="U230" s="122"/>
      <c r="V230" s="94">
        <f t="shared" ca="1" si="108"/>
        <v>296.4644447916653</v>
      </c>
      <c r="W230" s="89">
        <f t="shared" si="109"/>
        <v>4.3478260869125997E-5</v>
      </c>
    </row>
    <row r="231" spans="1:23" s="312" customFormat="1" ht="18">
      <c r="A231" s="115"/>
      <c r="B231" s="260" t="s">
        <v>505</v>
      </c>
      <c r="C231" s="130" t="s">
        <v>55</v>
      </c>
      <c r="D231" s="131" t="s">
        <v>2379</v>
      </c>
      <c r="E231" s="361">
        <v>299</v>
      </c>
      <c r="F231" s="138">
        <v>45234</v>
      </c>
      <c r="G231" s="252">
        <v>14.843999999999999</v>
      </c>
      <c r="H231" s="150">
        <v>806029.2</v>
      </c>
      <c r="I231" s="150">
        <f t="shared" si="103"/>
        <v>54300</v>
      </c>
      <c r="J231" s="122"/>
      <c r="K231" s="186" t="s">
        <v>2727</v>
      </c>
      <c r="L231" s="262">
        <f t="shared" si="117"/>
        <v>299</v>
      </c>
      <c r="M231" s="160" t="s">
        <v>2728</v>
      </c>
      <c r="N231" s="136">
        <f>2.657+10.999</f>
        <v>13.656000000000001</v>
      </c>
      <c r="O231" s="122"/>
      <c r="P231" s="92">
        <f t="shared" si="104"/>
        <v>13.65648</v>
      </c>
      <c r="Q231" s="113">
        <f t="shared" si="105"/>
        <v>0.66797999999999991</v>
      </c>
      <c r="R231" s="92">
        <f t="shared" si="106"/>
        <v>0.51954</v>
      </c>
      <c r="S231" s="121"/>
      <c r="T231" s="93">
        <f t="shared" si="107"/>
        <v>4.7999999999892573E-4</v>
      </c>
      <c r="U231" s="122"/>
      <c r="V231" s="94">
        <f t="shared" ca="1" si="108"/>
        <v>296.4644447916653</v>
      </c>
      <c r="W231" s="89">
        <f t="shared" si="109"/>
        <v>5.2173913043361488E-4</v>
      </c>
    </row>
    <row r="232" spans="1:23" s="312" customFormat="1" ht="18">
      <c r="A232" s="115"/>
      <c r="B232" s="260"/>
      <c r="C232" s="130"/>
      <c r="D232" s="131"/>
      <c r="E232" s="361"/>
      <c r="F232" s="138"/>
      <c r="G232" s="252"/>
      <c r="H232" s="150"/>
      <c r="I232" s="150"/>
      <c r="J232" s="122"/>
      <c r="K232" s="186"/>
      <c r="L232" s="262"/>
      <c r="M232" s="160"/>
      <c r="N232" s="136"/>
      <c r="O232" s="122"/>
      <c r="P232" s="92"/>
      <c r="Q232" s="113"/>
      <c r="R232" s="92"/>
      <c r="S232" s="121"/>
      <c r="T232" s="93"/>
      <c r="U232" s="122"/>
      <c r="V232" s="94"/>
      <c r="W232" s="89"/>
    </row>
    <row r="233" spans="1:23" s="312" customFormat="1" ht="18">
      <c r="A233" s="115"/>
      <c r="B233" s="260" t="s">
        <v>505</v>
      </c>
      <c r="C233" s="130" t="s">
        <v>94</v>
      </c>
      <c r="D233" s="131" t="s">
        <v>2380</v>
      </c>
      <c r="E233" s="361">
        <v>300</v>
      </c>
      <c r="F233" s="138">
        <v>45234</v>
      </c>
      <c r="G233" s="252">
        <v>27.62</v>
      </c>
      <c r="H233" s="150">
        <v>1444526</v>
      </c>
      <c r="I233" s="150">
        <f t="shared" si="70"/>
        <v>52300</v>
      </c>
      <c r="J233" s="122"/>
      <c r="K233" s="186" t="s">
        <v>2760</v>
      </c>
      <c r="L233" s="262">
        <f>E233</f>
        <v>300</v>
      </c>
      <c r="M233" s="160" t="s">
        <v>2728</v>
      </c>
      <c r="N233" s="136">
        <f>20.583+4.827</f>
        <v>25.409999999999997</v>
      </c>
      <c r="O233" s="122"/>
      <c r="P233" s="92">
        <f t="shared" si="64"/>
        <v>25.410400000000003</v>
      </c>
      <c r="Q233" s="113">
        <f t="shared" si="65"/>
        <v>1.2428999999999999</v>
      </c>
      <c r="R233" s="92">
        <f t="shared" si="66"/>
        <v>0.96670000000000011</v>
      </c>
      <c r="S233" s="121"/>
      <c r="T233" s="93">
        <f t="shared" si="67"/>
        <v>4.0000000000439684E-4</v>
      </c>
      <c r="U233" s="122"/>
      <c r="V233" s="94">
        <f t="shared" ca="1" si="68"/>
        <v>296.4644447916653</v>
      </c>
      <c r="W233" s="89">
        <f t="shared" si="69"/>
        <v>4.347826087004313E-4</v>
      </c>
    </row>
    <row r="234" spans="1:23" s="312" customFormat="1" ht="18">
      <c r="A234" s="115"/>
      <c r="B234" s="260" t="s">
        <v>505</v>
      </c>
      <c r="C234" s="130" t="s">
        <v>94</v>
      </c>
      <c r="D234" s="131" t="s">
        <v>2381</v>
      </c>
      <c r="E234" s="361">
        <v>301</v>
      </c>
      <c r="F234" s="138">
        <v>45234</v>
      </c>
      <c r="G234" s="252">
        <v>10.596</v>
      </c>
      <c r="H234" s="150">
        <v>554170.80000000005</v>
      </c>
      <c r="I234" s="150">
        <f t="shared" si="52"/>
        <v>52300.000000000007</v>
      </c>
      <c r="J234" s="122"/>
      <c r="K234" s="186">
        <v>1613</v>
      </c>
      <c r="L234" s="262">
        <f t="shared" si="117"/>
        <v>301</v>
      </c>
      <c r="M234" s="160" t="s">
        <v>2726</v>
      </c>
      <c r="N234" s="136">
        <v>9.7479999999999993</v>
      </c>
      <c r="O234" s="122"/>
      <c r="P234" s="92">
        <f t="shared" si="47"/>
        <v>9.7483199999999997</v>
      </c>
      <c r="Q234" s="113">
        <f t="shared" si="48"/>
        <v>0.47681999999999997</v>
      </c>
      <c r="R234" s="92">
        <f t="shared" si="49"/>
        <v>0.37086000000000002</v>
      </c>
      <c r="S234" s="121"/>
      <c r="T234" s="93">
        <f t="shared" si="53"/>
        <v>3.2000000000076412E-4</v>
      </c>
      <c r="U234" s="122"/>
      <c r="V234" s="94">
        <f t="shared" ca="1" si="54"/>
        <v>296.4644447916653</v>
      </c>
      <c r="W234" s="89">
        <f t="shared" si="55"/>
        <v>3.4782608695735232E-4</v>
      </c>
    </row>
    <row r="235" spans="1:23" s="312" customFormat="1" ht="18">
      <c r="A235" s="115"/>
      <c r="B235" s="260" t="s">
        <v>505</v>
      </c>
      <c r="C235" s="130" t="s">
        <v>94</v>
      </c>
      <c r="D235" s="131" t="s">
        <v>2382</v>
      </c>
      <c r="E235" s="361">
        <v>302</v>
      </c>
      <c r="F235" s="138">
        <v>45234</v>
      </c>
      <c r="G235" s="252">
        <v>12.976000000000001</v>
      </c>
      <c r="H235" s="150">
        <v>678644.8</v>
      </c>
      <c r="I235" s="150">
        <f t="shared" si="39"/>
        <v>52300</v>
      </c>
      <c r="J235" s="122"/>
      <c r="K235" s="186">
        <v>1614</v>
      </c>
      <c r="L235" s="262">
        <f t="shared" si="117"/>
        <v>302</v>
      </c>
      <c r="M235" s="160" t="s">
        <v>2726</v>
      </c>
      <c r="N235" s="136">
        <v>11.938000000000001</v>
      </c>
      <c r="O235" s="122"/>
      <c r="P235" s="92">
        <f>G235*0.92</f>
        <v>11.937920000000002</v>
      </c>
      <c r="Q235" s="113">
        <f>G235*4.5%</f>
        <v>0.58391999999999999</v>
      </c>
      <c r="R235" s="92">
        <f>G235*3.5%</f>
        <v>0.45416000000000006</v>
      </c>
      <c r="S235" s="121"/>
      <c r="T235" s="93">
        <f t="shared" si="50"/>
        <v>-7.9999999999802451E-5</v>
      </c>
      <c r="U235" s="122"/>
      <c r="V235" s="94">
        <f t="shared" ca="1" si="51"/>
        <v>296.4644447916653</v>
      </c>
      <c r="W235" s="89">
        <f t="shared" si="45"/>
        <v>-8.6956521738915714E-5</v>
      </c>
    </row>
    <row r="236" spans="1:23" s="312" customFormat="1" ht="18">
      <c r="A236" s="115"/>
      <c r="B236" s="260" t="s">
        <v>505</v>
      </c>
      <c r="C236" s="130" t="s">
        <v>94</v>
      </c>
      <c r="D236" s="131" t="s">
        <v>2383</v>
      </c>
      <c r="E236" s="361">
        <v>303</v>
      </c>
      <c r="F236" s="138">
        <v>45234</v>
      </c>
      <c r="G236" s="252">
        <v>27.6</v>
      </c>
      <c r="H236" s="150">
        <v>1443480</v>
      </c>
      <c r="I236" s="150">
        <f t="shared" si="39"/>
        <v>52300</v>
      </c>
      <c r="J236" s="122"/>
      <c r="K236" s="186" t="s">
        <v>2763</v>
      </c>
      <c r="L236" s="262">
        <f t="shared" si="117"/>
        <v>303</v>
      </c>
      <c r="M236" s="160" t="s">
        <v>2728</v>
      </c>
      <c r="N236" s="136">
        <f>6.226+19.167</f>
        <v>25.393000000000001</v>
      </c>
      <c r="O236" s="122"/>
      <c r="P236" s="92">
        <v>25.393000000000004</v>
      </c>
      <c r="Q236" s="113">
        <v>1.2415</v>
      </c>
      <c r="R236" s="92">
        <v>0.96550000000000025</v>
      </c>
      <c r="S236" s="121"/>
      <c r="T236" s="93">
        <f t="shared" si="50"/>
        <v>0</v>
      </c>
      <c r="U236" s="122"/>
      <c r="V236" s="94">
        <f t="shared" ca="1" si="51"/>
        <v>296.4644447916653</v>
      </c>
      <c r="W236" s="89">
        <f t="shared" si="45"/>
        <v>0</v>
      </c>
    </row>
    <row r="237" spans="1:23" s="312" customFormat="1" ht="18">
      <c r="A237" s="115"/>
      <c r="B237" s="260"/>
      <c r="C237" s="90"/>
      <c r="D237" s="261"/>
      <c r="E237" s="150"/>
      <c r="F237" s="138"/>
      <c r="G237" s="265"/>
      <c r="H237" s="90"/>
      <c r="I237" s="150"/>
      <c r="J237" s="122"/>
      <c r="K237" s="186"/>
      <c r="L237" s="262"/>
      <c r="M237" s="160"/>
      <c r="N237" s="136"/>
      <c r="O237" s="122"/>
      <c r="P237" s="92">
        <f t="shared" ref="P237" si="118">G237*0.92</f>
        <v>0</v>
      </c>
      <c r="Q237" s="113">
        <f t="shared" ref="Q237" si="119">G237*4.5%</f>
        <v>0</v>
      </c>
      <c r="R237" s="92">
        <f t="shared" ref="R237" si="120">G237*3.5%</f>
        <v>0</v>
      </c>
      <c r="S237" s="121"/>
      <c r="T237" s="93">
        <f t="shared" ref="T237" si="121">G237-N237-Q237-R237</f>
        <v>0</v>
      </c>
      <c r="U237" s="122"/>
      <c r="V237" s="94">
        <f t="shared" ref="V237" ca="1" si="122">360-($V$3-F237)</f>
        <v>-44937.535555208335</v>
      </c>
      <c r="W237" s="89">
        <f t="shared" ref="W237" si="123">T237/0.92%/100</f>
        <v>0</v>
      </c>
    </row>
    <row r="238" spans="1:23" s="312" customFormat="1" ht="18">
      <c r="A238" s="115"/>
      <c r="B238" s="260" t="s">
        <v>1194</v>
      </c>
      <c r="C238" s="130" t="s">
        <v>53</v>
      </c>
      <c r="D238" s="131" t="s">
        <v>2729</v>
      </c>
      <c r="E238" s="361">
        <v>324</v>
      </c>
      <c r="F238" s="138">
        <v>45249</v>
      </c>
      <c r="G238" s="265">
        <v>32.9</v>
      </c>
      <c r="H238" s="90">
        <v>1676258</v>
      </c>
      <c r="I238" s="150">
        <f t="shared" ref="I238:I269" si="124">H238/G238</f>
        <v>50950.09118541034</v>
      </c>
      <c r="J238" s="122"/>
      <c r="K238" s="186" t="s">
        <v>2780</v>
      </c>
      <c r="L238" s="262">
        <f t="shared" si="117"/>
        <v>324</v>
      </c>
      <c r="M238" s="160" t="s">
        <v>2761</v>
      </c>
      <c r="N238" s="136">
        <f>13.195+17.073</f>
        <v>30.268000000000001</v>
      </c>
      <c r="O238" s="122"/>
      <c r="P238" s="92">
        <f t="shared" ref="P238:P269" si="125">G238*0.92</f>
        <v>30.268000000000001</v>
      </c>
      <c r="Q238" s="113">
        <f t="shared" ref="Q238:Q269" si="126">G238*4.5%</f>
        <v>1.4804999999999999</v>
      </c>
      <c r="R238" s="92">
        <f t="shared" ref="R238:R269" si="127">G238*3.5%</f>
        <v>1.1515</v>
      </c>
      <c r="S238" s="121"/>
      <c r="T238" s="93">
        <f t="shared" ref="T238:T269" si="128">G238-N238-Q238-R238</f>
        <v>-1.9984014443252818E-15</v>
      </c>
      <c r="U238" s="122"/>
      <c r="V238" s="94">
        <f t="shared" ref="V238:V269" ca="1" si="129">360-($V$3-F238)</f>
        <v>311.4644447916653</v>
      </c>
      <c r="W238" s="89">
        <f t="shared" ref="W238:W269" si="130">T238/0.92%/100</f>
        <v>-2.1721754829622628E-15</v>
      </c>
    </row>
    <row r="239" spans="1:23" s="312" customFormat="1" ht="18">
      <c r="A239" s="115"/>
      <c r="B239" s="260" t="s">
        <v>1194</v>
      </c>
      <c r="C239" s="130" t="s">
        <v>53</v>
      </c>
      <c r="D239" s="131" t="s">
        <v>2731</v>
      </c>
      <c r="E239" s="361">
        <v>325</v>
      </c>
      <c r="F239" s="138">
        <v>45249</v>
      </c>
      <c r="G239" s="265">
        <v>33</v>
      </c>
      <c r="H239" s="90">
        <v>1681353</v>
      </c>
      <c r="I239" s="150">
        <f t="shared" si="124"/>
        <v>50950.090909090912</v>
      </c>
      <c r="J239" s="122"/>
      <c r="K239" s="186" t="s">
        <v>2781</v>
      </c>
      <c r="L239" s="262">
        <f t="shared" si="117"/>
        <v>325</v>
      </c>
      <c r="M239" s="160" t="s">
        <v>2782</v>
      </c>
      <c r="N239" s="136">
        <f>15.833+14.527</f>
        <v>30.36</v>
      </c>
      <c r="O239" s="122"/>
      <c r="P239" s="92">
        <f t="shared" si="125"/>
        <v>30.360000000000003</v>
      </c>
      <c r="Q239" s="113">
        <f t="shared" si="126"/>
        <v>1.4849999999999999</v>
      </c>
      <c r="R239" s="92">
        <f t="shared" si="127"/>
        <v>1.155</v>
      </c>
      <c r="S239" s="121"/>
      <c r="T239" s="93">
        <f t="shared" si="128"/>
        <v>0</v>
      </c>
      <c r="U239" s="122"/>
      <c r="V239" s="94">
        <f t="shared" ca="1" si="129"/>
        <v>311.4644447916653</v>
      </c>
      <c r="W239" s="89">
        <f t="shared" si="130"/>
        <v>0</v>
      </c>
    </row>
    <row r="240" spans="1:23" s="312" customFormat="1" ht="18">
      <c r="A240" s="115"/>
      <c r="B240" s="260" t="s">
        <v>1194</v>
      </c>
      <c r="C240" s="130" t="str">
        <f>+C239</f>
        <v>HT-125X125</v>
      </c>
      <c r="D240" s="131" t="s">
        <v>2731</v>
      </c>
      <c r="E240" s="361">
        <v>326</v>
      </c>
      <c r="F240" s="138">
        <v>45249</v>
      </c>
      <c r="G240" s="265">
        <v>33</v>
      </c>
      <c r="H240" s="90">
        <v>1681353</v>
      </c>
      <c r="I240" s="150">
        <f t="shared" si="124"/>
        <v>50950.090909090912</v>
      </c>
      <c r="J240" s="122"/>
      <c r="K240" s="186" t="s">
        <v>2783</v>
      </c>
      <c r="L240" s="262">
        <f t="shared" si="117"/>
        <v>326</v>
      </c>
      <c r="M240" s="160" t="s">
        <v>2784</v>
      </c>
      <c r="N240" s="136">
        <f>17.52+12.84</f>
        <v>30.36</v>
      </c>
      <c r="O240" s="122"/>
      <c r="P240" s="92">
        <f t="shared" si="125"/>
        <v>30.360000000000003</v>
      </c>
      <c r="Q240" s="113">
        <f t="shared" si="126"/>
        <v>1.4849999999999999</v>
      </c>
      <c r="R240" s="92">
        <f t="shared" si="127"/>
        <v>1.155</v>
      </c>
      <c r="S240" s="121"/>
      <c r="T240" s="93">
        <f t="shared" si="128"/>
        <v>0</v>
      </c>
      <c r="U240" s="122"/>
      <c r="V240" s="94">
        <f t="shared" ca="1" si="129"/>
        <v>311.4644447916653</v>
      </c>
      <c r="W240" s="89">
        <f t="shared" si="130"/>
        <v>0</v>
      </c>
    </row>
    <row r="241" spans="1:23" s="312" customFormat="1" ht="18">
      <c r="A241" s="115"/>
      <c r="B241" s="260" t="s">
        <v>1194</v>
      </c>
      <c r="C241" s="130" t="str">
        <f>+C240</f>
        <v>HT-125X125</v>
      </c>
      <c r="D241" s="131" t="s">
        <v>2729</v>
      </c>
      <c r="E241" s="361">
        <v>327</v>
      </c>
      <c r="F241" s="138">
        <v>45249</v>
      </c>
      <c r="G241" s="265">
        <v>32.9</v>
      </c>
      <c r="H241" s="90">
        <v>1676258</v>
      </c>
      <c r="I241" s="150">
        <f t="shared" si="124"/>
        <v>50950.09118541034</v>
      </c>
      <c r="J241" s="122"/>
      <c r="K241" s="186" t="s">
        <v>2785</v>
      </c>
      <c r="L241" s="262">
        <f t="shared" si="117"/>
        <v>327</v>
      </c>
      <c r="M241" s="160" t="s">
        <v>2784</v>
      </c>
      <c r="N241" s="136">
        <f>27.497+2.771</f>
        <v>30.268000000000001</v>
      </c>
      <c r="O241" s="122"/>
      <c r="P241" s="92">
        <f t="shared" si="125"/>
        <v>30.268000000000001</v>
      </c>
      <c r="Q241" s="113">
        <f t="shared" si="126"/>
        <v>1.4804999999999999</v>
      </c>
      <c r="R241" s="92">
        <f t="shared" si="127"/>
        <v>1.1515</v>
      </c>
      <c r="S241" s="121"/>
      <c r="T241" s="93">
        <f t="shared" si="128"/>
        <v>-1.9984014443252818E-15</v>
      </c>
      <c r="U241" s="122"/>
      <c r="V241" s="94">
        <f t="shared" ca="1" si="129"/>
        <v>311.4644447916653</v>
      </c>
      <c r="W241" s="89">
        <f t="shared" si="130"/>
        <v>-2.1721754829622628E-15</v>
      </c>
    </row>
    <row r="242" spans="1:23" s="312" customFormat="1" ht="18">
      <c r="A242" s="115"/>
      <c r="B242" s="260" t="s">
        <v>1194</v>
      </c>
      <c r="C242" s="130" t="s">
        <v>53</v>
      </c>
      <c r="D242" s="131" t="s">
        <v>2730</v>
      </c>
      <c r="E242" s="361">
        <v>328</v>
      </c>
      <c r="F242" s="138">
        <v>45249</v>
      </c>
      <c r="G242" s="265">
        <v>33.997</v>
      </c>
      <c r="H242" s="90">
        <v>1732134</v>
      </c>
      <c r="I242" s="150">
        <f t="shared" si="124"/>
        <v>50949.613201164808</v>
      </c>
      <c r="J242" s="122"/>
      <c r="K242" s="186" t="s">
        <v>2795</v>
      </c>
      <c r="L242" s="262">
        <f t="shared" si="117"/>
        <v>328</v>
      </c>
      <c r="M242" s="160" t="s">
        <v>2796</v>
      </c>
      <c r="N242" s="136">
        <f>29.075+2.202</f>
        <v>31.277000000000001</v>
      </c>
      <c r="O242" s="122"/>
      <c r="P242" s="92">
        <f t="shared" si="125"/>
        <v>31.277240000000003</v>
      </c>
      <c r="Q242" s="113">
        <f t="shared" si="126"/>
        <v>1.529865</v>
      </c>
      <c r="R242" s="92">
        <f t="shared" si="127"/>
        <v>1.1898950000000001</v>
      </c>
      <c r="S242" s="121"/>
      <c r="T242" s="93">
        <f t="shared" si="128"/>
        <v>2.3999999999868571E-4</v>
      </c>
      <c r="U242" s="122"/>
      <c r="V242" s="94">
        <f t="shared" ca="1" si="129"/>
        <v>311.4644447916653</v>
      </c>
      <c r="W242" s="89">
        <f t="shared" si="130"/>
        <v>2.6086956521596274E-4</v>
      </c>
    </row>
    <row r="243" spans="1:23" s="312" customFormat="1" ht="18">
      <c r="A243" s="115"/>
      <c r="B243" s="260" t="s">
        <v>1194</v>
      </c>
      <c r="C243" s="130" t="str">
        <f>+C242</f>
        <v>HT-125X125</v>
      </c>
      <c r="D243" s="131" t="s">
        <v>2730</v>
      </c>
      <c r="E243" s="361">
        <v>329</v>
      </c>
      <c r="F243" s="138">
        <v>45250</v>
      </c>
      <c r="G243" s="265">
        <v>31.803000000000001</v>
      </c>
      <c r="H243" s="90">
        <v>1620383</v>
      </c>
      <c r="I243" s="150">
        <f t="shared" si="124"/>
        <v>50950.633588026285</v>
      </c>
      <c r="J243" s="122"/>
      <c r="K243" s="186" t="s">
        <v>2810</v>
      </c>
      <c r="L243" s="262">
        <f t="shared" si="117"/>
        <v>329</v>
      </c>
      <c r="M243" s="160" t="s">
        <v>2809</v>
      </c>
      <c r="N243" s="136">
        <f>28.625+0.644</f>
        <v>29.268999999999998</v>
      </c>
      <c r="O243" s="122"/>
      <c r="P243" s="92">
        <f>G243*0.92+0.01</f>
        <v>29.268760000000004</v>
      </c>
      <c r="Q243" s="113">
        <f>G243*4.5%-0.005</f>
        <v>1.4261350000000002</v>
      </c>
      <c r="R243" s="92">
        <f>G243*3.5%-0.005</f>
        <v>1.1081050000000003</v>
      </c>
      <c r="S243" s="121"/>
      <c r="T243" s="93">
        <f t="shared" si="128"/>
        <v>-2.3999999999801958E-4</v>
      </c>
      <c r="U243" s="122"/>
      <c r="V243" s="94">
        <f t="shared" ca="1" si="129"/>
        <v>312.4644447916653</v>
      </c>
      <c r="W243" s="89">
        <f t="shared" si="130"/>
        <v>-2.6086956521523865E-4</v>
      </c>
    </row>
    <row r="244" spans="1:23" s="312" customFormat="1" ht="18">
      <c r="A244" s="115"/>
      <c r="B244" s="260" t="s">
        <v>1194</v>
      </c>
      <c r="C244" s="130" t="s">
        <v>52</v>
      </c>
      <c r="D244" s="131" t="s">
        <v>2738</v>
      </c>
      <c r="E244" s="361">
        <v>330</v>
      </c>
      <c r="F244" s="138">
        <v>45250</v>
      </c>
      <c r="G244" s="265">
        <v>33.841999999999999</v>
      </c>
      <c r="H244" s="90">
        <v>1656553</v>
      </c>
      <c r="I244" s="150">
        <f t="shared" si="124"/>
        <v>48949.618816854796</v>
      </c>
      <c r="J244" s="122"/>
      <c r="K244" s="186">
        <v>1633</v>
      </c>
      <c r="L244" s="262">
        <f t="shared" si="117"/>
        <v>330</v>
      </c>
      <c r="M244" s="160" t="s">
        <v>2786</v>
      </c>
      <c r="N244" s="136">
        <v>31.135000000000002</v>
      </c>
      <c r="O244" s="122"/>
      <c r="P244" s="92">
        <f t="shared" si="125"/>
        <v>31.134640000000001</v>
      </c>
      <c r="Q244" s="113">
        <f t="shared" si="126"/>
        <v>1.5228899999999999</v>
      </c>
      <c r="R244" s="92">
        <f t="shared" si="127"/>
        <v>1.1844700000000001</v>
      </c>
      <c r="S244" s="121"/>
      <c r="T244" s="93">
        <f t="shared" si="128"/>
        <v>-3.6000000000280252E-4</v>
      </c>
      <c r="U244" s="122"/>
      <c r="V244" s="94">
        <f t="shared" ca="1" si="129"/>
        <v>312.4644447916653</v>
      </c>
      <c r="W244" s="89">
        <f t="shared" si="130"/>
        <v>-3.9130434782913315E-4</v>
      </c>
    </row>
    <row r="245" spans="1:23" s="312" customFormat="1" ht="18">
      <c r="A245" s="115"/>
      <c r="B245" s="260" t="s">
        <v>1194</v>
      </c>
      <c r="C245" s="130" t="str">
        <f>+C244</f>
        <v>MS-125X125</v>
      </c>
      <c r="D245" s="131" t="s">
        <v>2738</v>
      </c>
      <c r="E245" s="361">
        <v>331</v>
      </c>
      <c r="F245" s="138">
        <v>45250</v>
      </c>
      <c r="G245" s="265">
        <v>31.658000000000001</v>
      </c>
      <c r="H245" s="90">
        <v>1549679</v>
      </c>
      <c r="I245" s="150">
        <f t="shared" si="124"/>
        <v>48950.62859308863</v>
      </c>
      <c r="J245" s="122"/>
      <c r="K245" s="186" t="s">
        <v>2799</v>
      </c>
      <c r="L245" s="262">
        <f t="shared" si="117"/>
        <v>331</v>
      </c>
      <c r="M245" s="160" t="s">
        <v>2800</v>
      </c>
      <c r="N245" s="136">
        <f>2.026+1.044+26.055</f>
        <v>29.125</v>
      </c>
      <c r="O245" s="122"/>
      <c r="P245" s="92">
        <f t="shared" si="125"/>
        <v>29.125360000000004</v>
      </c>
      <c r="Q245" s="113">
        <f t="shared" si="126"/>
        <v>1.4246099999999999</v>
      </c>
      <c r="R245" s="92">
        <f t="shared" si="127"/>
        <v>1.1080300000000001</v>
      </c>
      <c r="S245" s="121"/>
      <c r="T245" s="93">
        <f t="shared" si="128"/>
        <v>3.6000000000124821E-4</v>
      </c>
      <c r="U245" s="122"/>
      <c r="V245" s="94">
        <f t="shared" ca="1" si="129"/>
        <v>312.4644447916653</v>
      </c>
      <c r="W245" s="89">
        <f t="shared" si="130"/>
        <v>3.9130434782744369E-4</v>
      </c>
    </row>
    <row r="246" spans="1:23" s="312" customFormat="1" ht="18">
      <c r="A246" s="115"/>
      <c r="B246" s="260" t="s">
        <v>1194</v>
      </c>
      <c r="C246" s="130" t="s">
        <v>53</v>
      </c>
      <c r="D246" s="131" t="s">
        <v>2733</v>
      </c>
      <c r="E246" s="361">
        <v>333</v>
      </c>
      <c r="F246" s="138">
        <v>45250</v>
      </c>
      <c r="G246" s="265">
        <v>34.1</v>
      </c>
      <c r="H246" s="90">
        <v>1737398</v>
      </c>
      <c r="I246" s="150">
        <f t="shared" si="124"/>
        <v>50950.087976539588</v>
      </c>
      <c r="J246" s="122"/>
      <c r="K246" s="186" t="s">
        <v>2801</v>
      </c>
      <c r="L246" s="262">
        <f t="shared" si="117"/>
        <v>333</v>
      </c>
      <c r="M246" s="160" t="s">
        <v>2802</v>
      </c>
      <c r="N246" s="136">
        <f>6.49+24.882</f>
        <v>31.372</v>
      </c>
      <c r="O246" s="122"/>
      <c r="P246" s="92">
        <f t="shared" si="125"/>
        <v>31.372000000000003</v>
      </c>
      <c r="Q246" s="113">
        <f t="shared" si="126"/>
        <v>1.5345</v>
      </c>
      <c r="R246" s="92">
        <f t="shared" si="127"/>
        <v>1.1935000000000002</v>
      </c>
      <c r="S246" s="121"/>
      <c r="T246" s="93">
        <f t="shared" si="128"/>
        <v>0</v>
      </c>
      <c r="U246" s="122"/>
      <c r="V246" s="94">
        <f t="shared" ca="1" si="129"/>
        <v>312.4644447916653</v>
      </c>
      <c r="W246" s="89">
        <f t="shared" si="130"/>
        <v>0</v>
      </c>
    </row>
    <row r="247" spans="1:23" s="312" customFormat="1" ht="18">
      <c r="A247" s="115"/>
      <c r="B247" s="260" t="s">
        <v>1194</v>
      </c>
      <c r="C247" s="130" t="str">
        <f>+C246</f>
        <v>HT-125X125</v>
      </c>
      <c r="D247" s="131" t="s">
        <v>2733</v>
      </c>
      <c r="E247" s="361">
        <v>334</v>
      </c>
      <c r="F247" s="138">
        <v>45250</v>
      </c>
      <c r="G247" s="265">
        <v>31.9</v>
      </c>
      <c r="H247" s="90">
        <v>1625308</v>
      </c>
      <c r="I247" s="150">
        <f t="shared" si="124"/>
        <v>50950.094043887148</v>
      </c>
      <c r="J247" s="122"/>
      <c r="K247" s="186" t="s">
        <v>2811</v>
      </c>
      <c r="L247" s="262">
        <f t="shared" si="117"/>
        <v>334</v>
      </c>
      <c r="M247" s="160" t="s">
        <v>2812</v>
      </c>
      <c r="N247" s="136">
        <f>7.572+16.322+5.454</f>
        <v>29.347999999999999</v>
      </c>
      <c r="O247" s="122"/>
      <c r="P247" s="92">
        <f t="shared" si="125"/>
        <v>29.347999999999999</v>
      </c>
      <c r="Q247" s="113">
        <f t="shared" si="126"/>
        <v>1.4354999999999998</v>
      </c>
      <c r="R247" s="92">
        <f t="shared" si="127"/>
        <v>1.1165</v>
      </c>
      <c r="S247" s="121"/>
      <c r="T247" s="93">
        <f t="shared" si="128"/>
        <v>0</v>
      </c>
      <c r="U247" s="122"/>
      <c r="V247" s="94">
        <f t="shared" ca="1" si="129"/>
        <v>312.4644447916653</v>
      </c>
      <c r="W247" s="89">
        <f t="shared" si="130"/>
        <v>0</v>
      </c>
    </row>
    <row r="248" spans="1:23" s="312" customFormat="1" ht="18">
      <c r="A248" s="115"/>
      <c r="B248" s="260" t="s">
        <v>1194</v>
      </c>
      <c r="C248" s="130" t="s">
        <v>52</v>
      </c>
      <c r="D248" s="131" t="s">
        <v>2737</v>
      </c>
      <c r="E248" s="361">
        <v>335</v>
      </c>
      <c r="F248" s="138">
        <v>45250</v>
      </c>
      <c r="G248" s="265">
        <v>31.32</v>
      </c>
      <c r="H248" s="90">
        <v>1533354</v>
      </c>
      <c r="I248" s="150">
        <f t="shared" si="124"/>
        <v>48957.662835249044</v>
      </c>
      <c r="J248" s="122"/>
      <c r="K248" s="186" t="s">
        <v>2817</v>
      </c>
      <c r="L248" s="262">
        <f t="shared" si="117"/>
        <v>335</v>
      </c>
      <c r="M248" s="160" t="s">
        <v>2819</v>
      </c>
      <c r="N248" s="136">
        <f>25.528+3.286</f>
        <v>28.814</v>
      </c>
      <c r="O248" s="122"/>
      <c r="P248" s="92">
        <f t="shared" si="125"/>
        <v>28.814400000000003</v>
      </c>
      <c r="Q248" s="113">
        <f t="shared" si="126"/>
        <v>1.4094</v>
      </c>
      <c r="R248" s="92">
        <f t="shared" si="127"/>
        <v>1.0962000000000001</v>
      </c>
      <c r="S248" s="121"/>
      <c r="T248" s="93">
        <f t="shared" si="128"/>
        <v>4.0000000000017799E-4</v>
      </c>
      <c r="U248" s="122"/>
      <c r="V248" s="94">
        <f t="shared" ca="1" si="129"/>
        <v>312.4644447916653</v>
      </c>
      <c r="W248" s="89">
        <f t="shared" si="130"/>
        <v>4.3478260869584561E-4</v>
      </c>
    </row>
    <row r="249" spans="1:23" s="312" customFormat="1" ht="18">
      <c r="A249" s="115"/>
      <c r="B249" s="260" t="s">
        <v>1194</v>
      </c>
      <c r="C249" s="130" t="str">
        <f>+C248</f>
        <v>MS-125X125</v>
      </c>
      <c r="D249" s="131" t="s">
        <v>2737</v>
      </c>
      <c r="E249" s="361">
        <v>336</v>
      </c>
      <c r="F249" s="138">
        <v>45250</v>
      </c>
      <c r="G249" s="265">
        <v>33.479999999999997</v>
      </c>
      <c r="H249" s="90">
        <v>1639102</v>
      </c>
      <c r="I249" s="150">
        <f t="shared" si="124"/>
        <v>48957.64635603346</v>
      </c>
      <c r="J249" s="122"/>
      <c r="K249" s="186" t="s">
        <v>2813</v>
      </c>
      <c r="L249" s="262">
        <f t="shared" si="117"/>
        <v>336</v>
      </c>
      <c r="M249" s="160" t="s">
        <v>2814</v>
      </c>
      <c r="N249" s="136">
        <f>30.703+0.099</f>
        <v>30.802</v>
      </c>
      <c r="O249" s="122"/>
      <c r="P249" s="92">
        <f>G249*0.92</f>
        <v>30.801599999999997</v>
      </c>
      <c r="Q249" s="113">
        <f>G249*4.5%</f>
        <v>1.5065999999999997</v>
      </c>
      <c r="R249" s="92">
        <f>G249*3.5%</f>
        <v>1.1718</v>
      </c>
      <c r="S249" s="121"/>
      <c r="T249" s="93">
        <f t="shared" si="128"/>
        <v>-4.0000000000239844E-4</v>
      </c>
      <c r="U249" s="122"/>
      <c r="V249" s="94">
        <f t="shared" ca="1" si="129"/>
        <v>312.4644447916653</v>
      </c>
      <c r="W249" s="89">
        <f t="shared" si="130"/>
        <v>-4.3478260869825915E-4</v>
      </c>
    </row>
    <row r="250" spans="1:23" s="312" customFormat="1" ht="18">
      <c r="A250" s="115"/>
      <c r="B250" s="260" t="s">
        <v>1194</v>
      </c>
      <c r="C250" s="130" t="s">
        <v>53</v>
      </c>
      <c r="D250" s="131" t="s">
        <v>2734</v>
      </c>
      <c r="E250" s="361">
        <v>337</v>
      </c>
      <c r="F250" s="138">
        <v>45250</v>
      </c>
      <c r="G250" s="265">
        <v>36.08</v>
      </c>
      <c r="H250" s="90">
        <v>1838280</v>
      </c>
      <c r="I250" s="150">
        <f t="shared" si="124"/>
        <v>50950.110864745016</v>
      </c>
      <c r="J250" s="122"/>
      <c r="K250" s="186" t="s">
        <v>2815</v>
      </c>
      <c r="L250" s="262">
        <f t="shared" si="117"/>
        <v>337</v>
      </c>
      <c r="M250" s="160" t="s">
        <v>2814</v>
      </c>
      <c r="N250" s="136">
        <f>31.586+1.608</f>
        <v>33.193999999999996</v>
      </c>
      <c r="O250" s="122"/>
      <c r="P250" s="92">
        <f t="shared" si="125"/>
        <v>33.193599999999996</v>
      </c>
      <c r="Q250" s="113">
        <f t="shared" si="126"/>
        <v>1.6235999999999999</v>
      </c>
      <c r="R250" s="92">
        <f t="shared" si="127"/>
        <v>1.2628000000000001</v>
      </c>
      <c r="S250" s="121"/>
      <c r="T250" s="93">
        <f t="shared" si="128"/>
        <v>-3.9999999999729141E-4</v>
      </c>
      <c r="U250" s="122"/>
      <c r="V250" s="94">
        <f t="shared" ca="1" si="129"/>
        <v>312.4644447916653</v>
      </c>
      <c r="W250" s="89">
        <f t="shared" si="130"/>
        <v>-4.3478260869270804E-4</v>
      </c>
    </row>
    <row r="251" spans="1:23" s="312" customFormat="1" ht="18">
      <c r="A251" s="115"/>
      <c r="B251" s="260" t="s">
        <v>1194</v>
      </c>
      <c r="C251" s="130" t="str">
        <f>+C250</f>
        <v>HT-125X125</v>
      </c>
      <c r="D251" s="131" t="s">
        <v>2734</v>
      </c>
      <c r="E251" s="361">
        <v>338</v>
      </c>
      <c r="F251" s="138">
        <v>45250</v>
      </c>
      <c r="G251" s="265">
        <v>29.52</v>
      </c>
      <c r="H251" s="90">
        <v>1504047</v>
      </c>
      <c r="I251" s="150">
        <f t="shared" si="124"/>
        <v>50950.101626016258</v>
      </c>
      <c r="J251" s="122"/>
      <c r="K251" s="186">
        <v>1666</v>
      </c>
      <c r="L251" s="262">
        <f t="shared" si="117"/>
        <v>338</v>
      </c>
      <c r="M251" s="160" t="s">
        <v>2816</v>
      </c>
      <c r="N251" s="136">
        <v>27.158000000000001</v>
      </c>
      <c r="O251" s="122"/>
      <c r="P251" s="92">
        <f t="shared" si="125"/>
        <v>27.1584</v>
      </c>
      <c r="Q251" s="113">
        <f t="shared" si="126"/>
        <v>1.3284</v>
      </c>
      <c r="R251" s="92">
        <f t="shared" si="127"/>
        <v>1.0332000000000001</v>
      </c>
      <c r="S251" s="121"/>
      <c r="T251" s="93">
        <f t="shared" si="128"/>
        <v>3.9999999999817959E-4</v>
      </c>
      <c r="U251" s="122"/>
      <c r="V251" s="94">
        <f t="shared" ca="1" si="129"/>
        <v>312.4644447916653</v>
      </c>
      <c r="W251" s="89">
        <f t="shared" si="130"/>
        <v>4.3478260869367347E-4</v>
      </c>
    </row>
    <row r="252" spans="1:23" s="312" customFormat="1" ht="18">
      <c r="A252" s="115"/>
      <c r="B252" s="260" t="s">
        <v>1194</v>
      </c>
      <c r="C252" s="130" t="s">
        <v>52</v>
      </c>
      <c r="D252" s="131" t="s">
        <v>2736</v>
      </c>
      <c r="E252" s="361">
        <v>339</v>
      </c>
      <c r="F252" s="138">
        <v>45250</v>
      </c>
      <c r="G252" s="265">
        <v>30.613</v>
      </c>
      <c r="H252" s="90">
        <v>1498526</v>
      </c>
      <c r="I252" s="150">
        <f t="shared" si="124"/>
        <v>48950.641884166856</v>
      </c>
      <c r="J252" s="122"/>
      <c r="K252" s="186" t="s">
        <v>2818</v>
      </c>
      <c r="L252" s="262">
        <f t="shared" si="117"/>
        <v>339</v>
      </c>
      <c r="M252" s="160" t="s">
        <v>2819</v>
      </c>
      <c r="N252" s="136">
        <f>2.033+26.131</f>
        <v>28.164000000000001</v>
      </c>
      <c r="O252" s="122"/>
      <c r="P252" s="92">
        <f t="shared" si="125"/>
        <v>28.163959999999999</v>
      </c>
      <c r="Q252" s="113">
        <f t="shared" si="126"/>
        <v>1.3775849999999998</v>
      </c>
      <c r="R252" s="92">
        <f t="shared" si="127"/>
        <v>1.071455</v>
      </c>
      <c r="S252" s="121"/>
      <c r="T252" s="93">
        <f t="shared" si="128"/>
        <v>-4.000000000181636E-5</v>
      </c>
      <c r="U252" s="122"/>
      <c r="V252" s="94">
        <f t="shared" ca="1" si="129"/>
        <v>312.4644447916653</v>
      </c>
      <c r="W252" s="89">
        <f t="shared" si="130"/>
        <v>-4.3478260871539525E-5</v>
      </c>
    </row>
    <row r="253" spans="1:23" s="312" customFormat="1" ht="18">
      <c r="A253" s="115"/>
      <c r="B253" s="260" t="s">
        <v>1194</v>
      </c>
      <c r="C253" s="130" t="str">
        <f>+C252</f>
        <v>MS-125X125</v>
      </c>
      <c r="D253" s="131" t="s">
        <v>2736</v>
      </c>
      <c r="E253" s="361">
        <v>340</v>
      </c>
      <c r="F253" s="138">
        <v>45250</v>
      </c>
      <c r="G253" s="265">
        <v>34.987000000000002</v>
      </c>
      <c r="H253" s="90">
        <v>1712601</v>
      </c>
      <c r="I253" s="150">
        <f t="shared" si="124"/>
        <v>48949.638437133792</v>
      </c>
      <c r="J253" s="122"/>
      <c r="K253" s="186">
        <v>1670</v>
      </c>
      <c r="L253" s="262">
        <f t="shared" si="117"/>
        <v>340</v>
      </c>
      <c r="M253" s="160" t="s">
        <v>2816</v>
      </c>
      <c r="N253" s="136">
        <v>32.188000000000002</v>
      </c>
      <c r="O253" s="122"/>
      <c r="P253" s="92">
        <f t="shared" si="125"/>
        <v>32.188040000000001</v>
      </c>
      <c r="Q253" s="113">
        <f t="shared" si="126"/>
        <v>1.5744150000000001</v>
      </c>
      <c r="R253" s="92">
        <f t="shared" si="127"/>
        <v>1.2245450000000002</v>
      </c>
      <c r="S253" s="121"/>
      <c r="T253" s="93">
        <f t="shared" si="128"/>
        <v>3.9999999999151825E-5</v>
      </c>
      <c r="U253" s="122"/>
      <c r="V253" s="94">
        <f t="shared" ca="1" si="129"/>
        <v>312.4644447916653</v>
      </c>
      <c r="W253" s="89">
        <f t="shared" si="130"/>
        <v>4.3478260868643289E-5</v>
      </c>
    </row>
    <row r="254" spans="1:23" s="312" customFormat="1" ht="18">
      <c r="A254" s="115"/>
      <c r="B254" s="260" t="s">
        <v>1194</v>
      </c>
      <c r="C254" s="130" t="s">
        <v>53</v>
      </c>
      <c r="D254" s="131" t="s">
        <v>2735</v>
      </c>
      <c r="E254" s="361">
        <v>343</v>
      </c>
      <c r="F254" s="138">
        <v>45252</v>
      </c>
      <c r="G254" s="265">
        <v>33.79</v>
      </c>
      <c r="H254" s="90">
        <v>1721604</v>
      </c>
      <c r="I254" s="150">
        <f t="shared" si="124"/>
        <v>50950.103580941111</v>
      </c>
      <c r="J254" s="122"/>
      <c r="K254" s="230" t="s">
        <v>2823</v>
      </c>
      <c r="L254" s="262">
        <f t="shared" si="117"/>
        <v>343</v>
      </c>
      <c r="M254" s="160" t="s">
        <v>2822</v>
      </c>
      <c r="N254" s="133">
        <f>0.462+2.341+0.677+27.607</f>
        <v>31.087</v>
      </c>
      <c r="O254" s="122"/>
      <c r="P254" s="92">
        <f t="shared" si="125"/>
        <v>31.0868</v>
      </c>
      <c r="Q254" s="113">
        <f t="shared" si="126"/>
        <v>1.5205499999999998</v>
      </c>
      <c r="R254" s="92">
        <f t="shared" si="127"/>
        <v>1.18265</v>
      </c>
      <c r="S254" s="121"/>
      <c r="T254" s="93">
        <f t="shared" si="128"/>
        <v>-2.0000000000042206E-4</v>
      </c>
      <c r="U254" s="122"/>
      <c r="V254" s="94">
        <f t="shared" ca="1" si="129"/>
        <v>314.4644447916653</v>
      </c>
      <c r="W254" s="89">
        <f t="shared" si="130"/>
        <v>-2.1739130434828485E-4</v>
      </c>
    </row>
    <row r="255" spans="1:23" s="312" customFormat="1" ht="18">
      <c r="A255" s="115"/>
      <c r="B255" s="260" t="s">
        <v>1194</v>
      </c>
      <c r="C255" s="130" t="str">
        <f>+C254</f>
        <v>HT-125X125</v>
      </c>
      <c r="D255" s="131" t="s">
        <v>2735</v>
      </c>
      <c r="E255" s="361">
        <v>344</v>
      </c>
      <c r="F255" s="138">
        <v>45252</v>
      </c>
      <c r="G255" s="265">
        <v>31.61</v>
      </c>
      <c r="H255" s="90">
        <v>1610533</v>
      </c>
      <c r="I255" s="150">
        <f t="shared" si="124"/>
        <v>50950.110724454287</v>
      </c>
      <c r="J255" s="122"/>
      <c r="K255" s="186" t="s">
        <v>2820</v>
      </c>
      <c r="L255" s="262">
        <f t="shared" si="117"/>
        <v>344</v>
      </c>
      <c r="M255" s="160" t="s">
        <v>2821</v>
      </c>
      <c r="N255" s="136">
        <f>6.259+22.822</f>
        <v>29.081</v>
      </c>
      <c r="O255" s="122"/>
      <c r="P255" s="92">
        <f t="shared" si="125"/>
        <v>29.081199999999999</v>
      </c>
      <c r="Q255" s="113">
        <f t="shared" si="126"/>
        <v>1.42245</v>
      </c>
      <c r="R255" s="92">
        <f t="shared" si="127"/>
        <v>1.1063500000000002</v>
      </c>
      <c r="S255" s="121"/>
      <c r="T255" s="93">
        <f t="shared" si="128"/>
        <v>1.9999999999975593E-4</v>
      </c>
      <c r="U255" s="122"/>
      <c r="V255" s="94">
        <f t="shared" ca="1" si="129"/>
        <v>314.4644447916653</v>
      </c>
      <c r="W255" s="89">
        <f t="shared" si="130"/>
        <v>2.1739130434756082E-4</v>
      </c>
    </row>
    <row r="256" spans="1:23" s="312" customFormat="1" ht="18">
      <c r="A256" s="115"/>
      <c r="B256" s="260" t="s">
        <v>1194</v>
      </c>
      <c r="C256" s="130" t="s">
        <v>53</v>
      </c>
      <c r="D256" s="131" t="s">
        <v>2732</v>
      </c>
      <c r="E256" s="361">
        <v>345</v>
      </c>
      <c r="F256" s="138">
        <v>45252</v>
      </c>
      <c r="G256" s="265">
        <v>32.85</v>
      </c>
      <c r="H256" s="90">
        <v>1673711</v>
      </c>
      <c r="I256" s="150">
        <f t="shared" si="124"/>
        <v>50950.106544901064</v>
      </c>
      <c r="J256" s="122"/>
      <c r="K256" s="186" t="s">
        <v>2825</v>
      </c>
      <c r="L256" s="262">
        <f t="shared" si="117"/>
        <v>345</v>
      </c>
      <c r="M256" s="160" t="s">
        <v>2826</v>
      </c>
      <c r="N256" s="136">
        <f>4.33+25.892</f>
        <v>30.222000000000001</v>
      </c>
      <c r="O256" s="122"/>
      <c r="P256" s="92">
        <f t="shared" si="125"/>
        <v>30.222000000000001</v>
      </c>
      <c r="Q256" s="113">
        <f t="shared" si="126"/>
        <v>1.4782500000000001</v>
      </c>
      <c r="R256" s="92">
        <f t="shared" si="127"/>
        <v>1.14975</v>
      </c>
      <c r="S256" s="121"/>
      <c r="T256" s="93">
        <f t="shared" si="128"/>
        <v>0</v>
      </c>
      <c r="U256" s="122"/>
      <c r="V256" s="94">
        <f t="shared" ca="1" si="129"/>
        <v>314.4644447916653</v>
      </c>
      <c r="W256" s="89">
        <f t="shared" si="130"/>
        <v>0</v>
      </c>
    </row>
    <row r="257" spans="1:23" s="312" customFormat="1" ht="18">
      <c r="A257" s="115"/>
      <c r="B257" s="260" t="s">
        <v>1194</v>
      </c>
      <c r="C257" s="130" t="str">
        <f>+C256</f>
        <v>HT-125X125</v>
      </c>
      <c r="D257" s="131" t="s">
        <v>2732</v>
      </c>
      <c r="E257" s="361">
        <v>346</v>
      </c>
      <c r="F257" s="138">
        <v>45252</v>
      </c>
      <c r="G257" s="265">
        <v>32.85</v>
      </c>
      <c r="H257" s="90">
        <v>1673711</v>
      </c>
      <c r="I257" s="150">
        <f t="shared" si="124"/>
        <v>50950.106544901064</v>
      </c>
      <c r="J257" s="122"/>
      <c r="K257" s="186" t="s">
        <v>2827</v>
      </c>
      <c r="L257" s="262">
        <f t="shared" si="117"/>
        <v>346</v>
      </c>
      <c r="M257" s="160" t="s">
        <v>2826</v>
      </c>
      <c r="N257" s="136">
        <f>6.676+23.546</f>
        <v>30.222000000000001</v>
      </c>
      <c r="O257" s="122"/>
      <c r="P257" s="92">
        <f t="shared" si="125"/>
        <v>30.222000000000001</v>
      </c>
      <c r="Q257" s="113">
        <f t="shared" si="126"/>
        <v>1.4782500000000001</v>
      </c>
      <c r="R257" s="92">
        <f t="shared" si="127"/>
        <v>1.14975</v>
      </c>
      <c r="S257" s="121"/>
      <c r="T257" s="93">
        <f t="shared" si="128"/>
        <v>0</v>
      </c>
      <c r="U257" s="122"/>
      <c r="V257" s="94">
        <f t="shared" ca="1" si="129"/>
        <v>314.4644447916653</v>
      </c>
      <c r="W257" s="89">
        <f t="shared" si="130"/>
        <v>0</v>
      </c>
    </row>
    <row r="258" spans="1:23" s="312" customFormat="1" ht="18">
      <c r="A258" s="115"/>
      <c r="B258" s="260" t="s">
        <v>1194</v>
      </c>
      <c r="C258" s="130" t="s">
        <v>53</v>
      </c>
      <c r="D258" s="131" t="s">
        <v>2740</v>
      </c>
      <c r="E258" s="361">
        <v>347</v>
      </c>
      <c r="F258" s="138">
        <v>45254</v>
      </c>
      <c r="G258" s="265">
        <v>31.65</v>
      </c>
      <c r="H258" s="90">
        <v>1607472</v>
      </c>
      <c r="I258" s="150">
        <f t="shared" si="124"/>
        <v>50789.004739336495</v>
      </c>
      <c r="J258" s="122"/>
      <c r="K258" s="186" t="s">
        <v>2832</v>
      </c>
      <c r="L258" s="262">
        <f t="shared" si="117"/>
        <v>347</v>
      </c>
      <c r="M258" s="160" t="s">
        <v>2833</v>
      </c>
      <c r="N258" s="136">
        <f>9.296+19.822</f>
        <v>29.117999999999999</v>
      </c>
      <c r="O258" s="122"/>
      <c r="P258" s="92">
        <f t="shared" si="125"/>
        <v>29.117999999999999</v>
      </c>
      <c r="Q258" s="113">
        <f t="shared" si="126"/>
        <v>1.4242499999999998</v>
      </c>
      <c r="R258" s="92">
        <f t="shared" si="127"/>
        <v>1.10775</v>
      </c>
      <c r="S258" s="121"/>
      <c r="T258" s="93">
        <f t="shared" si="128"/>
        <v>0</v>
      </c>
      <c r="U258" s="122"/>
      <c r="V258" s="94">
        <f t="shared" ca="1" si="129"/>
        <v>316.4644447916653</v>
      </c>
      <c r="W258" s="89">
        <f t="shared" si="130"/>
        <v>0</v>
      </c>
    </row>
    <row r="259" spans="1:23" s="312" customFormat="1" ht="18">
      <c r="A259" s="115"/>
      <c r="B259" s="260" t="s">
        <v>1194</v>
      </c>
      <c r="C259" s="130" t="str">
        <f>+C258</f>
        <v>HT-125X125</v>
      </c>
      <c r="D259" s="131" t="s">
        <v>2740</v>
      </c>
      <c r="E259" s="361">
        <v>348</v>
      </c>
      <c r="F259" s="138">
        <v>45254</v>
      </c>
      <c r="G259" s="265">
        <v>31.65</v>
      </c>
      <c r="H259" s="90">
        <v>1607472</v>
      </c>
      <c r="I259" s="150">
        <f t="shared" si="124"/>
        <v>50789.004739336495</v>
      </c>
      <c r="J259" s="122"/>
      <c r="K259" s="186" t="s">
        <v>2835</v>
      </c>
      <c r="L259" s="262">
        <f t="shared" si="117"/>
        <v>348</v>
      </c>
      <c r="M259" s="160" t="s">
        <v>2836</v>
      </c>
      <c r="N259" s="136">
        <f>12.562+16.556</f>
        <v>29.118000000000002</v>
      </c>
      <c r="O259" s="122"/>
      <c r="P259" s="92">
        <f t="shared" si="125"/>
        <v>29.117999999999999</v>
      </c>
      <c r="Q259" s="113">
        <f t="shared" si="126"/>
        <v>1.4242499999999998</v>
      </c>
      <c r="R259" s="92">
        <f t="shared" si="127"/>
        <v>1.10775</v>
      </c>
      <c r="S259" s="121"/>
      <c r="T259" s="93">
        <f t="shared" si="128"/>
        <v>-3.3306690738754696E-15</v>
      </c>
      <c r="U259" s="122"/>
      <c r="V259" s="94">
        <f t="shared" ca="1" si="129"/>
        <v>316.4644447916653</v>
      </c>
      <c r="W259" s="89">
        <f t="shared" si="130"/>
        <v>-3.6202924716037714E-15</v>
      </c>
    </row>
    <row r="260" spans="1:23" s="312" customFormat="1" ht="18">
      <c r="A260" s="115"/>
      <c r="B260" s="260" t="s">
        <v>1194</v>
      </c>
      <c r="C260" s="130" t="s">
        <v>52</v>
      </c>
      <c r="D260" s="131" t="s">
        <v>2745</v>
      </c>
      <c r="E260" s="361">
        <v>349</v>
      </c>
      <c r="F260" s="138">
        <v>45254</v>
      </c>
      <c r="G260" s="265">
        <v>31.61</v>
      </c>
      <c r="H260" s="90">
        <v>1540328</v>
      </c>
      <c r="I260" s="150">
        <f t="shared" si="124"/>
        <v>48729.136349256565</v>
      </c>
      <c r="J260" s="122"/>
      <c r="K260" s="186" t="s">
        <v>2837</v>
      </c>
      <c r="L260" s="262">
        <f t="shared" si="117"/>
        <v>349</v>
      </c>
      <c r="M260" s="160" t="s">
        <v>2836</v>
      </c>
      <c r="N260" s="136">
        <f>15.858+13.223</f>
        <v>29.081000000000003</v>
      </c>
      <c r="O260" s="122"/>
      <c r="P260" s="92">
        <f t="shared" si="125"/>
        <v>29.081199999999999</v>
      </c>
      <c r="Q260" s="113">
        <f t="shared" si="126"/>
        <v>1.42245</v>
      </c>
      <c r="R260" s="92">
        <f t="shared" si="127"/>
        <v>1.1063500000000002</v>
      </c>
      <c r="S260" s="121"/>
      <c r="T260" s="93">
        <f t="shared" si="128"/>
        <v>1.9999999999620321E-4</v>
      </c>
      <c r="U260" s="122"/>
      <c r="V260" s="94">
        <f t="shared" ca="1" si="129"/>
        <v>316.4644447916653</v>
      </c>
      <c r="W260" s="89">
        <f t="shared" si="130"/>
        <v>2.1739130434369913E-4</v>
      </c>
    </row>
    <row r="261" spans="1:23" s="312" customFormat="1" ht="18">
      <c r="A261" s="115"/>
      <c r="B261" s="260" t="s">
        <v>1194</v>
      </c>
      <c r="C261" s="130" t="str">
        <f>+C260</f>
        <v>MS-125X125</v>
      </c>
      <c r="D261" s="131" t="s">
        <v>2745</v>
      </c>
      <c r="E261" s="361">
        <v>350</v>
      </c>
      <c r="F261" s="138">
        <v>45254</v>
      </c>
      <c r="G261" s="265">
        <v>33.79</v>
      </c>
      <c r="H261" s="90">
        <v>1646557</v>
      </c>
      <c r="I261" s="150">
        <f t="shared" si="124"/>
        <v>48729.121041728322</v>
      </c>
      <c r="J261" s="122"/>
      <c r="K261" s="186" t="s">
        <v>2838</v>
      </c>
      <c r="L261" s="262">
        <f t="shared" si="117"/>
        <v>350</v>
      </c>
      <c r="M261" s="160" t="s">
        <v>2836</v>
      </c>
      <c r="N261" s="136">
        <f>19.724+11.363</f>
        <v>31.087</v>
      </c>
      <c r="O261" s="122"/>
      <c r="P261" s="92">
        <f t="shared" si="125"/>
        <v>31.0868</v>
      </c>
      <c r="Q261" s="113">
        <f t="shared" si="126"/>
        <v>1.5205499999999998</v>
      </c>
      <c r="R261" s="92">
        <f t="shared" si="127"/>
        <v>1.18265</v>
      </c>
      <c r="S261" s="121"/>
      <c r="T261" s="93">
        <f t="shared" si="128"/>
        <v>-2.0000000000042206E-4</v>
      </c>
      <c r="U261" s="122"/>
      <c r="V261" s="94">
        <f t="shared" ca="1" si="129"/>
        <v>316.4644447916653</v>
      </c>
      <c r="W261" s="89">
        <f t="shared" si="130"/>
        <v>-2.1739130434828485E-4</v>
      </c>
    </row>
    <row r="262" spans="1:23" s="312" customFormat="1" ht="18">
      <c r="A262" s="115"/>
      <c r="B262" s="260" t="s">
        <v>1194</v>
      </c>
      <c r="C262" s="130" t="s">
        <v>52</v>
      </c>
      <c r="D262" s="131" t="s">
        <v>2746</v>
      </c>
      <c r="E262" s="361">
        <v>351</v>
      </c>
      <c r="F262" s="138">
        <v>45254</v>
      </c>
      <c r="G262" s="265">
        <v>33.152999999999999</v>
      </c>
      <c r="H262" s="90">
        <v>1615495</v>
      </c>
      <c r="I262" s="150">
        <f t="shared" si="124"/>
        <v>48728.471028262902</v>
      </c>
      <c r="J262" s="122"/>
      <c r="K262" s="186" t="s">
        <v>2839</v>
      </c>
      <c r="L262" s="262">
        <f t="shared" si="117"/>
        <v>351</v>
      </c>
      <c r="M262" s="160" t="s">
        <v>2841</v>
      </c>
      <c r="N262" s="136">
        <f>21.306+9.195</f>
        <v>30.501000000000001</v>
      </c>
      <c r="O262" s="122"/>
      <c r="P262" s="92">
        <f t="shared" si="125"/>
        <v>30.50076</v>
      </c>
      <c r="Q262" s="113">
        <f t="shared" si="126"/>
        <v>1.4918849999999999</v>
      </c>
      <c r="R262" s="92">
        <f t="shared" si="127"/>
        <v>1.160355</v>
      </c>
      <c r="S262" s="121"/>
      <c r="T262" s="93">
        <f t="shared" si="128"/>
        <v>-2.4000000000246047E-4</v>
      </c>
      <c r="U262" s="122"/>
      <c r="V262" s="94">
        <f t="shared" ca="1" si="129"/>
        <v>316.4644447916653</v>
      </c>
      <c r="W262" s="89">
        <f t="shared" si="130"/>
        <v>-2.6086956522006574E-4</v>
      </c>
    </row>
    <row r="263" spans="1:23" s="312" customFormat="1" ht="18">
      <c r="A263" s="115"/>
      <c r="B263" s="260" t="s">
        <v>1194</v>
      </c>
      <c r="C263" s="130" t="str">
        <f>+C262</f>
        <v>MS-125X125</v>
      </c>
      <c r="D263" s="131" t="s">
        <v>2746</v>
      </c>
      <c r="E263" s="361">
        <v>353</v>
      </c>
      <c r="F263" s="138">
        <v>45254</v>
      </c>
      <c r="G263" s="265">
        <v>32.046999999999997</v>
      </c>
      <c r="H263" s="90">
        <v>1561645</v>
      </c>
      <c r="I263" s="150">
        <f t="shared" si="124"/>
        <v>48729.834305863267</v>
      </c>
      <c r="J263" s="122"/>
      <c r="K263" s="186" t="s">
        <v>2843</v>
      </c>
      <c r="L263" s="262">
        <f t="shared" si="117"/>
        <v>353</v>
      </c>
      <c r="M263" s="160" t="s">
        <v>2844</v>
      </c>
      <c r="N263" s="136">
        <f>23.23+6.253</f>
        <v>29.483000000000001</v>
      </c>
      <c r="O263" s="122"/>
      <c r="P263" s="92">
        <f t="shared" si="125"/>
        <v>29.483239999999999</v>
      </c>
      <c r="Q263" s="113">
        <f t="shared" si="126"/>
        <v>1.4421149999999998</v>
      </c>
      <c r="R263" s="92">
        <f t="shared" si="127"/>
        <v>1.121645</v>
      </c>
      <c r="S263" s="121"/>
      <c r="T263" s="93">
        <f t="shared" si="128"/>
        <v>2.3999999999668731E-4</v>
      </c>
      <c r="U263" s="122"/>
      <c r="V263" s="94">
        <f t="shared" ca="1" si="129"/>
        <v>316.4644447916653</v>
      </c>
      <c r="W263" s="89">
        <f t="shared" si="130"/>
        <v>2.6086956521379054E-4</v>
      </c>
    </row>
    <row r="264" spans="1:23" s="312" customFormat="1" ht="18">
      <c r="A264" s="115"/>
      <c r="B264" s="260" t="s">
        <v>1194</v>
      </c>
      <c r="C264" s="130" t="s">
        <v>52</v>
      </c>
      <c r="D264" s="131" t="s">
        <v>2741</v>
      </c>
      <c r="E264" s="361">
        <v>354</v>
      </c>
      <c r="F264" s="138">
        <v>45254</v>
      </c>
      <c r="G264" s="265">
        <v>30.567</v>
      </c>
      <c r="H264" s="90">
        <v>1489487</v>
      </c>
      <c r="I264" s="150">
        <f t="shared" si="124"/>
        <v>48728.596198514737</v>
      </c>
      <c r="J264" s="122"/>
      <c r="K264" s="186" t="s">
        <v>2893</v>
      </c>
      <c r="L264" s="262">
        <f t="shared" si="117"/>
        <v>354</v>
      </c>
      <c r="M264" s="160" t="s">
        <v>2903</v>
      </c>
      <c r="N264" s="136">
        <f>25.889+2.233</f>
        <v>28.122</v>
      </c>
      <c r="O264" s="122"/>
      <c r="P264" s="92">
        <f t="shared" si="125"/>
        <v>28.121640000000003</v>
      </c>
      <c r="Q264" s="113">
        <f t="shared" si="126"/>
        <v>1.375515</v>
      </c>
      <c r="R264" s="92">
        <f t="shared" si="127"/>
        <v>1.0698450000000002</v>
      </c>
      <c r="S264" s="121"/>
      <c r="T264" s="93">
        <f t="shared" si="128"/>
        <v>-3.5999999999991594E-4</v>
      </c>
      <c r="U264" s="122"/>
      <c r="V264" s="94">
        <f t="shared" ca="1" si="129"/>
        <v>316.4644447916653</v>
      </c>
      <c r="W264" s="89">
        <f t="shared" si="130"/>
        <v>-3.9130434782599558E-4</v>
      </c>
    </row>
    <row r="265" spans="1:23" s="312" customFormat="1" ht="18">
      <c r="A265" s="115"/>
      <c r="B265" s="260" t="s">
        <v>1194</v>
      </c>
      <c r="C265" s="130" t="str">
        <f>+C264</f>
        <v>MS-125X125</v>
      </c>
      <c r="D265" s="131" t="s">
        <v>2741</v>
      </c>
      <c r="E265" s="361">
        <v>355</v>
      </c>
      <c r="F265" s="138">
        <v>45254</v>
      </c>
      <c r="G265" s="265">
        <v>34.933</v>
      </c>
      <c r="H265" s="90">
        <v>1702271</v>
      </c>
      <c r="I265" s="150">
        <f t="shared" si="124"/>
        <v>48729.596656456648</v>
      </c>
      <c r="J265" s="122"/>
      <c r="K265" s="186" t="s">
        <v>2905</v>
      </c>
      <c r="L265" s="262">
        <f t="shared" si="117"/>
        <v>355</v>
      </c>
      <c r="M265" s="160" t="s">
        <v>2906</v>
      </c>
      <c r="N265" s="136">
        <f>30.158+1.98</f>
        <v>32.137999999999998</v>
      </c>
      <c r="O265" s="122"/>
      <c r="P265" s="92">
        <f t="shared" si="125"/>
        <v>32.138359999999999</v>
      </c>
      <c r="Q265" s="113">
        <f t="shared" si="126"/>
        <v>1.571985</v>
      </c>
      <c r="R265" s="92">
        <f t="shared" si="127"/>
        <v>1.222655</v>
      </c>
      <c r="S265" s="121"/>
      <c r="T265" s="93">
        <f t="shared" si="128"/>
        <v>3.600000000016923E-4</v>
      </c>
      <c r="U265" s="122"/>
      <c r="V265" s="94">
        <f t="shared" ca="1" si="129"/>
        <v>316.4644447916653</v>
      </c>
      <c r="W265" s="89">
        <f t="shared" si="130"/>
        <v>3.9130434782792643E-4</v>
      </c>
    </row>
    <row r="266" spans="1:23" s="312" customFormat="1" ht="18">
      <c r="A266" s="115"/>
      <c r="B266" s="260" t="s">
        <v>1194</v>
      </c>
      <c r="C266" s="130" t="s">
        <v>52</v>
      </c>
      <c r="D266" s="131" t="s">
        <v>2742</v>
      </c>
      <c r="E266" s="361">
        <v>356</v>
      </c>
      <c r="F266" s="138">
        <v>45254</v>
      </c>
      <c r="G266" s="265">
        <v>31.876000000000001</v>
      </c>
      <c r="H266" s="90">
        <v>1553290</v>
      </c>
      <c r="I266" s="150">
        <f t="shared" si="124"/>
        <v>48729.137909398916</v>
      </c>
      <c r="J266" s="122"/>
      <c r="K266" s="186">
        <v>1741</v>
      </c>
      <c r="L266" s="262">
        <f t="shared" si="117"/>
        <v>356</v>
      </c>
      <c r="M266" s="160" t="s">
        <v>2904</v>
      </c>
      <c r="N266" s="136">
        <v>29.326000000000001</v>
      </c>
      <c r="O266" s="122"/>
      <c r="P266" s="92">
        <f t="shared" si="125"/>
        <v>29.325920000000004</v>
      </c>
      <c r="Q266" s="113">
        <f t="shared" si="126"/>
        <v>1.43442</v>
      </c>
      <c r="R266" s="92">
        <f t="shared" si="127"/>
        <v>1.1156600000000001</v>
      </c>
      <c r="S266" s="121"/>
      <c r="T266" s="93">
        <f t="shared" si="128"/>
        <v>-7.9999999999413873E-5</v>
      </c>
      <c r="U266" s="122"/>
      <c r="V266" s="94">
        <f t="shared" ca="1" si="129"/>
        <v>316.4644447916653</v>
      </c>
      <c r="W266" s="89">
        <f t="shared" si="130"/>
        <v>-8.6956521738493336E-5</v>
      </c>
    </row>
    <row r="267" spans="1:23" s="312" customFormat="1" ht="18">
      <c r="A267" s="115"/>
      <c r="B267" s="260" t="s">
        <v>1194</v>
      </c>
      <c r="C267" s="130" t="str">
        <f>+C266</f>
        <v>MS-125X125</v>
      </c>
      <c r="D267" s="131" t="s">
        <v>2742</v>
      </c>
      <c r="E267" s="361">
        <v>357</v>
      </c>
      <c r="F267" s="138">
        <v>45254</v>
      </c>
      <c r="G267" s="265">
        <v>33.323999999999998</v>
      </c>
      <c r="H267" s="90">
        <v>1623850</v>
      </c>
      <c r="I267" s="150">
        <f t="shared" si="124"/>
        <v>48729.144160364907</v>
      </c>
      <c r="J267" s="122"/>
      <c r="K267" s="186" t="s">
        <v>2907</v>
      </c>
      <c r="L267" s="262">
        <f t="shared" si="117"/>
        <v>357</v>
      </c>
      <c r="M267" s="160" t="s">
        <v>2906</v>
      </c>
      <c r="N267" s="136">
        <f>1.578+29.08</f>
        <v>30.657999999999998</v>
      </c>
      <c r="O267" s="122"/>
      <c r="P267" s="92">
        <f t="shared" si="125"/>
        <v>30.658079999999998</v>
      </c>
      <c r="Q267" s="113">
        <f t="shared" si="126"/>
        <v>1.4995799999999999</v>
      </c>
      <c r="R267" s="92">
        <f t="shared" si="127"/>
        <v>1.1663399999999999</v>
      </c>
      <c r="S267" s="121"/>
      <c r="T267" s="93">
        <f t="shared" si="128"/>
        <v>8.0000000000524096E-5</v>
      </c>
      <c r="U267" s="122"/>
      <c r="V267" s="94">
        <f t="shared" ca="1" si="129"/>
        <v>316.4644447916653</v>
      </c>
      <c r="W267" s="89">
        <f t="shared" si="130"/>
        <v>8.6956521739700108E-5</v>
      </c>
    </row>
    <row r="268" spans="1:23" s="312" customFormat="1" ht="18">
      <c r="A268" s="115"/>
      <c r="B268" s="260" t="s">
        <v>1194</v>
      </c>
      <c r="C268" s="130" t="s">
        <v>52</v>
      </c>
      <c r="D268" s="131" t="s">
        <v>2744</v>
      </c>
      <c r="E268" s="361">
        <v>358</v>
      </c>
      <c r="F268" s="138">
        <v>45255</v>
      </c>
      <c r="G268" s="265">
        <v>35.805</v>
      </c>
      <c r="H268" s="150">
        <v>1744746.5</v>
      </c>
      <c r="I268" s="150">
        <f t="shared" si="124"/>
        <v>48729.130009775174</v>
      </c>
      <c r="J268" s="122"/>
      <c r="K268" s="186" t="s">
        <v>2908</v>
      </c>
      <c r="L268" s="262">
        <f t="shared" si="117"/>
        <v>358</v>
      </c>
      <c r="M268" s="160" t="s">
        <v>2906</v>
      </c>
      <c r="N268" s="136">
        <f>3.167+29.774</f>
        <v>32.941000000000003</v>
      </c>
      <c r="O268" s="122"/>
      <c r="P268" s="92">
        <f t="shared" si="125"/>
        <v>32.940600000000003</v>
      </c>
      <c r="Q268" s="113">
        <f t="shared" si="126"/>
        <v>1.6112249999999999</v>
      </c>
      <c r="R268" s="92">
        <f t="shared" si="127"/>
        <v>1.2531750000000001</v>
      </c>
      <c r="S268" s="121"/>
      <c r="T268" s="93">
        <f t="shared" si="128"/>
        <v>-4.0000000000284253E-4</v>
      </c>
      <c r="U268" s="122"/>
      <c r="V268" s="94">
        <f t="shared" ca="1" si="129"/>
        <v>317.4644447916653</v>
      </c>
      <c r="W268" s="89">
        <f t="shared" si="130"/>
        <v>-4.347826086987419E-4</v>
      </c>
    </row>
    <row r="269" spans="1:23" s="312" customFormat="1" ht="18">
      <c r="A269" s="115"/>
      <c r="B269" s="260" t="s">
        <v>1194</v>
      </c>
      <c r="C269" s="130" t="str">
        <f>+C268</f>
        <v>MS-125X125</v>
      </c>
      <c r="D269" s="131" t="s">
        <v>2744</v>
      </c>
      <c r="E269" s="361">
        <v>359</v>
      </c>
      <c r="F269" s="138">
        <v>45255</v>
      </c>
      <c r="G269" s="265">
        <v>29.295000000000002</v>
      </c>
      <c r="H269" s="150">
        <v>1427519.86</v>
      </c>
      <c r="I269" s="150">
        <f t="shared" si="124"/>
        <v>48729.129885646013</v>
      </c>
      <c r="J269" s="122"/>
      <c r="K269" s="186" t="s">
        <v>2911</v>
      </c>
      <c r="L269" s="262">
        <f t="shared" si="117"/>
        <v>359</v>
      </c>
      <c r="M269" s="160" t="s">
        <v>2912</v>
      </c>
      <c r="N269" s="136">
        <f>3.321+23.63</f>
        <v>26.951000000000001</v>
      </c>
      <c r="O269" s="122"/>
      <c r="P269" s="92">
        <f t="shared" si="125"/>
        <v>26.951400000000003</v>
      </c>
      <c r="Q269" s="113">
        <f t="shared" si="126"/>
        <v>1.3182750000000001</v>
      </c>
      <c r="R269" s="92">
        <f t="shared" si="127"/>
        <v>1.0253250000000003</v>
      </c>
      <c r="S269" s="121"/>
      <c r="T269" s="93">
        <f t="shared" si="128"/>
        <v>4.0000000000084412E-4</v>
      </c>
      <c r="U269" s="122"/>
      <c r="V269" s="94">
        <f t="shared" ca="1" si="129"/>
        <v>317.4644447916653</v>
      </c>
      <c r="W269" s="89">
        <f t="shared" si="130"/>
        <v>4.347826086965697E-4</v>
      </c>
    </row>
    <row r="270" spans="1:23" s="312" customFormat="1" ht="18">
      <c r="A270" s="115"/>
      <c r="B270" s="260" t="s">
        <v>1194</v>
      </c>
      <c r="C270" s="130" t="s">
        <v>52</v>
      </c>
      <c r="D270" s="131" t="s">
        <v>2749</v>
      </c>
      <c r="E270" s="361">
        <v>360</v>
      </c>
      <c r="F270" s="138">
        <v>45255</v>
      </c>
      <c r="G270" s="265">
        <v>32.200000000000003</v>
      </c>
      <c r="H270" s="150">
        <v>1569718</v>
      </c>
      <c r="I270" s="150">
        <f t="shared" ref="I270:I301" si="131">H270/G270</f>
        <v>48749.006211180124</v>
      </c>
      <c r="J270" s="122"/>
      <c r="K270" s="186" t="s">
        <v>2913</v>
      </c>
      <c r="L270" s="262">
        <f t="shared" si="117"/>
        <v>360</v>
      </c>
      <c r="M270" s="160" t="s">
        <v>2914</v>
      </c>
      <c r="N270" s="136">
        <f>8.735+20.889</f>
        <v>29.623999999999999</v>
      </c>
      <c r="O270" s="122"/>
      <c r="P270" s="92">
        <f t="shared" ref="P270:P301" si="132">G270*0.92</f>
        <v>29.624000000000002</v>
      </c>
      <c r="Q270" s="113">
        <f t="shared" ref="Q270:Q301" si="133">G270*4.5%</f>
        <v>1.4490000000000001</v>
      </c>
      <c r="R270" s="92">
        <f t="shared" ref="R270:R301" si="134">G270*3.5%</f>
        <v>1.1270000000000002</v>
      </c>
      <c r="S270" s="121"/>
      <c r="T270" s="93">
        <f t="shared" ref="T270:T301" si="135">G270-N270-Q270-R270</f>
        <v>3.7747582837255322E-15</v>
      </c>
      <c r="U270" s="122"/>
      <c r="V270" s="94">
        <f t="shared" ref="V270:V301" ca="1" si="136">360-($V$3-F270)</f>
        <v>317.4644447916653</v>
      </c>
      <c r="W270" s="89">
        <f t="shared" ref="W270:W301" si="137">T270/0.92%/100</f>
        <v>4.1029981344842744E-15</v>
      </c>
    </row>
    <row r="271" spans="1:23" s="312" customFormat="1" ht="18">
      <c r="A271" s="115"/>
      <c r="B271" s="260" t="s">
        <v>1194</v>
      </c>
      <c r="C271" s="130" t="str">
        <f>+C270</f>
        <v>MS-125X125</v>
      </c>
      <c r="D271" s="131" t="s">
        <v>2749</v>
      </c>
      <c r="E271" s="361">
        <v>361</v>
      </c>
      <c r="F271" s="138">
        <v>45255</v>
      </c>
      <c r="G271" s="265">
        <v>32.200000000000003</v>
      </c>
      <c r="H271" s="150">
        <v>1569718</v>
      </c>
      <c r="I271" s="150">
        <f t="shared" si="131"/>
        <v>48749.006211180124</v>
      </c>
      <c r="J271" s="122"/>
      <c r="K271" s="186" t="s">
        <v>2915</v>
      </c>
      <c r="L271" s="262">
        <f t="shared" si="117"/>
        <v>361</v>
      </c>
      <c r="M271" s="160" t="s">
        <v>2916</v>
      </c>
      <c r="N271" s="136">
        <f>11.628+17.996</f>
        <v>29.623999999999999</v>
      </c>
      <c r="O271" s="122"/>
      <c r="P271" s="92">
        <f t="shared" si="132"/>
        <v>29.624000000000002</v>
      </c>
      <c r="Q271" s="113">
        <f t="shared" si="133"/>
        <v>1.4490000000000001</v>
      </c>
      <c r="R271" s="92">
        <f t="shared" si="134"/>
        <v>1.1270000000000002</v>
      </c>
      <c r="S271" s="121"/>
      <c r="T271" s="93">
        <f t="shared" si="135"/>
        <v>3.7747582837255322E-15</v>
      </c>
      <c r="U271" s="122"/>
      <c r="V271" s="94">
        <f t="shared" ca="1" si="136"/>
        <v>317.4644447916653</v>
      </c>
      <c r="W271" s="89">
        <f t="shared" si="137"/>
        <v>4.1029981344842744E-15</v>
      </c>
    </row>
    <row r="272" spans="1:23" s="312" customFormat="1" ht="18">
      <c r="A272" s="115"/>
      <c r="B272" s="260" t="s">
        <v>1194</v>
      </c>
      <c r="C272" s="130" t="s">
        <v>52</v>
      </c>
      <c r="D272" s="131" t="s">
        <v>2748</v>
      </c>
      <c r="E272" s="361">
        <v>362</v>
      </c>
      <c r="F272" s="138">
        <v>45255</v>
      </c>
      <c r="G272" s="265">
        <v>32.9</v>
      </c>
      <c r="H272" s="150">
        <v>1603188.38</v>
      </c>
      <c r="I272" s="150">
        <f t="shared" si="131"/>
        <v>48729.130091185412</v>
      </c>
      <c r="J272" s="122"/>
      <c r="K272" s="186" t="s">
        <v>2918</v>
      </c>
      <c r="L272" s="262">
        <f t="shared" si="117"/>
        <v>362</v>
      </c>
      <c r="M272" s="160" t="s">
        <v>2919</v>
      </c>
      <c r="N272" s="136">
        <f>14.644+15.624</f>
        <v>30.268000000000001</v>
      </c>
      <c r="O272" s="122"/>
      <c r="P272" s="92">
        <f t="shared" si="132"/>
        <v>30.268000000000001</v>
      </c>
      <c r="Q272" s="113">
        <f t="shared" si="133"/>
        <v>1.4804999999999999</v>
      </c>
      <c r="R272" s="92">
        <f t="shared" si="134"/>
        <v>1.1515</v>
      </c>
      <c r="S272" s="121"/>
      <c r="T272" s="93">
        <f t="shared" si="135"/>
        <v>-1.9984014443252818E-15</v>
      </c>
      <c r="U272" s="122"/>
      <c r="V272" s="94">
        <f t="shared" ca="1" si="136"/>
        <v>317.4644447916653</v>
      </c>
      <c r="W272" s="89">
        <f t="shared" si="137"/>
        <v>-2.1721754829622628E-15</v>
      </c>
    </row>
    <row r="273" spans="1:23" s="312" customFormat="1" ht="18">
      <c r="A273" s="115"/>
      <c r="B273" s="260" t="s">
        <v>1194</v>
      </c>
      <c r="C273" s="130" t="str">
        <f>+C272</f>
        <v>MS-125X125</v>
      </c>
      <c r="D273" s="131" t="s">
        <v>2748</v>
      </c>
      <c r="E273" s="361">
        <v>363</v>
      </c>
      <c r="F273" s="138">
        <v>45255</v>
      </c>
      <c r="G273" s="265">
        <v>32.9</v>
      </c>
      <c r="H273" s="150">
        <v>1603188.38</v>
      </c>
      <c r="I273" s="150">
        <f t="shared" si="131"/>
        <v>48729.130091185412</v>
      </c>
      <c r="J273" s="122"/>
      <c r="K273" s="186" t="s">
        <v>2920</v>
      </c>
      <c r="L273" s="262">
        <f t="shared" si="117"/>
        <v>363</v>
      </c>
      <c r="M273" s="160" t="s">
        <v>2917</v>
      </c>
      <c r="N273" s="136">
        <f>17.403+12.865</f>
        <v>30.268000000000001</v>
      </c>
      <c r="O273" s="122"/>
      <c r="P273" s="92">
        <f t="shared" si="132"/>
        <v>30.268000000000001</v>
      </c>
      <c r="Q273" s="113">
        <f t="shared" si="133"/>
        <v>1.4804999999999999</v>
      </c>
      <c r="R273" s="92">
        <f t="shared" si="134"/>
        <v>1.1515</v>
      </c>
      <c r="S273" s="121"/>
      <c r="T273" s="93">
        <f t="shared" si="135"/>
        <v>-1.9984014443252818E-15</v>
      </c>
      <c r="U273" s="122"/>
      <c r="V273" s="94">
        <f t="shared" ca="1" si="136"/>
        <v>317.4644447916653</v>
      </c>
      <c r="W273" s="89">
        <f t="shared" si="137"/>
        <v>-2.1721754829622628E-15</v>
      </c>
    </row>
    <row r="274" spans="1:23" s="312" customFormat="1" ht="18">
      <c r="A274" s="115"/>
      <c r="B274" s="260" t="s">
        <v>1194</v>
      </c>
      <c r="C274" s="130" t="s">
        <v>52</v>
      </c>
      <c r="D274" s="131" t="s">
        <v>2743</v>
      </c>
      <c r="E274" s="361">
        <v>364</v>
      </c>
      <c r="F274" s="138">
        <v>45255</v>
      </c>
      <c r="G274" s="265">
        <v>32.5</v>
      </c>
      <c r="H274" s="150">
        <v>1583697</v>
      </c>
      <c r="I274" s="150">
        <f t="shared" si="131"/>
        <v>48729.13846153846</v>
      </c>
      <c r="J274" s="122"/>
      <c r="K274" s="186" t="s">
        <v>2923</v>
      </c>
      <c r="L274" s="262">
        <f t="shared" si="117"/>
        <v>364</v>
      </c>
      <c r="M274" s="160" t="s">
        <v>2919</v>
      </c>
      <c r="N274" s="136">
        <f>19.754+10.146</f>
        <v>29.900000000000002</v>
      </c>
      <c r="O274" s="122"/>
      <c r="P274" s="92">
        <f t="shared" si="132"/>
        <v>29.900000000000002</v>
      </c>
      <c r="Q274" s="113">
        <f t="shared" si="133"/>
        <v>1.4624999999999999</v>
      </c>
      <c r="R274" s="92">
        <f t="shared" si="134"/>
        <v>1.1375000000000002</v>
      </c>
      <c r="S274" s="121"/>
      <c r="T274" s="93">
        <f t="shared" si="135"/>
        <v>-2.2204460492503131E-15</v>
      </c>
      <c r="U274" s="122"/>
      <c r="V274" s="94">
        <f t="shared" ca="1" si="136"/>
        <v>317.4644447916653</v>
      </c>
      <c r="W274" s="89">
        <f t="shared" si="137"/>
        <v>-2.4135283144025143E-15</v>
      </c>
    </row>
    <row r="275" spans="1:23" s="312" customFormat="1" ht="18">
      <c r="A275" s="115"/>
      <c r="B275" s="260" t="s">
        <v>1194</v>
      </c>
      <c r="C275" s="130" t="s">
        <v>52</v>
      </c>
      <c r="D275" s="131" t="s">
        <v>2747</v>
      </c>
      <c r="E275" s="361">
        <v>365</v>
      </c>
      <c r="F275" s="138">
        <v>45255</v>
      </c>
      <c r="G275" s="265">
        <v>33.634999999999998</v>
      </c>
      <c r="H275" s="150">
        <v>1639004</v>
      </c>
      <c r="I275" s="150">
        <f t="shared" si="131"/>
        <v>48729.121450869636</v>
      </c>
      <c r="J275" s="122"/>
      <c r="K275" s="186" t="s">
        <v>2924</v>
      </c>
      <c r="L275" s="262">
        <f t="shared" si="117"/>
        <v>365</v>
      </c>
      <c r="M275" s="160" t="s">
        <v>2925</v>
      </c>
      <c r="N275" s="136">
        <f>22.93+8.014</f>
        <v>30.943999999999999</v>
      </c>
      <c r="O275" s="122"/>
      <c r="P275" s="92">
        <f t="shared" si="132"/>
        <v>30.944199999999999</v>
      </c>
      <c r="Q275" s="113">
        <f t="shared" si="133"/>
        <v>1.5135749999999999</v>
      </c>
      <c r="R275" s="92">
        <f t="shared" si="134"/>
        <v>1.177225</v>
      </c>
      <c r="S275" s="121"/>
      <c r="T275" s="93">
        <f t="shared" si="135"/>
        <v>1.9999999999908979E-4</v>
      </c>
      <c r="U275" s="122"/>
      <c r="V275" s="94">
        <f t="shared" ca="1" si="136"/>
        <v>317.4644447916653</v>
      </c>
      <c r="W275" s="89">
        <f t="shared" si="137"/>
        <v>2.1739130434683673E-4</v>
      </c>
    </row>
    <row r="276" spans="1:23" s="312" customFormat="1" ht="18">
      <c r="A276" s="115"/>
      <c r="B276" s="260" t="s">
        <v>1194</v>
      </c>
      <c r="C276" s="130" t="str">
        <f>+C275</f>
        <v>MS-125X125</v>
      </c>
      <c r="D276" s="131" t="s">
        <v>2747</v>
      </c>
      <c r="E276" s="361">
        <v>366</v>
      </c>
      <c r="F276" s="138">
        <v>45255</v>
      </c>
      <c r="G276" s="265">
        <v>31.465</v>
      </c>
      <c r="H276" s="150">
        <v>1533262</v>
      </c>
      <c r="I276" s="150">
        <f t="shared" si="131"/>
        <v>48729.127602097571</v>
      </c>
      <c r="J276" s="122"/>
      <c r="K276" s="186" t="s">
        <v>2927</v>
      </c>
      <c r="L276" s="262">
        <f t="shared" si="117"/>
        <v>366</v>
      </c>
      <c r="M276" s="160" t="s">
        <v>2928</v>
      </c>
      <c r="N276" s="136">
        <f>24.904+4.044</f>
        <v>28.948</v>
      </c>
      <c r="O276" s="122"/>
      <c r="P276" s="92">
        <f t="shared" si="132"/>
        <v>28.947800000000001</v>
      </c>
      <c r="Q276" s="113">
        <f t="shared" si="133"/>
        <v>1.4159249999999999</v>
      </c>
      <c r="R276" s="92">
        <f t="shared" si="134"/>
        <v>1.101275</v>
      </c>
      <c r="S276" s="121"/>
      <c r="T276" s="93">
        <f t="shared" si="135"/>
        <v>-2.0000000000042206E-4</v>
      </c>
      <c r="U276" s="122"/>
      <c r="V276" s="94">
        <f t="shared" ca="1" si="136"/>
        <v>317.4644447916653</v>
      </c>
      <c r="W276" s="89">
        <f t="shared" si="137"/>
        <v>-2.1739130434828485E-4</v>
      </c>
    </row>
    <row r="277" spans="1:23" s="312" customFormat="1" ht="18">
      <c r="A277" s="115"/>
      <c r="B277" s="260" t="s">
        <v>1194</v>
      </c>
      <c r="C277" s="130" t="str">
        <f>+C276</f>
        <v>MS-125X125</v>
      </c>
      <c r="D277" s="131" t="s">
        <v>2743</v>
      </c>
      <c r="E277" s="361">
        <v>367</v>
      </c>
      <c r="F277" s="138">
        <v>45255</v>
      </c>
      <c r="G277" s="265">
        <v>32.5</v>
      </c>
      <c r="H277" s="150">
        <v>1583697</v>
      </c>
      <c r="I277" s="150">
        <f t="shared" si="131"/>
        <v>48729.13846153846</v>
      </c>
      <c r="J277" s="122"/>
      <c r="K277" s="186" t="s">
        <v>2929</v>
      </c>
      <c r="L277" s="262">
        <f t="shared" si="117"/>
        <v>367</v>
      </c>
      <c r="M277" s="160" t="s">
        <v>2928</v>
      </c>
      <c r="N277" s="136">
        <f>28.611+1.289</f>
        <v>29.900000000000002</v>
      </c>
      <c r="O277" s="122"/>
      <c r="P277" s="92">
        <f t="shared" si="132"/>
        <v>29.900000000000002</v>
      </c>
      <c r="Q277" s="113">
        <f t="shared" si="133"/>
        <v>1.4624999999999999</v>
      </c>
      <c r="R277" s="92">
        <f t="shared" si="134"/>
        <v>1.1375000000000002</v>
      </c>
      <c r="S277" s="121"/>
      <c r="T277" s="93">
        <f t="shared" si="135"/>
        <v>-2.2204460492503131E-15</v>
      </c>
      <c r="U277" s="122"/>
      <c r="V277" s="94">
        <f t="shared" ca="1" si="136"/>
        <v>317.4644447916653</v>
      </c>
      <c r="W277" s="89">
        <f t="shared" si="137"/>
        <v>-2.4135283144025143E-15</v>
      </c>
    </row>
    <row r="278" spans="1:23" s="312" customFormat="1" ht="18">
      <c r="A278" s="115"/>
      <c r="B278" s="260" t="s">
        <v>1194</v>
      </c>
      <c r="C278" s="130" t="s">
        <v>53</v>
      </c>
      <c r="D278" s="131" t="s">
        <v>2739</v>
      </c>
      <c r="E278" s="361">
        <v>368</v>
      </c>
      <c r="F278" s="138">
        <v>45256</v>
      </c>
      <c r="G278" s="265">
        <v>30.257000000000001</v>
      </c>
      <c r="H278" s="150">
        <v>1537497</v>
      </c>
      <c r="I278" s="150">
        <f t="shared" si="131"/>
        <v>50814.588359718407</v>
      </c>
      <c r="J278" s="122"/>
      <c r="K278" s="186">
        <v>1768</v>
      </c>
      <c r="L278" s="262">
        <f t="shared" si="117"/>
        <v>368</v>
      </c>
      <c r="M278" s="160" t="s">
        <v>2926</v>
      </c>
      <c r="N278" s="136">
        <v>27.835999999999999</v>
      </c>
      <c r="O278" s="122"/>
      <c r="P278" s="92">
        <f t="shared" si="132"/>
        <v>27.836440000000003</v>
      </c>
      <c r="Q278" s="113">
        <f t="shared" si="133"/>
        <v>1.3615649999999999</v>
      </c>
      <c r="R278" s="92">
        <f t="shared" si="134"/>
        <v>1.0589950000000001</v>
      </c>
      <c r="S278" s="121"/>
      <c r="T278" s="93">
        <f t="shared" si="135"/>
        <v>4.4000000000288253E-4</v>
      </c>
      <c r="U278" s="122"/>
      <c r="V278" s="94">
        <f t="shared" ca="1" si="136"/>
        <v>318.4644447916653</v>
      </c>
      <c r="W278" s="89">
        <f t="shared" si="137"/>
        <v>4.7826086956835059E-4</v>
      </c>
    </row>
    <row r="279" spans="1:23" s="312" customFormat="1" ht="18">
      <c r="A279" s="115"/>
      <c r="B279" s="260" t="s">
        <v>1194</v>
      </c>
      <c r="C279" s="130" t="str">
        <f>+C278</f>
        <v>HT-125X125</v>
      </c>
      <c r="D279" s="131" t="s">
        <v>2739</v>
      </c>
      <c r="E279" s="361">
        <v>369</v>
      </c>
      <c r="F279" s="138">
        <v>45256</v>
      </c>
      <c r="G279" s="265">
        <v>32.343000000000004</v>
      </c>
      <c r="H279" s="150">
        <v>1643497</v>
      </c>
      <c r="I279" s="150">
        <f t="shared" si="131"/>
        <v>50814.612126271524</v>
      </c>
      <c r="J279" s="122"/>
      <c r="K279" s="186" t="s">
        <v>2930</v>
      </c>
      <c r="L279" s="262">
        <f t="shared" si="117"/>
        <v>369</v>
      </c>
      <c r="M279" s="160" t="s">
        <v>2931</v>
      </c>
      <c r="N279" s="136">
        <f>3.683+26.073</f>
        <v>29.756</v>
      </c>
      <c r="O279" s="122"/>
      <c r="P279" s="92">
        <f t="shared" si="132"/>
        <v>29.755560000000006</v>
      </c>
      <c r="Q279" s="113">
        <f t="shared" si="133"/>
        <v>1.455435</v>
      </c>
      <c r="R279" s="92">
        <f t="shared" si="134"/>
        <v>1.1320050000000001</v>
      </c>
      <c r="S279" s="121"/>
      <c r="T279" s="93">
        <f t="shared" si="135"/>
        <v>-4.3999999999688733E-4</v>
      </c>
      <c r="U279" s="122"/>
      <c r="V279" s="94">
        <f t="shared" ca="1" si="136"/>
        <v>318.4644447916653</v>
      </c>
      <c r="W279" s="89">
        <f t="shared" si="137"/>
        <v>-4.782608695618341E-4</v>
      </c>
    </row>
    <row r="280" spans="1:23" s="312" customFormat="1" ht="18">
      <c r="A280" s="115"/>
      <c r="B280" s="260" t="s">
        <v>1194</v>
      </c>
      <c r="C280" s="130" t="str">
        <f>+C279</f>
        <v>HT-125X125</v>
      </c>
      <c r="D280" s="131" t="s">
        <v>2751</v>
      </c>
      <c r="E280" s="150">
        <v>376</v>
      </c>
      <c r="F280" s="138">
        <v>45263</v>
      </c>
      <c r="G280" s="265">
        <v>31.658000000000001</v>
      </c>
      <c r="H280" s="150">
        <v>1606000</v>
      </c>
      <c r="I280" s="150">
        <f t="shared" si="131"/>
        <v>50729.673384294649</v>
      </c>
      <c r="J280" s="122"/>
      <c r="K280" s="186" t="s">
        <v>2932</v>
      </c>
      <c r="L280" s="262">
        <f t="shared" si="117"/>
        <v>376</v>
      </c>
      <c r="M280" s="160" t="s">
        <v>2933</v>
      </c>
      <c r="N280" s="136">
        <f>6.651+22.474</f>
        <v>29.125</v>
      </c>
      <c r="O280" s="122"/>
      <c r="P280" s="92">
        <f t="shared" si="132"/>
        <v>29.125360000000004</v>
      </c>
      <c r="Q280" s="113">
        <f t="shared" si="133"/>
        <v>1.4246099999999999</v>
      </c>
      <c r="R280" s="92">
        <f t="shared" si="134"/>
        <v>1.1080300000000001</v>
      </c>
      <c r="S280" s="121"/>
      <c r="T280" s="93">
        <f t="shared" si="135"/>
        <v>3.6000000000124821E-4</v>
      </c>
      <c r="U280" s="122"/>
      <c r="V280" s="94">
        <f t="shared" ca="1" si="136"/>
        <v>325.4644447916653</v>
      </c>
      <c r="W280" s="89">
        <f t="shared" si="137"/>
        <v>3.9130434782744369E-4</v>
      </c>
    </row>
    <row r="281" spans="1:23" s="312" customFormat="1" ht="18">
      <c r="A281" s="115"/>
      <c r="B281" s="260" t="s">
        <v>1194</v>
      </c>
      <c r="C281" s="130" t="s">
        <v>53</v>
      </c>
      <c r="D281" s="131" t="s">
        <v>2751</v>
      </c>
      <c r="E281" s="150">
        <v>377</v>
      </c>
      <c r="F281" s="138">
        <v>45263</v>
      </c>
      <c r="G281" s="265">
        <v>33.841999999999999</v>
      </c>
      <c r="H281" s="150">
        <v>1716758</v>
      </c>
      <c r="I281" s="150">
        <f t="shared" si="131"/>
        <v>50728.621239879445</v>
      </c>
      <c r="J281" s="122"/>
      <c r="K281" s="186" t="s">
        <v>2934</v>
      </c>
      <c r="L281" s="262">
        <f t="shared" si="117"/>
        <v>377</v>
      </c>
      <c r="M281" s="160" t="s">
        <v>2935</v>
      </c>
      <c r="N281" s="136">
        <f>10.401+20.734</f>
        <v>31.135000000000002</v>
      </c>
      <c r="O281" s="122"/>
      <c r="P281" s="92">
        <f t="shared" si="132"/>
        <v>31.134640000000001</v>
      </c>
      <c r="Q281" s="113">
        <f t="shared" si="133"/>
        <v>1.5228899999999999</v>
      </c>
      <c r="R281" s="92">
        <f t="shared" si="134"/>
        <v>1.1844700000000001</v>
      </c>
      <c r="S281" s="121"/>
      <c r="T281" s="93">
        <f t="shared" si="135"/>
        <v>-3.6000000000280252E-4</v>
      </c>
      <c r="U281" s="122"/>
      <c r="V281" s="94">
        <f t="shared" ca="1" si="136"/>
        <v>325.4644447916653</v>
      </c>
      <c r="W281" s="89">
        <f t="shared" si="137"/>
        <v>-3.9130434782913315E-4</v>
      </c>
    </row>
    <row r="282" spans="1:23" s="312" customFormat="1" ht="18">
      <c r="A282" s="115"/>
      <c r="B282" s="260" t="s">
        <v>1194</v>
      </c>
      <c r="C282" s="130" t="s">
        <v>53</v>
      </c>
      <c r="D282" s="131" t="s">
        <v>2752</v>
      </c>
      <c r="E282" s="150">
        <v>378</v>
      </c>
      <c r="F282" s="138">
        <v>45263</v>
      </c>
      <c r="G282" s="265">
        <v>33.841999999999999</v>
      </c>
      <c r="H282" s="150">
        <v>1716758</v>
      </c>
      <c r="I282" s="150">
        <f t="shared" si="131"/>
        <v>50728.621239879445</v>
      </c>
      <c r="J282" s="122"/>
      <c r="K282" s="186" t="s">
        <v>2936</v>
      </c>
      <c r="L282" s="262">
        <f t="shared" ref="L282:L345" si="138">E282</f>
        <v>378</v>
      </c>
      <c r="M282" s="160" t="s">
        <v>2938</v>
      </c>
      <c r="N282" s="136">
        <f>12.043+19.092</f>
        <v>31.134999999999998</v>
      </c>
      <c r="O282" s="122"/>
      <c r="P282" s="92">
        <f t="shared" si="132"/>
        <v>31.134640000000001</v>
      </c>
      <c r="Q282" s="113">
        <f t="shared" si="133"/>
        <v>1.5228899999999999</v>
      </c>
      <c r="R282" s="92">
        <f t="shared" si="134"/>
        <v>1.1844700000000001</v>
      </c>
      <c r="S282" s="121"/>
      <c r="T282" s="93">
        <f t="shared" si="135"/>
        <v>-3.5999999999924981E-4</v>
      </c>
      <c r="U282" s="122"/>
      <c r="V282" s="94">
        <f t="shared" ca="1" si="136"/>
        <v>325.4644447916653</v>
      </c>
      <c r="W282" s="89">
        <f t="shared" si="137"/>
        <v>-3.9130434782527155E-4</v>
      </c>
    </row>
    <row r="283" spans="1:23" s="312" customFormat="1" ht="18">
      <c r="A283" s="115"/>
      <c r="B283" s="260" t="s">
        <v>1194</v>
      </c>
      <c r="C283" s="130" t="s">
        <v>53</v>
      </c>
      <c r="D283" s="131" t="s">
        <v>2754</v>
      </c>
      <c r="E283" s="150">
        <v>379</v>
      </c>
      <c r="F283" s="138">
        <v>45263</v>
      </c>
      <c r="G283" s="265">
        <v>33.79</v>
      </c>
      <c r="H283" s="150">
        <v>1714137</v>
      </c>
      <c r="I283" s="150">
        <f t="shared" si="131"/>
        <v>50729.121041728322</v>
      </c>
      <c r="J283" s="122"/>
      <c r="K283" s="186" t="s">
        <v>2937</v>
      </c>
      <c r="L283" s="262">
        <f t="shared" si="138"/>
        <v>379</v>
      </c>
      <c r="M283" s="160" t="s">
        <v>2938</v>
      </c>
      <c r="N283" s="136">
        <f>13.631+17.456</f>
        <v>31.087</v>
      </c>
      <c r="O283" s="122"/>
      <c r="P283" s="92">
        <f t="shared" si="132"/>
        <v>31.0868</v>
      </c>
      <c r="Q283" s="113">
        <f t="shared" si="133"/>
        <v>1.5205499999999998</v>
      </c>
      <c r="R283" s="92">
        <f t="shared" si="134"/>
        <v>1.18265</v>
      </c>
      <c r="S283" s="121"/>
      <c r="T283" s="93">
        <f t="shared" si="135"/>
        <v>-2.0000000000042206E-4</v>
      </c>
      <c r="U283" s="122"/>
      <c r="V283" s="94">
        <f t="shared" ca="1" si="136"/>
        <v>325.4644447916653</v>
      </c>
      <c r="W283" s="89">
        <f t="shared" si="137"/>
        <v>-2.1739130434828485E-4</v>
      </c>
    </row>
    <row r="284" spans="1:23" s="312" customFormat="1" ht="18">
      <c r="A284" s="115"/>
      <c r="B284" s="260" t="s">
        <v>1194</v>
      </c>
      <c r="C284" s="130" t="str">
        <f>+C283</f>
        <v>HT-125X125</v>
      </c>
      <c r="D284" s="131" t="s">
        <v>2754</v>
      </c>
      <c r="E284" s="150">
        <v>380</v>
      </c>
      <c r="F284" s="138">
        <v>45263</v>
      </c>
      <c r="G284" s="265">
        <v>31.61</v>
      </c>
      <c r="H284" s="150">
        <v>1603548</v>
      </c>
      <c r="I284" s="150">
        <f t="shared" si="131"/>
        <v>50729.136349256565</v>
      </c>
      <c r="J284" s="122"/>
      <c r="K284" s="186" t="s">
        <v>2939</v>
      </c>
      <c r="L284" s="262">
        <f t="shared" si="138"/>
        <v>380</v>
      </c>
      <c r="M284" s="160" t="s">
        <v>2941</v>
      </c>
      <c r="N284" s="136">
        <f>15.043+14.038</f>
        <v>29.081</v>
      </c>
      <c r="O284" s="122"/>
      <c r="P284" s="92">
        <f t="shared" si="132"/>
        <v>29.081199999999999</v>
      </c>
      <c r="Q284" s="113">
        <f t="shared" si="133"/>
        <v>1.42245</v>
      </c>
      <c r="R284" s="92">
        <f t="shared" si="134"/>
        <v>1.1063500000000002</v>
      </c>
      <c r="S284" s="121"/>
      <c r="T284" s="93">
        <f t="shared" si="135"/>
        <v>1.9999999999975593E-4</v>
      </c>
      <c r="U284" s="122"/>
      <c r="V284" s="94">
        <f t="shared" ca="1" si="136"/>
        <v>325.4644447916653</v>
      </c>
      <c r="W284" s="89">
        <f t="shared" si="137"/>
        <v>2.1739130434756082E-4</v>
      </c>
    </row>
    <row r="285" spans="1:23" s="312" customFormat="1" ht="18">
      <c r="A285" s="115"/>
      <c r="B285" s="260" t="s">
        <v>1194</v>
      </c>
      <c r="C285" s="130" t="s">
        <v>53</v>
      </c>
      <c r="D285" s="131" t="s">
        <v>2750</v>
      </c>
      <c r="E285" s="150">
        <v>381</v>
      </c>
      <c r="F285" s="138">
        <v>45263</v>
      </c>
      <c r="G285" s="265">
        <v>30.358000000000001</v>
      </c>
      <c r="H285" s="150">
        <v>1543534</v>
      </c>
      <c r="I285" s="150">
        <f t="shared" si="131"/>
        <v>50844.390276039267</v>
      </c>
      <c r="J285" s="122"/>
      <c r="K285" s="186" t="s">
        <v>2942</v>
      </c>
      <c r="L285" s="262">
        <f t="shared" si="138"/>
        <v>381</v>
      </c>
      <c r="M285" s="160" t="s">
        <v>2943</v>
      </c>
      <c r="N285" s="136">
        <f>19.022+8.907</f>
        <v>27.928999999999998</v>
      </c>
      <c r="O285" s="122"/>
      <c r="P285" s="92">
        <f t="shared" si="132"/>
        <v>27.929360000000003</v>
      </c>
      <c r="Q285" s="113">
        <f t="shared" si="133"/>
        <v>1.3661099999999999</v>
      </c>
      <c r="R285" s="92">
        <f t="shared" si="134"/>
        <v>1.0625300000000002</v>
      </c>
      <c r="S285" s="121"/>
      <c r="T285" s="93">
        <f t="shared" si="135"/>
        <v>3.6000000000191434E-4</v>
      </c>
      <c r="U285" s="122"/>
      <c r="V285" s="94">
        <f t="shared" ca="1" si="136"/>
        <v>325.4644447916653</v>
      </c>
      <c r="W285" s="89">
        <f t="shared" si="137"/>
        <v>3.9130434782816778E-4</v>
      </c>
    </row>
    <row r="286" spans="1:23" s="312" customFormat="1" ht="18">
      <c r="A286" s="115"/>
      <c r="B286" s="260" t="s">
        <v>1194</v>
      </c>
      <c r="C286" s="130" t="str">
        <f>+C285</f>
        <v>HT-125X125</v>
      </c>
      <c r="D286" s="131" t="s">
        <v>2750</v>
      </c>
      <c r="E286" s="150">
        <v>382</v>
      </c>
      <c r="F286" s="138">
        <v>45263</v>
      </c>
      <c r="G286" s="265">
        <v>31.442</v>
      </c>
      <c r="H286" s="150">
        <v>1598660.32</v>
      </c>
      <c r="I286" s="150">
        <f t="shared" si="131"/>
        <v>50844.740156478598</v>
      </c>
      <c r="J286" s="122"/>
      <c r="K286" s="186" t="s">
        <v>2944</v>
      </c>
      <c r="L286" s="262">
        <f t="shared" si="138"/>
        <v>382</v>
      </c>
      <c r="M286" s="160" t="s">
        <v>2943</v>
      </c>
      <c r="N286" s="136">
        <f>23.475+5.452</f>
        <v>28.927</v>
      </c>
      <c r="O286" s="122"/>
      <c r="P286" s="92">
        <f t="shared" si="132"/>
        <v>28.926640000000003</v>
      </c>
      <c r="Q286" s="113">
        <f t="shared" si="133"/>
        <v>1.41489</v>
      </c>
      <c r="R286" s="92">
        <f t="shared" si="134"/>
        <v>1.1004700000000001</v>
      </c>
      <c r="S286" s="121"/>
      <c r="T286" s="93">
        <f t="shared" si="135"/>
        <v>-3.5999999999947185E-4</v>
      </c>
      <c r="U286" s="122"/>
      <c r="V286" s="94">
        <f t="shared" ca="1" si="136"/>
        <v>325.4644447916653</v>
      </c>
      <c r="W286" s="89">
        <f t="shared" si="137"/>
        <v>-3.9130434782551284E-4</v>
      </c>
    </row>
    <row r="287" spans="1:23" s="312" customFormat="1" ht="18">
      <c r="A287" s="115"/>
      <c r="B287" s="260" t="s">
        <v>1194</v>
      </c>
      <c r="C287" s="130" t="str">
        <f>+C286</f>
        <v>HT-125X125</v>
      </c>
      <c r="D287" s="131" t="s">
        <v>2752</v>
      </c>
      <c r="E287" s="150">
        <v>383</v>
      </c>
      <c r="F287" s="138">
        <v>45263</v>
      </c>
      <c r="G287" s="265">
        <v>31.658000000000001</v>
      </c>
      <c r="H287" s="90">
        <v>1606000</v>
      </c>
      <c r="I287" s="150">
        <f t="shared" si="131"/>
        <v>50729.673384294649</v>
      </c>
      <c r="J287" s="122"/>
      <c r="K287" s="186" t="s">
        <v>2945</v>
      </c>
      <c r="L287" s="262">
        <f t="shared" si="138"/>
        <v>383</v>
      </c>
      <c r="M287" s="160" t="s">
        <v>2943</v>
      </c>
      <c r="N287" s="136">
        <f>27.787+1.338</f>
        <v>29.125</v>
      </c>
      <c r="O287" s="122"/>
      <c r="P287" s="92">
        <f t="shared" si="132"/>
        <v>29.125360000000004</v>
      </c>
      <c r="Q287" s="113">
        <f t="shared" si="133"/>
        <v>1.4246099999999999</v>
      </c>
      <c r="R287" s="92">
        <f t="shared" si="134"/>
        <v>1.1080300000000001</v>
      </c>
      <c r="S287" s="121"/>
      <c r="T287" s="93">
        <f t="shared" si="135"/>
        <v>3.6000000000124821E-4</v>
      </c>
      <c r="U287" s="122"/>
      <c r="V287" s="94">
        <f t="shared" ca="1" si="136"/>
        <v>325.4644447916653</v>
      </c>
      <c r="W287" s="89">
        <f t="shared" si="137"/>
        <v>3.9130434782744369E-4</v>
      </c>
    </row>
    <row r="288" spans="1:23" s="312" customFormat="1" ht="18">
      <c r="A288" s="115"/>
      <c r="B288" s="260" t="s">
        <v>1194</v>
      </c>
      <c r="C288" s="130" t="s">
        <v>53</v>
      </c>
      <c r="D288" s="131" t="s">
        <v>2753</v>
      </c>
      <c r="E288" s="150">
        <v>384</v>
      </c>
      <c r="F288" s="138">
        <v>45264</v>
      </c>
      <c r="G288" s="265">
        <v>32.700000000000003</v>
      </c>
      <c r="H288" s="90">
        <v>1658843</v>
      </c>
      <c r="I288" s="150">
        <f t="shared" si="131"/>
        <v>50729.143730886848</v>
      </c>
      <c r="J288" s="122"/>
      <c r="K288" s="186">
        <v>1789</v>
      </c>
      <c r="L288" s="262">
        <f t="shared" si="138"/>
        <v>384</v>
      </c>
      <c r="M288" s="160" t="s">
        <v>2940</v>
      </c>
      <c r="N288" s="136">
        <v>30.084</v>
      </c>
      <c r="O288" s="122"/>
      <c r="P288" s="92">
        <f t="shared" si="132"/>
        <v>30.084000000000003</v>
      </c>
      <c r="Q288" s="113">
        <f t="shared" si="133"/>
        <v>1.4715</v>
      </c>
      <c r="R288" s="92">
        <f t="shared" si="134"/>
        <v>1.1445000000000003</v>
      </c>
      <c r="S288" s="121"/>
      <c r="T288" s="93">
        <f t="shared" si="135"/>
        <v>2.886579864025407E-15</v>
      </c>
      <c r="U288" s="122"/>
      <c r="V288" s="94">
        <f t="shared" ca="1" si="136"/>
        <v>326.4644447916653</v>
      </c>
      <c r="W288" s="89">
        <f t="shared" si="137"/>
        <v>3.1375868087232684E-15</v>
      </c>
    </row>
    <row r="289" spans="1:23" s="312" customFormat="1" ht="18">
      <c r="A289" s="115"/>
      <c r="B289" s="260" t="s">
        <v>1194</v>
      </c>
      <c r="C289" s="130" t="str">
        <f>+C288</f>
        <v>HT-125X125</v>
      </c>
      <c r="D289" s="131" t="s">
        <v>2753</v>
      </c>
      <c r="E289" s="150">
        <v>385</v>
      </c>
      <c r="F289" s="138">
        <v>45264</v>
      </c>
      <c r="G289" s="265">
        <v>32.700000000000003</v>
      </c>
      <c r="H289" s="90">
        <v>1658843</v>
      </c>
      <c r="I289" s="150">
        <f t="shared" si="131"/>
        <v>50729.143730886848</v>
      </c>
      <c r="J289" s="122"/>
      <c r="K289" s="186" t="s">
        <v>2946</v>
      </c>
      <c r="L289" s="262">
        <f t="shared" si="138"/>
        <v>385</v>
      </c>
      <c r="M289" s="160" t="s">
        <v>2947</v>
      </c>
      <c r="N289" s="136">
        <f>1.076+29.008</f>
        <v>30.084</v>
      </c>
      <c r="O289" s="122"/>
      <c r="P289" s="92">
        <f t="shared" si="132"/>
        <v>30.084000000000003</v>
      </c>
      <c r="Q289" s="113">
        <f t="shared" si="133"/>
        <v>1.4715</v>
      </c>
      <c r="R289" s="92">
        <f t="shared" si="134"/>
        <v>1.1445000000000003</v>
      </c>
      <c r="S289" s="121"/>
      <c r="T289" s="93">
        <f t="shared" si="135"/>
        <v>2.886579864025407E-15</v>
      </c>
      <c r="U289" s="122"/>
      <c r="V289" s="94">
        <f t="shared" ca="1" si="136"/>
        <v>326.4644447916653</v>
      </c>
      <c r="W289" s="89">
        <f t="shared" si="137"/>
        <v>3.1375868087232684E-15</v>
      </c>
    </row>
    <row r="290" spans="1:23" s="312" customFormat="1" ht="18">
      <c r="A290" s="115"/>
      <c r="B290" s="260" t="s">
        <v>1194</v>
      </c>
      <c r="C290" s="130" t="s">
        <v>53</v>
      </c>
      <c r="D290" s="131" t="s">
        <v>2755</v>
      </c>
      <c r="E290" s="150">
        <v>386</v>
      </c>
      <c r="F290" s="138">
        <v>45264</v>
      </c>
      <c r="G290" s="265">
        <v>31.03</v>
      </c>
      <c r="H290" s="90">
        <v>1574987</v>
      </c>
      <c r="I290" s="150">
        <f t="shared" si="131"/>
        <v>50756.912665162745</v>
      </c>
      <c r="J290" s="122"/>
      <c r="K290" s="186" t="s">
        <v>2955</v>
      </c>
      <c r="L290" s="262">
        <f t="shared" si="138"/>
        <v>386</v>
      </c>
      <c r="M290" s="160" t="s">
        <v>2953</v>
      </c>
      <c r="N290" s="136">
        <f>4.382+24.166</f>
        <v>28.548000000000002</v>
      </c>
      <c r="O290" s="122"/>
      <c r="P290" s="92">
        <f t="shared" si="132"/>
        <v>28.547600000000003</v>
      </c>
      <c r="Q290" s="113">
        <f t="shared" si="133"/>
        <v>1.39635</v>
      </c>
      <c r="R290" s="92">
        <f t="shared" si="134"/>
        <v>1.0860500000000002</v>
      </c>
      <c r="S290" s="121"/>
      <c r="T290" s="93">
        <f t="shared" si="135"/>
        <v>-4.0000000000084412E-4</v>
      </c>
      <c r="U290" s="122"/>
      <c r="V290" s="94">
        <f t="shared" ca="1" si="136"/>
        <v>326.4644447916653</v>
      </c>
      <c r="W290" s="89">
        <f t="shared" si="137"/>
        <v>-4.347826086965697E-4</v>
      </c>
    </row>
    <row r="291" spans="1:23" s="312" customFormat="1" ht="18">
      <c r="A291" s="115"/>
      <c r="B291" s="260" t="s">
        <v>1194</v>
      </c>
      <c r="C291" s="130" t="str">
        <f>+C290</f>
        <v>HT-125X125</v>
      </c>
      <c r="D291" s="131" t="s">
        <v>2755</v>
      </c>
      <c r="E291" s="150">
        <v>387</v>
      </c>
      <c r="F291" s="138">
        <v>45264</v>
      </c>
      <c r="G291" s="265">
        <v>33.17</v>
      </c>
      <c r="H291" s="90">
        <v>1683607</v>
      </c>
      <c r="I291" s="150">
        <f t="shared" si="131"/>
        <v>50756.918902622849</v>
      </c>
      <c r="J291" s="122"/>
      <c r="K291" s="186" t="s">
        <v>2957</v>
      </c>
      <c r="L291" s="262">
        <f t="shared" si="138"/>
        <v>387</v>
      </c>
      <c r="M291" s="160" t="s">
        <v>2959</v>
      </c>
      <c r="N291" s="136">
        <f>8.858+9.943+11.715</f>
        <v>30.516000000000002</v>
      </c>
      <c r="O291" s="122"/>
      <c r="P291" s="92">
        <f t="shared" si="132"/>
        <v>30.516400000000004</v>
      </c>
      <c r="Q291" s="113">
        <f t="shared" si="133"/>
        <v>1.49265</v>
      </c>
      <c r="R291" s="92">
        <f t="shared" si="134"/>
        <v>1.1609500000000001</v>
      </c>
      <c r="S291" s="121"/>
      <c r="T291" s="93">
        <f t="shared" si="135"/>
        <v>3.999999999997339E-4</v>
      </c>
      <c r="U291" s="122"/>
      <c r="V291" s="94">
        <f t="shared" ca="1" si="136"/>
        <v>326.4644447916653</v>
      </c>
      <c r="W291" s="89">
        <f t="shared" si="137"/>
        <v>4.3478260869536292E-4</v>
      </c>
    </row>
    <row r="292" spans="1:23" s="312" customFormat="1" ht="18">
      <c r="A292" s="115"/>
      <c r="B292" s="260" t="s">
        <v>505</v>
      </c>
      <c r="C292" s="130" t="s">
        <v>94</v>
      </c>
      <c r="D292" s="131" t="s">
        <v>2300</v>
      </c>
      <c r="E292" s="150">
        <v>388</v>
      </c>
      <c r="F292" s="138">
        <v>45265</v>
      </c>
      <c r="G292" s="252">
        <v>12.5</v>
      </c>
      <c r="H292" s="90">
        <v>631000</v>
      </c>
      <c r="I292" s="150">
        <f t="shared" si="131"/>
        <v>50480</v>
      </c>
      <c r="J292" s="122"/>
      <c r="K292" s="186">
        <v>1806</v>
      </c>
      <c r="L292" s="262">
        <f t="shared" si="138"/>
        <v>388</v>
      </c>
      <c r="M292" s="160" t="s">
        <v>2958</v>
      </c>
      <c r="N292" s="136">
        <v>11.5</v>
      </c>
      <c r="O292" s="122"/>
      <c r="P292" s="92">
        <f t="shared" si="132"/>
        <v>11.5</v>
      </c>
      <c r="Q292" s="113">
        <f t="shared" si="133"/>
        <v>0.5625</v>
      </c>
      <c r="R292" s="92">
        <f t="shared" si="134"/>
        <v>0.43750000000000006</v>
      </c>
      <c r="S292" s="121"/>
      <c r="T292" s="93">
        <f t="shared" si="135"/>
        <v>0</v>
      </c>
      <c r="U292" s="122"/>
      <c r="V292" s="94">
        <f t="shared" ca="1" si="136"/>
        <v>327.4644447916653</v>
      </c>
      <c r="W292" s="89">
        <f t="shared" si="137"/>
        <v>0</v>
      </c>
    </row>
    <row r="293" spans="1:23" s="312" customFormat="1" ht="18">
      <c r="A293" s="115"/>
      <c r="B293" s="260" t="s">
        <v>505</v>
      </c>
      <c r="C293" s="130" t="s">
        <v>55</v>
      </c>
      <c r="D293" s="131" t="s">
        <v>2756</v>
      </c>
      <c r="E293" s="361">
        <v>389</v>
      </c>
      <c r="F293" s="138">
        <v>45265</v>
      </c>
      <c r="G293" s="259">
        <f>10.597+0.553</f>
        <v>11.15</v>
      </c>
      <c r="H293" s="90">
        <v>605445</v>
      </c>
      <c r="I293" s="150">
        <f t="shared" si="131"/>
        <v>54300</v>
      </c>
      <c r="J293" s="122"/>
      <c r="K293" s="186" t="s">
        <v>2967</v>
      </c>
      <c r="L293" s="262">
        <f t="shared" si="138"/>
        <v>389</v>
      </c>
      <c r="M293" s="160" t="s">
        <v>2968</v>
      </c>
      <c r="N293" s="136">
        <f>9.398+0.86</f>
        <v>10.257999999999999</v>
      </c>
      <c r="O293" s="122"/>
      <c r="P293" s="92">
        <f t="shared" si="132"/>
        <v>10.258000000000001</v>
      </c>
      <c r="Q293" s="113">
        <f t="shared" si="133"/>
        <v>0.50175000000000003</v>
      </c>
      <c r="R293" s="92">
        <f t="shared" si="134"/>
        <v>0.39025000000000004</v>
      </c>
      <c r="S293" s="121"/>
      <c r="T293" s="93">
        <f t="shared" si="135"/>
        <v>1.1657341758564144E-15</v>
      </c>
      <c r="U293" s="122"/>
      <c r="V293" s="94">
        <f t="shared" ca="1" si="136"/>
        <v>327.4644447916653</v>
      </c>
      <c r="W293" s="89">
        <f t="shared" si="137"/>
        <v>1.2671023650613199E-15</v>
      </c>
    </row>
    <row r="294" spans="1:23" s="312" customFormat="1" ht="18">
      <c r="A294" s="115"/>
      <c r="B294" s="260" t="s">
        <v>505</v>
      </c>
      <c r="C294" s="130" t="s">
        <v>55</v>
      </c>
      <c r="D294" s="131" t="s">
        <v>2757</v>
      </c>
      <c r="E294" s="361">
        <v>390</v>
      </c>
      <c r="F294" s="138">
        <v>45265</v>
      </c>
      <c r="G294" s="252">
        <v>31.83</v>
      </c>
      <c r="H294" s="90">
        <v>1728369</v>
      </c>
      <c r="I294" s="150">
        <f t="shared" si="131"/>
        <v>54300</v>
      </c>
      <c r="J294" s="122"/>
      <c r="K294" s="186">
        <v>1816</v>
      </c>
      <c r="L294" s="262">
        <f t="shared" si="138"/>
        <v>390</v>
      </c>
      <c r="M294" s="160" t="s">
        <v>2962</v>
      </c>
      <c r="N294" s="136">
        <v>29.283999999999999</v>
      </c>
      <c r="O294" s="122"/>
      <c r="P294" s="92">
        <f t="shared" si="132"/>
        <v>29.2836</v>
      </c>
      <c r="Q294" s="113">
        <f t="shared" si="133"/>
        <v>1.4323499999999998</v>
      </c>
      <c r="R294" s="92">
        <f t="shared" si="134"/>
        <v>1.11405</v>
      </c>
      <c r="S294" s="121"/>
      <c r="T294" s="93">
        <f t="shared" si="135"/>
        <v>-4.0000000000040004E-4</v>
      </c>
      <c r="U294" s="122"/>
      <c r="V294" s="94">
        <f t="shared" ca="1" si="136"/>
        <v>327.4644447916653</v>
      </c>
      <c r="W294" s="89">
        <f t="shared" si="137"/>
        <v>-4.3478260869608701E-4</v>
      </c>
    </row>
    <row r="295" spans="1:23" s="312" customFormat="1" ht="18">
      <c r="A295" s="115"/>
      <c r="B295" s="260" t="s">
        <v>505</v>
      </c>
      <c r="C295" s="130" t="s">
        <v>55</v>
      </c>
      <c r="D295" s="131" t="s">
        <v>2757</v>
      </c>
      <c r="E295" s="361">
        <v>391</v>
      </c>
      <c r="F295" s="138">
        <v>45265</v>
      </c>
      <c r="G295" s="252">
        <v>31.82</v>
      </c>
      <c r="H295" s="90">
        <v>1727826</v>
      </c>
      <c r="I295" s="150">
        <f t="shared" si="131"/>
        <v>54300</v>
      </c>
      <c r="J295" s="122"/>
      <c r="K295" s="186" t="s">
        <v>2969</v>
      </c>
      <c r="L295" s="262">
        <f t="shared" si="138"/>
        <v>391</v>
      </c>
      <c r="M295" s="160" t="s">
        <v>2970</v>
      </c>
      <c r="N295" s="136">
        <f>2.507+26.767</f>
        <v>29.274000000000001</v>
      </c>
      <c r="O295" s="122"/>
      <c r="P295" s="92">
        <f t="shared" si="132"/>
        <v>29.2744</v>
      </c>
      <c r="Q295" s="113">
        <f t="shared" si="133"/>
        <v>1.4319</v>
      </c>
      <c r="R295" s="92">
        <f t="shared" si="134"/>
        <v>1.1137000000000001</v>
      </c>
      <c r="S295" s="121"/>
      <c r="T295" s="93">
        <f t="shared" si="135"/>
        <v>3.9999999999928981E-4</v>
      </c>
      <c r="U295" s="122"/>
      <c r="V295" s="94">
        <f t="shared" ca="1" si="136"/>
        <v>327.4644447916653</v>
      </c>
      <c r="W295" s="89">
        <f t="shared" si="137"/>
        <v>4.3478260869488018E-4</v>
      </c>
    </row>
    <row r="296" spans="1:23" s="312" customFormat="1" ht="18">
      <c r="A296" s="115"/>
      <c r="B296" s="260" t="s">
        <v>505</v>
      </c>
      <c r="C296" s="130" t="s">
        <v>55</v>
      </c>
      <c r="D296" s="131" t="s">
        <v>2757</v>
      </c>
      <c r="E296" s="361">
        <v>392</v>
      </c>
      <c r="F296" s="138">
        <v>45265</v>
      </c>
      <c r="G296" s="252">
        <v>25.393999999999998</v>
      </c>
      <c r="H296" s="150">
        <v>1378894.2</v>
      </c>
      <c r="I296" s="150">
        <f t="shared" si="131"/>
        <v>54300</v>
      </c>
      <c r="J296" s="122"/>
      <c r="K296" s="186" t="s">
        <v>2972</v>
      </c>
      <c r="L296" s="262">
        <f t="shared" si="138"/>
        <v>392</v>
      </c>
      <c r="M296" s="160" t="s">
        <v>2973</v>
      </c>
      <c r="N296" s="136">
        <f>5.444+17.918</f>
        <v>23.361999999999998</v>
      </c>
      <c r="O296" s="122"/>
      <c r="P296" s="92">
        <f t="shared" si="132"/>
        <v>23.362479999999998</v>
      </c>
      <c r="Q296" s="113">
        <f t="shared" si="133"/>
        <v>1.1427299999999998</v>
      </c>
      <c r="R296" s="92">
        <f t="shared" si="134"/>
        <v>0.88879000000000008</v>
      </c>
      <c r="S296" s="121"/>
      <c r="T296" s="93">
        <f t="shared" si="135"/>
        <v>4.8000000000014698E-4</v>
      </c>
      <c r="U296" s="122"/>
      <c r="V296" s="94">
        <f t="shared" ca="1" si="136"/>
        <v>327.4644447916653</v>
      </c>
      <c r="W296" s="89">
        <f t="shared" si="137"/>
        <v>5.2173913043494237E-4</v>
      </c>
    </row>
    <row r="297" spans="1:23" s="312" customFormat="1" ht="18">
      <c r="A297" s="115"/>
      <c r="B297" s="260" t="s">
        <v>505</v>
      </c>
      <c r="C297" s="130" t="s">
        <v>55</v>
      </c>
      <c r="D297" s="131" t="s">
        <v>2757</v>
      </c>
      <c r="E297" s="361">
        <v>393</v>
      </c>
      <c r="F297" s="138">
        <v>45265</v>
      </c>
      <c r="G297" s="252">
        <v>31.75</v>
      </c>
      <c r="H297" s="90">
        <v>1724025</v>
      </c>
      <c r="I297" s="150">
        <f t="shared" si="131"/>
        <v>54300</v>
      </c>
      <c r="J297" s="122"/>
      <c r="K297" s="186">
        <v>1822</v>
      </c>
      <c r="L297" s="262">
        <f t="shared" si="138"/>
        <v>393</v>
      </c>
      <c r="M297" s="160" t="s">
        <v>2974</v>
      </c>
      <c r="N297" s="136">
        <v>14.314</v>
      </c>
      <c r="O297" s="122"/>
      <c r="P297" s="92">
        <f t="shared" si="132"/>
        <v>29.21</v>
      </c>
      <c r="Q297" s="113">
        <f t="shared" si="133"/>
        <v>1.42875</v>
      </c>
      <c r="R297" s="92">
        <f t="shared" si="134"/>
        <v>1.1112500000000001</v>
      </c>
      <c r="S297" s="121"/>
      <c r="T297" s="93">
        <f t="shared" si="135"/>
        <v>14.895999999999999</v>
      </c>
      <c r="U297" s="122"/>
      <c r="V297" s="94">
        <f t="shared" ca="1" si="136"/>
        <v>327.4644447916653</v>
      </c>
      <c r="W297" s="89">
        <f t="shared" si="137"/>
        <v>16.191304347826087</v>
      </c>
    </row>
    <row r="298" spans="1:23" s="312" customFormat="1" ht="18">
      <c r="A298" s="115"/>
      <c r="B298" s="260" t="s">
        <v>505</v>
      </c>
      <c r="C298" s="130" t="s">
        <v>55</v>
      </c>
      <c r="D298" s="131" t="s">
        <v>2757</v>
      </c>
      <c r="E298" s="361">
        <v>394</v>
      </c>
      <c r="F298" s="138">
        <v>45265</v>
      </c>
      <c r="G298" s="252">
        <v>31.78</v>
      </c>
      <c r="H298" s="90">
        <v>1725654</v>
      </c>
      <c r="I298" s="150">
        <f t="shared" si="131"/>
        <v>54300</v>
      </c>
      <c r="J298" s="122"/>
      <c r="K298" s="186"/>
      <c r="L298" s="262">
        <f t="shared" si="138"/>
        <v>394</v>
      </c>
      <c r="M298" s="160"/>
      <c r="N298" s="136"/>
      <c r="O298" s="122"/>
      <c r="P298" s="92">
        <f t="shared" si="132"/>
        <v>29.237600000000004</v>
      </c>
      <c r="Q298" s="113">
        <f t="shared" si="133"/>
        <v>1.4300999999999999</v>
      </c>
      <c r="R298" s="92">
        <f t="shared" si="134"/>
        <v>1.1123000000000001</v>
      </c>
      <c r="S298" s="121"/>
      <c r="T298" s="93">
        <f t="shared" si="135"/>
        <v>29.2376</v>
      </c>
      <c r="U298" s="122"/>
      <c r="V298" s="94">
        <f t="shared" ca="1" si="136"/>
        <v>327.4644447916653</v>
      </c>
      <c r="W298" s="89">
        <f t="shared" si="137"/>
        <v>31.78</v>
      </c>
    </row>
    <row r="299" spans="1:23" s="312" customFormat="1" ht="18">
      <c r="A299" s="115"/>
      <c r="B299" s="260" t="s">
        <v>505</v>
      </c>
      <c r="C299" s="130" t="s">
        <v>55</v>
      </c>
      <c r="D299" s="131" t="s">
        <v>2757</v>
      </c>
      <c r="E299" s="361">
        <v>395</v>
      </c>
      <c r="F299" s="138">
        <v>45265</v>
      </c>
      <c r="G299" s="252">
        <v>31.79</v>
      </c>
      <c r="H299" s="90">
        <v>1726197</v>
      </c>
      <c r="I299" s="150">
        <f t="shared" si="131"/>
        <v>54300</v>
      </c>
      <c r="J299" s="122"/>
      <c r="K299" s="186"/>
      <c r="L299" s="262">
        <f t="shared" si="138"/>
        <v>395</v>
      </c>
      <c r="M299" s="160"/>
      <c r="N299" s="136"/>
      <c r="O299" s="122"/>
      <c r="P299" s="92">
        <f t="shared" si="132"/>
        <v>29.2468</v>
      </c>
      <c r="Q299" s="113">
        <f t="shared" si="133"/>
        <v>1.43055</v>
      </c>
      <c r="R299" s="92">
        <f t="shared" si="134"/>
        <v>1.1126500000000001</v>
      </c>
      <c r="S299" s="121"/>
      <c r="T299" s="93">
        <f t="shared" si="135"/>
        <v>29.2468</v>
      </c>
      <c r="U299" s="122"/>
      <c r="V299" s="94">
        <f t="shared" ca="1" si="136"/>
        <v>327.4644447916653</v>
      </c>
      <c r="W299" s="89">
        <f t="shared" si="137"/>
        <v>31.79</v>
      </c>
    </row>
    <row r="300" spans="1:23" s="312" customFormat="1" ht="18">
      <c r="A300" s="115"/>
      <c r="B300" s="260" t="s">
        <v>505</v>
      </c>
      <c r="C300" s="130" t="s">
        <v>55</v>
      </c>
      <c r="D300" s="131" t="s">
        <v>2757</v>
      </c>
      <c r="E300" s="361">
        <v>396</v>
      </c>
      <c r="F300" s="138">
        <v>45265</v>
      </c>
      <c r="G300" s="252">
        <v>42.14</v>
      </c>
      <c r="H300" s="90">
        <v>2288202</v>
      </c>
      <c r="I300" s="150">
        <f t="shared" si="131"/>
        <v>54300</v>
      </c>
      <c r="J300" s="122"/>
      <c r="K300" s="186"/>
      <c r="L300" s="262">
        <f t="shared" si="138"/>
        <v>396</v>
      </c>
      <c r="M300" s="160"/>
      <c r="N300" s="136"/>
      <c r="O300" s="122"/>
      <c r="P300" s="92">
        <f t="shared" si="132"/>
        <v>38.768799999999999</v>
      </c>
      <c r="Q300" s="113">
        <f t="shared" si="133"/>
        <v>1.8962999999999999</v>
      </c>
      <c r="R300" s="92">
        <f t="shared" si="134"/>
        <v>1.4749000000000001</v>
      </c>
      <c r="S300" s="121"/>
      <c r="T300" s="93">
        <f t="shared" si="135"/>
        <v>38.768800000000006</v>
      </c>
      <c r="U300" s="122"/>
      <c r="V300" s="94">
        <f t="shared" ca="1" si="136"/>
        <v>327.4644447916653</v>
      </c>
      <c r="W300" s="89">
        <f t="shared" si="137"/>
        <v>42.140000000000008</v>
      </c>
    </row>
    <row r="301" spans="1:23" s="312" customFormat="1" ht="18">
      <c r="A301" s="115"/>
      <c r="B301" s="260" t="s">
        <v>505</v>
      </c>
      <c r="C301" s="130" t="s">
        <v>55</v>
      </c>
      <c r="D301" s="131" t="s">
        <v>2757</v>
      </c>
      <c r="E301" s="361">
        <v>397</v>
      </c>
      <c r="F301" s="138">
        <v>45265</v>
      </c>
      <c r="G301" s="252">
        <v>31.73</v>
      </c>
      <c r="H301" s="90">
        <v>1722939</v>
      </c>
      <c r="I301" s="150">
        <f t="shared" si="131"/>
        <v>54300</v>
      </c>
      <c r="J301" s="122"/>
      <c r="K301" s="186"/>
      <c r="L301" s="262">
        <f t="shared" si="138"/>
        <v>397</v>
      </c>
      <c r="M301" s="160"/>
      <c r="N301" s="136"/>
      <c r="O301" s="122"/>
      <c r="P301" s="92">
        <f t="shared" si="132"/>
        <v>29.191600000000001</v>
      </c>
      <c r="Q301" s="113">
        <f t="shared" si="133"/>
        <v>1.4278500000000001</v>
      </c>
      <c r="R301" s="92">
        <f t="shared" si="134"/>
        <v>1.1105500000000001</v>
      </c>
      <c r="S301" s="121"/>
      <c r="T301" s="93">
        <f t="shared" si="135"/>
        <v>29.191600000000001</v>
      </c>
      <c r="U301" s="122"/>
      <c r="V301" s="94">
        <f t="shared" ca="1" si="136"/>
        <v>327.4644447916653</v>
      </c>
      <c r="W301" s="89">
        <f t="shared" si="137"/>
        <v>31.73</v>
      </c>
    </row>
    <row r="302" spans="1:23" s="312" customFormat="1" ht="18">
      <c r="A302" s="115"/>
      <c r="B302" s="260" t="s">
        <v>505</v>
      </c>
      <c r="C302" s="130" t="s">
        <v>55</v>
      </c>
      <c r="D302" s="131" t="s">
        <v>2757</v>
      </c>
      <c r="E302" s="361">
        <v>398</v>
      </c>
      <c r="F302" s="138">
        <v>45265</v>
      </c>
      <c r="G302" s="252">
        <v>31.78</v>
      </c>
      <c r="H302" s="90">
        <v>1725654</v>
      </c>
      <c r="I302" s="150">
        <f t="shared" ref="I302:I333" si="139">H302/G302</f>
        <v>54300</v>
      </c>
      <c r="J302" s="122"/>
      <c r="K302" s="186"/>
      <c r="L302" s="262">
        <f t="shared" si="138"/>
        <v>398</v>
      </c>
      <c r="M302" s="160"/>
      <c r="N302" s="136"/>
      <c r="O302" s="122"/>
      <c r="P302" s="92">
        <f t="shared" ref="P302:P333" si="140">G302*0.92</f>
        <v>29.237600000000004</v>
      </c>
      <c r="Q302" s="113">
        <f t="shared" ref="Q302:Q333" si="141">G302*4.5%</f>
        <v>1.4300999999999999</v>
      </c>
      <c r="R302" s="92">
        <f t="shared" ref="R302:R333" si="142">G302*3.5%</f>
        <v>1.1123000000000001</v>
      </c>
      <c r="S302" s="121"/>
      <c r="T302" s="93">
        <f t="shared" ref="T302:T333" si="143">G302-N302-Q302-R302</f>
        <v>29.2376</v>
      </c>
      <c r="U302" s="122"/>
      <c r="V302" s="94">
        <f t="shared" ref="V302:V333" ca="1" si="144">360-($V$3-F302)</f>
        <v>327.4644447916653</v>
      </c>
      <c r="W302" s="89">
        <f t="shared" ref="W302:W333" si="145">T302/0.92%/100</f>
        <v>31.78</v>
      </c>
    </row>
    <row r="303" spans="1:23" s="312" customFormat="1" ht="18">
      <c r="A303" s="115"/>
      <c r="B303" s="260" t="s">
        <v>505</v>
      </c>
      <c r="C303" s="130" t="s">
        <v>55</v>
      </c>
      <c r="D303" s="131" t="s">
        <v>2757</v>
      </c>
      <c r="E303" s="361">
        <v>399</v>
      </c>
      <c r="F303" s="138">
        <v>45265</v>
      </c>
      <c r="G303" s="259">
        <v>48</v>
      </c>
      <c r="H303" s="90">
        <v>2606400</v>
      </c>
      <c r="I303" s="150">
        <f t="shared" si="139"/>
        <v>54300</v>
      </c>
      <c r="J303" s="122"/>
      <c r="K303" s="186"/>
      <c r="L303" s="262">
        <f t="shared" si="138"/>
        <v>399</v>
      </c>
      <c r="M303" s="160"/>
      <c r="N303" s="136"/>
      <c r="O303" s="122"/>
      <c r="P303" s="92">
        <f t="shared" si="140"/>
        <v>44.160000000000004</v>
      </c>
      <c r="Q303" s="113">
        <f t="shared" si="141"/>
        <v>2.16</v>
      </c>
      <c r="R303" s="92">
        <f t="shared" si="142"/>
        <v>1.6800000000000002</v>
      </c>
      <c r="S303" s="121"/>
      <c r="T303" s="93">
        <f t="shared" si="143"/>
        <v>44.160000000000004</v>
      </c>
      <c r="U303" s="122"/>
      <c r="V303" s="94">
        <f t="shared" ca="1" si="144"/>
        <v>327.4644447916653</v>
      </c>
      <c r="W303" s="89">
        <f t="shared" si="145"/>
        <v>48.000000000000007</v>
      </c>
    </row>
    <row r="304" spans="1:23" s="312" customFormat="1" ht="18">
      <c r="A304" s="115"/>
      <c r="B304" s="260" t="s">
        <v>505</v>
      </c>
      <c r="C304" s="130" t="s">
        <v>55</v>
      </c>
      <c r="D304" s="131" t="s">
        <v>2757</v>
      </c>
      <c r="E304" s="361">
        <v>400</v>
      </c>
      <c r="F304" s="138">
        <v>45265</v>
      </c>
      <c r="G304" s="252">
        <v>31.71</v>
      </c>
      <c r="H304" s="150">
        <v>1721853</v>
      </c>
      <c r="I304" s="150">
        <f t="shared" si="139"/>
        <v>54300</v>
      </c>
      <c r="J304" s="122"/>
      <c r="K304" s="186"/>
      <c r="L304" s="262">
        <f t="shared" si="138"/>
        <v>400</v>
      </c>
      <c r="M304" s="160"/>
      <c r="N304" s="136"/>
      <c r="O304" s="122"/>
      <c r="P304" s="92">
        <f t="shared" si="140"/>
        <v>29.173200000000001</v>
      </c>
      <c r="Q304" s="113">
        <f t="shared" si="141"/>
        <v>1.4269499999999999</v>
      </c>
      <c r="R304" s="92">
        <f t="shared" si="142"/>
        <v>1.1098500000000002</v>
      </c>
      <c r="S304" s="121"/>
      <c r="T304" s="93">
        <f t="shared" si="143"/>
        <v>29.173199999999998</v>
      </c>
      <c r="U304" s="122"/>
      <c r="V304" s="94">
        <f t="shared" ca="1" si="144"/>
        <v>327.4644447916653</v>
      </c>
      <c r="W304" s="89">
        <f t="shared" si="145"/>
        <v>31.71</v>
      </c>
    </row>
    <row r="305" spans="1:23" s="312" customFormat="1" ht="18">
      <c r="A305" s="115"/>
      <c r="B305" s="260" t="s">
        <v>505</v>
      </c>
      <c r="C305" s="130" t="s">
        <v>55</v>
      </c>
      <c r="D305" s="131" t="s">
        <v>2757</v>
      </c>
      <c r="E305" s="361">
        <v>401</v>
      </c>
      <c r="F305" s="138">
        <v>45265</v>
      </c>
      <c r="G305" s="252">
        <v>31.84</v>
      </c>
      <c r="H305" s="150">
        <v>1728912</v>
      </c>
      <c r="I305" s="150">
        <f t="shared" si="139"/>
        <v>54300</v>
      </c>
      <c r="J305" s="122"/>
      <c r="K305" s="186"/>
      <c r="L305" s="262">
        <f t="shared" si="138"/>
        <v>401</v>
      </c>
      <c r="M305" s="160"/>
      <c r="N305" s="136"/>
      <c r="O305" s="122"/>
      <c r="P305" s="92">
        <f t="shared" si="140"/>
        <v>29.2928</v>
      </c>
      <c r="Q305" s="113">
        <f t="shared" si="141"/>
        <v>1.4327999999999999</v>
      </c>
      <c r="R305" s="92">
        <f t="shared" si="142"/>
        <v>1.1144000000000001</v>
      </c>
      <c r="S305" s="121"/>
      <c r="T305" s="93">
        <f t="shared" si="143"/>
        <v>29.2928</v>
      </c>
      <c r="U305" s="122"/>
      <c r="V305" s="94">
        <f t="shared" ca="1" si="144"/>
        <v>327.4644447916653</v>
      </c>
      <c r="W305" s="89">
        <f t="shared" si="145"/>
        <v>31.84</v>
      </c>
    </row>
    <row r="306" spans="1:23" s="312" customFormat="1" ht="18">
      <c r="A306" s="115"/>
      <c r="B306" s="260" t="s">
        <v>505</v>
      </c>
      <c r="C306" s="130" t="s">
        <v>55</v>
      </c>
      <c r="D306" s="131" t="s">
        <v>2757</v>
      </c>
      <c r="E306" s="361">
        <v>402</v>
      </c>
      <c r="F306" s="138">
        <v>45265</v>
      </c>
      <c r="G306" s="252">
        <v>31.71</v>
      </c>
      <c r="H306" s="150">
        <v>1721853</v>
      </c>
      <c r="I306" s="150">
        <f t="shared" si="139"/>
        <v>54300</v>
      </c>
      <c r="J306" s="122"/>
      <c r="K306" s="186"/>
      <c r="L306" s="262">
        <f t="shared" si="138"/>
        <v>402</v>
      </c>
      <c r="M306" s="160"/>
      <c r="N306" s="136"/>
      <c r="O306" s="122"/>
      <c r="P306" s="92">
        <f t="shared" si="140"/>
        <v>29.173200000000001</v>
      </c>
      <c r="Q306" s="113">
        <f t="shared" si="141"/>
        <v>1.4269499999999999</v>
      </c>
      <c r="R306" s="92">
        <f t="shared" si="142"/>
        <v>1.1098500000000002</v>
      </c>
      <c r="S306" s="121"/>
      <c r="T306" s="93">
        <f t="shared" si="143"/>
        <v>29.173199999999998</v>
      </c>
      <c r="U306" s="122"/>
      <c r="V306" s="94">
        <f t="shared" ca="1" si="144"/>
        <v>327.4644447916653</v>
      </c>
      <c r="W306" s="89">
        <f t="shared" si="145"/>
        <v>31.71</v>
      </c>
    </row>
    <row r="307" spans="1:23" s="312" customFormat="1" ht="18">
      <c r="A307" s="115"/>
      <c r="B307" s="260" t="s">
        <v>505</v>
      </c>
      <c r="C307" s="130" t="s">
        <v>55</v>
      </c>
      <c r="D307" s="131" t="s">
        <v>2757</v>
      </c>
      <c r="E307" s="361">
        <v>403</v>
      </c>
      <c r="F307" s="138">
        <v>45265</v>
      </c>
      <c r="G307" s="252">
        <v>33.770000000000003</v>
      </c>
      <c r="H307" s="150">
        <v>1833711.0000000002</v>
      </c>
      <c r="I307" s="150">
        <f t="shared" si="139"/>
        <v>54300</v>
      </c>
      <c r="J307" s="122"/>
      <c r="K307" s="186"/>
      <c r="L307" s="262">
        <f t="shared" si="138"/>
        <v>403</v>
      </c>
      <c r="M307" s="160"/>
      <c r="N307" s="136"/>
      <c r="O307" s="122"/>
      <c r="P307" s="92">
        <f t="shared" si="140"/>
        <v>31.068400000000004</v>
      </c>
      <c r="Q307" s="113">
        <f t="shared" si="141"/>
        <v>1.5196500000000002</v>
      </c>
      <c r="R307" s="92">
        <f t="shared" si="142"/>
        <v>1.1819500000000003</v>
      </c>
      <c r="S307" s="121"/>
      <c r="T307" s="93">
        <f t="shared" si="143"/>
        <v>31.068400000000004</v>
      </c>
      <c r="U307" s="122"/>
      <c r="V307" s="94">
        <f t="shared" ca="1" si="144"/>
        <v>327.4644447916653</v>
      </c>
      <c r="W307" s="89">
        <f t="shared" si="145"/>
        <v>33.770000000000003</v>
      </c>
    </row>
    <row r="308" spans="1:23" s="312" customFormat="1" ht="18">
      <c r="A308" s="115"/>
      <c r="B308" s="260" t="s">
        <v>505</v>
      </c>
      <c r="C308" s="130" t="s">
        <v>55</v>
      </c>
      <c r="D308" s="131" t="s">
        <v>2757</v>
      </c>
      <c r="E308" s="361">
        <v>404</v>
      </c>
      <c r="F308" s="138">
        <v>45265</v>
      </c>
      <c r="G308" s="252">
        <v>31.83</v>
      </c>
      <c r="H308" s="150">
        <v>1728369</v>
      </c>
      <c r="I308" s="150">
        <f t="shared" si="139"/>
        <v>54300</v>
      </c>
      <c r="J308" s="122"/>
      <c r="K308" s="186"/>
      <c r="L308" s="262">
        <f t="shared" si="138"/>
        <v>404</v>
      </c>
      <c r="M308" s="160"/>
      <c r="N308" s="136"/>
      <c r="O308" s="122"/>
      <c r="P308" s="92">
        <f t="shared" si="140"/>
        <v>29.2836</v>
      </c>
      <c r="Q308" s="113">
        <f t="shared" si="141"/>
        <v>1.4323499999999998</v>
      </c>
      <c r="R308" s="92">
        <f t="shared" si="142"/>
        <v>1.11405</v>
      </c>
      <c r="S308" s="121"/>
      <c r="T308" s="93">
        <f t="shared" si="143"/>
        <v>29.2836</v>
      </c>
      <c r="U308" s="122"/>
      <c r="V308" s="94">
        <f t="shared" ca="1" si="144"/>
        <v>327.4644447916653</v>
      </c>
      <c r="W308" s="89">
        <f t="shared" si="145"/>
        <v>31.83</v>
      </c>
    </row>
    <row r="309" spans="1:23" s="312" customFormat="1" ht="18">
      <c r="A309" s="115"/>
      <c r="B309" s="260" t="s">
        <v>505</v>
      </c>
      <c r="C309" s="130" t="s">
        <v>55</v>
      </c>
      <c r="D309" s="131" t="s">
        <v>2757</v>
      </c>
      <c r="E309" s="361">
        <v>405</v>
      </c>
      <c r="F309" s="138">
        <v>45265</v>
      </c>
      <c r="G309" s="252">
        <v>31.76</v>
      </c>
      <c r="H309" s="150">
        <v>1724568</v>
      </c>
      <c r="I309" s="150">
        <f t="shared" si="139"/>
        <v>54300</v>
      </c>
      <c r="J309" s="122"/>
      <c r="K309" s="186"/>
      <c r="L309" s="262">
        <f t="shared" si="138"/>
        <v>405</v>
      </c>
      <c r="M309" s="160"/>
      <c r="N309" s="136"/>
      <c r="O309" s="122"/>
      <c r="P309" s="92">
        <f t="shared" si="140"/>
        <v>29.219200000000004</v>
      </c>
      <c r="Q309" s="113">
        <f t="shared" si="141"/>
        <v>1.4292</v>
      </c>
      <c r="R309" s="92">
        <f t="shared" si="142"/>
        <v>1.1116000000000001</v>
      </c>
      <c r="S309" s="121"/>
      <c r="T309" s="93">
        <f t="shared" si="143"/>
        <v>29.219200000000001</v>
      </c>
      <c r="U309" s="122"/>
      <c r="V309" s="94">
        <f t="shared" ca="1" si="144"/>
        <v>327.4644447916653</v>
      </c>
      <c r="W309" s="89">
        <f t="shared" si="145"/>
        <v>31.76</v>
      </c>
    </row>
    <row r="310" spans="1:23" s="312" customFormat="1" ht="18">
      <c r="A310" s="115"/>
      <c r="B310" s="260" t="s">
        <v>505</v>
      </c>
      <c r="C310" s="130" t="s">
        <v>55</v>
      </c>
      <c r="D310" s="131" t="s">
        <v>2757</v>
      </c>
      <c r="E310" s="361">
        <v>406</v>
      </c>
      <c r="F310" s="138">
        <v>45265</v>
      </c>
      <c r="G310" s="252">
        <v>42.39</v>
      </c>
      <c r="H310" s="150">
        <v>2301777</v>
      </c>
      <c r="I310" s="150">
        <f t="shared" si="139"/>
        <v>54300</v>
      </c>
      <c r="J310" s="122"/>
      <c r="K310" s="186"/>
      <c r="L310" s="262">
        <f t="shared" si="138"/>
        <v>406</v>
      </c>
      <c r="M310" s="160"/>
      <c r="N310" s="136"/>
      <c r="O310" s="122"/>
      <c r="P310" s="92">
        <f t="shared" si="140"/>
        <v>38.998800000000003</v>
      </c>
      <c r="Q310" s="113">
        <f t="shared" si="141"/>
        <v>1.9075499999999999</v>
      </c>
      <c r="R310" s="92">
        <f t="shared" si="142"/>
        <v>1.4836500000000001</v>
      </c>
      <c r="S310" s="121"/>
      <c r="T310" s="93">
        <f t="shared" si="143"/>
        <v>38.998800000000003</v>
      </c>
      <c r="U310" s="122"/>
      <c r="V310" s="94">
        <f t="shared" ca="1" si="144"/>
        <v>327.4644447916653</v>
      </c>
      <c r="W310" s="89">
        <f t="shared" si="145"/>
        <v>42.39</v>
      </c>
    </row>
    <row r="311" spans="1:23" s="312" customFormat="1" ht="18">
      <c r="A311" s="115"/>
      <c r="B311" s="260" t="s">
        <v>505</v>
      </c>
      <c r="C311" s="130" t="s">
        <v>55</v>
      </c>
      <c r="D311" s="131" t="s">
        <v>2757</v>
      </c>
      <c r="E311" s="361">
        <v>407</v>
      </c>
      <c r="F311" s="138">
        <v>45265</v>
      </c>
      <c r="G311" s="252">
        <v>31.69</v>
      </c>
      <c r="H311" s="150">
        <v>1720767</v>
      </c>
      <c r="I311" s="150">
        <f t="shared" si="139"/>
        <v>54300</v>
      </c>
      <c r="J311" s="122"/>
      <c r="K311" s="186"/>
      <c r="L311" s="262">
        <f t="shared" si="138"/>
        <v>407</v>
      </c>
      <c r="M311" s="160"/>
      <c r="N311" s="136"/>
      <c r="O311" s="122"/>
      <c r="P311" s="92">
        <f t="shared" si="140"/>
        <v>29.154800000000002</v>
      </c>
      <c r="Q311" s="113">
        <f t="shared" si="141"/>
        <v>1.42605</v>
      </c>
      <c r="R311" s="92">
        <f t="shared" si="142"/>
        <v>1.1091500000000001</v>
      </c>
      <c r="S311" s="121"/>
      <c r="T311" s="93">
        <f t="shared" si="143"/>
        <v>29.154800000000002</v>
      </c>
      <c r="U311" s="122"/>
      <c r="V311" s="94">
        <f t="shared" ca="1" si="144"/>
        <v>327.4644447916653</v>
      </c>
      <c r="W311" s="89">
        <f t="shared" si="145"/>
        <v>31.690000000000005</v>
      </c>
    </row>
    <row r="312" spans="1:23" s="312" customFormat="1" ht="18">
      <c r="A312" s="115"/>
      <c r="B312" s="260" t="s">
        <v>505</v>
      </c>
      <c r="C312" s="130" t="s">
        <v>55</v>
      </c>
      <c r="D312" s="131" t="s">
        <v>2757</v>
      </c>
      <c r="E312" s="361">
        <v>408</v>
      </c>
      <c r="F312" s="138">
        <v>45265</v>
      </c>
      <c r="G312" s="252">
        <v>31.62</v>
      </c>
      <c r="H312" s="150">
        <v>1716966</v>
      </c>
      <c r="I312" s="150">
        <f t="shared" si="139"/>
        <v>54300</v>
      </c>
      <c r="J312" s="122"/>
      <c r="K312" s="186"/>
      <c r="L312" s="262">
        <f t="shared" si="138"/>
        <v>408</v>
      </c>
      <c r="M312" s="160"/>
      <c r="N312" s="136"/>
      <c r="O312" s="122"/>
      <c r="P312" s="92">
        <f t="shared" si="140"/>
        <v>29.090400000000002</v>
      </c>
      <c r="Q312" s="113">
        <f t="shared" si="141"/>
        <v>1.4229000000000001</v>
      </c>
      <c r="R312" s="92">
        <f t="shared" si="142"/>
        <v>1.1067000000000002</v>
      </c>
      <c r="S312" s="121"/>
      <c r="T312" s="93">
        <f t="shared" si="143"/>
        <v>29.090400000000002</v>
      </c>
      <c r="U312" s="122"/>
      <c r="V312" s="94">
        <f t="shared" ca="1" si="144"/>
        <v>327.4644447916653</v>
      </c>
      <c r="W312" s="89">
        <f t="shared" si="145"/>
        <v>31.620000000000005</v>
      </c>
    </row>
    <row r="313" spans="1:23" s="312" customFormat="1" ht="18">
      <c r="A313" s="115"/>
      <c r="B313" s="260" t="s">
        <v>505</v>
      </c>
      <c r="C313" s="130" t="s">
        <v>55</v>
      </c>
      <c r="D313" s="131" t="s">
        <v>2757</v>
      </c>
      <c r="E313" s="361">
        <v>409</v>
      </c>
      <c r="F313" s="138">
        <v>45265</v>
      </c>
      <c r="G313" s="252">
        <v>31.86</v>
      </c>
      <c r="H313" s="150">
        <v>1729998</v>
      </c>
      <c r="I313" s="150">
        <f t="shared" si="139"/>
        <v>54300</v>
      </c>
      <c r="J313" s="122"/>
      <c r="K313" s="186"/>
      <c r="L313" s="262">
        <f t="shared" si="138"/>
        <v>409</v>
      </c>
      <c r="M313" s="160"/>
      <c r="N313" s="136"/>
      <c r="O313" s="122"/>
      <c r="P313" s="92">
        <f t="shared" si="140"/>
        <v>29.311199999999999</v>
      </c>
      <c r="Q313" s="113">
        <f t="shared" si="141"/>
        <v>1.4337</v>
      </c>
      <c r="R313" s="92">
        <f t="shared" si="142"/>
        <v>1.1151</v>
      </c>
      <c r="S313" s="121"/>
      <c r="T313" s="93">
        <f t="shared" si="143"/>
        <v>29.311199999999999</v>
      </c>
      <c r="U313" s="122"/>
      <c r="V313" s="94">
        <f t="shared" ca="1" si="144"/>
        <v>327.4644447916653</v>
      </c>
      <c r="W313" s="89">
        <f t="shared" si="145"/>
        <v>31.86</v>
      </c>
    </row>
    <row r="314" spans="1:23" s="312" customFormat="1" ht="18">
      <c r="A314" s="115"/>
      <c r="B314" s="260" t="s">
        <v>505</v>
      </c>
      <c r="C314" s="130" t="s">
        <v>55</v>
      </c>
      <c r="D314" s="131" t="s">
        <v>2757</v>
      </c>
      <c r="E314" s="361">
        <v>410</v>
      </c>
      <c r="F314" s="138">
        <v>45265</v>
      </c>
      <c r="G314" s="252">
        <v>31.65</v>
      </c>
      <c r="H314" s="150">
        <v>1718595</v>
      </c>
      <c r="I314" s="150">
        <f t="shared" si="139"/>
        <v>54300</v>
      </c>
      <c r="J314" s="122"/>
      <c r="K314" s="186"/>
      <c r="L314" s="262">
        <f t="shared" si="138"/>
        <v>410</v>
      </c>
      <c r="M314" s="160"/>
      <c r="N314" s="136"/>
      <c r="O314" s="122"/>
      <c r="P314" s="92">
        <f t="shared" si="140"/>
        <v>29.117999999999999</v>
      </c>
      <c r="Q314" s="113">
        <f t="shared" si="141"/>
        <v>1.4242499999999998</v>
      </c>
      <c r="R314" s="92">
        <f t="shared" si="142"/>
        <v>1.10775</v>
      </c>
      <c r="S314" s="121"/>
      <c r="T314" s="93">
        <f t="shared" si="143"/>
        <v>29.117999999999999</v>
      </c>
      <c r="U314" s="122"/>
      <c r="V314" s="94">
        <f t="shared" ca="1" si="144"/>
        <v>327.4644447916653</v>
      </c>
      <c r="W314" s="89">
        <f t="shared" si="145"/>
        <v>31.65</v>
      </c>
    </row>
    <row r="315" spans="1:23" s="312" customFormat="1" ht="18">
      <c r="A315" s="115"/>
      <c r="B315" s="260" t="s">
        <v>505</v>
      </c>
      <c r="C315" s="130" t="s">
        <v>55</v>
      </c>
      <c r="D315" s="131" t="s">
        <v>2757</v>
      </c>
      <c r="E315" s="361">
        <v>411</v>
      </c>
      <c r="F315" s="138">
        <v>45265</v>
      </c>
      <c r="G315" s="252">
        <v>31.7</v>
      </c>
      <c r="H315" s="150">
        <v>1721310</v>
      </c>
      <c r="I315" s="150">
        <f t="shared" si="139"/>
        <v>54300</v>
      </c>
      <c r="J315" s="122"/>
      <c r="K315" s="186"/>
      <c r="L315" s="262">
        <f t="shared" si="138"/>
        <v>411</v>
      </c>
      <c r="M315" s="160"/>
      <c r="N315" s="136"/>
      <c r="O315" s="122"/>
      <c r="P315" s="92">
        <f t="shared" si="140"/>
        <v>29.164000000000001</v>
      </c>
      <c r="Q315" s="113">
        <f t="shared" si="141"/>
        <v>1.4264999999999999</v>
      </c>
      <c r="R315" s="92">
        <f t="shared" si="142"/>
        <v>1.1095000000000002</v>
      </c>
      <c r="S315" s="121"/>
      <c r="T315" s="93">
        <f t="shared" si="143"/>
        <v>29.163999999999998</v>
      </c>
      <c r="U315" s="122"/>
      <c r="V315" s="94">
        <f t="shared" ca="1" si="144"/>
        <v>327.4644447916653</v>
      </c>
      <c r="W315" s="89">
        <f t="shared" si="145"/>
        <v>31.7</v>
      </c>
    </row>
    <row r="316" spans="1:23" s="312" customFormat="1" ht="18">
      <c r="A316" s="115"/>
      <c r="B316" s="260" t="s">
        <v>505</v>
      </c>
      <c r="C316" s="130" t="s">
        <v>55</v>
      </c>
      <c r="D316" s="131" t="s">
        <v>2757</v>
      </c>
      <c r="E316" s="361">
        <v>412</v>
      </c>
      <c r="F316" s="138">
        <v>45265</v>
      </c>
      <c r="G316" s="252">
        <v>31.69</v>
      </c>
      <c r="H316" s="150">
        <v>1720767</v>
      </c>
      <c r="I316" s="150">
        <f t="shared" si="139"/>
        <v>54300</v>
      </c>
      <c r="J316" s="122"/>
      <c r="K316" s="186"/>
      <c r="L316" s="262">
        <f t="shared" si="138"/>
        <v>412</v>
      </c>
      <c r="M316" s="160"/>
      <c r="N316" s="136"/>
      <c r="O316" s="122"/>
      <c r="P316" s="92">
        <f t="shared" si="140"/>
        <v>29.154800000000002</v>
      </c>
      <c r="Q316" s="113">
        <f t="shared" si="141"/>
        <v>1.42605</v>
      </c>
      <c r="R316" s="92">
        <f t="shared" si="142"/>
        <v>1.1091500000000001</v>
      </c>
      <c r="S316" s="121"/>
      <c r="T316" s="93">
        <f t="shared" si="143"/>
        <v>29.154800000000002</v>
      </c>
      <c r="U316" s="122"/>
      <c r="V316" s="94">
        <f t="shared" ca="1" si="144"/>
        <v>327.4644447916653</v>
      </c>
      <c r="W316" s="89">
        <f t="shared" si="145"/>
        <v>31.690000000000005</v>
      </c>
    </row>
    <row r="317" spans="1:23" s="312" customFormat="1" ht="18">
      <c r="A317" s="115"/>
      <c r="B317" s="260" t="s">
        <v>505</v>
      </c>
      <c r="C317" s="130" t="s">
        <v>55</v>
      </c>
      <c r="D317" s="131" t="s">
        <v>2757</v>
      </c>
      <c r="E317" s="361">
        <v>413</v>
      </c>
      <c r="F317" s="138">
        <v>45265</v>
      </c>
      <c r="G317" s="252">
        <v>27.41</v>
      </c>
      <c r="H317" s="150">
        <v>1488363</v>
      </c>
      <c r="I317" s="150">
        <f t="shared" si="139"/>
        <v>54300</v>
      </c>
      <c r="J317" s="122"/>
      <c r="K317" s="186"/>
      <c r="L317" s="262">
        <f t="shared" si="138"/>
        <v>413</v>
      </c>
      <c r="M317" s="160"/>
      <c r="N317" s="136"/>
      <c r="O317" s="122"/>
      <c r="P317" s="92">
        <f t="shared" si="140"/>
        <v>25.217200000000002</v>
      </c>
      <c r="Q317" s="113">
        <f t="shared" si="141"/>
        <v>1.2334499999999999</v>
      </c>
      <c r="R317" s="92">
        <f t="shared" si="142"/>
        <v>0.95935000000000015</v>
      </c>
      <c r="S317" s="121"/>
      <c r="T317" s="93">
        <f t="shared" si="143"/>
        <v>25.217199999999998</v>
      </c>
      <c r="U317" s="122"/>
      <c r="V317" s="94">
        <f t="shared" ca="1" si="144"/>
        <v>327.4644447916653</v>
      </c>
      <c r="W317" s="89">
        <f t="shared" si="145"/>
        <v>27.41</v>
      </c>
    </row>
    <row r="318" spans="1:23" s="312" customFormat="1" ht="18">
      <c r="A318" s="115"/>
      <c r="B318" s="260" t="s">
        <v>505</v>
      </c>
      <c r="C318" s="130" t="s">
        <v>55</v>
      </c>
      <c r="D318" s="131" t="s">
        <v>2757</v>
      </c>
      <c r="E318" s="361">
        <v>414</v>
      </c>
      <c r="F318" s="138">
        <v>45265</v>
      </c>
      <c r="G318" s="252">
        <v>31.65</v>
      </c>
      <c r="H318" s="150">
        <v>1718595</v>
      </c>
      <c r="I318" s="150">
        <f t="shared" si="139"/>
        <v>54300</v>
      </c>
      <c r="J318" s="122"/>
      <c r="K318" s="186"/>
      <c r="L318" s="262">
        <f t="shared" si="138"/>
        <v>414</v>
      </c>
      <c r="M318" s="160"/>
      <c r="N318" s="136"/>
      <c r="O318" s="122"/>
      <c r="P318" s="92">
        <f t="shared" si="140"/>
        <v>29.117999999999999</v>
      </c>
      <c r="Q318" s="113">
        <f t="shared" si="141"/>
        <v>1.4242499999999998</v>
      </c>
      <c r="R318" s="92">
        <f t="shared" si="142"/>
        <v>1.10775</v>
      </c>
      <c r="S318" s="121"/>
      <c r="T318" s="93">
        <f t="shared" si="143"/>
        <v>29.117999999999999</v>
      </c>
      <c r="U318" s="122"/>
      <c r="V318" s="94">
        <f t="shared" ca="1" si="144"/>
        <v>327.4644447916653</v>
      </c>
      <c r="W318" s="89">
        <f t="shared" si="145"/>
        <v>31.65</v>
      </c>
    </row>
    <row r="319" spans="1:23" s="312" customFormat="1" ht="18">
      <c r="A319" s="115"/>
      <c r="B319" s="260" t="s">
        <v>505</v>
      </c>
      <c r="C319" s="130" t="s">
        <v>55</v>
      </c>
      <c r="D319" s="131" t="s">
        <v>2757</v>
      </c>
      <c r="E319" s="361">
        <v>415</v>
      </c>
      <c r="F319" s="138">
        <v>45265</v>
      </c>
      <c r="G319" s="252">
        <v>59.31</v>
      </c>
      <c r="H319" s="150">
        <v>3220533</v>
      </c>
      <c r="I319" s="150">
        <f t="shared" si="139"/>
        <v>54300</v>
      </c>
      <c r="J319" s="122"/>
      <c r="K319" s="186"/>
      <c r="L319" s="262">
        <f t="shared" si="138"/>
        <v>415</v>
      </c>
      <c r="M319" s="160"/>
      <c r="N319" s="136"/>
      <c r="O319" s="122"/>
      <c r="P319" s="92">
        <f t="shared" si="140"/>
        <v>54.565200000000004</v>
      </c>
      <c r="Q319" s="113">
        <f t="shared" si="141"/>
        <v>2.6689500000000002</v>
      </c>
      <c r="R319" s="92">
        <f t="shared" si="142"/>
        <v>2.0758500000000004</v>
      </c>
      <c r="S319" s="121"/>
      <c r="T319" s="93">
        <f t="shared" si="143"/>
        <v>54.565199999999997</v>
      </c>
      <c r="U319" s="122"/>
      <c r="V319" s="94">
        <f t="shared" ca="1" si="144"/>
        <v>327.4644447916653</v>
      </c>
      <c r="W319" s="89">
        <f t="shared" si="145"/>
        <v>59.31</v>
      </c>
    </row>
    <row r="320" spans="1:23" s="312" customFormat="1" ht="18">
      <c r="A320" s="115"/>
      <c r="B320" s="260" t="s">
        <v>505</v>
      </c>
      <c r="C320" s="130" t="s">
        <v>55</v>
      </c>
      <c r="D320" s="131" t="s">
        <v>2757</v>
      </c>
      <c r="E320" s="361">
        <v>416</v>
      </c>
      <c r="F320" s="138">
        <v>45265</v>
      </c>
      <c r="G320" s="252">
        <v>59.27</v>
      </c>
      <c r="H320" s="150">
        <v>3218361</v>
      </c>
      <c r="I320" s="150">
        <f t="shared" si="139"/>
        <v>54300</v>
      </c>
      <c r="J320" s="122"/>
      <c r="K320" s="186"/>
      <c r="L320" s="262">
        <f t="shared" si="138"/>
        <v>416</v>
      </c>
      <c r="M320" s="160"/>
      <c r="N320" s="136"/>
      <c r="O320" s="122"/>
      <c r="P320" s="92">
        <f t="shared" si="140"/>
        <v>54.528400000000005</v>
      </c>
      <c r="Q320" s="113">
        <f t="shared" si="141"/>
        <v>2.6671499999999999</v>
      </c>
      <c r="R320" s="92">
        <f t="shared" si="142"/>
        <v>2.0744500000000001</v>
      </c>
      <c r="S320" s="121"/>
      <c r="T320" s="93">
        <f t="shared" si="143"/>
        <v>54.528400000000005</v>
      </c>
      <c r="U320" s="122"/>
      <c r="V320" s="94">
        <f t="shared" ca="1" si="144"/>
        <v>327.4644447916653</v>
      </c>
      <c r="W320" s="89">
        <f t="shared" si="145"/>
        <v>59.27000000000001</v>
      </c>
    </row>
    <row r="321" spans="1:23" s="312" customFormat="1" ht="18">
      <c r="A321" s="115"/>
      <c r="B321" s="260" t="s">
        <v>505</v>
      </c>
      <c r="C321" s="130" t="s">
        <v>55</v>
      </c>
      <c r="D321" s="131" t="s">
        <v>2757</v>
      </c>
      <c r="E321" s="361">
        <v>417</v>
      </c>
      <c r="F321" s="138">
        <v>45265</v>
      </c>
      <c r="G321" s="252">
        <f>31.7-8.375</f>
        <v>23.324999999999999</v>
      </c>
      <c r="H321" s="150">
        <v>1266547.5</v>
      </c>
      <c r="I321" s="150">
        <f t="shared" si="139"/>
        <v>54300</v>
      </c>
      <c r="J321" s="122"/>
      <c r="K321" s="186"/>
      <c r="L321" s="262">
        <f t="shared" si="138"/>
        <v>417</v>
      </c>
      <c r="M321" s="160"/>
      <c r="N321" s="136"/>
      <c r="O321" s="122"/>
      <c r="P321" s="92">
        <f t="shared" si="140"/>
        <v>21.459</v>
      </c>
      <c r="Q321" s="113">
        <f t="shared" si="141"/>
        <v>1.049625</v>
      </c>
      <c r="R321" s="92">
        <f t="shared" si="142"/>
        <v>0.81637500000000007</v>
      </c>
      <c r="S321" s="121"/>
      <c r="T321" s="93">
        <f t="shared" si="143"/>
        <v>21.459</v>
      </c>
      <c r="U321" s="122"/>
      <c r="V321" s="94">
        <f t="shared" ca="1" si="144"/>
        <v>327.4644447916653</v>
      </c>
      <c r="W321" s="89">
        <f t="shared" si="145"/>
        <v>23.324999999999999</v>
      </c>
    </row>
    <row r="322" spans="1:23" s="312" customFormat="1" ht="18">
      <c r="A322" s="115"/>
      <c r="B322" s="260" t="s">
        <v>505</v>
      </c>
      <c r="C322" s="130" t="s">
        <v>55</v>
      </c>
      <c r="D322" s="131" t="s">
        <v>2758</v>
      </c>
      <c r="E322" s="361">
        <v>418</v>
      </c>
      <c r="F322" s="138">
        <v>45265</v>
      </c>
      <c r="G322" s="363">
        <v>33.94</v>
      </c>
      <c r="H322" s="150">
        <v>1910821.9999999998</v>
      </c>
      <c r="I322" s="150">
        <f t="shared" si="139"/>
        <v>56300</v>
      </c>
      <c r="J322" s="122"/>
      <c r="K322" s="186"/>
      <c r="L322" s="262">
        <f t="shared" si="138"/>
        <v>418</v>
      </c>
      <c r="M322" s="160"/>
      <c r="N322" s="136"/>
      <c r="O322" s="122"/>
      <c r="P322" s="92">
        <f t="shared" si="140"/>
        <v>31.224799999999998</v>
      </c>
      <c r="Q322" s="113">
        <f t="shared" si="141"/>
        <v>1.5272999999999999</v>
      </c>
      <c r="R322" s="92">
        <f t="shared" si="142"/>
        <v>1.1879</v>
      </c>
      <c r="S322" s="121"/>
      <c r="T322" s="93">
        <f t="shared" si="143"/>
        <v>31.224800000000002</v>
      </c>
      <c r="U322" s="122"/>
      <c r="V322" s="94">
        <f t="shared" ca="1" si="144"/>
        <v>327.4644447916653</v>
      </c>
      <c r="W322" s="89">
        <f t="shared" si="145"/>
        <v>33.940000000000005</v>
      </c>
    </row>
    <row r="323" spans="1:23" s="312" customFormat="1" ht="18">
      <c r="A323" s="115"/>
      <c r="B323" s="260" t="s">
        <v>505</v>
      </c>
      <c r="C323" s="130" t="s">
        <v>55</v>
      </c>
      <c r="D323" s="131" t="s">
        <v>2758</v>
      </c>
      <c r="E323" s="361">
        <v>419</v>
      </c>
      <c r="F323" s="138">
        <v>45265</v>
      </c>
      <c r="G323" s="363">
        <v>40.340000000000003</v>
      </c>
      <c r="H323" s="150">
        <v>2271142</v>
      </c>
      <c r="I323" s="150">
        <f t="shared" si="139"/>
        <v>56299.999999999993</v>
      </c>
      <c r="J323" s="122"/>
      <c r="K323" s="186"/>
      <c r="L323" s="262">
        <f t="shared" si="138"/>
        <v>419</v>
      </c>
      <c r="M323" s="160"/>
      <c r="N323" s="136"/>
      <c r="O323" s="122"/>
      <c r="P323" s="92">
        <f t="shared" si="140"/>
        <v>37.112800000000007</v>
      </c>
      <c r="Q323" s="113">
        <f t="shared" si="141"/>
        <v>1.8153000000000001</v>
      </c>
      <c r="R323" s="92">
        <f t="shared" si="142"/>
        <v>1.4119000000000002</v>
      </c>
      <c r="S323" s="121"/>
      <c r="T323" s="93">
        <f t="shared" si="143"/>
        <v>37.1128</v>
      </c>
      <c r="U323" s="122"/>
      <c r="V323" s="94">
        <f t="shared" ca="1" si="144"/>
        <v>327.4644447916653</v>
      </c>
      <c r="W323" s="89">
        <f t="shared" si="145"/>
        <v>40.340000000000003</v>
      </c>
    </row>
    <row r="324" spans="1:23" s="312" customFormat="1" ht="18">
      <c r="A324" s="115"/>
      <c r="B324" s="260" t="s">
        <v>505</v>
      </c>
      <c r="C324" s="130" t="s">
        <v>55</v>
      </c>
      <c r="D324" s="131" t="s">
        <v>2758</v>
      </c>
      <c r="E324" s="361">
        <v>420</v>
      </c>
      <c r="F324" s="138">
        <v>45265</v>
      </c>
      <c r="G324" s="363">
        <v>40.31</v>
      </c>
      <c r="H324" s="150">
        <v>2269453</v>
      </c>
      <c r="I324" s="150">
        <f t="shared" si="139"/>
        <v>56300</v>
      </c>
      <c r="J324" s="122"/>
      <c r="K324" s="186"/>
      <c r="L324" s="262">
        <f t="shared" si="138"/>
        <v>420</v>
      </c>
      <c r="M324" s="160"/>
      <c r="N324" s="136"/>
      <c r="O324" s="122"/>
      <c r="P324" s="92">
        <f t="shared" si="140"/>
        <v>37.0852</v>
      </c>
      <c r="Q324" s="113">
        <f t="shared" si="141"/>
        <v>1.81395</v>
      </c>
      <c r="R324" s="92">
        <f t="shared" si="142"/>
        <v>1.4108500000000002</v>
      </c>
      <c r="S324" s="121"/>
      <c r="T324" s="93">
        <f t="shared" si="143"/>
        <v>37.0852</v>
      </c>
      <c r="U324" s="122"/>
      <c r="V324" s="94">
        <f t="shared" ca="1" si="144"/>
        <v>327.4644447916653</v>
      </c>
      <c r="W324" s="89">
        <f t="shared" si="145"/>
        <v>40.31</v>
      </c>
    </row>
    <row r="325" spans="1:23" s="312" customFormat="1" ht="18">
      <c r="A325" s="115"/>
      <c r="B325" s="260" t="s">
        <v>505</v>
      </c>
      <c r="C325" s="130" t="s">
        <v>55</v>
      </c>
      <c r="D325" s="131" t="s">
        <v>2758</v>
      </c>
      <c r="E325" s="361">
        <v>421</v>
      </c>
      <c r="F325" s="138">
        <v>45265</v>
      </c>
      <c r="G325" s="363">
        <v>40.26</v>
      </c>
      <c r="H325" s="150">
        <v>2266638</v>
      </c>
      <c r="I325" s="150">
        <f t="shared" si="139"/>
        <v>56300</v>
      </c>
      <c r="J325" s="122"/>
      <c r="K325" s="186"/>
      <c r="L325" s="262">
        <f t="shared" si="138"/>
        <v>421</v>
      </c>
      <c r="M325" s="160"/>
      <c r="N325" s="136"/>
      <c r="O325" s="122"/>
      <c r="P325" s="92">
        <f t="shared" si="140"/>
        <v>37.039200000000001</v>
      </c>
      <c r="Q325" s="113">
        <f t="shared" si="141"/>
        <v>1.8116999999999999</v>
      </c>
      <c r="R325" s="92">
        <f t="shared" si="142"/>
        <v>1.4091</v>
      </c>
      <c r="S325" s="121"/>
      <c r="T325" s="93">
        <f t="shared" si="143"/>
        <v>37.039199999999994</v>
      </c>
      <c r="U325" s="122"/>
      <c r="V325" s="94">
        <f t="shared" ca="1" si="144"/>
        <v>327.4644447916653</v>
      </c>
      <c r="W325" s="89">
        <f t="shared" si="145"/>
        <v>40.26</v>
      </c>
    </row>
    <row r="326" spans="1:23" s="312" customFormat="1" ht="18">
      <c r="A326" s="115"/>
      <c r="B326" s="260" t="s">
        <v>505</v>
      </c>
      <c r="C326" s="130" t="s">
        <v>55</v>
      </c>
      <c r="D326" s="131" t="s">
        <v>2758</v>
      </c>
      <c r="E326" s="361">
        <v>422</v>
      </c>
      <c r="F326" s="138">
        <v>45265</v>
      </c>
      <c r="G326" s="363">
        <f>33.98-0.526</f>
        <v>33.453999999999994</v>
      </c>
      <c r="H326" s="150">
        <v>1883460.1999999997</v>
      </c>
      <c r="I326" s="150">
        <f t="shared" si="139"/>
        <v>56300</v>
      </c>
      <c r="J326" s="122"/>
      <c r="K326" s="186"/>
      <c r="L326" s="262">
        <f t="shared" si="138"/>
        <v>422</v>
      </c>
      <c r="M326" s="160"/>
      <c r="N326" s="136"/>
      <c r="O326" s="122"/>
      <c r="P326" s="92">
        <f t="shared" si="140"/>
        <v>30.777679999999997</v>
      </c>
      <c r="Q326" s="113">
        <f t="shared" si="141"/>
        <v>1.5054299999999996</v>
      </c>
      <c r="R326" s="92">
        <f t="shared" si="142"/>
        <v>1.17089</v>
      </c>
      <c r="S326" s="121"/>
      <c r="T326" s="93">
        <f t="shared" si="143"/>
        <v>30.777679999999993</v>
      </c>
      <c r="U326" s="122"/>
      <c r="V326" s="94">
        <f t="shared" ca="1" si="144"/>
        <v>327.4644447916653</v>
      </c>
      <c r="W326" s="89">
        <f t="shared" si="145"/>
        <v>33.453999999999994</v>
      </c>
    </row>
    <row r="327" spans="1:23" s="312" customFormat="1" ht="18">
      <c r="A327" s="115"/>
      <c r="B327" s="260" t="s">
        <v>505</v>
      </c>
      <c r="C327" s="130" t="s">
        <v>94</v>
      </c>
      <c r="D327" s="131" t="s">
        <v>2759</v>
      </c>
      <c r="E327" s="361">
        <v>423</v>
      </c>
      <c r="F327" s="138">
        <v>45265</v>
      </c>
      <c r="G327" s="252">
        <v>31.99</v>
      </c>
      <c r="H327" s="150">
        <v>1673077</v>
      </c>
      <c r="I327" s="150">
        <f t="shared" si="139"/>
        <v>52300</v>
      </c>
      <c r="J327" s="122"/>
      <c r="K327" s="186"/>
      <c r="L327" s="262">
        <f t="shared" si="138"/>
        <v>423</v>
      </c>
      <c r="M327" s="160"/>
      <c r="N327" s="136"/>
      <c r="O327" s="122"/>
      <c r="P327" s="92">
        <f t="shared" si="140"/>
        <v>29.430800000000001</v>
      </c>
      <c r="Q327" s="113">
        <f t="shared" si="141"/>
        <v>1.4395499999999999</v>
      </c>
      <c r="R327" s="92">
        <f t="shared" si="142"/>
        <v>1.11965</v>
      </c>
      <c r="S327" s="121"/>
      <c r="T327" s="93">
        <f t="shared" si="143"/>
        <v>29.430799999999998</v>
      </c>
      <c r="U327" s="122"/>
      <c r="V327" s="94">
        <f t="shared" ca="1" si="144"/>
        <v>327.4644447916653</v>
      </c>
      <c r="W327" s="89">
        <f t="shared" si="145"/>
        <v>31.99</v>
      </c>
    </row>
    <row r="328" spans="1:23" s="312" customFormat="1" ht="18">
      <c r="A328" s="115"/>
      <c r="B328" s="260" t="s">
        <v>505</v>
      </c>
      <c r="C328" s="130" t="s">
        <v>94</v>
      </c>
      <c r="D328" s="131" t="s">
        <v>2759</v>
      </c>
      <c r="E328" s="361">
        <v>424</v>
      </c>
      <c r="F328" s="138">
        <v>45265</v>
      </c>
      <c r="G328" s="252">
        <v>31.95</v>
      </c>
      <c r="H328" s="150">
        <v>1670985</v>
      </c>
      <c r="I328" s="150">
        <f t="shared" si="139"/>
        <v>52300</v>
      </c>
      <c r="J328" s="122"/>
      <c r="K328" s="186"/>
      <c r="L328" s="262">
        <f t="shared" si="138"/>
        <v>424</v>
      </c>
      <c r="M328" s="160"/>
      <c r="N328" s="136"/>
      <c r="O328" s="122"/>
      <c r="P328" s="92">
        <f t="shared" si="140"/>
        <v>29.394000000000002</v>
      </c>
      <c r="Q328" s="113">
        <f t="shared" si="141"/>
        <v>1.4377499999999999</v>
      </c>
      <c r="R328" s="92">
        <f t="shared" si="142"/>
        <v>1.1182500000000002</v>
      </c>
      <c r="S328" s="121"/>
      <c r="T328" s="93">
        <f t="shared" si="143"/>
        <v>29.393999999999998</v>
      </c>
      <c r="U328" s="122"/>
      <c r="V328" s="94">
        <f t="shared" ca="1" si="144"/>
        <v>327.4644447916653</v>
      </c>
      <c r="W328" s="89">
        <f t="shared" si="145"/>
        <v>31.95</v>
      </c>
    </row>
    <row r="329" spans="1:23" s="312" customFormat="1" ht="18">
      <c r="A329" s="115"/>
      <c r="B329" s="260" t="s">
        <v>505</v>
      </c>
      <c r="C329" s="130" t="s">
        <v>94</v>
      </c>
      <c r="D329" s="131" t="s">
        <v>2759</v>
      </c>
      <c r="E329" s="361">
        <v>425</v>
      </c>
      <c r="F329" s="138">
        <v>45265</v>
      </c>
      <c r="G329" s="252">
        <v>31.85</v>
      </c>
      <c r="H329" s="150">
        <v>1665755</v>
      </c>
      <c r="I329" s="150">
        <f t="shared" si="139"/>
        <v>52300</v>
      </c>
      <c r="J329" s="122"/>
      <c r="K329" s="186"/>
      <c r="L329" s="262">
        <f t="shared" si="138"/>
        <v>425</v>
      </c>
      <c r="M329" s="160"/>
      <c r="N329" s="136"/>
      <c r="O329" s="122"/>
      <c r="P329" s="92">
        <f t="shared" si="140"/>
        <v>29.302000000000003</v>
      </c>
      <c r="Q329" s="113">
        <f t="shared" si="141"/>
        <v>1.4332499999999999</v>
      </c>
      <c r="R329" s="92">
        <f t="shared" si="142"/>
        <v>1.1147500000000001</v>
      </c>
      <c r="S329" s="121"/>
      <c r="T329" s="93">
        <f t="shared" si="143"/>
        <v>29.302</v>
      </c>
      <c r="U329" s="122"/>
      <c r="V329" s="94">
        <f t="shared" ca="1" si="144"/>
        <v>327.4644447916653</v>
      </c>
      <c r="W329" s="89">
        <f t="shared" si="145"/>
        <v>31.85</v>
      </c>
    </row>
    <row r="330" spans="1:23" s="312" customFormat="1" ht="18">
      <c r="A330" s="115"/>
      <c r="B330" s="260" t="s">
        <v>505</v>
      </c>
      <c r="C330" s="130" t="s">
        <v>94</v>
      </c>
      <c r="D330" s="131" t="s">
        <v>2759</v>
      </c>
      <c r="E330" s="361">
        <v>426</v>
      </c>
      <c r="F330" s="138">
        <v>45265</v>
      </c>
      <c r="G330" s="252">
        <v>31.89</v>
      </c>
      <c r="H330" s="150">
        <v>1667847</v>
      </c>
      <c r="I330" s="150">
        <f t="shared" si="139"/>
        <v>52300</v>
      </c>
      <c r="J330" s="122"/>
      <c r="K330" s="186"/>
      <c r="L330" s="262">
        <f t="shared" si="138"/>
        <v>426</v>
      </c>
      <c r="M330" s="160"/>
      <c r="N330" s="136"/>
      <c r="O330" s="122"/>
      <c r="P330" s="92">
        <f t="shared" si="140"/>
        <v>29.338800000000003</v>
      </c>
      <c r="Q330" s="113">
        <f t="shared" si="141"/>
        <v>1.4350499999999999</v>
      </c>
      <c r="R330" s="92">
        <f t="shared" si="142"/>
        <v>1.1161500000000002</v>
      </c>
      <c r="S330" s="121"/>
      <c r="T330" s="93">
        <f t="shared" si="143"/>
        <v>29.338799999999999</v>
      </c>
      <c r="U330" s="122"/>
      <c r="V330" s="94">
        <f t="shared" ca="1" si="144"/>
        <v>327.4644447916653</v>
      </c>
      <c r="W330" s="89">
        <f t="shared" si="145"/>
        <v>31.89</v>
      </c>
    </row>
    <row r="331" spans="1:23" s="312" customFormat="1" ht="18">
      <c r="A331" s="115"/>
      <c r="B331" s="260" t="s">
        <v>505</v>
      </c>
      <c r="C331" s="130" t="s">
        <v>94</v>
      </c>
      <c r="D331" s="131" t="s">
        <v>2759</v>
      </c>
      <c r="E331" s="361">
        <v>427</v>
      </c>
      <c r="F331" s="138">
        <v>45265</v>
      </c>
      <c r="G331" s="252">
        <v>31.84</v>
      </c>
      <c r="H331" s="150">
        <v>1665232</v>
      </c>
      <c r="I331" s="150">
        <f t="shared" si="139"/>
        <v>52300</v>
      </c>
      <c r="J331" s="122"/>
      <c r="K331" s="186"/>
      <c r="L331" s="262">
        <f t="shared" si="138"/>
        <v>427</v>
      </c>
      <c r="M331" s="160"/>
      <c r="N331" s="136"/>
      <c r="O331" s="122"/>
      <c r="P331" s="92">
        <f t="shared" si="140"/>
        <v>29.2928</v>
      </c>
      <c r="Q331" s="113">
        <f t="shared" si="141"/>
        <v>1.4327999999999999</v>
      </c>
      <c r="R331" s="92">
        <f t="shared" si="142"/>
        <v>1.1144000000000001</v>
      </c>
      <c r="S331" s="121"/>
      <c r="T331" s="93">
        <f t="shared" si="143"/>
        <v>29.2928</v>
      </c>
      <c r="U331" s="122"/>
      <c r="V331" s="94">
        <f t="shared" ca="1" si="144"/>
        <v>327.4644447916653</v>
      </c>
      <c r="W331" s="89">
        <f t="shared" si="145"/>
        <v>31.84</v>
      </c>
    </row>
    <row r="332" spans="1:23" s="312" customFormat="1" ht="18">
      <c r="A332" s="115"/>
      <c r="B332" s="260" t="s">
        <v>505</v>
      </c>
      <c r="C332" s="130" t="s">
        <v>94</v>
      </c>
      <c r="D332" s="131" t="s">
        <v>2759</v>
      </c>
      <c r="E332" s="361">
        <v>428</v>
      </c>
      <c r="F332" s="138">
        <v>45265</v>
      </c>
      <c r="G332" s="252">
        <f>23.501</f>
        <v>23.501000000000001</v>
      </c>
      <c r="H332" s="150">
        <v>1229102.3</v>
      </c>
      <c r="I332" s="150">
        <f t="shared" si="139"/>
        <v>52300</v>
      </c>
      <c r="J332" s="122"/>
      <c r="K332" s="186"/>
      <c r="L332" s="262">
        <f t="shared" si="138"/>
        <v>428</v>
      </c>
      <c r="M332" s="160"/>
      <c r="N332" s="136"/>
      <c r="O332" s="122"/>
      <c r="P332" s="92">
        <f t="shared" si="140"/>
        <v>21.620920000000002</v>
      </c>
      <c r="Q332" s="113">
        <f t="shared" si="141"/>
        <v>1.057545</v>
      </c>
      <c r="R332" s="92">
        <f t="shared" si="142"/>
        <v>0.82253500000000013</v>
      </c>
      <c r="S332" s="121"/>
      <c r="T332" s="93">
        <f t="shared" si="143"/>
        <v>21.620920000000002</v>
      </c>
      <c r="U332" s="122"/>
      <c r="V332" s="94">
        <f t="shared" ca="1" si="144"/>
        <v>327.4644447916653</v>
      </c>
      <c r="W332" s="89">
        <f t="shared" si="145"/>
        <v>23.501000000000005</v>
      </c>
    </row>
    <row r="333" spans="1:23" s="312" customFormat="1" ht="18">
      <c r="A333" s="115"/>
      <c r="B333" s="260" t="s">
        <v>505</v>
      </c>
      <c r="C333" s="130" t="s">
        <v>94</v>
      </c>
      <c r="D333" s="131" t="s">
        <v>2759</v>
      </c>
      <c r="E333" s="361">
        <v>429</v>
      </c>
      <c r="F333" s="138">
        <v>45265</v>
      </c>
      <c r="G333" s="252">
        <v>31.92</v>
      </c>
      <c r="H333" s="150">
        <v>1669416</v>
      </c>
      <c r="I333" s="150">
        <f t="shared" si="139"/>
        <v>52300</v>
      </c>
      <c r="J333" s="122"/>
      <c r="K333" s="186"/>
      <c r="L333" s="262">
        <f t="shared" si="138"/>
        <v>429</v>
      </c>
      <c r="M333" s="160"/>
      <c r="N333" s="136"/>
      <c r="O333" s="122"/>
      <c r="P333" s="92">
        <f t="shared" si="140"/>
        <v>29.366400000000002</v>
      </c>
      <c r="Q333" s="113">
        <f t="shared" si="141"/>
        <v>1.4364000000000001</v>
      </c>
      <c r="R333" s="92">
        <f t="shared" si="142"/>
        <v>1.1172000000000002</v>
      </c>
      <c r="S333" s="121"/>
      <c r="T333" s="93">
        <f t="shared" si="143"/>
        <v>29.366400000000002</v>
      </c>
      <c r="U333" s="122"/>
      <c r="V333" s="94">
        <f t="shared" ca="1" si="144"/>
        <v>327.4644447916653</v>
      </c>
      <c r="W333" s="89">
        <f t="shared" si="145"/>
        <v>31.920000000000005</v>
      </c>
    </row>
    <row r="334" spans="1:23" s="312" customFormat="1" ht="18">
      <c r="A334" s="115"/>
      <c r="B334" s="260" t="s">
        <v>505</v>
      </c>
      <c r="C334" s="130" t="s">
        <v>94</v>
      </c>
      <c r="D334" s="131" t="s">
        <v>2759</v>
      </c>
      <c r="E334" s="361">
        <v>430</v>
      </c>
      <c r="F334" s="138">
        <v>45265</v>
      </c>
      <c r="G334" s="252">
        <v>31.87</v>
      </c>
      <c r="H334" s="150">
        <v>1666801</v>
      </c>
      <c r="I334" s="150">
        <f t="shared" ref="I334:I348" si="146">H334/G334</f>
        <v>52300</v>
      </c>
      <c r="J334" s="122"/>
      <c r="K334" s="186"/>
      <c r="L334" s="262">
        <f t="shared" si="138"/>
        <v>430</v>
      </c>
      <c r="M334" s="160"/>
      <c r="N334" s="136"/>
      <c r="O334" s="122"/>
      <c r="P334" s="92">
        <f t="shared" ref="P334:P348" si="147">G334*0.92</f>
        <v>29.320400000000003</v>
      </c>
      <c r="Q334" s="113">
        <f t="shared" ref="Q334:Q348" si="148">G334*4.5%</f>
        <v>1.43415</v>
      </c>
      <c r="R334" s="92">
        <f t="shared" ref="R334:R348" si="149">G334*3.5%</f>
        <v>1.1154500000000001</v>
      </c>
      <c r="S334" s="121"/>
      <c r="T334" s="93">
        <f t="shared" ref="T334:T348" si="150">G334-N334-Q334-R334</f>
        <v>29.320400000000003</v>
      </c>
      <c r="U334" s="122"/>
      <c r="V334" s="94">
        <f t="shared" ref="V334:V348" ca="1" si="151">360-($V$3-F334)</f>
        <v>327.4644447916653</v>
      </c>
      <c r="W334" s="89">
        <f t="shared" ref="W334:W343" si="152">T334/0.92%/100</f>
        <v>31.870000000000005</v>
      </c>
    </row>
    <row r="335" spans="1:23" s="312" customFormat="1" ht="18">
      <c r="A335" s="115"/>
      <c r="B335" s="260" t="s">
        <v>505</v>
      </c>
      <c r="C335" s="130" t="s">
        <v>94</v>
      </c>
      <c r="D335" s="131" t="s">
        <v>2759</v>
      </c>
      <c r="E335" s="361">
        <v>431</v>
      </c>
      <c r="F335" s="138">
        <v>45265</v>
      </c>
      <c r="G335" s="252">
        <v>32.020000000000003</v>
      </c>
      <c r="H335" s="150">
        <v>1674646.0000000002</v>
      </c>
      <c r="I335" s="150">
        <f t="shared" si="146"/>
        <v>52300</v>
      </c>
      <c r="J335" s="122"/>
      <c r="K335" s="186"/>
      <c r="L335" s="262">
        <f t="shared" si="138"/>
        <v>431</v>
      </c>
      <c r="M335" s="160"/>
      <c r="N335" s="136"/>
      <c r="O335" s="122"/>
      <c r="P335" s="92">
        <f t="shared" si="147"/>
        <v>29.458400000000005</v>
      </c>
      <c r="Q335" s="113">
        <f t="shared" si="148"/>
        <v>1.4409000000000001</v>
      </c>
      <c r="R335" s="92">
        <f t="shared" si="149"/>
        <v>1.1207000000000003</v>
      </c>
      <c r="S335" s="121"/>
      <c r="T335" s="93">
        <f t="shared" si="150"/>
        <v>29.458400000000005</v>
      </c>
      <c r="U335" s="122"/>
      <c r="V335" s="94">
        <f t="shared" ca="1" si="151"/>
        <v>327.4644447916653</v>
      </c>
      <c r="W335" s="89">
        <f t="shared" si="152"/>
        <v>32.020000000000003</v>
      </c>
    </row>
    <row r="336" spans="1:23" s="312" customFormat="1" ht="18">
      <c r="A336" s="115"/>
      <c r="B336" s="260" t="s">
        <v>505</v>
      </c>
      <c r="C336" s="130" t="s">
        <v>94</v>
      </c>
      <c r="D336" s="131" t="s">
        <v>2759</v>
      </c>
      <c r="E336" s="361">
        <v>432</v>
      </c>
      <c r="F336" s="138">
        <v>45265</v>
      </c>
      <c r="G336" s="252">
        <v>31.91</v>
      </c>
      <c r="H336" s="150">
        <v>1668893</v>
      </c>
      <c r="I336" s="150">
        <f t="shared" si="146"/>
        <v>52300</v>
      </c>
      <c r="J336" s="122"/>
      <c r="K336" s="186"/>
      <c r="L336" s="262">
        <f t="shared" si="138"/>
        <v>432</v>
      </c>
      <c r="M336" s="160"/>
      <c r="N336" s="136"/>
      <c r="O336" s="122"/>
      <c r="P336" s="92">
        <f t="shared" si="147"/>
        <v>29.357200000000002</v>
      </c>
      <c r="Q336" s="113">
        <f t="shared" si="148"/>
        <v>1.4359500000000001</v>
      </c>
      <c r="R336" s="92">
        <f t="shared" si="149"/>
        <v>1.1168500000000001</v>
      </c>
      <c r="S336" s="121"/>
      <c r="T336" s="93">
        <f t="shared" si="150"/>
        <v>29.357199999999999</v>
      </c>
      <c r="U336" s="122"/>
      <c r="V336" s="94">
        <f t="shared" ca="1" si="151"/>
        <v>327.4644447916653</v>
      </c>
      <c r="W336" s="89">
        <f t="shared" si="152"/>
        <v>31.91</v>
      </c>
    </row>
    <row r="337" spans="1:23" s="312" customFormat="1" ht="18">
      <c r="A337" s="115"/>
      <c r="B337" s="260" t="s">
        <v>505</v>
      </c>
      <c r="C337" s="130" t="s">
        <v>94</v>
      </c>
      <c r="D337" s="131" t="s">
        <v>2759</v>
      </c>
      <c r="E337" s="361">
        <v>433</v>
      </c>
      <c r="F337" s="138">
        <v>45265</v>
      </c>
      <c r="G337" s="252">
        <v>31.88</v>
      </c>
      <c r="H337" s="150">
        <v>1667324</v>
      </c>
      <c r="I337" s="150">
        <f t="shared" si="146"/>
        <v>52300</v>
      </c>
      <c r="J337" s="122"/>
      <c r="K337" s="186"/>
      <c r="L337" s="262">
        <f t="shared" si="138"/>
        <v>433</v>
      </c>
      <c r="M337" s="160"/>
      <c r="N337" s="136"/>
      <c r="O337" s="122"/>
      <c r="P337" s="92">
        <f t="shared" si="147"/>
        <v>29.329599999999999</v>
      </c>
      <c r="Q337" s="113">
        <f t="shared" si="148"/>
        <v>1.4345999999999999</v>
      </c>
      <c r="R337" s="92">
        <f t="shared" si="149"/>
        <v>1.1158000000000001</v>
      </c>
      <c r="S337" s="121"/>
      <c r="T337" s="93">
        <f t="shared" si="150"/>
        <v>29.329599999999999</v>
      </c>
      <c r="U337" s="122"/>
      <c r="V337" s="94">
        <f t="shared" ca="1" si="151"/>
        <v>327.4644447916653</v>
      </c>
      <c r="W337" s="89">
        <f t="shared" si="152"/>
        <v>31.88</v>
      </c>
    </row>
    <row r="338" spans="1:23" s="312" customFormat="1" ht="18">
      <c r="A338" s="115"/>
      <c r="B338" s="260" t="s">
        <v>505</v>
      </c>
      <c r="C338" s="130" t="s">
        <v>94</v>
      </c>
      <c r="D338" s="131" t="s">
        <v>2759</v>
      </c>
      <c r="E338" s="361">
        <v>434</v>
      </c>
      <c r="F338" s="138">
        <v>45265</v>
      </c>
      <c r="G338" s="252">
        <v>31.92</v>
      </c>
      <c r="H338" s="150">
        <v>1669416</v>
      </c>
      <c r="I338" s="150">
        <f t="shared" si="146"/>
        <v>52300</v>
      </c>
      <c r="J338" s="122"/>
      <c r="K338" s="186"/>
      <c r="L338" s="262">
        <f t="shared" si="138"/>
        <v>434</v>
      </c>
      <c r="M338" s="160"/>
      <c r="N338" s="136"/>
      <c r="O338" s="122"/>
      <c r="P338" s="92">
        <f t="shared" si="147"/>
        <v>29.366400000000002</v>
      </c>
      <c r="Q338" s="113">
        <f t="shared" si="148"/>
        <v>1.4364000000000001</v>
      </c>
      <c r="R338" s="92">
        <f t="shared" si="149"/>
        <v>1.1172000000000002</v>
      </c>
      <c r="S338" s="121"/>
      <c r="T338" s="93">
        <f t="shared" si="150"/>
        <v>29.366400000000002</v>
      </c>
      <c r="U338" s="122"/>
      <c r="V338" s="94">
        <f t="shared" ca="1" si="151"/>
        <v>327.4644447916653</v>
      </c>
      <c r="W338" s="89">
        <f t="shared" si="152"/>
        <v>31.920000000000005</v>
      </c>
    </row>
    <row r="339" spans="1:23" s="312" customFormat="1" ht="18">
      <c r="A339" s="115"/>
      <c r="B339" s="260" t="s">
        <v>505</v>
      </c>
      <c r="C339" s="130" t="s">
        <v>94</v>
      </c>
      <c r="D339" s="131" t="s">
        <v>2759</v>
      </c>
      <c r="E339" s="361">
        <v>435</v>
      </c>
      <c r="F339" s="138">
        <v>45265</v>
      </c>
      <c r="G339" s="252">
        <v>32</v>
      </c>
      <c r="H339" s="150">
        <v>1673600</v>
      </c>
      <c r="I339" s="150">
        <f t="shared" si="146"/>
        <v>52300</v>
      </c>
      <c r="J339" s="122"/>
      <c r="K339" s="186"/>
      <c r="L339" s="262">
        <f t="shared" si="138"/>
        <v>435</v>
      </c>
      <c r="M339" s="160"/>
      <c r="N339" s="136"/>
      <c r="O339" s="122"/>
      <c r="P339" s="92">
        <f t="shared" si="147"/>
        <v>29.44</v>
      </c>
      <c r="Q339" s="113">
        <f t="shared" si="148"/>
        <v>1.44</v>
      </c>
      <c r="R339" s="92">
        <f t="shared" si="149"/>
        <v>1.1200000000000001</v>
      </c>
      <c r="S339" s="121"/>
      <c r="T339" s="93">
        <f t="shared" si="150"/>
        <v>29.439999999999998</v>
      </c>
      <c r="U339" s="122"/>
      <c r="V339" s="94">
        <f t="shared" ca="1" si="151"/>
        <v>327.4644447916653</v>
      </c>
      <c r="W339" s="89">
        <f t="shared" si="152"/>
        <v>32</v>
      </c>
    </row>
    <row r="340" spans="1:23" s="312" customFormat="1" ht="18">
      <c r="A340" s="115"/>
      <c r="B340" s="260" t="s">
        <v>505</v>
      </c>
      <c r="C340" s="130" t="s">
        <v>94</v>
      </c>
      <c r="D340" s="131" t="s">
        <v>2759</v>
      </c>
      <c r="E340" s="361">
        <v>436</v>
      </c>
      <c r="F340" s="138">
        <v>45265</v>
      </c>
      <c r="G340" s="252">
        <v>32.07</v>
      </c>
      <c r="H340" s="150">
        <v>1677261</v>
      </c>
      <c r="I340" s="150">
        <f t="shared" si="146"/>
        <v>52300</v>
      </c>
      <c r="J340" s="122"/>
      <c r="K340" s="186"/>
      <c r="L340" s="262">
        <f t="shared" si="138"/>
        <v>436</v>
      </c>
      <c r="M340" s="160"/>
      <c r="N340" s="136"/>
      <c r="O340" s="122"/>
      <c r="P340" s="92">
        <f t="shared" si="147"/>
        <v>29.5044</v>
      </c>
      <c r="Q340" s="113">
        <f t="shared" si="148"/>
        <v>1.4431499999999999</v>
      </c>
      <c r="R340" s="92">
        <f t="shared" si="149"/>
        <v>1.1224500000000002</v>
      </c>
      <c r="S340" s="121"/>
      <c r="T340" s="93">
        <f t="shared" si="150"/>
        <v>29.5044</v>
      </c>
      <c r="U340" s="122"/>
      <c r="V340" s="94">
        <f t="shared" ca="1" si="151"/>
        <v>327.4644447916653</v>
      </c>
      <c r="W340" s="89">
        <f t="shared" si="152"/>
        <v>32.07</v>
      </c>
    </row>
    <row r="341" spans="1:23" s="312" customFormat="1" ht="18">
      <c r="A341" s="115"/>
      <c r="B341" s="260" t="s">
        <v>505</v>
      </c>
      <c r="C341" s="130" t="s">
        <v>94</v>
      </c>
      <c r="D341" s="131" t="s">
        <v>2759</v>
      </c>
      <c r="E341" s="361">
        <v>437</v>
      </c>
      <c r="F341" s="138">
        <v>45265</v>
      </c>
      <c r="G341" s="252">
        <v>31.94</v>
      </c>
      <c r="H341" s="150">
        <v>1670462</v>
      </c>
      <c r="I341" s="150">
        <f t="shared" si="146"/>
        <v>52300</v>
      </c>
      <c r="J341" s="122"/>
      <c r="K341" s="186"/>
      <c r="L341" s="262">
        <f t="shared" si="138"/>
        <v>437</v>
      </c>
      <c r="M341" s="160"/>
      <c r="N341" s="136"/>
      <c r="O341" s="122"/>
      <c r="P341" s="92">
        <f t="shared" si="147"/>
        <v>29.384800000000002</v>
      </c>
      <c r="Q341" s="113">
        <f t="shared" si="148"/>
        <v>1.4373</v>
      </c>
      <c r="R341" s="92">
        <f t="shared" si="149"/>
        <v>1.1179000000000001</v>
      </c>
      <c r="S341" s="121"/>
      <c r="T341" s="93">
        <f t="shared" si="150"/>
        <v>29.384800000000002</v>
      </c>
      <c r="U341" s="122"/>
      <c r="V341" s="94">
        <f t="shared" ca="1" si="151"/>
        <v>327.4644447916653</v>
      </c>
      <c r="W341" s="89">
        <f t="shared" si="152"/>
        <v>31.940000000000005</v>
      </c>
    </row>
    <row r="342" spans="1:23" s="312" customFormat="1" ht="18">
      <c r="A342" s="115"/>
      <c r="B342" s="260" t="s">
        <v>505</v>
      </c>
      <c r="C342" s="130" t="s">
        <v>94</v>
      </c>
      <c r="D342" s="131" t="s">
        <v>2759</v>
      </c>
      <c r="E342" s="361">
        <v>438</v>
      </c>
      <c r="F342" s="138">
        <v>45265</v>
      </c>
      <c r="G342" s="252">
        <v>32.01</v>
      </c>
      <c r="H342" s="150">
        <v>1674123</v>
      </c>
      <c r="I342" s="150">
        <f t="shared" si="146"/>
        <v>52300</v>
      </c>
      <c r="J342" s="122"/>
      <c r="K342" s="186"/>
      <c r="L342" s="262">
        <f t="shared" si="138"/>
        <v>438</v>
      </c>
      <c r="M342" s="160"/>
      <c r="N342" s="136"/>
      <c r="O342" s="122"/>
      <c r="P342" s="92">
        <f t="shared" si="147"/>
        <v>29.449200000000001</v>
      </c>
      <c r="Q342" s="113">
        <f t="shared" si="148"/>
        <v>1.4404499999999998</v>
      </c>
      <c r="R342" s="92">
        <f t="shared" si="149"/>
        <v>1.12035</v>
      </c>
      <c r="S342" s="121"/>
      <c r="T342" s="93">
        <f t="shared" si="150"/>
        <v>29.449200000000001</v>
      </c>
      <c r="U342" s="122"/>
      <c r="V342" s="94">
        <f t="shared" ca="1" si="151"/>
        <v>327.4644447916653</v>
      </c>
      <c r="W342" s="89">
        <f t="shared" si="152"/>
        <v>32.01</v>
      </c>
    </row>
    <row r="343" spans="1:23" s="312" customFormat="1" ht="18">
      <c r="A343" s="115"/>
      <c r="B343" s="260" t="s">
        <v>505</v>
      </c>
      <c r="C343" s="130" t="s">
        <v>94</v>
      </c>
      <c r="D343" s="131" t="s">
        <v>2759</v>
      </c>
      <c r="E343" s="361">
        <v>439</v>
      </c>
      <c r="F343" s="138">
        <v>45265</v>
      </c>
      <c r="G343" s="252">
        <v>32.06</v>
      </c>
      <c r="H343" s="150">
        <v>1676738.0000000002</v>
      </c>
      <c r="I343" s="150">
        <f t="shared" si="146"/>
        <v>52300</v>
      </c>
      <c r="J343" s="122"/>
      <c r="K343" s="186"/>
      <c r="L343" s="262">
        <f t="shared" si="138"/>
        <v>439</v>
      </c>
      <c r="M343" s="160"/>
      <c r="N343" s="136"/>
      <c r="O343" s="122"/>
      <c r="P343" s="92">
        <f t="shared" si="147"/>
        <v>29.495200000000004</v>
      </c>
      <c r="Q343" s="113">
        <f t="shared" si="148"/>
        <v>1.4427000000000001</v>
      </c>
      <c r="R343" s="92">
        <f t="shared" si="149"/>
        <v>1.1221000000000001</v>
      </c>
      <c r="S343" s="121"/>
      <c r="T343" s="93">
        <f t="shared" si="150"/>
        <v>29.495200000000004</v>
      </c>
      <c r="U343" s="122"/>
      <c r="V343" s="94">
        <f t="shared" ca="1" si="151"/>
        <v>327.4644447916653</v>
      </c>
      <c r="W343" s="89">
        <f t="shared" si="152"/>
        <v>32.06</v>
      </c>
    </row>
    <row r="344" spans="1:23" s="312" customFormat="1" ht="18.75">
      <c r="A344" s="115"/>
      <c r="B344" s="260" t="s">
        <v>505</v>
      </c>
      <c r="C344" s="130" t="s">
        <v>94</v>
      </c>
      <c r="D344" s="131" t="s">
        <v>2759</v>
      </c>
      <c r="E344" s="361">
        <v>440</v>
      </c>
      <c r="F344" s="138">
        <v>45265</v>
      </c>
      <c r="G344" s="252">
        <v>32.03</v>
      </c>
      <c r="H344" s="150">
        <v>1675169</v>
      </c>
      <c r="I344" s="150">
        <f t="shared" si="146"/>
        <v>52300</v>
      </c>
      <c r="J344" s="122"/>
      <c r="K344" s="186"/>
      <c r="L344" s="262">
        <f t="shared" si="138"/>
        <v>440</v>
      </c>
      <c r="M344" s="160"/>
      <c r="N344" s="136"/>
      <c r="O344" s="122"/>
      <c r="P344" s="92">
        <f t="shared" si="147"/>
        <v>29.467600000000001</v>
      </c>
      <c r="Q344" s="113">
        <f t="shared" si="148"/>
        <v>1.4413499999999999</v>
      </c>
      <c r="R344" s="92">
        <f t="shared" si="149"/>
        <v>1.1210500000000001</v>
      </c>
      <c r="S344" s="121"/>
      <c r="T344" s="93">
        <f t="shared" si="150"/>
        <v>29.467600000000001</v>
      </c>
      <c r="U344" s="122"/>
      <c r="V344" s="94">
        <f t="shared" ca="1" si="151"/>
        <v>327.4644447916653</v>
      </c>
      <c r="W344" s="364">
        <f>SUM(W22:W343)</f>
        <v>1582.5185652173916</v>
      </c>
    </row>
    <row r="345" spans="1:23" s="312" customFormat="1" ht="18">
      <c r="A345" s="115"/>
      <c r="B345" s="260" t="s">
        <v>505</v>
      </c>
      <c r="C345" s="130" t="s">
        <v>94</v>
      </c>
      <c r="D345" s="131" t="s">
        <v>2759</v>
      </c>
      <c r="E345" s="361">
        <v>441</v>
      </c>
      <c r="F345" s="138">
        <v>45265</v>
      </c>
      <c r="G345" s="252">
        <v>12.404</v>
      </c>
      <c r="H345" s="150">
        <v>648729.19999999995</v>
      </c>
      <c r="I345" s="150">
        <f t="shared" si="146"/>
        <v>52300</v>
      </c>
      <c r="J345" s="122"/>
      <c r="K345" s="186"/>
      <c r="L345" s="262">
        <f t="shared" si="138"/>
        <v>441</v>
      </c>
      <c r="M345" s="160"/>
      <c r="N345" s="136"/>
      <c r="O345" s="122"/>
      <c r="P345" s="92">
        <f t="shared" si="147"/>
        <v>11.41168</v>
      </c>
      <c r="Q345" s="113">
        <f t="shared" si="148"/>
        <v>0.55818000000000001</v>
      </c>
      <c r="R345" s="92">
        <f t="shared" si="149"/>
        <v>0.43414000000000003</v>
      </c>
      <c r="S345" s="121"/>
      <c r="T345" s="93">
        <f t="shared" si="150"/>
        <v>11.41168</v>
      </c>
      <c r="U345" s="122"/>
      <c r="V345" s="94">
        <f t="shared" ca="1" si="151"/>
        <v>327.4644447916653</v>
      </c>
    </row>
    <row r="346" spans="1:23" s="312" customFormat="1" ht="18">
      <c r="A346" s="115"/>
      <c r="B346" s="260" t="s">
        <v>505</v>
      </c>
      <c r="C346" s="130" t="s">
        <v>94</v>
      </c>
      <c r="D346" s="131" t="s">
        <v>2759</v>
      </c>
      <c r="E346" s="361">
        <v>442</v>
      </c>
      <c r="F346" s="138">
        <v>45265</v>
      </c>
      <c r="G346" s="252">
        <v>40.51</v>
      </c>
      <c r="H346" s="150">
        <v>2118673</v>
      </c>
      <c r="I346" s="150">
        <f t="shared" si="146"/>
        <v>52300</v>
      </c>
      <c r="J346" s="122"/>
      <c r="K346" s="186"/>
      <c r="L346" s="262">
        <f t="shared" ref="L346:L389" si="153">E346</f>
        <v>442</v>
      </c>
      <c r="M346" s="160"/>
      <c r="N346" s="136"/>
      <c r="O346" s="122"/>
      <c r="P346" s="92">
        <f t="shared" si="147"/>
        <v>37.269199999999998</v>
      </c>
      <c r="Q346" s="113">
        <f t="shared" si="148"/>
        <v>1.8229499999999998</v>
      </c>
      <c r="R346" s="92">
        <f t="shared" si="149"/>
        <v>1.4178500000000001</v>
      </c>
      <c r="S346" s="121"/>
      <c r="T346" s="93">
        <f t="shared" si="150"/>
        <v>37.269199999999998</v>
      </c>
      <c r="U346" s="122"/>
      <c r="V346" s="94">
        <f t="shared" ca="1" si="151"/>
        <v>327.4644447916653</v>
      </c>
    </row>
    <row r="347" spans="1:23" s="312" customFormat="1" ht="18">
      <c r="A347" s="115"/>
      <c r="B347" s="260" t="s">
        <v>505</v>
      </c>
      <c r="C347" s="130" t="s">
        <v>94</v>
      </c>
      <c r="D347" s="131" t="s">
        <v>2759</v>
      </c>
      <c r="E347" s="361">
        <v>443</v>
      </c>
      <c r="F347" s="138">
        <v>45265</v>
      </c>
      <c r="G347" s="252">
        <v>40.67</v>
      </c>
      <c r="H347" s="150">
        <v>2127041</v>
      </c>
      <c r="I347" s="150">
        <f t="shared" si="146"/>
        <v>52300</v>
      </c>
      <c r="J347" s="122"/>
      <c r="K347" s="186"/>
      <c r="L347" s="262">
        <f t="shared" si="153"/>
        <v>443</v>
      </c>
      <c r="M347" s="160"/>
      <c r="N347" s="136"/>
      <c r="O347" s="122"/>
      <c r="P347" s="92">
        <f t="shared" si="147"/>
        <v>37.416400000000003</v>
      </c>
      <c r="Q347" s="113">
        <f t="shared" si="148"/>
        <v>1.8301499999999999</v>
      </c>
      <c r="R347" s="92">
        <f t="shared" si="149"/>
        <v>1.4234500000000001</v>
      </c>
      <c r="S347" s="121"/>
      <c r="T347" s="93">
        <f t="shared" si="150"/>
        <v>37.416399999999996</v>
      </c>
      <c r="U347" s="122"/>
      <c r="V347" s="94">
        <f t="shared" ca="1" si="151"/>
        <v>327.4644447916653</v>
      </c>
    </row>
    <row r="348" spans="1:23" s="312" customFormat="1" ht="18">
      <c r="A348" s="115"/>
      <c r="B348" s="260" t="s">
        <v>505</v>
      </c>
      <c r="C348" s="130" t="s">
        <v>94</v>
      </c>
      <c r="D348" s="131" t="s">
        <v>2759</v>
      </c>
      <c r="E348" s="361">
        <v>444</v>
      </c>
      <c r="F348" s="138">
        <v>45265</v>
      </c>
      <c r="G348" s="252">
        <v>32.119999999999997</v>
      </c>
      <c r="H348" s="90">
        <v>1679875.9999999998</v>
      </c>
      <c r="I348" s="150">
        <f t="shared" si="146"/>
        <v>52300</v>
      </c>
      <c r="J348" s="122"/>
      <c r="K348" s="186"/>
      <c r="L348" s="262">
        <f t="shared" si="153"/>
        <v>444</v>
      </c>
      <c r="M348" s="160"/>
      <c r="N348" s="136"/>
      <c r="O348" s="122"/>
      <c r="P348" s="92">
        <f t="shared" si="147"/>
        <v>29.5504</v>
      </c>
      <c r="Q348" s="113">
        <f t="shared" si="148"/>
        <v>1.4453999999999998</v>
      </c>
      <c r="R348" s="92">
        <f t="shared" si="149"/>
        <v>1.1242000000000001</v>
      </c>
      <c r="S348" s="121"/>
      <c r="T348" s="93">
        <f t="shared" si="150"/>
        <v>29.550399999999996</v>
      </c>
      <c r="U348" s="122"/>
      <c r="V348" s="94">
        <f t="shared" ca="1" si="151"/>
        <v>327.4644447916653</v>
      </c>
    </row>
    <row r="349" spans="1:23" s="312" customFormat="1" ht="18">
      <c r="A349" s="115"/>
      <c r="B349" s="260"/>
      <c r="C349" s="130"/>
      <c r="D349" s="131"/>
      <c r="E349" s="361"/>
      <c r="F349" s="138"/>
      <c r="G349" s="252"/>
      <c r="H349" s="90"/>
      <c r="I349" s="150"/>
      <c r="J349" s="122"/>
      <c r="K349" s="186"/>
      <c r="L349" s="262"/>
      <c r="M349" s="160"/>
      <c r="N349" s="136"/>
      <c r="O349" s="122"/>
      <c r="P349" s="92"/>
      <c r="Q349" s="113"/>
      <c r="R349" s="92"/>
      <c r="S349" s="121"/>
      <c r="T349" s="93"/>
      <c r="U349" s="122"/>
      <c r="V349" s="94"/>
    </row>
    <row r="350" spans="1:23" s="312" customFormat="1" ht="18">
      <c r="A350" s="115"/>
      <c r="B350" s="260" t="s">
        <v>342</v>
      </c>
      <c r="C350" s="130" t="s">
        <v>55</v>
      </c>
      <c r="D350" s="367" t="s">
        <v>2848</v>
      </c>
      <c r="E350" s="361">
        <v>452</v>
      </c>
      <c r="F350" s="138">
        <v>45268</v>
      </c>
      <c r="G350" s="252">
        <v>31.625806451612902</v>
      </c>
      <c r="H350" s="90">
        <v>1605324</v>
      </c>
      <c r="I350" s="150">
        <f t="shared" ref="I350:I404" si="154">H350/G350</f>
        <v>50759.938800489595</v>
      </c>
      <c r="J350" s="122"/>
      <c r="K350" s="186"/>
      <c r="L350" s="262">
        <f t="shared" si="153"/>
        <v>452</v>
      </c>
      <c r="M350" s="160"/>
      <c r="N350" s="136"/>
      <c r="O350" s="122"/>
      <c r="P350" s="92">
        <f t="shared" ref="P350:P404" si="155">G350*0.92</f>
        <v>29.095741935483872</v>
      </c>
      <c r="Q350" s="113">
        <f t="shared" ref="Q350:Q404" si="156">G350*4.5%</f>
        <v>1.4231612903225805</v>
      </c>
      <c r="R350" s="92">
        <f t="shared" ref="R350:R404" si="157">G350*3.5%</f>
        <v>1.1069032258064517</v>
      </c>
      <c r="S350" s="121"/>
      <c r="T350" s="93">
        <f t="shared" ref="T350:T404" si="158">G350-N350-Q350-R350</f>
        <v>29.095741935483868</v>
      </c>
      <c r="U350" s="122"/>
      <c r="V350" s="94">
        <f t="shared" ref="V350:V404" ca="1" si="159">360-($V$3-F350)</f>
        <v>330.4644447916653</v>
      </c>
    </row>
    <row r="351" spans="1:23" s="312" customFormat="1" ht="18">
      <c r="A351" s="115"/>
      <c r="B351" s="260" t="s">
        <v>342</v>
      </c>
      <c r="C351" s="130" t="s">
        <v>55</v>
      </c>
      <c r="D351" s="367" t="s">
        <v>2848</v>
      </c>
      <c r="E351" s="361">
        <v>453</v>
      </c>
      <c r="F351" s="138">
        <v>45268</v>
      </c>
      <c r="G351" s="252">
        <v>33.734193548387097</v>
      </c>
      <c r="H351" s="90">
        <v>1712346</v>
      </c>
      <c r="I351" s="150">
        <f t="shared" si="154"/>
        <v>50759.950657894733</v>
      </c>
      <c r="J351" s="122"/>
      <c r="K351" s="186"/>
      <c r="L351" s="262">
        <f t="shared" si="153"/>
        <v>453</v>
      </c>
      <c r="M351" s="160"/>
      <c r="N351" s="136"/>
      <c r="O351" s="122"/>
      <c r="P351" s="92">
        <f t="shared" si="155"/>
        <v>31.035458064516131</v>
      </c>
      <c r="Q351" s="113">
        <f t="shared" si="156"/>
        <v>1.5180387096774193</v>
      </c>
      <c r="R351" s="92">
        <f t="shared" si="157"/>
        <v>1.1806967741935486</v>
      </c>
      <c r="S351" s="121"/>
      <c r="T351" s="93">
        <f t="shared" si="158"/>
        <v>31.035458064516128</v>
      </c>
      <c r="U351" s="122"/>
      <c r="V351" s="94">
        <f t="shared" ca="1" si="159"/>
        <v>330.4644447916653</v>
      </c>
    </row>
    <row r="352" spans="1:23" s="312" customFormat="1" ht="18">
      <c r="A352" s="115"/>
      <c r="B352" s="260" t="s">
        <v>342</v>
      </c>
      <c r="C352" s="130" t="s">
        <v>55</v>
      </c>
      <c r="D352" s="367" t="s">
        <v>2860</v>
      </c>
      <c r="E352" s="361">
        <v>454</v>
      </c>
      <c r="F352" s="138">
        <v>45268</v>
      </c>
      <c r="G352" s="252">
        <v>31.732258064516124</v>
      </c>
      <c r="H352" s="90">
        <v>1610487</v>
      </c>
      <c r="I352" s="150">
        <f t="shared" si="154"/>
        <v>50752.360475754809</v>
      </c>
      <c r="J352" s="122"/>
      <c r="K352" s="186"/>
      <c r="L352" s="262">
        <f t="shared" si="153"/>
        <v>454</v>
      </c>
      <c r="M352" s="160"/>
      <c r="N352" s="136"/>
      <c r="O352" s="122"/>
      <c r="P352" s="92">
        <f t="shared" si="155"/>
        <v>29.193677419354835</v>
      </c>
      <c r="Q352" s="113">
        <f t="shared" si="156"/>
        <v>1.4279516129032255</v>
      </c>
      <c r="R352" s="92">
        <f t="shared" si="157"/>
        <v>1.1106290322580645</v>
      </c>
      <c r="S352" s="121"/>
      <c r="T352" s="93">
        <f t="shared" si="158"/>
        <v>29.193677419354835</v>
      </c>
      <c r="U352" s="122"/>
      <c r="V352" s="94">
        <f t="shared" ca="1" si="159"/>
        <v>330.4644447916653</v>
      </c>
    </row>
    <row r="353" spans="1:22" s="312" customFormat="1" ht="18">
      <c r="A353" s="115"/>
      <c r="B353" s="260" t="s">
        <v>342</v>
      </c>
      <c r="C353" s="130" t="s">
        <v>55</v>
      </c>
      <c r="D353" s="367" t="s">
        <v>2860</v>
      </c>
      <c r="E353" s="361">
        <v>468</v>
      </c>
      <c r="F353" s="138">
        <v>45279</v>
      </c>
      <c r="G353" s="252">
        <v>33.847741935483867</v>
      </c>
      <c r="H353" s="90">
        <v>1717853</v>
      </c>
      <c r="I353" s="150">
        <f t="shared" si="154"/>
        <v>50752.366384568471</v>
      </c>
      <c r="J353" s="122"/>
      <c r="K353" s="186"/>
      <c r="L353" s="262">
        <f t="shared" si="153"/>
        <v>468</v>
      </c>
      <c r="M353" s="160"/>
      <c r="N353" s="136"/>
      <c r="O353" s="122"/>
      <c r="P353" s="92">
        <f t="shared" si="155"/>
        <v>31.139922580645159</v>
      </c>
      <c r="Q353" s="113">
        <f t="shared" si="156"/>
        <v>1.5231483870967739</v>
      </c>
      <c r="R353" s="92">
        <f t="shared" si="157"/>
        <v>1.1846709677419354</v>
      </c>
      <c r="S353" s="121"/>
      <c r="T353" s="93">
        <f t="shared" si="158"/>
        <v>31.139922580645155</v>
      </c>
      <c r="U353" s="122"/>
      <c r="V353" s="94">
        <f t="shared" ca="1" si="159"/>
        <v>341.4644447916653</v>
      </c>
    </row>
    <row r="354" spans="1:22" s="312" customFormat="1" ht="18">
      <c r="A354" s="115"/>
      <c r="B354" s="260" t="s">
        <v>342</v>
      </c>
      <c r="C354" s="130" t="s">
        <v>55</v>
      </c>
      <c r="D354" s="367" t="s">
        <v>2845</v>
      </c>
      <c r="E354" s="361">
        <v>469</v>
      </c>
      <c r="F354" s="138">
        <v>45279</v>
      </c>
      <c r="G354" s="252">
        <v>32.43</v>
      </c>
      <c r="H354" s="90">
        <v>1646710</v>
      </c>
      <c r="I354" s="150">
        <f t="shared" si="154"/>
        <v>50777.366635831022</v>
      </c>
      <c r="J354" s="122"/>
      <c r="K354" s="186"/>
      <c r="L354" s="262">
        <f t="shared" si="153"/>
        <v>469</v>
      </c>
      <c r="M354" s="160"/>
      <c r="N354" s="136"/>
      <c r="O354" s="122"/>
      <c r="P354" s="92">
        <f t="shared" si="155"/>
        <v>29.835599999999999</v>
      </c>
      <c r="Q354" s="113">
        <f t="shared" si="156"/>
        <v>1.4593499999999999</v>
      </c>
      <c r="R354" s="92">
        <f t="shared" si="157"/>
        <v>1.1350500000000001</v>
      </c>
      <c r="S354" s="121"/>
      <c r="T354" s="93">
        <f t="shared" si="158"/>
        <v>29.835599999999999</v>
      </c>
      <c r="U354" s="122"/>
      <c r="V354" s="94">
        <f t="shared" ca="1" si="159"/>
        <v>341.4644447916653</v>
      </c>
    </row>
    <row r="355" spans="1:22" s="312" customFormat="1" ht="18">
      <c r="A355" s="115"/>
      <c r="B355" s="260" t="s">
        <v>342</v>
      </c>
      <c r="C355" s="130" t="s">
        <v>55</v>
      </c>
      <c r="D355" s="367" t="s">
        <v>2845</v>
      </c>
      <c r="E355" s="361">
        <v>470</v>
      </c>
      <c r="F355" s="138">
        <v>45279</v>
      </c>
      <c r="G355" s="252">
        <v>32.43</v>
      </c>
      <c r="H355" s="90">
        <v>1646710</v>
      </c>
      <c r="I355" s="150">
        <f t="shared" si="154"/>
        <v>50777.366635831022</v>
      </c>
      <c r="J355" s="122"/>
      <c r="K355" s="186"/>
      <c r="L355" s="262">
        <f t="shared" si="153"/>
        <v>470</v>
      </c>
      <c r="M355" s="160"/>
      <c r="N355" s="136"/>
      <c r="O355" s="122"/>
      <c r="P355" s="92">
        <f t="shared" si="155"/>
        <v>29.835599999999999</v>
      </c>
      <c r="Q355" s="113">
        <f t="shared" si="156"/>
        <v>1.4593499999999999</v>
      </c>
      <c r="R355" s="92">
        <f t="shared" si="157"/>
        <v>1.1350500000000001</v>
      </c>
      <c r="S355" s="121"/>
      <c r="T355" s="93">
        <f t="shared" si="158"/>
        <v>29.835599999999999</v>
      </c>
      <c r="U355" s="122"/>
      <c r="V355" s="94">
        <f t="shared" ca="1" si="159"/>
        <v>341.4644447916653</v>
      </c>
    </row>
    <row r="356" spans="1:22" s="312" customFormat="1" ht="18">
      <c r="A356" s="115"/>
      <c r="B356" s="260" t="s">
        <v>342</v>
      </c>
      <c r="C356" s="130" t="s">
        <v>55</v>
      </c>
      <c r="D356" s="367" t="s">
        <v>2846</v>
      </c>
      <c r="E356" s="361">
        <v>471</v>
      </c>
      <c r="F356" s="138">
        <v>45279</v>
      </c>
      <c r="G356" s="252">
        <v>32.85</v>
      </c>
      <c r="H356" s="90">
        <v>1667080</v>
      </c>
      <c r="I356" s="150">
        <f t="shared" si="154"/>
        <v>50748.249619482493</v>
      </c>
      <c r="J356" s="122"/>
      <c r="K356" s="186"/>
      <c r="L356" s="262">
        <f t="shared" si="153"/>
        <v>471</v>
      </c>
      <c r="M356" s="160"/>
      <c r="N356" s="136"/>
      <c r="O356" s="122"/>
      <c r="P356" s="92">
        <f t="shared" si="155"/>
        <v>30.222000000000001</v>
      </c>
      <c r="Q356" s="113">
        <f t="shared" si="156"/>
        <v>1.4782500000000001</v>
      </c>
      <c r="R356" s="92">
        <f t="shared" si="157"/>
        <v>1.14975</v>
      </c>
      <c r="S356" s="121"/>
      <c r="T356" s="93">
        <f t="shared" si="158"/>
        <v>30.222000000000001</v>
      </c>
      <c r="U356" s="122"/>
      <c r="V356" s="94">
        <f t="shared" ca="1" si="159"/>
        <v>341.4644447916653</v>
      </c>
    </row>
    <row r="357" spans="1:22" s="312" customFormat="1" ht="18">
      <c r="A357" s="115"/>
      <c r="B357" s="260" t="s">
        <v>342</v>
      </c>
      <c r="C357" s="130" t="s">
        <v>55</v>
      </c>
      <c r="D357" s="367" t="s">
        <v>2846</v>
      </c>
      <c r="E357" s="361">
        <v>472</v>
      </c>
      <c r="F357" s="138">
        <v>45279</v>
      </c>
      <c r="G357" s="252">
        <v>32.85</v>
      </c>
      <c r="H357" s="90">
        <v>1667080</v>
      </c>
      <c r="I357" s="150">
        <f t="shared" si="154"/>
        <v>50748.249619482493</v>
      </c>
      <c r="J357" s="122"/>
      <c r="K357" s="186"/>
      <c r="L357" s="262">
        <f t="shared" si="153"/>
        <v>472</v>
      </c>
      <c r="M357" s="160"/>
      <c r="N357" s="136"/>
      <c r="O357" s="122"/>
      <c r="P357" s="92">
        <f t="shared" si="155"/>
        <v>30.222000000000001</v>
      </c>
      <c r="Q357" s="113">
        <f t="shared" si="156"/>
        <v>1.4782500000000001</v>
      </c>
      <c r="R357" s="92">
        <f t="shared" si="157"/>
        <v>1.14975</v>
      </c>
      <c r="S357" s="121"/>
      <c r="T357" s="93">
        <f t="shared" si="158"/>
        <v>30.222000000000001</v>
      </c>
      <c r="U357" s="122"/>
      <c r="V357" s="94">
        <f t="shared" ca="1" si="159"/>
        <v>341.4644447916653</v>
      </c>
    </row>
    <row r="358" spans="1:22" s="312" customFormat="1" ht="18">
      <c r="A358" s="115"/>
      <c r="B358" s="260" t="s">
        <v>342</v>
      </c>
      <c r="C358" s="130" t="s">
        <v>55</v>
      </c>
      <c r="D358" s="367" t="s">
        <v>2847</v>
      </c>
      <c r="E358" s="361">
        <v>473</v>
      </c>
      <c r="F358" s="138">
        <v>45279</v>
      </c>
      <c r="G358" s="252">
        <v>32.630000000000003</v>
      </c>
      <c r="H358" s="90">
        <v>1656410</v>
      </c>
      <c r="I358" s="150">
        <f t="shared" si="154"/>
        <v>50763.407906834196</v>
      </c>
      <c r="J358" s="122"/>
      <c r="K358" s="186"/>
      <c r="L358" s="262">
        <f t="shared" si="153"/>
        <v>473</v>
      </c>
      <c r="M358" s="160"/>
      <c r="N358" s="136"/>
      <c r="O358" s="122"/>
      <c r="P358" s="92">
        <f t="shared" si="155"/>
        <v>30.019600000000004</v>
      </c>
      <c r="Q358" s="113">
        <f t="shared" si="156"/>
        <v>1.46835</v>
      </c>
      <c r="R358" s="92">
        <f t="shared" si="157"/>
        <v>1.1420500000000002</v>
      </c>
      <c r="S358" s="121"/>
      <c r="T358" s="93">
        <f t="shared" si="158"/>
        <v>30.019600000000001</v>
      </c>
      <c r="U358" s="122"/>
      <c r="V358" s="94">
        <f t="shared" ca="1" si="159"/>
        <v>341.4644447916653</v>
      </c>
    </row>
    <row r="359" spans="1:22" s="312" customFormat="1" ht="18">
      <c r="A359" s="115"/>
      <c r="B359" s="260" t="s">
        <v>342</v>
      </c>
      <c r="C359" s="130" t="s">
        <v>55</v>
      </c>
      <c r="D359" s="367" t="s">
        <v>2847</v>
      </c>
      <c r="E359" s="361">
        <v>474</v>
      </c>
      <c r="F359" s="138">
        <v>45279</v>
      </c>
      <c r="G359" s="252">
        <v>32.630000000000003</v>
      </c>
      <c r="H359" s="90">
        <v>1656410</v>
      </c>
      <c r="I359" s="150">
        <f t="shared" si="154"/>
        <v>50763.407906834196</v>
      </c>
      <c r="J359" s="122"/>
      <c r="K359" s="186"/>
      <c r="L359" s="262">
        <f t="shared" si="153"/>
        <v>474</v>
      </c>
      <c r="M359" s="160"/>
      <c r="N359" s="136"/>
      <c r="O359" s="122"/>
      <c r="P359" s="92">
        <f t="shared" si="155"/>
        <v>30.019600000000004</v>
      </c>
      <c r="Q359" s="113">
        <f t="shared" si="156"/>
        <v>1.46835</v>
      </c>
      <c r="R359" s="92">
        <f t="shared" si="157"/>
        <v>1.1420500000000002</v>
      </c>
      <c r="S359" s="121"/>
      <c r="T359" s="93">
        <f t="shared" si="158"/>
        <v>30.019600000000001</v>
      </c>
      <c r="U359" s="122"/>
      <c r="V359" s="94">
        <f t="shared" ca="1" si="159"/>
        <v>341.4644447916653</v>
      </c>
    </row>
    <row r="360" spans="1:22" s="312" customFormat="1" ht="18">
      <c r="A360" s="115"/>
      <c r="B360" s="260" t="s">
        <v>342</v>
      </c>
      <c r="C360" s="130" t="s">
        <v>55</v>
      </c>
      <c r="D360" s="367" t="s">
        <v>2849</v>
      </c>
      <c r="E360" s="361">
        <v>475</v>
      </c>
      <c r="F360" s="138">
        <v>45279</v>
      </c>
      <c r="G360" s="252">
        <v>32.68</v>
      </c>
      <c r="H360" s="90">
        <v>1658835</v>
      </c>
      <c r="I360" s="150">
        <f t="shared" si="154"/>
        <v>50759.944920440634</v>
      </c>
      <c r="J360" s="122"/>
      <c r="K360" s="186"/>
      <c r="L360" s="262">
        <f t="shared" si="153"/>
        <v>475</v>
      </c>
      <c r="M360" s="160"/>
      <c r="N360" s="136"/>
      <c r="O360" s="122"/>
      <c r="P360" s="92">
        <f t="shared" si="155"/>
        <v>30.0656</v>
      </c>
      <c r="Q360" s="113">
        <f t="shared" si="156"/>
        <v>1.4705999999999999</v>
      </c>
      <c r="R360" s="92">
        <f t="shared" si="157"/>
        <v>1.1438000000000001</v>
      </c>
      <c r="S360" s="121"/>
      <c r="T360" s="93">
        <f t="shared" si="158"/>
        <v>30.0656</v>
      </c>
      <c r="U360" s="122"/>
      <c r="V360" s="94">
        <f t="shared" ca="1" si="159"/>
        <v>341.4644447916653</v>
      </c>
    </row>
    <row r="361" spans="1:22" s="312" customFormat="1" ht="18">
      <c r="A361" s="115"/>
      <c r="B361" s="260" t="s">
        <v>342</v>
      </c>
      <c r="C361" s="130" t="s">
        <v>55</v>
      </c>
      <c r="D361" s="367" t="s">
        <v>2849</v>
      </c>
      <c r="E361" s="361">
        <v>476</v>
      </c>
      <c r="F361" s="138">
        <v>45279</v>
      </c>
      <c r="G361" s="252">
        <v>32.68</v>
      </c>
      <c r="H361" s="90">
        <v>1658835</v>
      </c>
      <c r="I361" s="150">
        <f t="shared" si="154"/>
        <v>50759.944920440634</v>
      </c>
      <c r="J361" s="122"/>
      <c r="K361" s="186"/>
      <c r="L361" s="262">
        <f t="shared" si="153"/>
        <v>476</v>
      </c>
      <c r="M361" s="160"/>
      <c r="N361" s="136"/>
      <c r="O361" s="122"/>
      <c r="P361" s="92">
        <f t="shared" si="155"/>
        <v>30.0656</v>
      </c>
      <c r="Q361" s="113">
        <f t="shared" si="156"/>
        <v>1.4705999999999999</v>
      </c>
      <c r="R361" s="92">
        <f t="shared" si="157"/>
        <v>1.1438000000000001</v>
      </c>
      <c r="S361" s="121"/>
      <c r="T361" s="93">
        <f t="shared" si="158"/>
        <v>30.0656</v>
      </c>
      <c r="U361" s="122"/>
      <c r="V361" s="94">
        <f t="shared" ca="1" si="159"/>
        <v>341.4644447916653</v>
      </c>
    </row>
    <row r="362" spans="1:22" s="312" customFormat="1" ht="18">
      <c r="A362" s="115"/>
      <c r="B362" s="260" t="s">
        <v>342</v>
      </c>
      <c r="C362" s="130" t="s">
        <v>55</v>
      </c>
      <c r="D362" s="367" t="s">
        <v>2850</v>
      </c>
      <c r="E362" s="361">
        <v>477</v>
      </c>
      <c r="F362" s="138">
        <v>45279</v>
      </c>
      <c r="G362" s="252">
        <v>32.729999999999997</v>
      </c>
      <c r="H362" s="90">
        <v>1661260</v>
      </c>
      <c r="I362" s="150">
        <f t="shared" ref="I362:I399" si="160">H362/G362</f>
        <v>50756.492514512684</v>
      </c>
      <c r="J362" s="122"/>
      <c r="K362" s="186"/>
      <c r="L362" s="262">
        <f t="shared" si="153"/>
        <v>477</v>
      </c>
      <c r="M362" s="160"/>
      <c r="N362" s="136"/>
      <c r="O362" s="122"/>
      <c r="P362" s="92">
        <f t="shared" ref="P362:P399" si="161">G362*0.92</f>
        <v>30.111599999999999</v>
      </c>
      <c r="Q362" s="113">
        <f t="shared" ref="Q362:Q399" si="162">G362*4.5%</f>
        <v>1.4728499999999998</v>
      </c>
      <c r="R362" s="92">
        <f t="shared" ref="R362:R399" si="163">G362*3.5%</f>
        <v>1.1455500000000001</v>
      </c>
      <c r="S362" s="121"/>
      <c r="T362" s="93">
        <f t="shared" ref="T362:T399" si="164">G362-N362-Q362-R362</f>
        <v>30.111599999999996</v>
      </c>
      <c r="U362" s="122"/>
      <c r="V362" s="94">
        <f t="shared" ref="V362:V399" ca="1" si="165">360-($V$3-F362)</f>
        <v>341.4644447916653</v>
      </c>
    </row>
    <row r="363" spans="1:22" s="312" customFormat="1" ht="18">
      <c r="A363" s="115"/>
      <c r="B363" s="260" t="s">
        <v>342</v>
      </c>
      <c r="C363" s="130" t="s">
        <v>55</v>
      </c>
      <c r="D363" s="367" t="s">
        <v>2850</v>
      </c>
      <c r="E363" s="361">
        <v>478</v>
      </c>
      <c r="F363" s="138">
        <v>45279</v>
      </c>
      <c r="G363" s="252">
        <v>32.729999999999997</v>
      </c>
      <c r="H363" s="90">
        <v>1661260</v>
      </c>
      <c r="I363" s="150">
        <f t="shared" si="160"/>
        <v>50756.492514512684</v>
      </c>
      <c r="J363" s="122"/>
      <c r="K363" s="186"/>
      <c r="L363" s="262">
        <f t="shared" si="153"/>
        <v>478</v>
      </c>
      <c r="M363" s="160"/>
      <c r="N363" s="136"/>
      <c r="O363" s="122"/>
      <c r="P363" s="92">
        <f t="shared" si="161"/>
        <v>30.111599999999999</v>
      </c>
      <c r="Q363" s="113">
        <f t="shared" si="162"/>
        <v>1.4728499999999998</v>
      </c>
      <c r="R363" s="92">
        <f t="shared" si="163"/>
        <v>1.1455500000000001</v>
      </c>
      <c r="S363" s="121"/>
      <c r="T363" s="93">
        <f t="shared" si="164"/>
        <v>30.111599999999996</v>
      </c>
      <c r="U363" s="122"/>
      <c r="V363" s="94">
        <f t="shared" ca="1" si="165"/>
        <v>341.4644447916653</v>
      </c>
    </row>
    <row r="364" spans="1:22" s="312" customFormat="1" ht="18">
      <c r="A364" s="115"/>
      <c r="B364" s="260" t="s">
        <v>342</v>
      </c>
      <c r="C364" s="130" t="s">
        <v>55</v>
      </c>
      <c r="D364" s="367" t="s">
        <v>2851</v>
      </c>
      <c r="E364" s="361">
        <v>479</v>
      </c>
      <c r="F364" s="138">
        <v>45279</v>
      </c>
      <c r="G364" s="252">
        <v>32.68</v>
      </c>
      <c r="H364" s="90">
        <v>1658835</v>
      </c>
      <c r="I364" s="150">
        <f t="shared" si="160"/>
        <v>50759.944920440634</v>
      </c>
      <c r="J364" s="122"/>
      <c r="K364" s="186"/>
      <c r="L364" s="262">
        <f t="shared" si="153"/>
        <v>479</v>
      </c>
      <c r="M364" s="160"/>
      <c r="N364" s="136"/>
      <c r="O364" s="122"/>
      <c r="P364" s="92">
        <f t="shared" si="161"/>
        <v>30.0656</v>
      </c>
      <c r="Q364" s="113">
        <f t="shared" si="162"/>
        <v>1.4705999999999999</v>
      </c>
      <c r="R364" s="92">
        <f t="shared" si="163"/>
        <v>1.1438000000000001</v>
      </c>
      <c r="S364" s="121"/>
      <c r="T364" s="93">
        <f t="shared" si="164"/>
        <v>30.0656</v>
      </c>
      <c r="U364" s="122"/>
      <c r="V364" s="94">
        <f t="shared" ca="1" si="165"/>
        <v>341.4644447916653</v>
      </c>
    </row>
    <row r="365" spans="1:22" s="312" customFormat="1" ht="18">
      <c r="A365" s="115"/>
      <c r="B365" s="260" t="s">
        <v>342</v>
      </c>
      <c r="C365" s="130" t="s">
        <v>55</v>
      </c>
      <c r="D365" s="367" t="s">
        <v>2851</v>
      </c>
      <c r="E365" s="361">
        <v>480</v>
      </c>
      <c r="F365" s="138">
        <v>45279</v>
      </c>
      <c r="G365" s="252">
        <v>32.68</v>
      </c>
      <c r="H365" s="90">
        <v>1658835</v>
      </c>
      <c r="I365" s="150">
        <f t="shared" si="160"/>
        <v>50759.944920440634</v>
      </c>
      <c r="J365" s="122"/>
      <c r="K365" s="186"/>
      <c r="L365" s="262">
        <f t="shared" si="153"/>
        <v>480</v>
      </c>
      <c r="M365" s="160"/>
      <c r="N365" s="136"/>
      <c r="O365" s="122"/>
      <c r="P365" s="92">
        <f t="shared" si="161"/>
        <v>30.0656</v>
      </c>
      <c r="Q365" s="113">
        <f t="shared" si="162"/>
        <v>1.4705999999999999</v>
      </c>
      <c r="R365" s="92">
        <f t="shared" si="163"/>
        <v>1.1438000000000001</v>
      </c>
      <c r="S365" s="121"/>
      <c r="T365" s="93">
        <f t="shared" si="164"/>
        <v>30.0656</v>
      </c>
      <c r="U365" s="122"/>
      <c r="V365" s="94">
        <f t="shared" ca="1" si="165"/>
        <v>341.4644447916653</v>
      </c>
    </row>
    <row r="366" spans="1:22" s="312" customFormat="1" ht="18">
      <c r="A366" s="115"/>
      <c r="B366" s="260" t="s">
        <v>342</v>
      </c>
      <c r="C366" s="130" t="s">
        <v>55</v>
      </c>
      <c r="D366" s="367" t="s">
        <v>2852</v>
      </c>
      <c r="E366" s="361">
        <v>481</v>
      </c>
      <c r="F366" s="138">
        <v>45279</v>
      </c>
      <c r="G366" s="252">
        <v>32.76</v>
      </c>
      <c r="H366" s="90">
        <v>1662715</v>
      </c>
      <c r="I366" s="150">
        <f t="shared" si="160"/>
        <v>50754.426129426131</v>
      </c>
      <c r="J366" s="122"/>
      <c r="K366" s="186"/>
      <c r="L366" s="262">
        <f t="shared" si="153"/>
        <v>481</v>
      </c>
      <c r="M366" s="160"/>
      <c r="N366" s="136"/>
      <c r="O366" s="122"/>
      <c r="P366" s="92">
        <f t="shared" si="161"/>
        <v>30.139199999999999</v>
      </c>
      <c r="Q366" s="113">
        <f t="shared" si="162"/>
        <v>1.4742</v>
      </c>
      <c r="R366" s="92">
        <f t="shared" si="163"/>
        <v>1.1466000000000001</v>
      </c>
      <c r="S366" s="121"/>
      <c r="T366" s="93">
        <f t="shared" si="164"/>
        <v>30.139199999999999</v>
      </c>
      <c r="U366" s="122"/>
      <c r="V366" s="94">
        <f t="shared" ca="1" si="165"/>
        <v>341.4644447916653</v>
      </c>
    </row>
    <row r="367" spans="1:22" s="312" customFormat="1" ht="18">
      <c r="A367" s="115"/>
      <c r="B367" s="260" t="s">
        <v>342</v>
      </c>
      <c r="C367" s="130" t="s">
        <v>55</v>
      </c>
      <c r="D367" s="367" t="s">
        <v>2852</v>
      </c>
      <c r="E367" s="361">
        <v>482</v>
      </c>
      <c r="F367" s="138">
        <v>45279</v>
      </c>
      <c r="G367" s="252">
        <v>32.76</v>
      </c>
      <c r="H367" s="90">
        <v>1662715</v>
      </c>
      <c r="I367" s="150">
        <f t="shared" si="160"/>
        <v>50754.426129426131</v>
      </c>
      <c r="J367" s="122"/>
      <c r="K367" s="186"/>
      <c r="L367" s="262">
        <f t="shared" si="153"/>
        <v>482</v>
      </c>
      <c r="M367" s="160"/>
      <c r="N367" s="136"/>
      <c r="O367" s="122"/>
      <c r="P367" s="92">
        <f t="shared" si="161"/>
        <v>30.139199999999999</v>
      </c>
      <c r="Q367" s="113">
        <f t="shared" si="162"/>
        <v>1.4742</v>
      </c>
      <c r="R367" s="92">
        <f t="shared" si="163"/>
        <v>1.1466000000000001</v>
      </c>
      <c r="S367" s="121"/>
      <c r="T367" s="93">
        <f t="shared" si="164"/>
        <v>30.139199999999999</v>
      </c>
      <c r="U367" s="122"/>
      <c r="V367" s="94">
        <f t="shared" ca="1" si="165"/>
        <v>341.4644447916653</v>
      </c>
    </row>
    <row r="368" spans="1:22" s="312" customFormat="1" ht="18">
      <c r="A368" s="115"/>
      <c r="B368" s="260" t="s">
        <v>342</v>
      </c>
      <c r="C368" s="130" t="s">
        <v>55</v>
      </c>
      <c r="D368" s="367" t="s">
        <v>2853</v>
      </c>
      <c r="E368" s="361">
        <v>483</v>
      </c>
      <c r="F368" s="138">
        <v>45279</v>
      </c>
      <c r="G368" s="252">
        <v>32.799999999999997</v>
      </c>
      <c r="H368" s="90">
        <v>1664655</v>
      </c>
      <c r="I368" s="150">
        <f t="shared" si="160"/>
        <v>50751.676829268297</v>
      </c>
      <c r="J368" s="122"/>
      <c r="K368" s="186"/>
      <c r="L368" s="262">
        <f t="shared" si="153"/>
        <v>483</v>
      </c>
      <c r="M368" s="160"/>
      <c r="N368" s="136"/>
      <c r="O368" s="122"/>
      <c r="P368" s="92">
        <f t="shared" si="161"/>
        <v>30.175999999999998</v>
      </c>
      <c r="Q368" s="113">
        <f t="shared" si="162"/>
        <v>1.4759999999999998</v>
      </c>
      <c r="R368" s="92">
        <f t="shared" si="163"/>
        <v>1.1479999999999999</v>
      </c>
      <c r="S368" s="121"/>
      <c r="T368" s="93">
        <f t="shared" si="164"/>
        <v>30.175999999999998</v>
      </c>
      <c r="U368" s="122"/>
      <c r="V368" s="94">
        <f t="shared" ca="1" si="165"/>
        <v>341.4644447916653</v>
      </c>
    </row>
    <row r="369" spans="1:22" s="312" customFormat="1" ht="18">
      <c r="A369" s="115"/>
      <c r="B369" s="260" t="s">
        <v>342</v>
      </c>
      <c r="C369" s="130" t="s">
        <v>55</v>
      </c>
      <c r="D369" s="367" t="s">
        <v>2853</v>
      </c>
      <c r="E369" s="361">
        <v>484</v>
      </c>
      <c r="F369" s="138">
        <v>45279</v>
      </c>
      <c r="G369" s="252">
        <v>32.799999999999997</v>
      </c>
      <c r="H369" s="90">
        <v>1664655</v>
      </c>
      <c r="I369" s="150">
        <f t="shared" si="160"/>
        <v>50751.676829268297</v>
      </c>
      <c r="J369" s="122"/>
      <c r="K369" s="186"/>
      <c r="L369" s="262">
        <f t="shared" si="153"/>
        <v>484</v>
      </c>
      <c r="M369" s="160"/>
      <c r="N369" s="136"/>
      <c r="O369" s="122"/>
      <c r="P369" s="92">
        <f t="shared" si="161"/>
        <v>30.175999999999998</v>
      </c>
      <c r="Q369" s="113">
        <f t="shared" si="162"/>
        <v>1.4759999999999998</v>
      </c>
      <c r="R369" s="92">
        <f t="shared" si="163"/>
        <v>1.1479999999999999</v>
      </c>
      <c r="S369" s="121"/>
      <c r="T369" s="93">
        <f t="shared" si="164"/>
        <v>30.175999999999998</v>
      </c>
      <c r="U369" s="122"/>
      <c r="V369" s="94">
        <f t="shared" ca="1" si="165"/>
        <v>341.4644447916653</v>
      </c>
    </row>
    <row r="370" spans="1:22" s="312" customFormat="1" ht="18">
      <c r="A370" s="115"/>
      <c r="B370" s="260" t="s">
        <v>342</v>
      </c>
      <c r="C370" s="130" t="s">
        <v>55</v>
      </c>
      <c r="D370" s="367" t="s">
        <v>2854</v>
      </c>
      <c r="E370" s="361">
        <v>485</v>
      </c>
      <c r="F370" s="138">
        <v>45279</v>
      </c>
      <c r="G370" s="252">
        <v>32.76</v>
      </c>
      <c r="H370" s="90">
        <v>1662715</v>
      </c>
      <c r="I370" s="150">
        <f t="shared" si="160"/>
        <v>50754.426129426131</v>
      </c>
      <c r="J370" s="122"/>
      <c r="K370" s="186"/>
      <c r="L370" s="262">
        <f t="shared" si="153"/>
        <v>485</v>
      </c>
      <c r="M370" s="160"/>
      <c r="N370" s="136"/>
      <c r="O370" s="122"/>
      <c r="P370" s="92">
        <f t="shared" si="161"/>
        <v>30.139199999999999</v>
      </c>
      <c r="Q370" s="113">
        <f t="shared" si="162"/>
        <v>1.4742</v>
      </c>
      <c r="R370" s="92">
        <f t="shared" si="163"/>
        <v>1.1466000000000001</v>
      </c>
      <c r="S370" s="121"/>
      <c r="T370" s="93">
        <f t="shared" si="164"/>
        <v>30.139199999999999</v>
      </c>
      <c r="U370" s="122"/>
      <c r="V370" s="94">
        <f t="shared" ca="1" si="165"/>
        <v>341.4644447916653</v>
      </c>
    </row>
    <row r="371" spans="1:22" s="312" customFormat="1" ht="18">
      <c r="A371" s="115"/>
      <c r="B371" s="260" t="s">
        <v>342</v>
      </c>
      <c r="C371" s="130" t="s">
        <v>55</v>
      </c>
      <c r="D371" s="367" t="s">
        <v>2854</v>
      </c>
      <c r="E371" s="361">
        <v>486</v>
      </c>
      <c r="F371" s="138">
        <v>45279</v>
      </c>
      <c r="G371" s="252">
        <v>32.76</v>
      </c>
      <c r="H371" s="90">
        <v>1662715</v>
      </c>
      <c r="I371" s="150">
        <f t="shared" si="160"/>
        <v>50754.426129426131</v>
      </c>
      <c r="J371" s="122"/>
      <c r="K371" s="186"/>
      <c r="L371" s="262">
        <f t="shared" si="153"/>
        <v>486</v>
      </c>
      <c r="M371" s="160"/>
      <c r="N371" s="136"/>
      <c r="O371" s="122"/>
      <c r="P371" s="92">
        <f t="shared" si="161"/>
        <v>30.139199999999999</v>
      </c>
      <c r="Q371" s="113">
        <f t="shared" si="162"/>
        <v>1.4742</v>
      </c>
      <c r="R371" s="92">
        <f t="shared" si="163"/>
        <v>1.1466000000000001</v>
      </c>
      <c r="S371" s="121"/>
      <c r="T371" s="93">
        <f t="shared" si="164"/>
        <v>30.139199999999999</v>
      </c>
      <c r="U371" s="122"/>
      <c r="V371" s="94">
        <f t="shared" ca="1" si="165"/>
        <v>341.4644447916653</v>
      </c>
    </row>
    <row r="372" spans="1:22" s="312" customFormat="1" ht="18">
      <c r="A372" s="115"/>
      <c r="B372" s="260" t="s">
        <v>342</v>
      </c>
      <c r="C372" s="130" t="s">
        <v>55</v>
      </c>
      <c r="D372" s="367" t="s">
        <v>2855</v>
      </c>
      <c r="E372" s="361">
        <v>487</v>
      </c>
      <c r="F372" s="138">
        <v>45279</v>
      </c>
      <c r="G372" s="252">
        <v>32.79</v>
      </c>
      <c r="H372" s="90">
        <v>1664170</v>
      </c>
      <c r="I372" s="150">
        <f t="shared" si="160"/>
        <v>50752.36352546508</v>
      </c>
      <c r="J372" s="122"/>
      <c r="K372" s="186"/>
      <c r="L372" s="262">
        <f t="shared" si="153"/>
        <v>487</v>
      </c>
      <c r="M372" s="160"/>
      <c r="N372" s="136"/>
      <c r="O372" s="122"/>
      <c r="P372" s="92">
        <f t="shared" si="161"/>
        <v>30.166800000000002</v>
      </c>
      <c r="Q372" s="113">
        <f t="shared" si="162"/>
        <v>1.4755499999999999</v>
      </c>
      <c r="R372" s="92">
        <f t="shared" si="163"/>
        <v>1.1476500000000001</v>
      </c>
      <c r="S372" s="121"/>
      <c r="T372" s="93">
        <f t="shared" si="164"/>
        <v>30.166800000000002</v>
      </c>
      <c r="U372" s="122"/>
      <c r="V372" s="94">
        <f t="shared" ca="1" si="165"/>
        <v>341.4644447916653</v>
      </c>
    </row>
    <row r="373" spans="1:22" s="312" customFormat="1" ht="18">
      <c r="A373" s="115"/>
      <c r="B373" s="260" t="s">
        <v>342</v>
      </c>
      <c r="C373" s="130" t="s">
        <v>55</v>
      </c>
      <c r="D373" s="367" t="s">
        <v>2855</v>
      </c>
      <c r="E373" s="361">
        <v>488</v>
      </c>
      <c r="F373" s="138">
        <v>45279</v>
      </c>
      <c r="G373" s="252">
        <v>32.79</v>
      </c>
      <c r="H373" s="90">
        <v>1664170</v>
      </c>
      <c r="I373" s="150">
        <f t="shared" si="160"/>
        <v>50752.36352546508</v>
      </c>
      <c r="J373" s="122"/>
      <c r="K373" s="186"/>
      <c r="L373" s="262">
        <f t="shared" si="153"/>
        <v>488</v>
      </c>
      <c r="M373" s="160"/>
      <c r="N373" s="136"/>
      <c r="O373" s="122"/>
      <c r="P373" s="92">
        <f t="shared" si="161"/>
        <v>30.166800000000002</v>
      </c>
      <c r="Q373" s="113">
        <f t="shared" si="162"/>
        <v>1.4755499999999999</v>
      </c>
      <c r="R373" s="92">
        <f t="shared" si="163"/>
        <v>1.1476500000000001</v>
      </c>
      <c r="S373" s="121"/>
      <c r="T373" s="93">
        <f t="shared" si="164"/>
        <v>30.166800000000002</v>
      </c>
      <c r="U373" s="122"/>
      <c r="V373" s="94">
        <f t="shared" ca="1" si="165"/>
        <v>341.4644447916653</v>
      </c>
    </row>
    <row r="374" spans="1:22" s="312" customFormat="1" ht="18">
      <c r="A374" s="115"/>
      <c r="B374" s="260" t="s">
        <v>342</v>
      </c>
      <c r="C374" s="130" t="s">
        <v>55</v>
      </c>
      <c r="D374" s="367" t="s">
        <v>2856</v>
      </c>
      <c r="E374" s="361">
        <v>489</v>
      </c>
      <c r="F374" s="138">
        <v>45279</v>
      </c>
      <c r="G374" s="252">
        <v>32.89</v>
      </c>
      <c r="H374" s="90">
        <v>1669020</v>
      </c>
      <c r="I374" s="150">
        <f t="shared" si="160"/>
        <v>50745.515354211006</v>
      </c>
      <c r="J374" s="122"/>
      <c r="K374" s="186"/>
      <c r="L374" s="262">
        <f t="shared" si="153"/>
        <v>489</v>
      </c>
      <c r="M374" s="160"/>
      <c r="N374" s="136"/>
      <c r="O374" s="122"/>
      <c r="P374" s="92">
        <f t="shared" si="161"/>
        <v>30.258800000000001</v>
      </c>
      <c r="Q374" s="113">
        <f t="shared" si="162"/>
        <v>1.4800499999999999</v>
      </c>
      <c r="R374" s="92">
        <f t="shared" si="163"/>
        <v>1.1511500000000001</v>
      </c>
      <c r="S374" s="121"/>
      <c r="T374" s="93">
        <f t="shared" si="164"/>
        <v>30.258800000000001</v>
      </c>
      <c r="U374" s="122"/>
      <c r="V374" s="94">
        <f t="shared" ca="1" si="165"/>
        <v>341.4644447916653</v>
      </c>
    </row>
    <row r="375" spans="1:22" s="312" customFormat="1" ht="18">
      <c r="A375" s="115"/>
      <c r="B375" s="260" t="s">
        <v>342</v>
      </c>
      <c r="C375" s="130" t="s">
        <v>55</v>
      </c>
      <c r="D375" s="367" t="s">
        <v>2856</v>
      </c>
      <c r="E375" s="361">
        <v>490</v>
      </c>
      <c r="F375" s="138">
        <v>45279</v>
      </c>
      <c r="G375" s="252">
        <v>32.89</v>
      </c>
      <c r="H375" s="90">
        <v>1669020</v>
      </c>
      <c r="I375" s="150">
        <f t="shared" si="160"/>
        <v>50745.515354211006</v>
      </c>
      <c r="J375" s="122"/>
      <c r="K375" s="186"/>
      <c r="L375" s="262">
        <f t="shared" si="153"/>
        <v>490</v>
      </c>
      <c r="M375" s="160"/>
      <c r="N375" s="136"/>
      <c r="O375" s="122"/>
      <c r="P375" s="92">
        <f t="shared" si="161"/>
        <v>30.258800000000001</v>
      </c>
      <c r="Q375" s="113">
        <f t="shared" si="162"/>
        <v>1.4800499999999999</v>
      </c>
      <c r="R375" s="92">
        <f t="shared" si="163"/>
        <v>1.1511500000000001</v>
      </c>
      <c r="S375" s="121"/>
      <c r="T375" s="93">
        <f t="shared" si="164"/>
        <v>30.258800000000001</v>
      </c>
      <c r="U375" s="122"/>
      <c r="V375" s="94">
        <f t="shared" ca="1" si="165"/>
        <v>341.4644447916653</v>
      </c>
    </row>
    <row r="376" spans="1:22" s="312" customFormat="1" ht="18">
      <c r="A376" s="115"/>
      <c r="B376" s="260" t="s">
        <v>342</v>
      </c>
      <c r="C376" s="130" t="s">
        <v>55</v>
      </c>
      <c r="D376" s="367" t="s">
        <v>2857</v>
      </c>
      <c r="E376" s="361">
        <v>491</v>
      </c>
      <c r="F376" s="138">
        <v>45279</v>
      </c>
      <c r="G376" s="252">
        <v>32.770000000000003</v>
      </c>
      <c r="H376" s="90">
        <v>1663200</v>
      </c>
      <c r="I376" s="150">
        <f t="shared" si="160"/>
        <v>50753.738175160201</v>
      </c>
      <c r="J376" s="122"/>
      <c r="K376" s="186"/>
      <c r="L376" s="262">
        <f t="shared" si="153"/>
        <v>491</v>
      </c>
      <c r="M376" s="160"/>
      <c r="N376" s="136"/>
      <c r="O376" s="122"/>
      <c r="P376" s="92">
        <f t="shared" si="161"/>
        <v>30.148400000000006</v>
      </c>
      <c r="Q376" s="113">
        <f t="shared" si="162"/>
        <v>1.47465</v>
      </c>
      <c r="R376" s="92">
        <f t="shared" si="163"/>
        <v>1.1469500000000001</v>
      </c>
      <c r="S376" s="121"/>
      <c r="T376" s="93">
        <f t="shared" si="164"/>
        <v>30.148400000000002</v>
      </c>
      <c r="U376" s="122"/>
      <c r="V376" s="94">
        <f t="shared" ca="1" si="165"/>
        <v>341.4644447916653</v>
      </c>
    </row>
    <row r="377" spans="1:22" s="312" customFormat="1" ht="18">
      <c r="A377" s="115"/>
      <c r="B377" s="260" t="s">
        <v>342</v>
      </c>
      <c r="C377" s="130" t="s">
        <v>55</v>
      </c>
      <c r="D377" s="367" t="s">
        <v>2857</v>
      </c>
      <c r="E377" s="361">
        <v>492</v>
      </c>
      <c r="F377" s="138">
        <v>45279</v>
      </c>
      <c r="G377" s="252">
        <v>32.770000000000003</v>
      </c>
      <c r="H377" s="90">
        <v>1663200</v>
      </c>
      <c r="I377" s="150">
        <f t="shared" si="160"/>
        <v>50753.738175160201</v>
      </c>
      <c r="J377" s="122"/>
      <c r="K377" s="186"/>
      <c r="L377" s="262">
        <f t="shared" si="153"/>
        <v>492</v>
      </c>
      <c r="M377" s="160"/>
      <c r="N377" s="136"/>
      <c r="O377" s="122"/>
      <c r="P377" s="92">
        <f t="shared" si="161"/>
        <v>30.148400000000006</v>
      </c>
      <c r="Q377" s="113">
        <f t="shared" si="162"/>
        <v>1.47465</v>
      </c>
      <c r="R377" s="92">
        <f t="shared" si="163"/>
        <v>1.1469500000000001</v>
      </c>
      <c r="S377" s="121"/>
      <c r="T377" s="93">
        <f t="shared" si="164"/>
        <v>30.148400000000002</v>
      </c>
      <c r="U377" s="122"/>
      <c r="V377" s="94">
        <f t="shared" ca="1" si="165"/>
        <v>341.4644447916653</v>
      </c>
    </row>
    <row r="378" spans="1:22" s="312" customFormat="1" ht="18">
      <c r="A378" s="115"/>
      <c r="B378" s="260" t="s">
        <v>342</v>
      </c>
      <c r="C378" s="130" t="s">
        <v>55</v>
      </c>
      <c r="D378" s="367" t="s">
        <v>2858</v>
      </c>
      <c r="E378" s="361">
        <v>493</v>
      </c>
      <c r="F378" s="138">
        <v>45279</v>
      </c>
      <c r="G378" s="252">
        <v>32.729999999999997</v>
      </c>
      <c r="H378" s="90">
        <v>1661260</v>
      </c>
      <c r="I378" s="150">
        <f t="shared" si="160"/>
        <v>50756.492514512684</v>
      </c>
      <c r="J378" s="122"/>
      <c r="K378" s="186"/>
      <c r="L378" s="262">
        <f t="shared" si="153"/>
        <v>493</v>
      </c>
      <c r="M378" s="160"/>
      <c r="N378" s="136"/>
      <c r="O378" s="122"/>
      <c r="P378" s="92">
        <f t="shared" si="161"/>
        <v>30.111599999999999</v>
      </c>
      <c r="Q378" s="113">
        <f t="shared" si="162"/>
        <v>1.4728499999999998</v>
      </c>
      <c r="R378" s="92">
        <f t="shared" si="163"/>
        <v>1.1455500000000001</v>
      </c>
      <c r="S378" s="121"/>
      <c r="T378" s="93">
        <f t="shared" si="164"/>
        <v>30.111599999999996</v>
      </c>
      <c r="U378" s="122"/>
      <c r="V378" s="94">
        <f t="shared" ca="1" si="165"/>
        <v>341.4644447916653</v>
      </c>
    </row>
    <row r="379" spans="1:22" s="312" customFormat="1" ht="18">
      <c r="A379" s="115"/>
      <c r="B379" s="260" t="s">
        <v>342</v>
      </c>
      <c r="C379" s="130" t="s">
        <v>55</v>
      </c>
      <c r="D379" s="367" t="s">
        <v>2858</v>
      </c>
      <c r="E379" s="361">
        <v>494</v>
      </c>
      <c r="F379" s="138">
        <v>45279</v>
      </c>
      <c r="G379" s="252">
        <v>32.729999999999997</v>
      </c>
      <c r="H379" s="90">
        <v>1661260</v>
      </c>
      <c r="I379" s="150">
        <f t="shared" si="160"/>
        <v>50756.492514512684</v>
      </c>
      <c r="J379" s="122"/>
      <c r="K379" s="186"/>
      <c r="L379" s="262">
        <f t="shared" si="153"/>
        <v>494</v>
      </c>
      <c r="M379" s="160"/>
      <c r="N379" s="136"/>
      <c r="O379" s="122"/>
      <c r="P379" s="92">
        <f t="shared" si="161"/>
        <v>30.111599999999999</v>
      </c>
      <c r="Q379" s="113">
        <f t="shared" si="162"/>
        <v>1.4728499999999998</v>
      </c>
      <c r="R379" s="92">
        <f t="shared" si="163"/>
        <v>1.1455500000000001</v>
      </c>
      <c r="S379" s="121"/>
      <c r="T379" s="93">
        <f t="shared" si="164"/>
        <v>30.111599999999996</v>
      </c>
      <c r="U379" s="122"/>
      <c r="V379" s="94">
        <f t="shared" ca="1" si="165"/>
        <v>341.4644447916653</v>
      </c>
    </row>
    <row r="380" spans="1:22" s="312" customFormat="1" ht="18">
      <c r="A380" s="115"/>
      <c r="B380" s="260" t="s">
        <v>342</v>
      </c>
      <c r="C380" s="130" t="s">
        <v>55</v>
      </c>
      <c r="D380" s="367" t="s">
        <v>2859</v>
      </c>
      <c r="E380" s="361">
        <v>495</v>
      </c>
      <c r="F380" s="138">
        <v>45279</v>
      </c>
      <c r="G380" s="252">
        <v>32.71</v>
      </c>
      <c r="H380" s="90">
        <v>1660290</v>
      </c>
      <c r="I380" s="150">
        <f t="shared" si="160"/>
        <v>50757.872210333233</v>
      </c>
      <c r="J380" s="122"/>
      <c r="K380" s="186"/>
      <c r="L380" s="262">
        <f t="shared" si="153"/>
        <v>495</v>
      </c>
      <c r="M380" s="160"/>
      <c r="N380" s="136"/>
      <c r="O380" s="122"/>
      <c r="P380" s="92">
        <f t="shared" si="161"/>
        <v>30.093200000000003</v>
      </c>
      <c r="Q380" s="113">
        <f t="shared" si="162"/>
        <v>1.4719500000000001</v>
      </c>
      <c r="R380" s="92">
        <f t="shared" si="163"/>
        <v>1.1448500000000001</v>
      </c>
      <c r="S380" s="121"/>
      <c r="T380" s="93">
        <f t="shared" si="164"/>
        <v>30.0932</v>
      </c>
      <c r="U380" s="122"/>
      <c r="V380" s="94">
        <f t="shared" ca="1" si="165"/>
        <v>341.4644447916653</v>
      </c>
    </row>
    <row r="381" spans="1:22" s="312" customFormat="1" ht="18">
      <c r="A381" s="115"/>
      <c r="B381" s="260" t="s">
        <v>342</v>
      </c>
      <c r="C381" s="130" t="s">
        <v>55</v>
      </c>
      <c r="D381" s="367" t="s">
        <v>2859</v>
      </c>
      <c r="E381" s="361">
        <v>496</v>
      </c>
      <c r="F381" s="138">
        <v>45279</v>
      </c>
      <c r="G381" s="252">
        <v>32.71</v>
      </c>
      <c r="H381" s="90">
        <v>1660290</v>
      </c>
      <c r="I381" s="150">
        <f t="shared" si="160"/>
        <v>50757.872210333233</v>
      </c>
      <c r="J381" s="122"/>
      <c r="K381" s="186"/>
      <c r="L381" s="262">
        <f t="shared" si="153"/>
        <v>496</v>
      </c>
      <c r="M381" s="160"/>
      <c r="N381" s="136"/>
      <c r="O381" s="122"/>
      <c r="P381" s="92">
        <f t="shared" si="161"/>
        <v>30.093200000000003</v>
      </c>
      <c r="Q381" s="113">
        <f t="shared" si="162"/>
        <v>1.4719500000000001</v>
      </c>
      <c r="R381" s="92">
        <f t="shared" si="163"/>
        <v>1.1448500000000001</v>
      </c>
      <c r="S381" s="121"/>
      <c r="T381" s="93">
        <f t="shared" si="164"/>
        <v>30.0932</v>
      </c>
      <c r="U381" s="122"/>
      <c r="V381" s="94">
        <f t="shared" ca="1" si="165"/>
        <v>341.4644447916653</v>
      </c>
    </row>
    <row r="382" spans="1:22" s="312" customFormat="1" ht="18">
      <c r="A382" s="115"/>
      <c r="B382" s="260" t="s">
        <v>342</v>
      </c>
      <c r="C382" s="130" t="s">
        <v>55</v>
      </c>
      <c r="D382" s="367" t="s">
        <v>2861</v>
      </c>
      <c r="E382" s="361">
        <v>497</v>
      </c>
      <c r="F382" s="138">
        <v>45279</v>
      </c>
      <c r="G382" s="252">
        <v>32.72</v>
      </c>
      <c r="H382" s="90">
        <v>1660775</v>
      </c>
      <c r="I382" s="150">
        <f t="shared" si="160"/>
        <v>50757.182151589244</v>
      </c>
      <c r="J382" s="122"/>
      <c r="K382" s="186"/>
      <c r="L382" s="262">
        <f t="shared" si="153"/>
        <v>497</v>
      </c>
      <c r="M382" s="160"/>
      <c r="N382" s="136"/>
      <c r="O382" s="122"/>
      <c r="P382" s="92">
        <f t="shared" si="161"/>
        <v>30.102399999999999</v>
      </c>
      <c r="Q382" s="113">
        <f t="shared" si="162"/>
        <v>1.4723999999999999</v>
      </c>
      <c r="R382" s="92">
        <f t="shared" si="163"/>
        <v>1.1452</v>
      </c>
      <c r="S382" s="121"/>
      <c r="T382" s="93">
        <f t="shared" si="164"/>
        <v>30.102399999999999</v>
      </c>
      <c r="U382" s="122"/>
      <c r="V382" s="94">
        <f t="shared" ca="1" si="165"/>
        <v>341.4644447916653</v>
      </c>
    </row>
    <row r="383" spans="1:22" s="312" customFormat="1" ht="18">
      <c r="A383" s="115"/>
      <c r="B383" s="260" t="s">
        <v>342</v>
      </c>
      <c r="C383" s="130" t="s">
        <v>55</v>
      </c>
      <c r="D383" s="367" t="s">
        <v>2861</v>
      </c>
      <c r="E383" s="361">
        <v>498</v>
      </c>
      <c r="F383" s="138">
        <v>45279</v>
      </c>
      <c r="G383" s="252">
        <v>32.72</v>
      </c>
      <c r="H383" s="90">
        <v>1660775</v>
      </c>
      <c r="I383" s="150">
        <f t="shared" si="160"/>
        <v>50757.182151589244</v>
      </c>
      <c r="J383" s="122"/>
      <c r="K383" s="186"/>
      <c r="L383" s="262">
        <f t="shared" si="153"/>
        <v>498</v>
      </c>
      <c r="M383" s="160"/>
      <c r="N383" s="136"/>
      <c r="O383" s="122"/>
      <c r="P383" s="92">
        <f t="shared" si="161"/>
        <v>30.102399999999999</v>
      </c>
      <c r="Q383" s="113">
        <f t="shared" si="162"/>
        <v>1.4723999999999999</v>
      </c>
      <c r="R383" s="92">
        <f t="shared" si="163"/>
        <v>1.1452</v>
      </c>
      <c r="S383" s="121"/>
      <c r="T383" s="93">
        <f t="shared" si="164"/>
        <v>30.102399999999999</v>
      </c>
      <c r="U383" s="122"/>
      <c r="V383" s="94">
        <f t="shared" ca="1" si="165"/>
        <v>341.4644447916653</v>
      </c>
    </row>
    <row r="384" spans="1:22" s="312" customFormat="1" ht="18">
      <c r="A384" s="115"/>
      <c r="B384" s="260" t="s">
        <v>342</v>
      </c>
      <c r="C384" s="130" t="s">
        <v>55</v>
      </c>
      <c r="D384" s="367" t="s">
        <v>2862</v>
      </c>
      <c r="E384" s="361">
        <v>499</v>
      </c>
      <c r="F384" s="138">
        <v>45279</v>
      </c>
      <c r="G384" s="252">
        <v>32.72</v>
      </c>
      <c r="H384" s="90">
        <v>1660775</v>
      </c>
      <c r="I384" s="150">
        <f t="shared" si="160"/>
        <v>50757.182151589244</v>
      </c>
      <c r="J384" s="122"/>
      <c r="K384" s="186"/>
      <c r="L384" s="262">
        <f t="shared" si="153"/>
        <v>499</v>
      </c>
      <c r="M384" s="160"/>
      <c r="N384" s="136"/>
      <c r="O384" s="122"/>
      <c r="P384" s="92">
        <f t="shared" si="161"/>
        <v>30.102399999999999</v>
      </c>
      <c r="Q384" s="113">
        <f t="shared" si="162"/>
        <v>1.4723999999999999</v>
      </c>
      <c r="R384" s="92">
        <f t="shared" si="163"/>
        <v>1.1452</v>
      </c>
      <c r="S384" s="121"/>
      <c r="T384" s="93">
        <f t="shared" si="164"/>
        <v>30.102399999999999</v>
      </c>
      <c r="U384" s="122"/>
      <c r="V384" s="94">
        <f t="shared" ca="1" si="165"/>
        <v>341.4644447916653</v>
      </c>
    </row>
    <row r="385" spans="1:22" s="312" customFormat="1" ht="18">
      <c r="A385" s="115"/>
      <c r="B385" s="260" t="s">
        <v>342</v>
      </c>
      <c r="C385" s="130" t="s">
        <v>55</v>
      </c>
      <c r="D385" s="367" t="s">
        <v>2862</v>
      </c>
      <c r="E385" s="361">
        <v>500</v>
      </c>
      <c r="F385" s="138">
        <v>45279</v>
      </c>
      <c r="G385" s="252">
        <v>32.72</v>
      </c>
      <c r="H385" s="90">
        <v>1660775</v>
      </c>
      <c r="I385" s="150">
        <f t="shared" si="160"/>
        <v>50757.182151589244</v>
      </c>
      <c r="J385" s="122"/>
      <c r="K385" s="186"/>
      <c r="L385" s="262">
        <f t="shared" si="153"/>
        <v>500</v>
      </c>
      <c r="M385" s="160"/>
      <c r="N385" s="136"/>
      <c r="O385" s="122"/>
      <c r="P385" s="92">
        <f t="shared" si="161"/>
        <v>30.102399999999999</v>
      </c>
      <c r="Q385" s="113">
        <f t="shared" si="162"/>
        <v>1.4723999999999999</v>
      </c>
      <c r="R385" s="92">
        <f t="shared" si="163"/>
        <v>1.1452</v>
      </c>
      <c r="S385" s="121"/>
      <c r="T385" s="93">
        <f t="shared" si="164"/>
        <v>30.102399999999999</v>
      </c>
      <c r="U385" s="122"/>
      <c r="V385" s="94">
        <f t="shared" ca="1" si="165"/>
        <v>341.4644447916653</v>
      </c>
    </row>
    <row r="386" spans="1:22" s="312" customFormat="1" ht="18">
      <c r="A386" s="115"/>
      <c r="B386" s="260" t="s">
        <v>342</v>
      </c>
      <c r="C386" s="130" t="s">
        <v>55</v>
      </c>
      <c r="D386" s="367" t="s">
        <v>2863</v>
      </c>
      <c r="E386" s="361">
        <v>501</v>
      </c>
      <c r="F386" s="138">
        <v>45279</v>
      </c>
      <c r="G386" s="252">
        <v>32.72</v>
      </c>
      <c r="H386" s="90">
        <v>1660775</v>
      </c>
      <c r="I386" s="150">
        <f t="shared" si="160"/>
        <v>50757.182151589244</v>
      </c>
      <c r="J386" s="122"/>
      <c r="K386" s="186"/>
      <c r="L386" s="262">
        <f t="shared" si="153"/>
        <v>501</v>
      </c>
      <c r="M386" s="160"/>
      <c r="N386" s="136"/>
      <c r="O386" s="122"/>
      <c r="P386" s="92">
        <f t="shared" si="161"/>
        <v>30.102399999999999</v>
      </c>
      <c r="Q386" s="113">
        <f t="shared" si="162"/>
        <v>1.4723999999999999</v>
      </c>
      <c r="R386" s="92">
        <f t="shared" si="163"/>
        <v>1.1452</v>
      </c>
      <c r="S386" s="121"/>
      <c r="T386" s="93">
        <f t="shared" si="164"/>
        <v>30.102399999999999</v>
      </c>
      <c r="U386" s="122"/>
      <c r="V386" s="94">
        <f t="shared" ca="1" si="165"/>
        <v>341.4644447916653</v>
      </c>
    </row>
    <row r="387" spans="1:22" s="312" customFormat="1" ht="18">
      <c r="A387" s="115"/>
      <c r="B387" s="260" t="s">
        <v>342</v>
      </c>
      <c r="C387" s="130" t="s">
        <v>55</v>
      </c>
      <c r="D387" s="367" t="s">
        <v>2863</v>
      </c>
      <c r="E387" s="361">
        <v>502</v>
      </c>
      <c r="F387" s="138">
        <v>45279</v>
      </c>
      <c r="G387" s="252">
        <v>32.72</v>
      </c>
      <c r="H387" s="90">
        <v>1660775</v>
      </c>
      <c r="I387" s="150">
        <f t="shared" si="160"/>
        <v>50757.182151589244</v>
      </c>
      <c r="J387" s="122"/>
      <c r="K387" s="186"/>
      <c r="L387" s="262">
        <f t="shared" si="153"/>
        <v>502</v>
      </c>
      <c r="M387" s="160"/>
      <c r="N387" s="136"/>
      <c r="O387" s="122"/>
      <c r="P387" s="92">
        <f t="shared" si="161"/>
        <v>30.102399999999999</v>
      </c>
      <c r="Q387" s="113">
        <f t="shared" si="162"/>
        <v>1.4723999999999999</v>
      </c>
      <c r="R387" s="92">
        <f t="shared" si="163"/>
        <v>1.1452</v>
      </c>
      <c r="S387" s="121"/>
      <c r="T387" s="93">
        <f t="shared" si="164"/>
        <v>30.102399999999999</v>
      </c>
      <c r="U387" s="122"/>
      <c r="V387" s="94">
        <f t="shared" ca="1" si="165"/>
        <v>341.4644447916653</v>
      </c>
    </row>
    <row r="388" spans="1:22" s="312" customFormat="1" ht="18">
      <c r="A388" s="115"/>
      <c r="B388" s="260" t="s">
        <v>342</v>
      </c>
      <c r="C388" s="130" t="s">
        <v>55</v>
      </c>
      <c r="D388" s="367" t="s">
        <v>2864</v>
      </c>
      <c r="E388" s="361">
        <v>503</v>
      </c>
      <c r="F388" s="138">
        <v>45279</v>
      </c>
      <c r="G388" s="252">
        <v>32.700000000000003</v>
      </c>
      <c r="H388" s="90">
        <v>1659805</v>
      </c>
      <c r="I388" s="150">
        <f t="shared" si="160"/>
        <v>50758.562691131498</v>
      </c>
      <c r="J388" s="122"/>
      <c r="K388" s="186"/>
      <c r="L388" s="262">
        <f t="shared" si="153"/>
        <v>503</v>
      </c>
      <c r="M388" s="160"/>
      <c r="N388" s="136"/>
      <c r="O388" s="122"/>
      <c r="P388" s="92">
        <f t="shared" si="161"/>
        <v>30.084000000000003</v>
      </c>
      <c r="Q388" s="113">
        <f t="shared" si="162"/>
        <v>1.4715</v>
      </c>
      <c r="R388" s="92">
        <f t="shared" si="163"/>
        <v>1.1445000000000003</v>
      </c>
      <c r="S388" s="121"/>
      <c r="T388" s="93">
        <f t="shared" si="164"/>
        <v>30.084000000000003</v>
      </c>
      <c r="U388" s="122"/>
      <c r="V388" s="94">
        <f t="shared" ca="1" si="165"/>
        <v>341.4644447916653</v>
      </c>
    </row>
    <row r="389" spans="1:22" s="312" customFormat="1" ht="18">
      <c r="A389" s="115"/>
      <c r="B389" s="260" t="s">
        <v>342</v>
      </c>
      <c r="C389" s="130" t="s">
        <v>55</v>
      </c>
      <c r="D389" s="367" t="s">
        <v>2864</v>
      </c>
      <c r="E389" s="361">
        <v>504</v>
      </c>
      <c r="F389" s="138">
        <v>45279</v>
      </c>
      <c r="G389" s="252">
        <v>32.700000000000003</v>
      </c>
      <c r="H389" s="90">
        <v>1659805</v>
      </c>
      <c r="I389" s="150">
        <f t="shared" si="160"/>
        <v>50758.562691131498</v>
      </c>
      <c r="J389" s="122"/>
      <c r="K389" s="186"/>
      <c r="L389" s="262">
        <f t="shared" si="153"/>
        <v>504</v>
      </c>
      <c r="M389" s="160"/>
      <c r="N389" s="136"/>
      <c r="O389" s="122"/>
      <c r="P389" s="92">
        <f t="shared" si="161"/>
        <v>30.084000000000003</v>
      </c>
      <c r="Q389" s="113">
        <f t="shared" si="162"/>
        <v>1.4715</v>
      </c>
      <c r="R389" s="92">
        <f t="shared" si="163"/>
        <v>1.1445000000000003</v>
      </c>
      <c r="S389" s="121"/>
      <c r="T389" s="93">
        <f t="shared" si="164"/>
        <v>30.084000000000003</v>
      </c>
      <c r="U389" s="122"/>
      <c r="V389" s="94">
        <f t="shared" ca="1" si="165"/>
        <v>341.4644447916653</v>
      </c>
    </row>
    <row r="390" spans="1:22" s="312" customFormat="1" ht="18">
      <c r="A390" s="115"/>
      <c r="B390" s="260"/>
      <c r="C390" s="130"/>
      <c r="D390" s="131"/>
      <c r="E390" s="361"/>
      <c r="F390" s="138"/>
      <c r="G390" s="252"/>
      <c r="H390" s="90"/>
      <c r="I390" s="150" t="e">
        <f t="shared" si="160"/>
        <v>#DIV/0!</v>
      </c>
      <c r="J390" s="122"/>
      <c r="K390" s="186"/>
      <c r="L390" s="262"/>
      <c r="M390" s="160"/>
      <c r="N390" s="136"/>
      <c r="O390" s="122"/>
      <c r="P390" s="92">
        <f t="shared" si="161"/>
        <v>0</v>
      </c>
      <c r="Q390" s="113">
        <f t="shared" si="162"/>
        <v>0</v>
      </c>
      <c r="R390" s="92">
        <f t="shared" si="163"/>
        <v>0</v>
      </c>
      <c r="S390" s="121"/>
      <c r="T390" s="93">
        <f t="shared" si="164"/>
        <v>0</v>
      </c>
      <c r="U390" s="122"/>
      <c r="V390" s="94">
        <f t="shared" ca="1" si="165"/>
        <v>-44937.535555208335</v>
      </c>
    </row>
    <row r="391" spans="1:22" s="312" customFormat="1" ht="18">
      <c r="A391" s="115"/>
      <c r="B391" s="260"/>
      <c r="C391" s="130"/>
      <c r="D391" s="131"/>
      <c r="E391" s="361"/>
      <c r="F391" s="138"/>
      <c r="G391" s="252"/>
      <c r="H391" s="90"/>
      <c r="I391" s="150" t="e">
        <f t="shared" si="160"/>
        <v>#DIV/0!</v>
      </c>
      <c r="J391" s="122"/>
      <c r="K391" s="186"/>
      <c r="L391" s="262"/>
      <c r="M391" s="160"/>
      <c r="N391" s="136"/>
      <c r="O391" s="122"/>
      <c r="P391" s="92">
        <f t="shared" si="161"/>
        <v>0</v>
      </c>
      <c r="Q391" s="113">
        <f t="shared" si="162"/>
        <v>0</v>
      </c>
      <c r="R391" s="92">
        <f t="shared" si="163"/>
        <v>0</v>
      </c>
      <c r="S391" s="121"/>
      <c r="T391" s="93">
        <f t="shared" si="164"/>
        <v>0</v>
      </c>
      <c r="U391" s="122"/>
      <c r="V391" s="94">
        <f t="shared" ca="1" si="165"/>
        <v>-44937.535555208335</v>
      </c>
    </row>
    <row r="392" spans="1:22" s="312" customFormat="1" ht="18">
      <c r="A392" s="115"/>
      <c r="B392" s="260"/>
      <c r="C392" s="130"/>
      <c r="D392" s="131"/>
      <c r="E392" s="361"/>
      <c r="F392" s="138"/>
      <c r="G392" s="252"/>
      <c r="H392" s="90"/>
      <c r="I392" s="150" t="e">
        <f t="shared" si="160"/>
        <v>#DIV/0!</v>
      </c>
      <c r="J392" s="122"/>
      <c r="K392" s="186"/>
      <c r="L392" s="262"/>
      <c r="M392" s="160"/>
      <c r="N392" s="136"/>
      <c r="O392" s="122"/>
      <c r="P392" s="92">
        <f t="shared" si="161"/>
        <v>0</v>
      </c>
      <c r="Q392" s="113">
        <f t="shared" si="162"/>
        <v>0</v>
      </c>
      <c r="R392" s="92">
        <f t="shared" si="163"/>
        <v>0</v>
      </c>
      <c r="S392" s="121"/>
      <c r="T392" s="93">
        <f t="shared" si="164"/>
        <v>0</v>
      </c>
      <c r="U392" s="122"/>
      <c r="V392" s="94">
        <f t="shared" ca="1" si="165"/>
        <v>-44937.535555208335</v>
      </c>
    </row>
    <row r="393" spans="1:22" s="312" customFormat="1" ht="18">
      <c r="A393" s="115"/>
      <c r="B393" s="260"/>
      <c r="C393" s="130"/>
      <c r="D393" s="131"/>
      <c r="E393" s="361"/>
      <c r="F393" s="138"/>
      <c r="G393" s="252"/>
      <c r="H393" s="90"/>
      <c r="I393" s="150" t="e">
        <f t="shared" si="160"/>
        <v>#DIV/0!</v>
      </c>
      <c r="J393" s="122"/>
      <c r="K393" s="186"/>
      <c r="L393" s="262"/>
      <c r="M393" s="160"/>
      <c r="N393" s="136"/>
      <c r="O393" s="122"/>
      <c r="P393" s="92">
        <f t="shared" si="161"/>
        <v>0</v>
      </c>
      <c r="Q393" s="113">
        <f t="shared" si="162"/>
        <v>0</v>
      </c>
      <c r="R393" s="92">
        <f t="shared" si="163"/>
        <v>0</v>
      </c>
      <c r="S393" s="121"/>
      <c r="T393" s="93">
        <f t="shared" si="164"/>
        <v>0</v>
      </c>
      <c r="U393" s="122"/>
      <c r="V393" s="94">
        <f t="shared" ca="1" si="165"/>
        <v>-44937.535555208335</v>
      </c>
    </row>
    <row r="394" spans="1:22" s="312" customFormat="1" ht="18">
      <c r="A394" s="115"/>
      <c r="B394" s="260"/>
      <c r="C394" s="130"/>
      <c r="D394" s="131"/>
      <c r="E394" s="361"/>
      <c r="F394" s="138"/>
      <c r="G394" s="252"/>
      <c r="H394" s="90"/>
      <c r="I394" s="150" t="e">
        <f t="shared" si="160"/>
        <v>#DIV/0!</v>
      </c>
      <c r="J394" s="122"/>
      <c r="K394" s="186"/>
      <c r="L394" s="262"/>
      <c r="M394" s="160"/>
      <c r="N394" s="136"/>
      <c r="O394" s="122"/>
      <c r="P394" s="92">
        <f t="shared" si="161"/>
        <v>0</v>
      </c>
      <c r="Q394" s="113">
        <f t="shared" si="162"/>
        <v>0</v>
      </c>
      <c r="R394" s="92">
        <f t="shared" si="163"/>
        <v>0</v>
      </c>
      <c r="S394" s="121"/>
      <c r="T394" s="93">
        <f t="shared" si="164"/>
        <v>0</v>
      </c>
      <c r="U394" s="122"/>
      <c r="V394" s="94">
        <f t="shared" ca="1" si="165"/>
        <v>-44937.535555208335</v>
      </c>
    </row>
    <row r="395" spans="1:22" s="312" customFormat="1" ht="18">
      <c r="A395" s="115"/>
      <c r="B395" s="260"/>
      <c r="C395" s="130"/>
      <c r="D395" s="131"/>
      <c r="E395" s="361"/>
      <c r="F395" s="138"/>
      <c r="G395" s="252"/>
      <c r="H395" s="90"/>
      <c r="I395" s="150" t="e">
        <f t="shared" si="160"/>
        <v>#DIV/0!</v>
      </c>
      <c r="J395" s="122"/>
      <c r="K395" s="186"/>
      <c r="L395" s="262"/>
      <c r="M395" s="160"/>
      <c r="N395" s="136"/>
      <c r="O395" s="122"/>
      <c r="P395" s="92">
        <f t="shared" si="161"/>
        <v>0</v>
      </c>
      <c r="Q395" s="113">
        <f t="shared" si="162"/>
        <v>0</v>
      </c>
      <c r="R395" s="92">
        <f t="shared" si="163"/>
        <v>0</v>
      </c>
      <c r="S395" s="121"/>
      <c r="T395" s="93">
        <f t="shared" si="164"/>
        <v>0</v>
      </c>
      <c r="U395" s="122"/>
      <c r="V395" s="94">
        <f t="shared" ca="1" si="165"/>
        <v>-44937.535555208335</v>
      </c>
    </row>
    <row r="396" spans="1:22" s="312" customFormat="1" ht="18">
      <c r="A396" s="115"/>
      <c r="B396" s="260"/>
      <c r="C396" s="130"/>
      <c r="D396" s="131"/>
      <c r="E396" s="361"/>
      <c r="F396" s="138"/>
      <c r="G396" s="252"/>
      <c r="H396" s="90"/>
      <c r="I396" s="150" t="e">
        <f t="shared" si="160"/>
        <v>#DIV/0!</v>
      </c>
      <c r="J396" s="122"/>
      <c r="K396" s="186"/>
      <c r="L396" s="262"/>
      <c r="M396" s="160"/>
      <c r="N396" s="136"/>
      <c r="O396" s="122"/>
      <c r="P396" s="92">
        <f t="shared" si="161"/>
        <v>0</v>
      </c>
      <c r="Q396" s="113">
        <f t="shared" si="162"/>
        <v>0</v>
      </c>
      <c r="R396" s="92">
        <f t="shared" si="163"/>
        <v>0</v>
      </c>
      <c r="S396" s="121"/>
      <c r="T396" s="93">
        <f t="shared" si="164"/>
        <v>0</v>
      </c>
      <c r="U396" s="122"/>
      <c r="V396" s="94">
        <f t="shared" ca="1" si="165"/>
        <v>-44937.535555208335</v>
      </c>
    </row>
    <row r="397" spans="1:22" s="312" customFormat="1" ht="18">
      <c r="A397" s="115"/>
      <c r="B397" s="260"/>
      <c r="C397" s="130"/>
      <c r="D397" s="131"/>
      <c r="E397" s="361"/>
      <c r="F397" s="138"/>
      <c r="G397" s="252"/>
      <c r="H397" s="90"/>
      <c r="I397" s="150" t="e">
        <f t="shared" si="160"/>
        <v>#DIV/0!</v>
      </c>
      <c r="J397" s="122"/>
      <c r="K397" s="186"/>
      <c r="L397" s="262"/>
      <c r="M397" s="160"/>
      <c r="N397" s="136"/>
      <c r="O397" s="122"/>
      <c r="P397" s="92">
        <f t="shared" si="161"/>
        <v>0</v>
      </c>
      <c r="Q397" s="113">
        <f t="shared" si="162"/>
        <v>0</v>
      </c>
      <c r="R397" s="92">
        <f t="shared" si="163"/>
        <v>0</v>
      </c>
      <c r="S397" s="121"/>
      <c r="T397" s="93">
        <f t="shared" si="164"/>
        <v>0</v>
      </c>
      <c r="U397" s="122"/>
      <c r="V397" s="94">
        <f t="shared" ca="1" si="165"/>
        <v>-44937.535555208335</v>
      </c>
    </row>
    <row r="398" spans="1:22" s="312" customFormat="1" ht="18">
      <c r="A398" s="115"/>
      <c r="B398" s="260"/>
      <c r="C398" s="130"/>
      <c r="D398" s="131"/>
      <c r="E398" s="361"/>
      <c r="F398" s="138"/>
      <c r="G398" s="252"/>
      <c r="H398" s="90"/>
      <c r="I398" s="150" t="e">
        <f t="shared" si="160"/>
        <v>#DIV/0!</v>
      </c>
      <c r="J398" s="122"/>
      <c r="K398" s="186"/>
      <c r="L398" s="262"/>
      <c r="M398" s="160"/>
      <c r="N398" s="136"/>
      <c r="O398" s="122"/>
      <c r="P398" s="92">
        <f t="shared" si="161"/>
        <v>0</v>
      </c>
      <c r="Q398" s="113">
        <f t="shared" si="162"/>
        <v>0</v>
      </c>
      <c r="R398" s="92">
        <f t="shared" si="163"/>
        <v>0</v>
      </c>
      <c r="S398" s="121"/>
      <c r="T398" s="93">
        <f t="shared" si="164"/>
        <v>0</v>
      </c>
      <c r="U398" s="122"/>
      <c r="V398" s="94">
        <f t="shared" ca="1" si="165"/>
        <v>-44937.535555208335</v>
      </c>
    </row>
    <row r="399" spans="1:22" s="312" customFormat="1" ht="18">
      <c r="A399" s="115"/>
      <c r="B399" s="260"/>
      <c r="C399" s="130"/>
      <c r="D399" s="131"/>
      <c r="E399" s="361"/>
      <c r="F399" s="138"/>
      <c r="G399" s="252"/>
      <c r="H399" s="90"/>
      <c r="I399" s="150" t="e">
        <f t="shared" si="160"/>
        <v>#DIV/0!</v>
      </c>
      <c r="J399" s="122"/>
      <c r="K399" s="186"/>
      <c r="L399" s="262"/>
      <c r="M399" s="160"/>
      <c r="N399" s="136"/>
      <c r="O399" s="122"/>
      <c r="P399" s="92">
        <f t="shared" si="161"/>
        <v>0</v>
      </c>
      <c r="Q399" s="113">
        <f t="shared" si="162"/>
        <v>0</v>
      </c>
      <c r="R399" s="92">
        <f t="shared" si="163"/>
        <v>0</v>
      </c>
      <c r="S399" s="121"/>
      <c r="T399" s="93">
        <f t="shared" si="164"/>
        <v>0</v>
      </c>
      <c r="U399" s="122"/>
      <c r="V399" s="94">
        <f t="shared" ca="1" si="165"/>
        <v>-44937.535555208335</v>
      </c>
    </row>
    <row r="400" spans="1:22" s="312" customFormat="1" ht="18">
      <c r="A400" s="115"/>
      <c r="B400" s="260"/>
      <c r="C400" s="130"/>
      <c r="D400" s="131"/>
      <c r="E400" s="361"/>
      <c r="F400" s="138"/>
      <c r="G400" s="252"/>
      <c r="H400" s="90"/>
      <c r="I400" s="150" t="e">
        <f t="shared" si="154"/>
        <v>#DIV/0!</v>
      </c>
      <c r="J400" s="122"/>
      <c r="K400" s="186"/>
      <c r="L400" s="262"/>
      <c r="M400" s="160"/>
      <c r="N400" s="136"/>
      <c r="O400" s="122"/>
      <c r="P400" s="92">
        <f t="shared" si="155"/>
        <v>0</v>
      </c>
      <c r="Q400" s="113">
        <f t="shared" si="156"/>
        <v>0</v>
      </c>
      <c r="R400" s="92">
        <f t="shared" si="157"/>
        <v>0</v>
      </c>
      <c r="S400" s="121"/>
      <c r="T400" s="93">
        <f t="shared" si="158"/>
        <v>0</v>
      </c>
      <c r="U400" s="122"/>
      <c r="V400" s="94">
        <f t="shared" ca="1" si="159"/>
        <v>-44937.535555208335</v>
      </c>
    </row>
    <row r="401" spans="1:23" s="312" customFormat="1" ht="18">
      <c r="A401" s="115"/>
      <c r="B401" s="260"/>
      <c r="C401" s="130"/>
      <c r="D401" s="131"/>
      <c r="E401" s="361"/>
      <c r="F401" s="138"/>
      <c r="G401" s="252"/>
      <c r="H401" s="90"/>
      <c r="I401" s="150" t="e">
        <f t="shared" si="154"/>
        <v>#DIV/0!</v>
      </c>
      <c r="J401" s="122"/>
      <c r="K401" s="186"/>
      <c r="L401" s="262"/>
      <c r="M401" s="160"/>
      <c r="N401" s="136"/>
      <c r="O401" s="122"/>
      <c r="P401" s="92">
        <f t="shared" si="155"/>
        <v>0</v>
      </c>
      <c r="Q401" s="113">
        <f t="shared" si="156"/>
        <v>0</v>
      </c>
      <c r="R401" s="92">
        <f t="shared" si="157"/>
        <v>0</v>
      </c>
      <c r="S401" s="121"/>
      <c r="T401" s="93">
        <f t="shared" si="158"/>
        <v>0</v>
      </c>
      <c r="U401" s="122"/>
      <c r="V401" s="94">
        <f t="shared" ca="1" si="159"/>
        <v>-44937.535555208335</v>
      </c>
    </row>
    <row r="402" spans="1:23" s="312" customFormat="1" ht="18">
      <c r="A402" s="115"/>
      <c r="B402" s="260"/>
      <c r="C402" s="130"/>
      <c r="D402" s="131"/>
      <c r="E402" s="361"/>
      <c r="F402" s="138"/>
      <c r="G402" s="252"/>
      <c r="H402" s="90"/>
      <c r="I402" s="150" t="e">
        <f t="shared" si="154"/>
        <v>#DIV/0!</v>
      </c>
      <c r="J402" s="122"/>
      <c r="K402" s="186"/>
      <c r="L402" s="262"/>
      <c r="M402" s="160"/>
      <c r="N402" s="136"/>
      <c r="O402" s="122"/>
      <c r="P402" s="92">
        <f t="shared" si="155"/>
        <v>0</v>
      </c>
      <c r="Q402" s="113">
        <f t="shared" si="156"/>
        <v>0</v>
      </c>
      <c r="R402" s="92">
        <f t="shared" si="157"/>
        <v>0</v>
      </c>
      <c r="S402" s="121"/>
      <c r="T402" s="93">
        <f t="shared" si="158"/>
        <v>0</v>
      </c>
      <c r="U402" s="122"/>
      <c r="V402" s="94">
        <f t="shared" ca="1" si="159"/>
        <v>-44937.535555208335</v>
      </c>
    </row>
    <row r="403" spans="1:23" s="312" customFormat="1" ht="18">
      <c r="A403" s="115"/>
      <c r="B403" s="260"/>
      <c r="C403" s="130"/>
      <c r="D403" s="131"/>
      <c r="E403" s="361"/>
      <c r="F403" s="138"/>
      <c r="G403" s="252"/>
      <c r="H403" s="90"/>
      <c r="I403" s="150" t="e">
        <f t="shared" si="154"/>
        <v>#DIV/0!</v>
      </c>
      <c r="J403" s="122"/>
      <c r="K403" s="186"/>
      <c r="L403" s="262"/>
      <c r="M403" s="160"/>
      <c r="N403" s="136"/>
      <c r="O403" s="122"/>
      <c r="P403" s="92">
        <f t="shared" si="155"/>
        <v>0</v>
      </c>
      <c r="Q403" s="113">
        <f t="shared" si="156"/>
        <v>0</v>
      </c>
      <c r="R403" s="92">
        <f t="shared" si="157"/>
        <v>0</v>
      </c>
      <c r="S403" s="121"/>
      <c r="T403" s="93">
        <f t="shared" si="158"/>
        <v>0</v>
      </c>
      <c r="U403" s="122"/>
      <c r="V403" s="94">
        <f t="shared" ca="1" si="159"/>
        <v>-44937.535555208335</v>
      </c>
    </row>
    <row r="404" spans="1:23" s="312" customFormat="1" ht="18">
      <c r="A404" s="115"/>
      <c r="B404" s="260"/>
      <c r="C404" s="130"/>
      <c r="D404" s="131"/>
      <c r="E404" s="361"/>
      <c r="F404" s="138"/>
      <c r="G404" s="252"/>
      <c r="H404" s="90"/>
      <c r="I404" s="150" t="e">
        <f t="shared" si="154"/>
        <v>#DIV/0!</v>
      </c>
      <c r="J404" s="122"/>
      <c r="K404" s="186"/>
      <c r="L404" s="262"/>
      <c r="M404" s="160"/>
      <c r="N404" s="136"/>
      <c r="O404" s="122"/>
      <c r="P404" s="92">
        <f t="shared" si="155"/>
        <v>0</v>
      </c>
      <c r="Q404" s="113">
        <f t="shared" si="156"/>
        <v>0</v>
      </c>
      <c r="R404" s="92">
        <f t="shared" si="157"/>
        <v>0</v>
      </c>
      <c r="S404" s="121"/>
      <c r="T404" s="93">
        <f t="shared" si="158"/>
        <v>0</v>
      </c>
      <c r="U404" s="122"/>
      <c r="V404" s="94">
        <f t="shared" ca="1" si="159"/>
        <v>-44937.535555208335</v>
      </c>
    </row>
    <row r="405" spans="1:23" ht="18">
      <c r="A405" s="115"/>
      <c r="B405" s="260"/>
      <c r="C405" s="130"/>
      <c r="D405" s="131"/>
      <c r="E405" s="361"/>
      <c r="F405" s="138"/>
      <c r="G405" s="252"/>
      <c r="H405" s="90"/>
      <c r="I405" s="150" t="e">
        <f t="shared" ref="I405:I407" si="166">H405/G405</f>
        <v>#DIV/0!</v>
      </c>
      <c r="J405" s="122"/>
      <c r="K405" s="186"/>
      <c r="L405" s="262"/>
      <c r="M405" s="160"/>
      <c r="N405" s="136"/>
      <c r="O405" s="122"/>
      <c r="P405" s="92">
        <f t="shared" ref="P405:P407" si="167">G405*0.92</f>
        <v>0</v>
      </c>
      <c r="Q405" s="113">
        <f t="shared" ref="Q405:Q407" si="168">G405*4.5%</f>
        <v>0</v>
      </c>
      <c r="R405" s="92">
        <f t="shared" ref="R405:R407" si="169">G405*3.5%</f>
        <v>0</v>
      </c>
      <c r="S405" s="121"/>
      <c r="T405" s="93">
        <f t="shared" ref="T405:T407" si="170">G405-N405-Q405-R405</f>
        <v>0</v>
      </c>
      <c r="U405" s="122"/>
      <c r="V405" s="94">
        <f t="shared" ref="V405:V407" ca="1" si="171">360-($V$3-F405)</f>
        <v>-44937.535555208335</v>
      </c>
    </row>
    <row r="406" spans="1:23" ht="18">
      <c r="A406" s="115"/>
      <c r="B406" s="260"/>
      <c r="C406" s="130"/>
      <c r="D406" s="131"/>
      <c r="E406" s="361"/>
      <c r="F406" s="138"/>
      <c r="G406" s="252"/>
      <c r="H406" s="90"/>
      <c r="I406" s="150" t="e">
        <f t="shared" si="166"/>
        <v>#DIV/0!</v>
      </c>
      <c r="J406" s="122"/>
      <c r="K406" s="186"/>
      <c r="L406" s="262"/>
      <c r="M406" s="160"/>
      <c r="N406" s="136"/>
      <c r="O406" s="122"/>
      <c r="P406" s="92">
        <f t="shared" si="167"/>
        <v>0</v>
      </c>
      <c r="Q406" s="113">
        <f t="shared" si="168"/>
        <v>0</v>
      </c>
      <c r="R406" s="92">
        <f t="shared" si="169"/>
        <v>0</v>
      </c>
      <c r="S406" s="121"/>
      <c r="T406" s="93">
        <f t="shared" si="170"/>
        <v>0</v>
      </c>
      <c r="U406" s="122"/>
      <c r="V406" s="94">
        <f t="shared" ca="1" si="171"/>
        <v>-44937.535555208335</v>
      </c>
    </row>
    <row r="407" spans="1:23" ht="18">
      <c r="A407" s="115"/>
      <c r="B407" s="260"/>
      <c r="C407" s="130"/>
      <c r="D407" s="131"/>
      <c r="E407" s="361"/>
      <c r="F407" s="138"/>
      <c r="G407" s="252"/>
      <c r="H407" s="90"/>
      <c r="I407" s="150" t="e">
        <f t="shared" si="166"/>
        <v>#DIV/0!</v>
      </c>
      <c r="J407" s="122"/>
      <c r="K407" s="186"/>
      <c r="L407" s="262"/>
      <c r="M407" s="160"/>
      <c r="N407" s="136"/>
      <c r="O407" s="122"/>
      <c r="P407" s="92">
        <f t="shared" si="167"/>
        <v>0</v>
      </c>
      <c r="Q407" s="113">
        <f t="shared" si="168"/>
        <v>0</v>
      </c>
      <c r="R407" s="92">
        <f t="shared" si="169"/>
        <v>0</v>
      </c>
      <c r="S407" s="121"/>
      <c r="T407" s="93">
        <f t="shared" si="170"/>
        <v>0</v>
      </c>
      <c r="U407" s="122"/>
      <c r="V407" s="94">
        <f t="shared" ca="1" si="171"/>
        <v>-44937.535555208335</v>
      </c>
    </row>
    <row r="408" spans="1:23" s="312" customFormat="1" ht="18.75">
      <c r="A408" s="103"/>
      <c r="B408" s="103"/>
      <c r="C408" s="103"/>
      <c r="D408" s="110"/>
      <c r="E408" s="104"/>
      <c r="F408" s="111"/>
      <c r="G408" s="102">
        <f>SUM(G91:G407)</f>
        <v>9582.7759999999926</v>
      </c>
      <c r="H408" s="103"/>
      <c r="I408" s="103"/>
      <c r="J408" s="103"/>
      <c r="K408" s="188"/>
      <c r="L408" s="103"/>
      <c r="M408" s="101"/>
      <c r="N408" s="102">
        <f>SUM(N91:N407)</f>
        <v>6010.8920000000035</v>
      </c>
      <c r="O408" s="103"/>
      <c r="P408" s="102">
        <f>SUM(P91:P407)</f>
        <v>8816.2801199999976</v>
      </c>
      <c r="Q408" s="102">
        <f>SUM(Q91:Q407)</f>
        <v>431.15961999999917</v>
      </c>
      <c r="R408" s="102">
        <f>SUM(R91:R407)</f>
        <v>335.33625999999981</v>
      </c>
      <c r="S408" s="102">
        <f>SUM(S91:S407)</f>
        <v>0</v>
      </c>
      <c r="T408" s="102">
        <f>SUM(T91:T407)</f>
        <v>2805.388120000001</v>
      </c>
      <c r="U408" s="103"/>
      <c r="V408" s="105"/>
      <c r="W408" s="102" t="e">
        <f>SUM(#REF!)</f>
        <v>#REF!</v>
      </c>
    </row>
    <row r="409" spans="1:23" ht="18">
      <c r="C409" s="85"/>
      <c r="Q409" s="69"/>
      <c r="T409" s="69"/>
    </row>
    <row r="447" spans="17:22" ht="18">
      <c r="Q447" s="69"/>
      <c r="T447" s="69"/>
      <c r="V447" s="69">
        <v>9</v>
      </c>
    </row>
    <row r="448" spans="17:22" ht="18">
      <c r="Q448" s="69"/>
      <c r="T448" s="69"/>
      <c r="V448" s="69">
        <v>9</v>
      </c>
    </row>
    <row r="449" spans="17:22" ht="18">
      <c r="Q449" s="69"/>
      <c r="T449" s="69"/>
      <c r="V449" s="69">
        <v>9</v>
      </c>
    </row>
    <row r="450" spans="17:22" ht="18">
      <c r="Q450" s="69"/>
      <c r="T450" s="69"/>
      <c r="V450" s="69">
        <v>9</v>
      </c>
    </row>
  </sheetData>
  <sortState ref="A349:G389">
    <sortCondition ref="E349:E389"/>
  </sortState>
  <pageMargins left="0.2" right="0.21" top="0.34" bottom="0.75" header="0.3" footer="0.3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W96"/>
  <sheetViews>
    <sheetView zoomScale="75" zoomScaleNormal="75" workbookViewId="0">
      <pane ySplit="4" topLeftCell="A5" activePane="bottomLeft" state="frozen"/>
      <selection pane="bottomLeft" activeCell="G19" sqref="G19"/>
    </sheetView>
  </sheetViews>
  <sheetFormatPr defaultRowHeight="15"/>
  <cols>
    <col min="1" max="1" width="5.42578125" customWidth="1"/>
    <col min="2" max="2" width="11.140625" bestFit="1" customWidth="1"/>
    <col min="3" max="3" width="14.5703125" bestFit="1" customWidth="1"/>
    <col min="4" max="4" width="18.85546875" bestFit="1" customWidth="1"/>
    <col min="5" max="5" width="9.42578125" customWidth="1"/>
    <col min="6" max="6" width="12.7109375" customWidth="1"/>
    <col min="7" max="7" width="13.85546875" bestFit="1" customWidth="1"/>
    <col min="8" max="8" width="12.85546875" customWidth="1"/>
    <col min="9" max="9" width="9.7109375" customWidth="1"/>
    <col min="10" max="10" width="1.140625" customWidth="1"/>
    <col min="11" max="11" width="17.42578125" customWidth="1"/>
    <col min="12" max="12" width="9.5703125" bestFit="1" customWidth="1"/>
    <col min="13" max="13" width="27.7109375" customWidth="1"/>
    <col min="14" max="14" width="17" bestFit="1" customWidth="1"/>
    <col min="15" max="15" width="1.5703125" customWidth="1"/>
    <col min="16" max="16" width="14.140625" customWidth="1"/>
    <col min="17" max="17" width="14.7109375" bestFit="1" customWidth="1"/>
    <col min="18" max="18" width="14.140625" bestFit="1" customWidth="1"/>
    <col min="19" max="19" width="1.42578125" customWidth="1"/>
    <col min="20" max="20" width="11.42578125" customWidth="1"/>
    <col min="21" max="21" width="1.5703125" customWidth="1"/>
    <col min="22" max="22" width="17.28515625" bestFit="1" customWidth="1"/>
    <col min="23" max="23" width="15.28515625" bestFit="1" customWidth="1"/>
    <col min="24" max="25" width="9.28515625" bestFit="1" customWidth="1"/>
  </cols>
  <sheetData>
    <row r="1" spans="1:23" ht="15.75" thickBot="1"/>
    <row r="2" spans="1:23" ht="18.75" thickBot="1">
      <c r="V2" s="86" t="s">
        <v>36</v>
      </c>
    </row>
    <row r="3" spans="1:23" ht="18.75" thickBot="1">
      <c r="A3" s="84" t="s">
        <v>218</v>
      </c>
      <c r="V3" s="87">
        <f ca="1">+SUMMARY!C4</f>
        <v>45297.535555208335</v>
      </c>
    </row>
    <row r="4" spans="1:23" ht="72">
      <c r="A4" s="70" t="s">
        <v>40</v>
      </c>
      <c r="B4" s="71" t="s">
        <v>44</v>
      </c>
      <c r="C4" s="71" t="s">
        <v>43</v>
      </c>
      <c r="D4" s="72" t="s">
        <v>7</v>
      </c>
      <c r="E4" s="72" t="s">
        <v>2</v>
      </c>
      <c r="F4" s="72" t="s">
        <v>37</v>
      </c>
      <c r="G4" s="72" t="s">
        <v>3</v>
      </c>
      <c r="H4" s="72" t="s">
        <v>4</v>
      </c>
      <c r="I4" s="73" t="s">
        <v>47</v>
      </c>
      <c r="J4" s="74"/>
      <c r="K4" s="75" t="s">
        <v>46</v>
      </c>
      <c r="L4" s="75" t="s">
        <v>45</v>
      </c>
      <c r="M4" s="76" t="s">
        <v>5</v>
      </c>
      <c r="N4" s="77" t="s">
        <v>6</v>
      </c>
      <c r="O4" s="78"/>
      <c r="P4" s="79" t="s">
        <v>19</v>
      </c>
      <c r="Q4" s="80" t="s">
        <v>11</v>
      </c>
      <c r="R4" s="81" t="s">
        <v>12</v>
      </c>
      <c r="S4" s="74"/>
      <c r="T4" s="82" t="s">
        <v>20</v>
      </c>
      <c r="U4" s="74"/>
      <c r="V4" s="83" t="s">
        <v>9</v>
      </c>
    </row>
    <row r="5" spans="1:23" ht="18">
      <c r="A5" s="66">
        <v>1</v>
      </c>
      <c r="B5" s="108"/>
      <c r="C5" s="90"/>
      <c r="D5" s="140"/>
      <c r="E5" s="66">
        <v>850</v>
      </c>
      <c r="F5" s="97">
        <v>44649</v>
      </c>
      <c r="G5" s="66">
        <v>31.504999999999999</v>
      </c>
      <c r="H5" s="107">
        <v>2677925</v>
      </c>
      <c r="I5" s="106">
        <f>H5/G5</f>
        <v>85000</v>
      </c>
      <c r="J5" s="117"/>
      <c r="K5" s="118" t="s">
        <v>225</v>
      </c>
      <c r="L5" s="66">
        <v>850</v>
      </c>
      <c r="M5" s="119" t="s">
        <v>226</v>
      </c>
      <c r="N5" s="120">
        <f>26.61+4.895</f>
        <v>31.504999999999999</v>
      </c>
      <c r="O5" s="117"/>
      <c r="P5" s="92">
        <f>G5</f>
        <v>31.504999999999999</v>
      </c>
      <c r="Q5" s="113"/>
      <c r="R5" s="92"/>
      <c r="S5" s="121"/>
      <c r="T5" s="93">
        <f>G5-N5-Q5-R5</f>
        <v>0</v>
      </c>
      <c r="U5" s="74"/>
      <c r="V5" s="94">
        <f ca="1">360-($V$3-F5)</f>
        <v>-288.5355552083347</v>
      </c>
      <c r="W5" s="89">
        <f>T5/0.92%/100</f>
        <v>0</v>
      </c>
    </row>
    <row r="6" spans="1:23" ht="18">
      <c r="A6" s="66">
        <v>2</v>
      </c>
      <c r="B6" s="108"/>
      <c r="C6" s="90"/>
      <c r="D6" s="140"/>
      <c r="E6" s="66">
        <v>851</v>
      </c>
      <c r="F6" s="97">
        <v>44650</v>
      </c>
      <c r="G6" s="66">
        <v>32.402000000000001</v>
      </c>
      <c r="H6" s="114">
        <v>2754170</v>
      </c>
      <c r="I6" s="106">
        <f>H6/G6</f>
        <v>85000</v>
      </c>
      <c r="J6" s="117"/>
      <c r="K6" s="118" t="s">
        <v>227</v>
      </c>
      <c r="L6" s="66">
        <v>851</v>
      </c>
      <c r="M6" s="119" t="s">
        <v>226</v>
      </c>
      <c r="N6" s="120">
        <f>31.34+1.062</f>
        <v>32.402000000000001</v>
      </c>
      <c r="O6" s="117"/>
      <c r="P6" s="92">
        <f t="shared" ref="P6:P20" si="0">G6</f>
        <v>32.402000000000001</v>
      </c>
      <c r="Q6" s="113"/>
      <c r="R6" s="92"/>
      <c r="S6" s="121"/>
      <c r="T6" s="93">
        <f>G6-N6-Q6-R6</f>
        <v>0</v>
      </c>
      <c r="U6" s="74"/>
      <c r="V6" s="94">
        <f ca="1">360-($V$3-F6)</f>
        <v>-287.5355552083347</v>
      </c>
      <c r="W6" s="89">
        <f>T6/0.92%/100</f>
        <v>0</v>
      </c>
    </row>
    <row r="7" spans="1:23" ht="18">
      <c r="A7" s="66">
        <v>3</v>
      </c>
      <c r="B7" s="108"/>
      <c r="C7" s="90"/>
      <c r="D7" s="140"/>
      <c r="E7" s="66">
        <v>852</v>
      </c>
      <c r="F7" s="97">
        <v>44651</v>
      </c>
      <c r="G7" s="66">
        <v>31.893999999999998</v>
      </c>
      <c r="H7" s="114">
        <v>2710990</v>
      </c>
      <c r="I7" s="106">
        <f>H7/G7</f>
        <v>85000</v>
      </c>
      <c r="J7" s="117"/>
      <c r="K7" s="118" t="s">
        <v>228</v>
      </c>
      <c r="L7" s="66">
        <v>852</v>
      </c>
      <c r="M7" s="119" t="s">
        <v>226</v>
      </c>
      <c r="N7" s="120">
        <f>31.04+0.854</f>
        <v>31.893999999999998</v>
      </c>
      <c r="O7" s="117"/>
      <c r="P7" s="92">
        <f t="shared" si="0"/>
        <v>31.893999999999998</v>
      </c>
      <c r="Q7" s="113"/>
      <c r="R7" s="92"/>
      <c r="S7" s="121"/>
      <c r="T7" s="93">
        <f>G7-N7-Q7-R7</f>
        <v>0</v>
      </c>
      <c r="U7" s="74"/>
      <c r="V7" s="94">
        <f ca="1">360-($V$3-F7)</f>
        <v>-286.5355552083347</v>
      </c>
      <c r="W7" s="89">
        <f>T7/0.92%/100</f>
        <v>0</v>
      </c>
    </row>
    <row r="8" spans="1:23" ht="18">
      <c r="A8" s="66">
        <v>4</v>
      </c>
      <c r="B8" s="108"/>
      <c r="C8" s="90"/>
      <c r="D8" s="140"/>
      <c r="E8" s="66">
        <v>853</v>
      </c>
      <c r="F8" s="97">
        <v>44651</v>
      </c>
      <c r="G8" s="66">
        <v>31.023</v>
      </c>
      <c r="H8" s="107">
        <v>2636955</v>
      </c>
      <c r="I8" s="106">
        <f>H8/G8</f>
        <v>85000</v>
      </c>
      <c r="J8" s="117"/>
      <c r="K8" s="118" t="s">
        <v>229</v>
      </c>
      <c r="L8" s="66">
        <v>853</v>
      </c>
      <c r="M8" s="119" t="s">
        <v>230</v>
      </c>
      <c r="N8" s="120">
        <f>30.59+0.433</f>
        <v>31.023</v>
      </c>
      <c r="O8" s="117"/>
      <c r="P8" s="92">
        <f t="shared" si="0"/>
        <v>31.023</v>
      </c>
      <c r="Q8" s="113"/>
      <c r="R8" s="92"/>
      <c r="S8" s="121"/>
      <c r="T8" s="93">
        <f>G8-N8-Q8-R8</f>
        <v>0</v>
      </c>
      <c r="U8" s="74"/>
      <c r="V8" s="94">
        <f ca="1">360-($V$3-F8)</f>
        <v>-286.5355552083347</v>
      </c>
      <c r="W8" s="89">
        <f>T8/0.92%/100</f>
        <v>0</v>
      </c>
    </row>
    <row r="9" spans="1:23" ht="18">
      <c r="A9" s="66">
        <v>5</v>
      </c>
      <c r="B9" s="108"/>
      <c r="C9" s="90"/>
      <c r="D9" s="140"/>
      <c r="E9" s="66">
        <v>1</v>
      </c>
      <c r="F9" s="97">
        <v>44652</v>
      </c>
      <c r="G9" s="66">
        <v>30.908000000000001</v>
      </c>
      <c r="H9" s="107">
        <v>2627180</v>
      </c>
      <c r="I9" s="106">
        <f t="shared" ref="I9:I20" si="1">H9/G9</f>
        <v>85000</v>
      </c>
      <c r="J9" s="117"/>
      <c r="K9" s="118" t="s">
        <v>231</v>
      </c>
      <c r="L9" s="66">
        <v>1</v>
      </c>
      <c r="M9" s="119" t="s">
        <v>230</v>
      </c>
      <c r="N9" s="120">
        <f>24.156+6.752</f>
        <v>30.907999999999998</v>
      </c>
      <c r="O9" s="117"/>
      <c r="P9" s="92">
        <f t="shared" si="0"/>
        <v>30.908000000000001</v>
      </c>
      <c r="Q9" s="113"/>
      <c r="R9" s="92"/>
      <c r="S9" s="121"/>
      <c r="T9" s="93">
        <f t="shared" ref="T9:T20" si="2">G9-N9-Q9-R9</f>
        <v>3.5527136788005009E-15</v>
      </c>
      <c r="U9" s="74"/>
      <c r="V9" s="94">
        <f ca="1">360-($V$3-F9)</f>
        <v>-285.5355552083347</v>
      </c>
      <c r="W9" s="89">
        <f t="shared" ref="W9:W20" si="3">T9/0.92%/100</f>
        <v>3.8616453030440225E-15</v>
      </c>
    </row>
    <row r="10" spans="1:23" ht="18">
      <c r="A10" s="66">
        <v>6</v>
      </c>
      <c r="B10" s="108"/>
      <c r="C10" s="90"/>
      <c r="D10" s="140"/>
      <c r="E10" s="66">
        <v>8</v>
      </c>
      <c r="F10" s="97">
        <v>44653</v>
      </c>
      <c r="G10" s="66">
        <v>41.746000000000002</v>
      </c>
      <c r="H10" s="114">
        <v>2627180</v>
      </c>
      <c r="I10" s="106">
        <f t="shared" si="1"/>
        <v>62932.496526613322</v>
      </c>
      <c r="J10" s="117"/>
      <c r="K10" s="118" t="s">
        <v>232</v>
      </c>
      <c r="L10" s="66">
        <v>8</v>
      </c>
      <c r="M10" s="119" t="s">
        <v>226</v>
      </c>
      <c r="N10" s="120">
        <f>41.03+0.716</f>
        <v>41.746000000000002</v>
      </c>
      <c r="O10" s="117"/>
      <c r="P10" s="92">
        <f t="shared" si="0"/>
        <v>41.746000000000002</v>
      </c>
      <c r="Q10" s="113"/>
      <c r="R10" s="92"/>
      <c r="S10" s="121"/>
      <c r="T10" s="93">
        <f t="shared" si="2"/>
        <v>0</v>
      </c>
      <c r="U10" s="74"/>
      <c r="V10" s="94">
        <f t="shared" ref="V10:V20" ca="1" si="4">360-($V$3-F10)</f>
        <v>-284.5355552083347</v>
      </c>
      <c r="W10" s="89">
        <f t="shared" si="3"/>
        <v>0</v>
      </c>
    </row>
    <row r="11" spans="1:23" ht="18">
      <c r="A11" s="66">
        <v>7</v>
      </c>
      <c r="B11" s="108"/>
      <c r="C11" s="90"/>
      <c r="D11" s="140"/>
      <c r="E11" s="66">
        <v>16</v>
      </c>
      <c r="F11" s="97">
        <v>44654</v>
      </c>
      <c r="G11" s="66">
        <v>21.8</v>
      </c>
      <c r="H11" s="107">
        <v>1853000</v>
      </c>
      <c r="I11" s="106">
        <f t="shared" si="1"/>
        <v>85000</v>
      </c>
      <c r="J11" s="117"/>
      <c r="K11" s="118">
        <v>58</v>
      </c>
      <c r="L11" s="66">
        <v>16</v>
      </c>
      <c r="M11" s="119" t="s">
        <v>224</v>
      </c>
      <c r="N11" s="120">
        <v>21.8</v>
      </c>
      <c r="O11" s="117"/>
      <c r="P11" s="92">
        <f t="shared" si="0"/>
        <v>21.8</v>
      </c>
      <c r="Q11" s="113"/>
      <c r="R11" s="92"/>
      <c r="S11" s="121"/>
      <c r="T11" s="93">
        <f t="shared" si="2"/>
        <v>0</v>
      </c>
      <c r="U11" s="74"/>
      <c r="V11" s="94">
        <f t="shared" ca="1" si="4"/>
        <v>-283.5355552083347</v>
      </c>
      <c r="W11" s="89">
        <f t="shared" si="3"/>
        <v>0</v>
      </c>
    </row>
    <row r="12" spans="1:23" ht="18">
      <c r="A12" s="66">
        <v>8</v>
      </c>
      <c r="B12" s="108"/>
      <c r="C12" s="90"/>
      <c r="D12" s="140"/>
      <c r="E12" s="66">
        <v>15</v>
      </c>
      <c r="F12" s="97">
        <v>44654</v>
      </c>
      <c r="G12" s="66">
        <v>31.35</v>
      </c>
      <c r="H12" s="107">
        <v>2627180</v>
      </c>
      <c r="I12" s="106">
        <f t="shared" si="1"/>
        <v>83801.594896331735</v>
      </c>
      <c r="J12" s="117"/>
      <c r="K12" s="118" t="s">
        <v>233</v>
      </c>
      <c r="L12" s="66">
        <v>15</v>
      </c>
      <c r="M12" s="119" t="s">
        <v>230</v>
      </c>
      <c r="N12" s="120">
        <f>0.932+30.418</f>
        <v>31.349999999999998</v>
      </c>
      <c r="O12" s="117"/>
      <c r="P12" s="92">
        <f t="shared" si="0"/>
        <v>31.35</v>
      </c>
      <c r="Q12" s="113"/>
      <c r="R12" s="92"/>
      <c r="S12" s="121"/>
      <c r="T12" s="93">
        <f t="shared" si="2"/>
        <v>3.5527136788005009E-15</v>
      </c>
      <c r="U12" s="74"/>
      <c r="V12" s="94">
        <f t="shared" ca="1" si="4"/>
        <v>-283.5355552083347</v>
      </c>
      <c r="W12" s="89">
        <f t="shared" si="3"/>
        <v>3.8616453030440225E-15</v>
      </c>
    </row>
    <row r="13" spans="1:23" ht="18">
      <c r="A13" s="66">
        <v>9</v>
      </c>
      <c r="B13" s="108"/>
      <c r="C13" s="90"/>
      <c r="D13" s="140"/>
      <c r="E13" s="243" t="s">
        <v>669</v>
      </c>
      <c r="F13" s="97">
        <v>44812</v>
      </c>
      <c r="G13" s="66">
        <v>6.1029999999999998</v>
      </c>
      <c r="H13" s="114">
        <v>387632</v>
      </c>
      <c r="I13" s="106">
        <f t="shared" si="1"/>
        <v>63514.992626577099</v>
      </c>
      <c r="J13" s="74"/>
      <c r="K13" s="109">
        <v>526</v>
      </c>
      <c r="L13" s="243" t="s">
        <v>669</v>
      </c>
      <c r="M13" s="65" t="s">
        <v>670</v>
      </c>
      <c r="N13" s="88">
        <v>6.1029999999999998</v>
      </c>
      <c r="O13" s="74"/>
      <c r="P13" s="92">
        <f t="shared" si="0"/>
        <v>6.1029999999999998</v>
      </c>
      <c r="Q13" s="113"/>
      <c r="R13" s="92"/>
      <c r="S13" s="121"/>
      <c r="T13" s="93">
        <f t="shared" si="2"/>
        <v>0</v>
      </c>
      <c r="U13" s="117"/>
      <c r="V13" s="94">
        <f t="shared" ca="1" si="4"/>
        <v>-125.5355552083347</v>
      </c>
      <c r="W13" s="89">
        <f t="shared" si="3"/>
        <v>0</v>
      </c>
    </row>
    <row r="14" spans="1:23" ht="18">
      <c r="A14" s="66">
        <v>10</v>
      </c>
      <c r="B14" s="108"/>
      <c r="C14" s="90"/>
      <c r="D14" s="140"/>
      <c r="E14" s="66"/>
      <c r="F14" s="97"/>
      <c r="G14" s="66"/>
      <c r="H14" s="114"/>
      <c r="I14" s="106" t="e">
        <f t="shared" si="1"/>
        <v>#DIV/0!</v>
      </c>
      <c r="J14" s="74"/>
      <c r="K14" s="109"/>
      <c r="L14" s="66"/>
      <c r="M14" s="65"/>
      <c r="N14" s="88"/>
      <c r="O14" s="74"/>
      <c r="P14" s="92">
        <f t="shared" si="0"/>
        <v>0</v>
      </c>
      <c r="Q14" s="113"/>
      <c r="R14" s="92"/>
      <c r="S14" s="121"/>
      <c r="T14" s="93">
        <f t="shared" si="2"/>
        <v>0</v>
      </c>
      <c r="U14" s="117"/>
      <c r="V14" s="94">
        <f t="shared" ca="1" si="4"/>
        <v>-44937.535555208335</v>
      </c>
      <c r="W14" s="89">
        <f t="shared" si="3"/>
        <v>0</v>
      </c>
    </row>
    <row r="15" spans="1:23" ht="18">
      <c r="A15" s="66">
        <v>11</v>
      </c>
      <c r="B15" s="108"/>
      <c r="C15" s="90"/>
      <c r="D15" s="140"/>
      <c r="E15" s="66"/>
      <c r="F15" s="97"/>
      <c r="G15" s="66"/>
      <c r="H15" s="114"/>
      <c r="I15" s="106" t="e">
        <f t="shared" si="1"/>
        <v>#DIV/0!</v>
      </c>
      <c r="J15" s="74"/>
      <c r="K15" s="109"/>
      <c r="L15" s="66"/>
      <c r="M15" s="65"/>
      <c r="N15" s="88"/>
      <c r="O15" s="74"/>
      <c r="P15" s="92">
        <f t="shared" si="0"/>
        <v>0</v>
      </c>
      <c r="Q15" s="113"/>
      <c r="R15" s="92"/>
      <c r="S15" s="121"/>
      <c r="T15" s="93">
        <f t="shared" si="2"/>
        <v>0</v>
      </c>
      <c r="U15" s="117"/>
      <c r="V15" s="94">
        <f t="shared" ca="1" si="4"/>
        <v>-44937.535555208335</v>
      </c>
      <c r="W15" s="89">
        <f t="shared" si="3"/>
        <v>0</v>
      </c>
    </row>
    <row r="16" spans="1:23" ht="18">
      <c r="A16" s="66">
        <v>12</v>
      </c>
      <c r="B16" s="108"/>
      <c r="C16" s="90"/>
      <c r="D16" s="140"/>
      <c r="E16" s="66"/>
      <c r="F16" s="97"/>
      <c r="G16" s="66"/>
      <c r="H16" s="114"/>
      <c r="I16" s="106" t="e">
        <f t="shared" si="1"/>
        <v>#DIV/0!</v>
      </c>
      <c r="J16" s="74"/>
      <c r="K16" s="109"/>
      <c r="L16" s="66"/>
      <c r="M16" s="65"/>
      <c r="N16" s="88"/>
      <c r="O16" s="74"/>
      <c r="P16" s="92">
        <f t="shared" si="0"/>
        <v>0</v>
      </c>
      <c r="Q16" s="113"/>
      <c r="R16" s="92"/>
      <c r="S16" s="121"/>
      <c r="T16" s="93">
        <f t="shared" si="2"/>
        <v>0</v>
      </c>
      <c r="U16" s="117"/>
      <c r="V16" s="94">
        <f t="shared" ca="1" si="4"/>
        <v>-44937.535555208335</v>
      </c>
      <c r="W16" s="89">
        <f t="shared" si="3"/>
        <v>0</v>
      </c>
    </row>
    <row r="17" spans="1:23" ht="18">
      <c r="A17" s="66">
        <v>13</v>
      </c>
      <c r="B17" s="108"/>
      <c r="C17" s="90"/>
      <c r="D17" s="140"/>
      <c r="E17" s="66"/>
      <c r="F17" s="97"/>
      <c r="G17" s="66"/>
      <c r="H17" s="114"/>
      <c r="I17" s="106" t="e">
        <f t="shared" si="1"/>
        <v>#DIV/0!</v>
      </c>
      <c r="J17" s="74"/>
      <c r="K17" s="109"/>
      <c r="L17" s="66"/>
      <c r="M17" s="65"/>
      <c r="N17" s="88"/>
      <c r="O17" s="74"/>
      <c r="P17" s="92">
        <f t="shared" si="0"/>
        <v>0</v>
      </c>
      <c r="Q17" s="113"/>
      <c r="R17" s="92"/>
      <c r="S17" s="121"/>
      <c r="T17" s="93">
        <f t="shared" si="2"/>
        <v>0</v>
      </c>
      <c r="U17" s="117"/>
      <c r="V17" s="94">
        <f t="shared" ca="1" si="4"/>
        <v>-44937.535555208335</v>
      </c>
      <c r="W17" s="89">
        <f t="shared" si="3"/>
        <v>0</v>
      </c>
    </row>
    <row r="18" spans="1:23" ht="18">
      <c r="A18" s="66">
        <v>14</v>
      </c>
      <c r="B18" s="108"/>
      <c r="C18" s="90"/>
      <c r="D18" s="140"/>
      <c r="E18" s="66"/>
      <c r="F18" s="97"/>
      <c r="G18" s="66"/>
      <c r="H18" s="114"/>
      <c r="I18" s="106" t="e">
        <f t="shared" si="1"/>
        <v>#DIV/0!</v>
      </c>
      <c r="J18" s="74"/>
      <c r="K18" s="109"/>
      <c r="L18" s="66"/>
      <c r="M18" s="65"/>
      <c r="N18" s="88"/>
      <c r="O18" s="74"/>
      <c r="P18" s="92">
        <f t="shared" si="0"/>
        <v>0</v>
      </c>
      <c r="Q18" s="113"/>
      <c r="R18" s="92"/>
      <c r="S18" s="121"/>
      <c r="T18" s="93">
        <f t="shared" si="2"/>
        <v>0</v>
      </c>
      <c r="U18" s="117"/>
      <c r="V18" s="94">
        <f t="shared" ca="1" si="4"/>
        <v>-44937.535555208335</v>
      </c>
      <c r="W18" s="89">
        <f t="shared" si="3"/>
        <v>0</v>
      </c>
    </row>
    <row r="19" spans="1:23" ht="18">
      <c r="A19" s="66">
        <v>15</v>
      </c>
      <c r="B19" s="108"/>
      <c r="C19" s="90"/>
      <c r="D19" s="140"/>
      <c r="E19" s="66"/>
      <c r="F19" s="97"/>
      <c r="G19" s="66"/>
      <c r="H19" s="114"/>
      <c r="I19" s="106" t="e">
        <f t="shared" si="1"/>
        <v>#DIV/0!</v>
      </c>
      <c r="J19" s="74"/>
      <c r="K19" s="109"/>
      <c r="L19" s="66"/>
      <c r="M19" s="65"/>
      <c r="N19" s="88"/>
      <c r="O19" s="74"/>
      <c r="P19" s="92">
        <f t="shared" si="0"/>
        <v>0</v>
      </c>
      <c r="Q19" s="113"/>
      <c r="R19" s="92"/>
      <c r="S19" s="121"/>
      <c r="T19" s="93">
        <f t="shared" si="2"/>
        <v>0</v>
      </c>
      <c r="U19" s="117"/>
      <c r="V19" s="94">
        <f t="shared" ca="1" si="4"/>
        <v>-44937.535555208335</v>
      </c>
      <c r="W19" s="89">
        <f t="shared" si="3"/>
        <v>0</v>
      </c>
    </row>
    <row r="20" spans="1:23" ht="18">
      <c r="A20" s="66"/>
      <c r="B20" s="108"/>
      <c r="C20" s="90"/>
      <c r="D20" s="140"/>
      <c r="E20" s="66"/>
      <c r="F20" s="97"/>
      <c r="G20" s="66"/>
      <c r="H20" s="114"/>
      <c r="I20" s="106" t="e">
        <f t="shared" si="1"/>
        <v>#DIV/0!</v>
      </c>
      <c r="J20" s="117"/>
      <c r="K20" s="144"/>
      <c r="L20" s="66"/>
      <c r="M20" s="119"/>
      <c r="N20" s="120"/>
      <c r="O20" s="117"/>
      <c r="P20" s="92">
        <f t="shared" si="0"/>
        <v>0</v>
      </c>
      <c r="Q20" s="113"/>
      <c r="R20" s="92"/>
      <c r="S20" s="121"/>
      <c r="T20" s="93">
        <f t="shared" si="2"/>
        <v>0</v>
      </c>
      <c r="U20" s="74"/>
      <c r="V20" s="94">
        <f t="shared" ca="1" si="4"/>
        <v>-44937.535555208335</v>
      </c>
      <c r="W20" s="89">
        <f t="shared" si="3"/>
        <v>0</v>
      </c>
    </row>
    <row r="21" spans="1:23" ht="18.75">
      <c r="A21" s="103"/>
      <c r="B21" s="103"/>
      <c r="C21" s="103"/>
      <c r="D21" s="110"/>
      <c r="E21" s="104"/>
      <c r="F21" s="111"/>
      <c r="G21" s="102">
        <f>SUM(G9:G20)</f>
        <v>131.90700000000001</v>
      </c>
      <c r="H21" s="103"/>
      <c r="I21" s="103"/>
      <c r="J21" s="103"/>
      <c r="K21" s="103"/>
      <c r="L21" s="103"/>
      <c r="M21" s="101"/>
      <c r="N21" s="102">
        <f>SUM(N9:N20)</f>
        <v>131.90699999999998</v>
      </c>
      <c r="O21" s="103"/>
      <c r="P21" s="102">
        <f>SUM(P9:P20)</f>
        <v>131.90700000000001</v>
      </c>
      <c r="Q21" s="102">
        <f>SUM(Q9:Q20)</f>
        <v>0</v>
      </c>
      <c r="R21" s="102">
        <f>SUM(R9:R20)</f>
        <v>0</v>
      </c>
      <c r="S21" s="112"/>
      <c r="T21" s="102">
        <f>SUM(T9:T20)</f>
        <v>7.1054273576010019E-15</v>
      </c>
      <c r="U21" s="103"/>
      <c r="V21" s="105"/>
      <c r="W21" s="102">
        <f>SUM(W9:W20)</f>
        <v>7.7232906060880451E-15</v>
      </c>
    </row>
    <row r="22" spans="1:23" ht="18">
      <c r="C22" s="85"/>
    </row>
    <row r="23" spans="1:23" ht="18">
      <c r="C23" s="85"/>
    </row>
    <row r="24" spans="1:23" ht="18">
      <c r="C24" s="85"/>
      <c r="Q24" s="69"/>
      <c r="T24" s="69"/>
    </row>
    <row r="25" spans="1:23" ht="18">
      <c r="C25" s="85"/>
      <c r="Q25" s="69"/>
      <c r="T25" s="69"/>
    </row>
    <row r="26" spans="1:23" ht="18">
      <c r="C26" s="85"/>
      <c r="K26">
        <v>2040</v>
      </c>
      <c r="M26">
        <f>K26/92%</f>
        <v>2217.391304347826</v>
      </c>
      <c r="Q26" s="69"/>
      <c r="T26" s="69"/>
    </row>
    <row r="27" spans="1:23" ht="18">
      <c r="C27" s="85"/>
      <c r="K27">
        <v>1650.4169999999999</v>
      </c>
      <c r="M27">
        <f>K27/92%</f>
        <v>1793.9315217391302</v>
      </c>
      <c r="Q27" s="69"/>
      <c r="T27" s="69"/>
    </row>
    <row r="28" spans="1:23" ht="18">
      <c r="C28" s="85"/>
      <c r="Q28" s="69"/>
      <c r="T28" s="69"/>
    </row>
    <row r="29" spans="1:23" ht="18">
      <c r="C29" s="85"/>
      <c r="Q29" s="69"/>
      <c r="T29" s="69"/>
    </row>
    <row r="30" spans="1:23" ht="18">
      <c r="C30" s="85"/>
      <c r="Q30" s="69"/>
      <c r="T30" s="69"/>
    </row>
    <row r="31" spans="1:23" ht="18">
      <c r="C31" s="85"/>
      <c r="Q31" s="69"/>
      <c r="T31" s="69"/>
    </row>
    <row r="32" spans="1:23" ht="18">
      <c r="C32" s="85"/>
      <c r="Q32" s="69"/>
      <c r="T32" s="69"/>
    </row>
    <row r="33" spans="3:20" ht="18">
      <c r="C33" s="85"/>
      <c r="Q33" s="69"/>
      <c r="T33" s="69"/>
    </row>
    <row r="34" spans="3:20" ht="18">
      <c r="C34" s="85"/>
      <c r="Q34" s="69"/>
      <c r="T34" s="69"/>
    </row>
    <row r="35" spans="3:20" ht="18">
      <c r="C35" s="85"/>
      <c r="Q35" s="69"/>
      <c r="T35" s="69"/>
    </row>
    <row r="36" spans="3:20" ht="18">
      <c r="C36" s="85"/>
      <c r="Q36" s="69"/>
      <c r="T36" s="69"/>
    </row>
    <row r="37" spans="3:20" ht="18">
      <c r="C37" s="85"/>
      <c r="Q37" s="69"/>
      <c r="T37" s="69"/>
    </row>
    <row r="38" spans="3:20" ht="18">
      <c r="C38" s="85"/>
      <c r="Q38" s="69"/>
      <c r="T38" s="69"/>
    </row>
    <row r="39" spans="3:20" ht="18">
      <c r="C39" s="85"/>
      <c r="Q39" s="69"/>
      <c r="T39" s="69"/>
    </row>
    <row r="40" spans="3:20" ht="18">
      <c r="C40" s="85"/>
      <c r="Q40" s="69"/>
      <c r="T40" s="69"/>
    </row>
    <row r="41" spans="3:20" ht="18">
      <c r="C41" s="85"/>
      <c r="Q41" s="69"/>
      <c r="T41" s="69"/>
    </row>
    <row r="42" spans="3:20" ht="18">
      <c r="C42" s="85"/>
      <c r="Q42" s="69"/>
      <c r="T42" s="69"/>
    </row>
    <row r="43" spans="3:20" ht="18">
      <c r="C43" s="85"/>
      <c r="Q43" s="69"/>
      <c r="T43" s="69"/>
    </row>
    <row r="44" spans="3:20" ht="18">
      <c r="C44" s="85"/>
      <c r="Q44" s="69"/>
      <c r="T44" s="69"/>
    </row>
    <row r="45" spans="3:20" ht="18">
      <c r="C45" s="85"/>
      <c r="Q45" s="69"/>
      <c r="T45" s="69"/>
    </row>
    <row r="46" spans="3:20" ht="18">
      <c r="C46" s="85"/>
      <c r="Q46" s="69"/>
      <c r="T46" s="69"/>
    </row>
    <row r="47" spans="3:20" ht="18">
      <c r="C47" s="85"/>
      <c r="Q47" s="69"/>
      <c r="T47" s="69"/>
    </row>
    <row r="48" spans="3:20" ht="18">
      <c r="C48" s="85"/>
      <c r="Q48" s="69"/>
      <c r="T48" s="69"/>
    </row>
    <row r="49" spans="3:20" ht="18">
      <c r="C49" s="85"/>
      <c r="Q49" s="69"/>
      <c r="T49" s="69"/>
    </row>
    <row r="50" spans="3:20" ht="18">
      <c r="C50" s="85"/>
      <c r="Q50" s="69"/>
      <c r="T50" s="69"/>
    </row>
    <row r="51" spans="3:20" ht="18">
      <c r="C51" s="85"/>
      <c r="Q51" s="69"/>
      <c r="T51" s="69"/>
    </row>
    <row r="52" spans="3:20" ht="18">
      <c r="C52" s="85"/>
      <c r="Q52" s="69"/>
      <c r="T52" s="69"/>
    </row>
    <row r="53" spans="3:20" ht="18">
      <c r="C53" s="85"/>
      <c r="Q53" s="69"/>
      <c r="T53" s="69"/>
    </row>
    <row r="54" spans="3:20" ht="18">
      <c r="C54" s="85"/>
      <c r="Q54" s="69"/>
      <c r="T54" s="69"/>
    </row>
    <row r="55" spans="3:20" ht="18">
      <c r="C55" s="85"/>
      <c r="Q55" s="69"/>
      <c r="T55" s="69"/>
    </row>
    <row r="93" spans="17:22" ht="18">
      <c r="Q93" s="69"/>
      <c r="T93" s="69"/>
      <c r="V93" s="69">
        <v>9</v>
      </c>
    </row>
    <row r="94" spans="17:22" ht="18">
      <c r="Q94" s="69"/>
      <c r="T94" s="69"/>
      <c r="V94" s="69">
        <v>9</v>
      </c>
    </row>
    <row r="95" spans="17:22" ht="18">
      <c r="Q95" s="69"/>
      <c r="T95" s="69"/>
      <c r="V95" s="69">
        <v>9</v>
      </c>
    </row>
    <row r="96" spans="17:22" ht="18">
      <c r="Q96" s="69"/>
      <c r="T96" s="69"/>
      <c r="V96" s="69">
        <v>9</v>
      </c>
    </row>
  </sheetData>
  <sortState ref="E5:H12">
    <sortCondition ref="E5:E12"/>
  </sortState>
  <pageMargins left="0.2" right="0.21" top="0.34" bottom="0.75" header="0.3" footer="0.3"/>
  <pageSetup scale="3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2:K13"/>
  <sheetViews>
    <sheetView workbookViewId="0">
      <selection activeCell="I13" sqref="I13"/>
    </sheetView>
  </sheetViews>
  <sheetFormatPr defaultRowHeight="15"/>
  <cols>
    <col min="2" max="2" width="13.42578125" customWidth="1"/>
    <col min="3" max="3" width="17.28515625" customWidth="1"/>
    <col min="4" max="4" width="11.140625" customWidth="1"/>
    <col min="5" max="5" width="11.28515625" customWidth="1"/>
  </cols>
  <sheetData>
    <row r="2" spans="1:11" ht="15.75">
      <c r="A2" s="151">
        <v>1</v>
      </c>
      <c r="B2" s="152" t="s">
        <v>395</v>
      </c>
    </row>
    <row r="3" spans="1:11" ht="30">
      <c r="B3" s="153" t="s">
        <v>396</v>
      </c>
      <c r="C3" s="154" t="s">
        <v>397</v>
      </c>
      <c r="D3" s="154" t="s">
        <v>398</v>
      </c>
      <c r="E3" s="154" t="s">
        <v>399</v>
      </c>
    </row>
    <row r="4" spans="1:11">
      <c r="B4" s="153" t="s">
        <v>400</v>
      </c>
      <c r="C4" s="153">
        <v>163.48099999999999</v>
      </c>
      <c r="D4" s="153">
        <v>110</v>
      </c>
      <c r="E4" s="155">
        <v>0</v>
      </c>
    </row>
    <row r="5" spans="1:11">
      <c r="B5" s="153" t="s">
        <v>401</v>
      </c>
      <c r="C5" s="153">
        <v>0</v>
      </c>
      <c r="D5" s="153">
        <v>0</v>
      </c>
      <c r="E5" s="155">
        <v>0</v>
      </c>
    </row>
    <row r="6" spans="1:11">
      <c r="B6" s="153" t="s">
        <v>1</v>
      </c>
      <c r="C6" s="153">
        <f>+C4</f>
        <v>163.48099999999999</v>
      </c>
      <c r="D6" s="153"/>
      <c r="E6" s="156">
        <v>0</v>
      </c>
    </row>
    <row r="9" spans="1:11" ht="15.75">
      <c r="A9" s="151">
        <v>2</v>
      </c>
      <c r="B9" s="152" t="s">
        <v>402</v>
      </c>
    </row>
    <row r="10" spans="1:11" ht="30">
      <c r="B10" s="153" t="s">
        <v>396</v>
      </c>
      <c r="C10" s="154" t="s">
        <v>397</v>
      </c>
      <c r="D10" s="154" t="s">
        <v>398</v>
      </c>
      <c r="E10" s="154" t="s">
        <v>399</v>
      </c>
    </row>
    <row r="11" spans="1:11">
      <c r="B11" s="153" t="s">
        <v>400</v>
      </c>
      <c r="C11" s="153">
        <v>2217.5610000000001</v>
      </c>
      <c r="D11" s="153">
        <v>150</v>
      </c>
      <c r="E11" s="155">
        <v>2217.5610000000001</v>
      </c>
      <c r="K11">
        <v>21.995999999999999</v>
      </c>
    </row>
    <row r="12" spans="1:11">
      <c r="B12" s="153" t="s">
        <v>401</v>
      </c>
      <c r="C12" s="153">
        <v>1793.932</v>
      </c>
      <c r="D12" s="153">
        <v>179</v>
      </c>
      <c r="E12" s="155">
        <v>1793.932</v>
      </c>
      <c r="K12">
        <v>2.5000000000000001E-2</v>
      </c>
    </row>
    <row r="13" spans="1:11">
      <c r="B13" s="153" t="s">
        <v>1</v>
      </c>
      <c r="C13" s="153">
        <f>SUM(C11:C12)</f>
        <v>4011.4930000000004</v>
      </c>
      <c r="D13" s="153"/>
      <c r="E13" s="153">
        <f>SUM(E11:E12)</f>
        <v>4011.4930000000004</v>
      </c>
      <c r="K13">
        <f>K11+K12</f>
        <v>22.020999999999997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V23"/>
  <sheetViews>
    <sheetView zoomScale="75" zoomScaleNormal="75" workbookViewId="0">
      <selection activeCell="M21" sqref="M21"/>
    </sheetView>
  </sheetViews>
  <sheetFormatPr defaultRowHeight="15"/>
  <cols>
    <col min="3" max="3" width="13.85546875" bestFit="1" customWidth="1"/>
    <col min="4" max="4" width="17.5703125" bestFit="1" customWidth="1"/>
    <col min="6" max="6" width="12.140625" bestFit="1" customWidth="1"/>
    <col min="7" max="7" width="10.5703125" bestFit="1" customWidth="1"/>
    <col min="10" max="10" width="0.85546875" customWidth="1"/>
    <col min="15" max="15" width="1" customWidth="1"/>
    <col min="16" max="16" width="11.140625" bestFit="1" customWidth="1"/>
    <col min="19" max="19" width="1.42578125" customWidth="1"/>
    <col min="20" max="20" width="11.7109375" bestFit="1" customWidth="1"/>
    <col min="22" max="22" width="11.42578125" bestFit="1" customWidth="1"/>
  </cols>
  <sheetData>
    <row r="1" spans="1:22" ht="18.75" thickBot="1">
      <c r="A1" s="84" t="s">
        <v>147</v>
      </c>
      <c r="V1" s="87">
        <f ca="1">+SUMMARY!C4</f>
        <v>45297.535555208335</v>
      </c>
    </row>
    <row r="2" spans="1:22" ht="72">
      <c r="A2" s="70" t="s">
        <v>40</v>
      </c>
      <c r="B2" s="71" t="s">
        <v>44</v>
      </c>
      <c r="C2" s="71" t="s">
        <v>43</v>
      </c>
      <c r="D2" s="72" t="s">
        <v>7</v>
      </c>
      <c r="E2" s="72" t="s">
        <v>2</v>
      </c>
      <c r="F2" s="72" t="s">
        <v>37</v>
      </c>
      <c r="G2" s="72" t="s">
        <v>3</v>
      </c>
      <c r="H2" s="72" t="s">
        <v>4</v>
      </c>
      <c r="I2" s="73" t="s">
        <v>47</v>
      </c>
      <c r="J2" s="74"/>
      <c r="K2" s="75" t="s">
        <v>46</v>
      </c>
      <c r="L2" s="75" t="s">
        <v>45</v>
      </c>
      <c r="M2" s="76" t="s">
        <v>5</v>
      </c>
      <c r="N2" s="77" t="s">
        <v>6</v>
      </c>
      <c r="O2" s="78"/>
      <c r="P2" s="79" t="s">
        <v>19</v>
      </c>
      <c r="Q2" s="80" t="s">
        <v>11</v>
      </c>
      <c r="R2" s="81" t="s">
        <v>12</v>
      </c>
      <c r="S2" s="74"/>
      <c r="T2" s="82" t="s">
        <v>20</v>
      </c>
      <c r="U2" s="74"/>
      <c r="V2" s="83" t="s">
        <v>9</v>
      </c>
    </row>
    <row r="3" spans="1:22" ht="18">
      <c r="A3" s="115"/>
      <c r="B3" s="260" t="s">
        <v>363</v>
      </c>
      <c r="C3" s="168" t="s">
        <v>382</v>
      </c>
      <c r="D3" s="172" t="s">
        <v>387</v>
      </c>
      <c r="E3" s="173">
        <v>65</v>
      </c>
      <c r="F3" s="162">
        <v>44726</v>
      </c>
      <c r="G3" s="163">
        <v>33</v>
      </c>
      <c r="H3" s="168">
        <v>1996008</v>
      </c>
      <c r="I3" s="173">
        <f t="shared" ref="I3:I17" si="0">H3/G3</f>
        <v>60485.090909090912</v>
      </c>
      <c r="J3" s="122"/>
      <c r="K3" s="115">
        <v>683</v>
      </c>
      <c r="L3" s="150">
        <v>65</v>
      </c>
      <c r="M3" s="119" t="s">
        <v>818</v>
      </c>
      <c r="N3" s="135">
        <v>30.074999999999999</v>
      </c>
      <c r="O3" s="122"/>
      <c r="P3" s="92">
        <f t="shared" ref="P3:P17" si="1">G3*0.92</f>
        <v>30.360000000000003</v>
      </c>
      <c r="Q3" s="113">
        <f t="shared" ref="Q3" si="2">G3*4.5%</f>
        <v>1.4849999999999999</v>
      </c>
      <c r="R3" s="92">
        <f t="shared" ref="R3" si="3">G3*3.5%</f>
        <v>1.155</v>
      </c>
      <c r="S3" s="121"/>
      <c r="T3" s="93">
        <f t="shared" ref="T3:T17" si="4">G3-N3-Q3-R3</f>
        <v>0.28500000000000081</v>
      </c>
      <c r="U3" s="122"/>
      <c r="V3" s="94">
        <f t="shared" ref="V3:V17" ca="1" si="5">360-($V$1-F3)</f>
        <v>-211.5355552083347</v>
      </c>
    </row>
    <row r="4" spans="1:22" ht="18">
      <c r="A4" s="115"/>
      <c r="B4" s="260" t="s">
        <v>363</v>
      </c>
      <c r="C4" s="168" t="s">
        <v>382</v>
      </c>
      <c r="D4" s="172" t="s">
        <v>388</v>
      </c>
      <c r="E4" s="173">
        <v>66</v>
      </c>
      <c r="F4" s="162">
        <v>44727</v>
      </c>
      <c r="G4" s="163">
        <v>27.021000000000001</v>
      </c>
      <c r="H4" s="168">
        <v>1637527</v>
      </c>
      <c r="I4" s="173">
        <f t="shared" si="0"/>
        <v>60602.013248954514</v>
      </c>
      <c r="J4" s="122"/>
      <c r="K4" s="115"/>
      <c r="L4" s="150">
        <v>66</v>
      </c>
      <c r="M4" s="119"/>
      <c r="N4" s="135"/>
      <c r="O4" s="122"/>
      <c r="P4" s="92">
        <f t="shared" si="1"/>
        <v>24.85932</v>
      </c>
      <c r="Q4" s="113">
        <f t="shared" ref="Q4:Q17" si="6">G4*4.5%</f>
        <v>1.2159450000000001</v>
      </c>
      <c r="R4" s="92">
        <f t="shared" ref="R4:R17" si="7">G4*3.5%</f>
        <v>0.9457350000000001</v>
      </c>
      <c r="S4" s="121"/>
      <c r="T4" s="93">
        <f t="shared" si="4"/>
        <v>24.85932</v>
      </c>
      <c r="U4" s="122"/>
      <c r="V4" s="94">
        <f t="shared" ca="1" si="5"/>
        <v>-210.5355552083347</v>
      </c>
    </row>
    <row r="5" spans="1:22" ht="18">
      <c r="A5" s="115"/>
      <c r="B5" s="260" t="s">
        <v>363</v>
      </c>
      <c r="C5" s="168" t="s">
        <v>382</v>
      </c>
      <c r="D5" s="172" t="s">
        <v>388</v>
      </c>
      <c r="E5" s="173">
        <v>67</v>
      </c>
      <c r="F5" s="162">
        <v>44727</v>
      </c>
      <c r="G5" s="163">
        <v>31.178999999999998</v>
      </c>
      <c r="H5" s="168">
        <v>1889454</v>
      </c>
      <c r="I5" s="173">
        <f t="shared" si="0"/>
        <v>60600.211680939094</v>
      </c>
      <c r="J5" s="122"/>
      <c r="K5" s="115"/>
      <c r="L5" s="150">
        <v>67</v>
      </c>
      <c r="M5" s="119"/>
      <c r="N5" s="115"/>
      <c r="O5" s="122"/>
      <c r="P5" s="92">
        <f t="shared" si="1"/>
        <v>28.68468</v>
      </c>
      <c r="Q5" s="113">
        <f t="shared" si="6"/>
        <v>1.4030549999999999</v>
      </c>
      <c r="R5" s="92">
        <f t="shared" si="7"/>
        <v>1.0912650000000002</v>
      </c>
      <c r="S5" s="121"/>
      <c r="T5" s="93">
        <f t="shared" si="4"/>
        <v>28.68468</v>
      </c>
      <c r="U5" s="122"/>
      <c r="V5" s="94">
        <f t="shared" ca="1" si="5"/>
        <v>-210.5355552083347</v>
      </c>
    </row>
    <row r="6" spans="1:22" ht="18">
      <c r="A6" s="115"/>
      <c r="B6" s="260" t="s">
        <v>363</v>
      </c>
      <c r="C6" s="168" t="s">
        <v>382</v>
      </c>
      <c r="D6" s="172" t="s">
        <v>389</v>
      </c>
      <c r="E6" s="173">
        <v>68</v>
      </c>
      <c r="F6" s="162">
        <v>44727</v>
      </c>
      <c r="G6" s="163">
        <v>29.459</v>
      </c>
      <c r="H6" s="168">
        <v>1782305</v>
      </c>
      <c r="I6" s="173">
        <f t="shared" si="0"/>
        <v>60501.205064666145</v>
      </c>
      <c r="J6" s="122"/>
      <c r="K6" s="115"/>
      <c r="L6" s="150">
        <v>68</v>
      </c>
      <c r="M6" s="119"/>
      <c r="N6" s="115"/>
      <c r="O6" s="122"/>
      <c r="P6" s="92">
        <f t="shared" si="1"/>
        <v>27.10228</v>
      </c>
      <c r="Q6" s="113">
        <f t="shared" si="6"/>
        <v>1.325655</v>
      </c>
      <c r="R6" s="92">
        <f t="shared" si="7"/>
        <v>1.0310650000000001</v>
      </c>
      <c r="S6" s="121"/>
      <c r="T6" s="93">
        <f t="shared" si="4"/>
        <v>27.102279999999997</v>
      </c>
      <c r="U6" s="122"/>
      <c r="V6" s="94">
        <f t="shared" ca="1" si="5"/>
        <v>-210.5355552083347</v>
      </c>
    </row>
    <row r="7" spans="1:22" ht="18">
      <c r="A7" s="115"/>
      <c r="B7" s="260" t="s">
        <v>363</v>
      </c>
      <c r="C7" s="168" t="s">
        <v>382</v>
      </c>
      <c r="D7" s="172" t="s">
        <v>389</v>
      </c>
      <c r="E7" s="173">
        <v>69</v>
      </c>
      <c r="F7" s="162">
        <v>44727</v>
      </c>
      <c r="G7" s="163">
        <v>31.640999999999998</v>
      </c>
      <c r="H7" s="168">
        <v>1914327</v>
      </c>
      <c r="I7" s="173">
        <f t="shared" si="0"/>
        <v>60501.469612212008</v>
      </c>
      <c r="J7" s="122"/>
      <c r="K7" s="115"/>
      <c r="L7" s="150">
        <v>69</v>
      </c>
      <c r="M7" s="119"/>
      <c r="N7" s="115"/>
      <c r="O7" s="122"/>
      <c r="P7" s="92">
        <f t="shared" si="1"/>
        <v>29.109719999999999</v>
      </c>
      <c r="Q7" s="113">
        <f t="shared" si="6"/>
        <v>1.4238449999999998</v>
      </c>
      <c r="R7" s="92">
        <f t="shared" si="7"/>
        <v>1.1074349999999999</v>
      </c>
      <c r="S7" s="121"/>
      <c r="T7" s="93">
        <f t="shared" si="4"/>
        <v>29.109719999999999</v>
      </c>
      <c r="U7" s="122"/>
      <c r="V7" s="94">
        <f t="shared" ca="1" si="5"/>
        <v>-210.5355552083347</v>
      </c>
    </row>
    <row r="8" spans="1:22" ht="18">
      <c r="A8" s="115"/>
      <c r="B8" s="260" t="s">
        <v>363</v>
      </c>
      <c r="C8" s="168" t="s">
        <v>382</v>
      </c>
      <c r="D8" s="172" t="s">
        <v>390</v>
      </c>
      <c r="E8" s="173">
        <v>70</v>
      </c>
      <c r="F8" s="162">
        <v>44727</v>
      </c>
      <c r="G8" s="163">
        <v>30.15</v>
      </c>
      <c r="H8" s="168">
        <v>1824916</v>
      </c>
      <c r="I8" s="173">
        <f t="shared" si="0"/>
        <v>60527.893864013269</v>
      </c>
      <c r="J8" s="122"/>
      <c r="K8" s="115"/>
      <c r="L8" s="150">
        <v>70</v>
      </c>
      <c r="M8" s="119"/>
      <c r="N8" s="115"/>
      <c r="O8" s="122"/>
      <c r="P8" s="92">
        <f t="shared" si="1"/>
        <v>27.738</v>
      </c>
      <c r="Q8" s="113">
        <f t="shared" si="6"/>
        <v>1.3567499999999999</v>
      </c>
      <c r="R8" s="92">
        <f t="shared" si="7"/>
        <v>1.05525</v>
      </c>
      <c r="S8" s="121"/>
      <c r="T8" s="93">
        <f t="shared" si="4"/>
        <v>27.738</v>
      </c>
      <c r="U8" s="122"/>
      <c r="V8" s="94">
        <f t="shared" ca="1" si="5"/>
        <v>-210.5355552083347</v>
      </c>
    </row>
    <row r="9" spans="1:22" ht="18">
      <c r="A9" s="115"/>
      <c r="B9" s="260" t="s">
        <v>363</v>
      </c>
      <c r="C9" s="168" t="s">
        <v>382</v>
      </c>
      <c r="D9" s="172" t="s">
        <v>390</v>
      </c>
      <c r="E9" s="173">
        <v>71</v>
      </c>
      <c r="F9" s="162">
        <v>44727</v>
      </c>
      <c r="G9" s="163">
        <v>30.15</v>
      </c>
      <c r="H9" s="168">
        <v>1824916</v>
      </c>
      <c r="I9" s="173">
        <f t="shared" si="0"/>
        <v>60527.893864013269</v>
      </c>
      <c r="J9" s="122"/>
      <c r="K9" s="115"/>
      <c r="L9" s="150">
        <v>71</v>
      </c>
      <c r="M9" s="119"/>
      <c r="N9" s="115"/>
      <c r="O9" s="122"/>
      <c r="P9" s="92">
        <f t="shared" si="1"/>
        <v>27.738</v>
      </c>
      <c r="Q9" s="113">
        <f t="shared" si="6"/>
        <v>1.3567499999999999</v>
      </c>
      <c r="R9" s="92">
        <f t="shared" si="7"/>
        <v>1.05525</v>
      </c>
      <c r="S9" s="121"/>
      <c r="T9" s="93">
        <f t="shared" si="4"/>
        <v>27.738</v>
      </c>
      <c r="U9" s="122"/>
      <c r="V9" s="94">
        <f t="shared" ca="1" si="5"/>
        <v>-210.5355552083347</v>
      </c>
    </row>
    <row r="10" spans="1:22" ht="18">
      <c r="A10" s="115"/>
      <c r="B10" s="260" t="s">
        <v>363</v>
      </c>
      <c r="C10" s="168" t="s">
        <v>382</v>
      </c>
      <c r="D10" s="172" t="s">
        <v>391</v>
      </c>
      <c r="E10" s="173">
        <v>72</v>
      </c>
      <c r="F10" s="162">
        <v>44728</v>
      </c>
      <c r="G10" s="163">
        <v>31.795999999999999</v>
      </c>
      <c r="H10" s="168">
        <v>1923416</v>
      </c>
      <c r="I10" s="173">
        <f t="shared" si="0"/>
        <v>60492.388979745883</v>
      </c>
      <c r="J10" s="122"/>
      <c r="K10" s="115"/>
      <c r="L10" s="150">
        <v>72</v>
      </c>
      <c r="M10" s="119"/>
      <c r="N10" s="115"/>
      <c r="O10" s="122"/>
      <c r="P10" s="92">
        <f t="shared" si="1"/>
        <v>29.252320000000001</v>
      </c>
      <c r="Q10" s="113">
        <f t="shared" si="6"/>
        <v>1.43082</v>
      </c>
      <c r="R10" s="92">
        <f t="shared" si="7"/>
        <v>1.1128600000000002</v>
      </c>
      <c r="S10" s="121"/>
      <c r="T10" s="93">
        <f t="shared" si="4"/>
        <v>29.252319999999997</v>
      </c>
      <c r="U10" s="122"/>
      <c r="V10" s="94">
        <f t="shared" ca="1" si="5"/>
        <v>-209.5355552083347</v>
      </c>
    </row>
    <row r="11" spans="1:22" ht="18">
      <c r="A11" s="115"/>
      <c r="B11" s="260" t="s">
        <v>363</v>
      </c>
      <c r="C11" s="168" t="s">
        <v>382</v>
      </c>
      <c r="D11" s="172" t="s">
        <v>391</v>
      </c>
      <c r="E11" s="173">
        <v>73</v>
      </c>
      <c r="F11" s="162">
        <v>44728</v>
      </c>
      <c r="G11" s="163">
        <v>29.603999999999999</v>
      </c>
      <c r="H11" s="168">
        <v>1790766</v>
      </c>
      <c r="I11" s="173">
        <f t="shared" si="0"/>
        <v>60490.676935549251</v>
      </c>
      <c r="J11" s="122"/>
      <c r="K11" s="115"/>
      <c r="L11" s="150">
        <v>73</v>
      </c>
      <c r="M11" s="119"/>
      <c r="N11" s="115"/>
      <c r="O11" s="122"/>
      <c r="P11" s="92">
        <f t="shared" si="1"/>
        <v>27.235680000000002</v>
      </c>
      <c r="Q11" s="113">
        <f t="shared" si="6"/>
        <v>1.3321799999999999</v>
      </c>
      <c r="R11" s="92">
        <f t="shared" si="7"/>
        <v>1.0361400000000001</v>
      </c>
      <c r="S11" s="121"/>
      <c r="T11" s="93">
        <f>G11-N11-Q11-R11</f>
        <v>27.235679999999999</v>
      </c>
      <c r="U11" s="122"/>
      <c r="V11" s="94">
        <f t="shared" ca="1" si="5"/>
        <v>-209.5355552083347</v>
      </c>
    </row>
    <row r="12" spans="1:22" ht="18">
      <c r="A12" s="115"/>
      <c r="B12" s="260" t="s">
        <v>363</v>
      </c>
      <c r="C12" s="168" t="s">
        <v>382</v>
      </c>
      <c r="D12" s="172" t="s">
        <v>392</v>
      </c>
      <c r="E12" s="173">
        <v>74</v>
      </c>
      <c r="F12" s="162">
        <v>44728</v>
      </c>
      <c r="G12" s="163">
        <v>31.4</v>
      </c>
      <c r="H12" s="168">
        <v>1898041</v>
      </c>
      <c r="I12" s="173">
        <f t="shared" si="0"/>
        <v>60447.165605095543</v>
      </c>
      <c r="J12" s="122"/>
      <c r="K12" s="115"/>
      <c r="L12" s="150">
        <v>74</v>
      </c>
      <c r="M12" s="119"/>
      <c r="N12" s="115"/>
      <c r="O12" s="122"/>
      <c r="P12" s="92">
        <f t="shared" si="1"/>
        <v>28.888000000000002</v>
      </c>
      <c r="Q12" s="113">
        <f t="shared" si="6"/>
        <v>1.4129999999999998</v>
      </c>
      <c r="R12" s="92">
        <f t="shared" si="7"/>
        <v>1.099</v>
      </c>
      <c r="S12" s="121"/>
      <c r="T12" s="93">
        <f t="shared" si="4"/>
        <v>28.887999999999998</v>
      </c>
      <c r="U12" s="122"/>
      <c r="V12" s="94">
        <f t="shared" ca="1" si="5"/>
        <v>-209.5355552083347</v>
      </c>
    </row>
    <row r="13" spans="1:22" ht="18">
      <c r="A13" s="115"/>
      <c r="B13" s="260" t="s">
        <v>363</v>
      </c>
      <c r="C13" s="168" t="s">
        <v>382</v>
      </c>
      <c r="D13" s="172" t="s">
        <v>392</v>
      </c>
      <c r="E13" s="173">
        <v>75</v>
      </c>
      <c r="F13" s="162">
        <v>44728</v>
      </c>
      <c r="G13" s="163">
        <v>31.4</v>
      </c>
      <c r="H13" s="168">
        <v>1898041</v>
      </c>
      <c r="I13" s="173">
        <f t="shared" si="0"/>
        <v>60447.165605095543</v>
      </c>
      <c r="J13" s="122"/>
      <c r="K13" s="115"/>
      <c r="L13" s="150">
        <v>75</v>
      </c>
      <c r="M13" s="119"/>
      <c r="N13" s="115"/>
      <c r="O13" s="122"/>
      <c r="P13" s="92">
        <f t="shared" si="1"/>
        <v>28.888000000000002</v>
      </c>
      <c r="Q13" s="113">
        <f t="shared" si="6"/>
        <v>1.4129999999999998</v>
      </c>
      <c r="R13" s="92">
        <f t="shared" si="7"/>
        <v>1.099</v>
      </c>
      <c r="S13" s="121"/>
      <c r="T13" s="93">
        <f t="shared" si="4"/>
        <v>28.887999999999998</v>
      </c>
      <c r="U13" s="122"/>
      <c r="V13" s="94">
        <f t="shared" ca="1" si="5"/>
        <v>-209.5355552083347</v>
      </c>
    </row>
    <row r="14" spans="1:22" ht="18">
      <c r="A14" s="115"/>
      <c r="B14" s="260" t="s">
        <v>363</v>
      </c>
      <c r="C14" s="168" t="s">
        <v>382</v>
      </c>
      <c r="D14" s="172" t="s">
        <v>393</v>
      </c>
      <c r="E14" s="173">
        <v>76</v>
      </c>
      <c r="F14" s="162">
        <v>44728</v>
      </c>
      <c r="G14" s="163">
        <v>28.638999999999999</v>
      </c>
      <c r="H14" s="168">
        <v>1734356</v>
      </c>
      <c r="I14" s="173">
        <f t="shared" si="0"/>
        <v>60559.237403540625</v>
      </c>
      <c r="J14" s="122"/>
      <c r="K14" s="115"/>
      <c r="L14" s="150">
        <v>76</v>
      </c>
      <c r="M14" s="119"/>
      <c r="N14" s="115"/>
      <c r="O14" s="122"/>
      <c r="P14" s="92">
        <f t="shared" si="1"/>
        <v>26.34788</v>
      </c>
      <c r="Q14" s="113">
        <f t="shared" si="6"/>
        <v>1.2887549999999999</v>
      </c>
      <c r="R14" s="92">
        <f t="shared" si="7"/>
        <v>1.0023650000000002</v>
      </c>
      <c r="S14" s="121"/>
      <c r="T14" s="93">
        <f t="shared" si="4"/>
        <v>26.34788</v>
      </c>
      <c r="U14" s="122"/>
      <c r="V14" s="94">
        <f t="shared" ca="1" si="5"/>
        <v>-209.5355552083347</v>
      </c>
    </row>
    <row r="15" spans="1:22" ht="18">
      <c r="A15" s="115"/>
      <c r="B15" s="260" t="s">
        <v>363</v>
      </c>
      <c r="C15" s="168" t="s">
        <v>382</v>
      </c>
      <c r="D15" s="172" t="s">
        <v>393</v>
      </c>
      <c r="E15" s="173">
        <v>77</v>
      </c>
      <c r="F15" s="162">
        <v>44728</v>
      </c>
      <c r="G15" s="163">
        <v>30.760999999999999</v>
      </c>
      <c r="H15" s="168">
        <v>1862826</v>
      </c>
      <c r="I15" s="173">
        <f t="shared" si="0"/>
        <v>60558.044276844055</v>
      </c>
      <c r="J15" s="122"/>
      <c r="K15" s="115"/>
      <c r="L15" s="150">
        <v>77</v>
      </c>
      <c r="M15" s="119"/>
      <c r="N15" s="115"/>
      <c r="O15" s="122"/>
      <c r="P15" s="92">
        <f t="shared" si="1"/>
        <v>28.30012</v>
      </c>
      <c r="Q15" s="113">
        <f t="shared" si="6"/>
        <v>1.3842449999999999</v>
      </c>
      <c r="R15" s="92">
        <f t="shared" si="7"/>
        <v>1.076635</v>
      </c>
      <c r="S15" s="121"/>
      <c r="T15" s="93">
        <f t="shared" si="4"/>
        <v>28.30012</v>
      </c>
      <c r="U15" s="122"/>
      <c r="V15" s="94">
        <f t="shared" ca="1" si="5"/>
        <v>-209.5355552083347</v>
      </c>
    </row>
    <row r="16" spans="1:22" ht="18">
      <c r="A16" s="115"/>
      <c r="B16" s="260" t="s">
        <v>363</v>
      </c>
      <c r="C16" s="168" t="s">
        <v>382</v>
      </c>
      <c r="D16" s="172" t="s">
        <v>394</v>
      </c>
      <c r="E16" s="173">
        <v>78</v>
      </c>
      <c r="F16" s="162">
        <v>44728</v>
      </c>
      <c r="G16" s="163">
        <v>29.795999999999999</v>
      </c>
      <c r="H16" s="168">
        <v>1802048</v>
      </c>
      <c r="I16" s="173">
        <f t="shared" si="0"/>
        <v>60479.527453349445</v>
      </c>
      <c r="J16" s="122"/>
      <c r="K16" s="115"/>
      <c r="L16" s="150">
        <v>78</v>
      </c>
      <c r="M16" s="119"/>
      <c r="N16" s="115"/>
      <c r="O16" s="122"/>
      <c r="P16" s="92">
        <f t="shared" si="1"/>
        <v>27.412320000000001</v>
      </c>
      <c r="Q16" s="113">
        <f t="shared" si="6"/>
        <v>1.3408199999999999</v>
      </c>
      <c r="R16" s="92">
        <f t="shared" si="7"/>
        <v>1.0428600000000001</v>
      </c>
      <c r="S16" s="121"/>
      <c r="T16" s="93">
        <f t="shared" si="4"/>
        <v>27.412319999999998</v>
      </c>
      <c r="U16" s="122"/>
      <c r="V16" s="94">
        <f t="shared" ca="1" si="5"/>
        <v>-209.5355552083347</v>
      </c>
    </row>
    <row r="17" spans="1:22" ht="18">
      <c r="A17" s="115"/>
      <c r="B17" s="260" t="s">
        <v>363</v>
      </c>
      <c r="C17" s="168" t="s">
        <v>382</v>
      </c>
      <c r="D17" s="172" t="s">
        <v>394</v>
      </c>
      <c r="E17" s="173">
        <v>79</v>
      </c>
      <c r="F17" s="162">
        <v>44728</v>
      </c>
      <c r="G17" s="163">
        <v>32.003999999999998</v>
      </c>
      <c r="H17" s="168">
        <v>1935533</v>
      </c>
      <c r="I17" s="173">
        <f t="shared" si="0"/>
        <v>60477.846519185106</v>
      </c>
      <c r="J17" s="122"/>
      <c r="K17" s="115"/>
      <c r="L17" s="150">
        <v>79</v>
      </c>
      <c r="M17" s="119"/>
      <c r="N17" s="115"/>
      <c r="O17" s="122"/>
      <c r="P17" s="92">
        <f t="shared" si="1"/>
        <v>29.443680000000001</v>
      </c>
      <c r="Q17" s="113">
        <f t="shared" si="6"/>
        <v>1.4401799999999998</v>
      </c>
      <c r="R17" s="92">
        <f t="shared" si="7"/>
        <v>1.1201400000000001</v>
      </c>
      <c r="S17" s="121"/>
      <c r="T17" s="93">
        <f t="shared" si="4"/>
        <v>29.443680000000001</v>
      </c>
      <c r="U17" s="122"/>
      <c r="V17" s="94">
        <f t="shared" ca="1" si="5"/>
        <v>-209.5355552083347</v>
      </c>
    </row>
    <row r="18" spans="1:22" ht="18.75">
      <c r="A18" s="103"/>
      <c r="B18" s="103"/>
      <c r="C18" s="103"/>
      <c r="D18" s="110"/>
      <c r="E18" s="104"/>
      <c r="F18" s="111"/>
      <c r="G18" s="102">
        <f>SUM(G3:G17)</f>
        <v>458</v>
      </c>
      <c r="H18" s="103"/>
      <c r="I18" s="103"/>
      <c r="J18" s="103"/>
      <c r="K18" s="103"/>
      <c r="L18" s="103"/>
      <c r="M18" s="101"/>
      <c r="N18" s="102">
        <f>SUM(N3:N17)</f>
        <v>30.074999999999999</v>
      </c>
      <c r="O18" s="103"/>
      <c r="P18" s="102">
        <f>SUM(P3:P17)</f>
        <v>421.36</v>
      </c>
      <c r="Q18" s="102">
        <f>SUM(Q3:Q17)</f>
        <v>20.61</v>
      </c>
      <c r="R18" s="102">
        <f>SUM(R3:R17)</f>
        <v>16.03</v>
      </c>
      <c r="S18" s="112"/>
      <c r="T18" s="102">
        <f>SUM(T3:T17)</f>
        <v>391.28499999999997</v>
      </c>
      <c r="U18" s="103"/>
      <c r="V18" s="105"/>
    </row>
    <row r="22" spans="1:22" ht="21">
      <c r="Q22" s="298" t="s">
        <v>1149</v>
      </c>
      <c r="R22" s="178"/>
      <c r="S22" s="298"/>
      <c r="T22" s="299">
        <f>T18/92%</f>
        <v>425.30978260869563</v>
      </c>
    </row>
    <row r="23" spans="1:22" ht="21">
      <c r="Q23" s="298" t="s">
        <v>1150</v>
      </c>
      <c r="R23" s="178"/>
      <c r="S23" s="298"/>
      <c r="T23" s="299">
        <v>391.28500000000003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KEC BB JOB WORK </vt:lpstr>
      <vt:lpstr>KEC JBP JOB WORK  </vt:lpstr>
      <vt:lpstr>KEC BB JOB WORK  (returnable c)</vt:lpstr>
      <vt:lpstr>Sheet1</vt:lpstr>
      <vt:lpstr>Sheet2</vt:lpstr>
      <vt:lpstr>'KEC BB JOB WORK '!Print_Area</vt:lpstr>
      <vt:lpstr>'KEC JBP JOB WORK 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</dc:creator>
  <cp:lastModifiedBy>deep</cp:lastModifiedBy>
  <cp:lastPrinted>2023-11-30T14:32:08Z</cp:lastPrinted>
  <dcterms:created xsi:type="dcterms:W3CDTF">2006-09-16T00:00:00Z</dcterms:created>
  <dcterms:modified xsi:type="dcterms:W3CDTF">2024-01-06T07:30:16Z</dcterms:modified>
</cp:coreProperties>
</file>